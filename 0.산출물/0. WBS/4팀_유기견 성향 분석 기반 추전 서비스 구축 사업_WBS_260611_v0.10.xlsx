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cure_0900\final_project\0.산출물\0. WBS\"/>
    </mc:Choice>
  </mc:AlternateContent>
  <bookViews>
    <workbookView xWindow="0" yWindow="0" windowWidth="28800" windowHeight="12285" tabRatio="500"/>
  </bookViews>
  <sheets>
    <sheet name="WBS" sheetId="1" r:id="rId1"/>
  </sheets>
  <definedNames>
    <definedName name="_xlnm._FilterDatabase" localSheetId="0" hidden="1">WBS!$A$3:$J$111</definedName>
  </definedNames>
  <calcPr calcId="162913" iterateDelta="1E-4"/>
</workbook>
</file>

<file path=xl/calcChain.xml><?xml version="1.0" encoding="utf-8"?>
<calcChain xmlns="http://schemas.openxmlformats.org/spreadsheetml/2006/main">
  <c r="H41" i="1" l="1"/>
  <c r="H77" i="1"/>
  <c r="H76" i="1"/>
  <c r="H78" i="1"/>
  <c r="H81" i="1" l="1"/>
  <c r="H82" i="1"/>
  <c r="H80" i="1"/>
  <c r="H62" i="1"/>
  <c r="H61" i="1"/>
  <c r="H43" i="1"/>
  <c r="H39" i="1"/>
  <c r="H4" i="1" l="1"/>
  <c r="H5" i="1"/>
  <c r="H6" i="1"/>
  <c r="H7" i="1"/>
  <c r="H8" i="1"/>
  <c r="H9" i="1"/>
  <c r="H10" i="1"/>
  <c r="H11" i="1"/>
  <c r="H12" i="1"/>
  <c r="H13" i="1"/>
  <c r="H14" i="1"/>
  <c r="H15" i="1"/>
  <c r="H113" i="1"/>
  <c r="H112" i="1"/>
  <c r="H100" i="1"/>
  <c r="H99" i="1"/>
  <c r="H95" i="1"/>
  <c r="H94" i="1"/>
  <c r="H98" i="1"/>
  <c r="H97" i="1"/>
  <c r="H96" i="1"/>
  <c r="H101" i="1"/>
  <c r="H102" i="1"/>
  <c r="H93" i="1"/>
  <c r="H92" i="1"/>
  <c r="H106" i="1"/>
  <c r="H107" i="1"/>
  <c r="H108" i="1"/>
  <c r="H109" i="1"/>
  <c r="H110" i="1"/>
  <c r="H111" i="1"/>
  <c r="H71" i="1"/>
  <c r="H70" i="1"/>
  <c r="H56" i="1"/>
  <c r="H54" i="1"/>
  <c r="H52" i="1"/>
  <c r="H50" i="1"/>
  <c r="H51" i="1"/>
  <c r="H49" i="1"/>
  <c r="H28" i="1"/>
  <c r="H27" i="1"/>
  <c r="H26" i="1"/>
  <c r="H25" i="1"/>
  <c r="H24" i="1"/>
  <c r="H23" i="1"/>
  <c r="H22" i="1"/>
  <c r="H21" i="1"/>
  <c r="H20" i="1"/>
  <c r="H91" i="1"/>
  <c r="H90" i="1"/>
  <c r="H89" i="1"/>
  <c r="H88" i="1"/>
  <c r="H87" i="1"/>
  <c r="H86" i="1"/>
  <c r="H85" i="1"/>
  <c r="H105" i="1"/>
  <c r="H104" i="1"/>
  <c r="H103" i="1"/>
  <c r="H84" i="1" l="1"/>
  <c r="H83" i="1"/>
  <c r="H79" i="1"/>
  <c r="H75" i="1"/>
  <c r="H74" i="1"/>
  <c r="H73" i="1"/>
  <c r="H72" i="1"/>
  <c r="H69" i="1"/>
  <c r="H68" i="1"/>
  <c r="H67" i="1"/>
  <c r="H66" i="1"/>
  <c r="H65" i="1"/>
  <c r="H64" i="1"/>
  <c r="H63" i="1"/>
  <c r="H60" i="1"/>
  <c r="H59" i="1"/>
  <c r="H58" i="1"/>
  <c r="H57" i="1"/>
  <c r="H55" i="1"/>
  <c r="H53" i="1"/>
  <c r="H48" i="1"/>
  <c r="H47" i="1"/>
  <c r="H46" i="1"/>
  <c r="H45" i="1"/>
  <c r="H42" i="1"/>
  <c r="H40" i="1"/>
  <c r="H38" i="1"/>
  <c r="H37" i="1"/>
  <c r="H36" i="1"/>
  <c r="H35" i="1"/>
  <c r="H34" i="1"/>
  <c r="H33" i="1"/>
  <c r="H32" i="1"/>
  <c r="H31" i="1"/>
  <c r="H30" i="1"/>
  <c r="H29" i="1"/>
  <c r="H19" i="1"/>
  <c r="H18" i="1"/>
  <c r="H17" i="1"/>
  <c r="H16" i="1"/>
  <c r="H114" i="1" l="1"/>
</calcChain>
</file>

<file path=xl/sharedStrings.xml><?xml version="1.0" encoding="utf-8"?>
<sst xmlns="http://schemas.openxmlformats.org/spreadsheetml/2006/main" count="661" uniqueCount="390">
  <si>
    <t>대분류</t>
  </si>
  <si>
    <t>중분류</t>
  </si>
  <si>
    <t>소분류</t>
  </si>
  <si>
    <t>담당자</t>
  </si>
  <si>
    <t>시작일</t>
  </si>
  <si>
    <t>종료일</t>
  </si>
  <si>
    <t>산출물</t>
  </si>
  <si>
    <t>비고</t>
  </si>
  <si>
    <t>1</t>
  </si>
  <si>
    <t>PM</t>
  </si>
  <si>
    <t>2026-06-09</t>
  </si>
  <si>
    <t>2026-06-13</t>
  </si>
  <si>
    <t>사업수행계획서</t>
  </si>
  <si>
    <t>1.1</t>
  </si>
  <si>
    <t>2026-06-10</t>
  </si>
  <si>
    <t>1.1.1</t>
  </si>
  <si>
    <t>사업수행계획서 작성</t>
  </si>
  <si>
    <t>1.1.2</t>
  </si>
  <si>
    <t>WBS</t>
  </si>
  <si>
    <t>1.2</t>
  </si>
  <si>
    <t>1.2.1</t>
  </si>
  <si>
    <t>프로젝트 조직도 작성</t>
  </si>
  <si>
    <t>프로젝트 조직도</t>
  </si>
  <si>
    <t>1.2.2</t>
  </si>
  <si>
    <t>1.2.3</t>
  </si>
  <si>
    <t>인력 투입 계획 수립</t>
  </si>
  <si>
    <t>인력투입 계획서</t>
  </si>
  <si>
    <t>1.3</t>
  </si>
  <si>
    <t>보안관리 계획서</t>
  </si>
  <si>
    <t>1.3.1</t>
  </si>
  <si>
    <t>보안서약서</t>
  </si>
  <si>
    <t>1.3.2</t>
  </si>
  <si>
    <t>정보자산 식별 및 보안위험 분석</t>
  </si>
  <si>
    <t>보안위험 분석서</t>
  </si>
  <si>
    <t>1.3.3</t>
  </si>
  <si>
    <t>보안관리 계획서 작성</t>
  </si>
  <si>
    <t>2026-06-12</t>
  </si>
  <si>
    <t>2</t>
  </si>
  <si>
    <t>운영환경 분석서</t>
  </si>
  <si>
    <t>2.1</t>
  </si>
  <si>
    <t>2026-06-11</t>
  </si>
  <si>
    <t>현황 조사서</t>
  </si>
  <si>
    <t>2.1.1</t>
  </si>
  <si>
    <t>2.1.2</t>
  </si>
  <si>
    <t>시스템 구성도</t>
  </si>
  <si>
    <t>2.2</t>
  </si>
  <si>
    <t>요구사항 분석서</t>
  </si>
  <si>
    <t>2.2.1</t>
  </si>
  <si>
    <t>개선사항 목록</t>
  </si>
  <si>
    <t>2.2.2</t>
  </si>
  <si>
    <t>3</t>
  </si>
  <si>
    <t>2026-06-20</t>
  </si>
  <si>
    <t>인프라 구축 결과보고서</t>
  </si>
  <si>
    <t>3.1</t>
  </si>
  <si>
    <t>인프라 구축 계획서</t>
  </si>
  <si>
    <t>3.1.1</t>
  </si>
  <si>
    <t>네트워크 구성도</t>
  </si>
  <si>
    <t>3.1.2</t>
  </si>
  <si>
    <t>서버 구성도</t>
  </si>
  <si>
    <t>3.1.3</t>
  </si>
  <si>
    <t>3.2</t>
  </si>
  <si>
    <t>2026-06-18</t>
  </si>
  <si>
    <t>3.2.1</t>
  </si>
  <si>
    <t>2026-06-14</t>
  </si>
  <si>
    <t>설치 결과서</t>
  </si>
  <si>
    <t>2026-06-17</t>
  </si>
  <si>
    <t>2026-06-15</t>
  </si>
  <si>
    <t>2026-06-19</t>
  </si>
  <si>
    <t>구축 결과보고서</t>
  </si>
  <si>
    <t>4</t>
  </si>
  <si>
    <t>보안장비 구성도</t>
  </si>
  <si>
    <t>4.1</t>
  </si>
  <si>
    <t>보안장비 구축 계획서</t>
  </si>
  <si>
    <t>보안 설계서</t>
  </si>
  <si>
    <t>4.2</t>
  </si>
  <si>
    <t>보안 정책 설정서</t>
  </si>
  <si>
    <t>4.3</t>
  </si>
  <si>
    <t>4.3.1</t>
  </si>
  <si>
    <t>5</t>
  </si>
  <si>
    <t>2026-07-04</t>
  </si>
  <si>
    <t>취약점 진단 결과보고서</t>
  </si>
  <si>
    <t>5.1</t>
  </si>
  <si>
    <t>2026-06-27</t>
  </si>
  <si>
    <t>웹 취약점 진단 결과보고서</t>
  </si>
  <si>
    <t>5.1.1</t>
  </si>
  <si>
    <t>웹 취약점 진단 계획서</t>
  </si>
  <si>
    <t>2026-06-21</t>
  </si>
  <si>
    <t>2026-06-24</t>
  </si>
  <si>
    <t>취약점 목록</t>
  </si>
  <si>
    <t>진단 결과</t>
  </si>
  <si>
    <t>2026-06-25</t>
  </si>
  <si>
    <t>모의해킹 수행 결과서</t>
  </si>
  <si>
    <t>2026-06-26</t>
  </si>
  <si>
    <t>취약점 조치 권고서</t>
  </si>
  <si>
    <t>2026-07-01</t>
  </si>
  <si>
    <t>2026-06-29</t>
  </si>
  <si>
    <t>6</t>
  </si>
  <si>
    <t>2026-06-16</t>
  </si>
  <si>
    <t>보안 관리체계 점검 결과</t>
  </si>
  <si>
    <t>자산 분석서</t>
  </si>
  <si>
    <t>자산 중요도 분석서</t>
  </si>
  <si>
    <t>보안 운영 매뉴얼</t>
  </si>
  <si>
    <t>관리 기준서</t>
  </si>
  <si>
    <t>7</t>
  </si>
  <si>
    <t>7.1</t>
  </si>
  <si>
    <t>2026-06-22</t>
  </si>
  <si>
    <t>7.1.1</t>
  </si>
  <si>
    <t>7.1.2</t>
  </si>
  <si>
    <t>7.2</t>
  </si>
  <si>
    <t>탐지 정책 및 운영 절차서</t>
  </si>
  <si>
    <t>7.2.1</t>
  </si>
  <si>
    <t>상관분석 정책 설정서</t>
  </si>
  <si>
    <t>7.3</t>
  </si>
  <si>
    <t>7.3.1</t>
  </si>
  <si>
    <t>2026-07-02</t>
  </si>
  <si>
    <t>2026-07-03</t>
  </si>
  <si>
    <t>교육 결과서</t>
  </si>
  <si>
    <t>2026-07-18</t>
  </si>
  <si>
    <t>최종 결과보고서</t>
  </si>
  <si>
    <t>PMR-003</t>
  </si>
  <si>
    <t>주간 진행보고서</t>
  </si>
  <si>
    <t>9.1.2</t>
  </si>
  <si>
    <t>산출물 목록</t>
  </si>
  <si>
    <t>산출물 관리 계획서</t>
  </si>
  <si>
    <t>9.2.2</t>
  </si>
  <si>
    <t>2026-07-11</t>
  </si>
  <si>
    <t>완료보고서</t>
  </si>
  <si>
    <t>10.1</t>
  </si>
  <si>
    <t>2026-07-16</t>
  </si>
  <si>
    <t>10.1.1</t>
  </si>
  <si>
    <t>2026-07-14</t>
  </si>
  <si>
    <t>PMR-009</t>
  </si>
  <si>
    <t>10.1.2</t>
  </si>
  <si>
    <t>2026-07-15</t>
  </si>
  <si>
    <t>10.1.3</t>
  </si>
  <si>
    <t>2026-07-17</t>
  </si>
  <si>
    <t>완료보고 발표자료</t>
  </si>
  <si>
    <t>회의록</t>
  </si>
  <si>
    <t>합계</t>
  </si>
  <si>
    <t>색상 범례</t>
  </si>
  <si>
    <r>
      <t xml:space="preserve">WBS </t>
    </r>
    <r>
      <rPr>
        <sz val="9"/>
        <color rgb="FF1F3864"/>
        <rFont val="돋움"/>
        <family val="3"/>
        <charset val="129"/>
      </rPr>
      <t>작성</t>
    </r>
    <phoneticPr fontId="10" type="noConversion"/>
  </si>
  <si>
    <r>
      <rPr>
        <sz val="9"/>
        <color rgb="FF1F3864"/>
        <rFont val="돋움"/>
        <family val="3"/>
        <charset val="129"/>
      </rPr>
      <t>서비스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구조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설계</t>
    </r>
    <phoneticPr fontId="10" type="noConversion"/>
  </si>
  <si>
    <t>4.1.1</t>
    <phoneticPr fontId="10" type="noConversion"/>
  </si>
  <si>
    <t>4.1.3</t>
    <phoneticPr fontId="10" type="noConversion"/>
  </si>
  <si>
    <r>
      <t xml:space="preserve">DMZ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</si>
  <si>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r>
      <rPr>
        <sz val="9"/>
        <color rgb="FF1F3864"/>
        <rFont val="돋움"/>
        <family val="3"/>
        <charset val="129"/>
      </rPr>
      <t>서비스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연동</t>
    </r>
    <phoneticPr fontId="10" type="noConversion"/>
  </si>
  <si>
    <r>
      <rPr>
        <sz val="9"/>
        <color rgb="FF1F3864"/>
        <rFont val="돋움"/>
        <family val="3"/>
        <charset val="129"/>
      </rPr>
      <t>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</si>
  <si>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r>
      <t xml:space="preserve">Syslog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</si>
  <si>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r>
      <rPr>
        <sz val="9"/>
        <color rgb="FF1F3864"/>
        <rFont val="돋움"/>
        <family val="3"/>
        <charset val="129"/>
      </rPr>
      <t>원격접속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환경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</si>
  <si>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t>5.2.1</t>
    <phoneticPr fontId="10" type="noConversion"/>
  </si>
  <si>
    <t>5.3.1</t>
    <phoneticPr fontId="10" type="noConversion"/>
  </si>
  <si>
    <t>5.4.1</t>
    <phoneticPr fontId="10" type="noConversion"/>
  </si>
  <si>
    <t>5.5.1</t>
    <phoneticPr fontId="10" type="noConversion"/>
  </si>
  <si>
    <r>
      <rPr>
        <sz val="9"/>
        <color rgb="FF1F3864"/>
        <rFont val="돋움"/>
        <family val="3"/>
        <charset val="129"/>
      </rPr>
      <t>대상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시스템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분석</t>
    </r>
    <phoneticPr fontId="10" type="noConversion"/>
  </si>
  <si>
    <t>7.4.1</t>
    <phoneticPr fontId="10" type="noConversion"/>
  </si>
  <si>
    <t>7.4.2</t>
  </si>
  <si>
    <t>9.1.1</t>
    <phoneticPr fontId="10" type="noConversion"/>
  </si>
  <si>
    <r>
      <t xml:space="preserve">SPiDER TM </t>
    </r>
    <r>
      <rPr>
        <sz val="9"/>
        <color rgb="FF1F3864"/>
        <rFont val="돋움"/>
        <family val="3"/>
        <charset val="129"/>
      </rPr>
      <t>설치</t>
    </r>
    <phoneticPr fontId="10" type="noConversion"/>
  </si>
  <si>
    <r>
      <rPr>
        <sz val="9"/>
        <color rgb="FF1F3864"/>
        <rFont val="돋움"/>
        <family val="3"/>
        <charset val="129"/>
      </rPr>
      <t>수집정책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</si>
  <si>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r>
      <t xml:space="preserve">SQL Injection </t>
    </r>
    <r>
      <rPr>
        <sz val="9"/>
        <color rgb="FF1F3864"/>
        <rFont val="돋움"/>
        <family val="3"/>
        <charset val="129"/>
      </rPr>
      <t>탐지</t>
    </r>
    <phoneticPr fontId="10" type="noConversion"/>
  </si>
  <si>
    <r>
      <rPr>
        <sz val="9"/>
        <color rgb="FF1F3864"/>
        <rFont val="돋움"/>
        <family val="3"/>
        <charset val="129"/>
      </rPr>
      <t>관제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화면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</si>
  <si>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t>9.2.1</t>
    <phoneticPr fontId="10" type="noConversion"/>
  </si>
  <si>
    <t>9.3.1</t>
    <phoneticPr fontId="10" type="noConversion"/>
  </si>
  <si>
    <t>9.3.3</t>
  </si>
  <si>
    <t>9.4.1</t>
    <phoneticPr fontId="10" type="noConversion"/>
  </si>
  <si>
    <t>9.5.1</t>
    <phoneticPr fontId="10" type="noConversion"/>
  </si>
  <si>
    <r>
      <rPr>
        <sz val="9"/>
        <color rgb="FF1F3864"/>
        <rFont val="돋움"/>
        <family val="3"/>
        <charset val="129"/>
      </rPr>
      <t>서비스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연동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검증</t>
    </r>
    <phoneticPr fontId="10" type="noConversion"/>
  </si>
  <si>
    <r>
      <rPr>
        <sz val="9"/>
        <color rgb="FF1F3864"/>
        <rFont val="돋움"/>
        <family val="3"/>
        <charset val="129"/>
      </rPr>
      <t>로그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수집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검증</t>
    </r>
    <phoneticPr fontId="10" type="noConversion"/>
  </si>
  <si>
    <t>11.1.1</t>
    <phoneticPr fontId="10" type="noConversion"/>
  </si>
  <si>
    <r>
      <rPr>
        <sz val="9"/>
        <color rgb="FF1F3864"/>
        <rFont val="돋움"/>
        <family val="3"/>
        <charset val="129"/>
      </rPr>
      <t>최종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결과보고서</t>
    </r>
    <phoneticPr fontId="10" type="noConversion"/>
  </si>
  <si>
    <t>11.2.1</t>
    <phoneticPr fontId="10" type="noConversion"/>
  </si>
  <si>
    <t>11.3.1</t>
    <phoneticPr fontId="10" type="noConversion"/>
  </si>
  <si>
    <t>PM</t>
    <phoneticPr fontId="10" type="noConversion"/>
  </si>
  <si>
    <t>PM</t>
    <phoneticPr fontId="10" type="noConversion"/>
  </si>
  <si>
    <t>PMR</t>
    <phoneticPr fontId="10" type="noConversion"/>
  </si>
  <si>
    <t>PMR-001</t>
    <phoneticPr fontId="10" type="noConversion"/>
  </si>
  <si>
    <t>PMR-002</t>
    <phoneticPr fontId="10" type="noConversion"/>
  </si>
  <si>
    <t>PMR-006</t>
  </si>
  <si>
    <t>PMR-005</t>
    <phoneticPr fontId="10" type="noConversion"/>
  </si>
  <si>
    <t>PMR-008</t>
  </si>
  <si>
    <t>PMR-011</t>
  </si>
  <si>
    <t>PMR-012</t>
  </si>
  <si>
    <t>QUR-005</t>
  </si>
  <si>
    <t>QUR-007</t>
  </si>
  <si>
    <t>QUR-001</t>
    <phoneticPr fontId="10" type="noConversion"/>
  </si>
  <si>
    <t>QUR</t>
    <phoneticPr fontId="10" type="noConversion"/>
  </si>
  <si>
    <t>PMR-004</t>
    <phoneticPr fontId="10" type="noConversion"/>
  </si>
  <si>
    <t>PMR-007</t>
    <phoneticPr fontId="10" type="noConversion"/>
  </si>
  <si>
    <t>PMR-010</t>
    <phoneticPr fontId="10" type="noConversion"/>
  </si>
  <si>
    <r>
      <rPr>
        <sz val="9"/>
        <color rgb="FF1F3864"/>
        <rFont val="돋움"/>
        <family val="3"/>
        <charset val="129"/>
      </rPr>
      <t>설치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결과서</t>
    </r>
    <phoneticPr fontId="10" type="noConversion"/>
  </si>
  <si>
    <t>QUR-002</t>
    <phoneticPr fontId="10" type="noConversion"/>
  </si>
  <si>
    <t>QUR-006</t>
    <phoneticPr fontId="10" type="noConversion"/>
  </si>
  <si>
    <t>QUR-008</t>
    <phoneticPr fontId="10" type="noConversion"/>
  </si>
  <si>
    <t>QUR-003</t>
    <phoneticPr fontId="10" type="noConversion"/>
  </si>
  <si>
    <r>
      <t xml:space="preserve">XSS </t>
    </r>
    <r>
      <rPr>
        <sz val="9"/>
        <color rgb="FF1F3864"/>
        <rFont val="돋움"/>
        <family val="3"/>
        <charset val="129"/>
      </rPr>
      <t>공격</t>
    </r>
    <phoneticPr fontId="10" type="noConversion"/>
  </si>
  <si>
    <r>
      <rPr>
        <sz val="9"/>
        <color rgb="FF1F3864"/>
        <rFont val="돋움"/>
        <family val="3"/>
        <charset val="129"/>
      </rPr>
      <t>권한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상승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시도</t>
    </r>
    <r>
      <rPr>
        <sz val="9"/>
        <color rgb="FF1F3864"/>
        <rFont val="Noto Sans CJK SC"/>
        <family val="2"/>
      </rPr>
      <t xml:space="preserve"> </t>
    </r>
    <phoneticPr fontId="10" type="noConversion"/>
  </si>
  <si>
    <r>
      <rPr>
        <sz val="9"/>
        <color rgb="FF1F3864"/>
        <rFont val="맑은 고딕"/>
        <family val="3"/>
        <charset val="129"/>
      </rPr>
      <t>계정관리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점검</t>
    </r>
    <phoneticPr fontId="10" type="noConversion"/>
  </si>
  <si>
    <r>
      <t xml:space="preserve">XSS </t>
    </r>
    <r>
      <rPr>
        <sz val="9"/>
        <color rgb="FF1F3864"/>
        <rFont val="돋움"/>
        <family val="3"/>
        <charset val="129"/>
      </rPr>
      <t>진단</t>
    </r>
    <phoneticPr fontId="10" type="noConversion"/>
  </si>
  <si>
    <r>
      <rPr>
        <sz val="9"/>
        <color rgb="FF1F3864"/>
        <rFont val="돋움"/>
        <family val="3"/>
        <charset val="129"/>
      </rPr>
      <t>파일업로드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취약점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진단</t>
    </r>
    <phoneticPr fontId="10" type="noConversion"/>
  </si>
  <si>
    <r>
      <rPr>
        <sz val="9"/>
        <color rgb="FF1F3864"/>
        <rFont val="돋움"/>
        <family val="3"/>
        <charset val="129"/>
      </rPr>
      <t>인증</t>
    </r>
    <r>
      <rPr>
        <sz val="9"/>
        <color rgb="FF1F3864"/>
        <rFont val="Noto Sans CJK SC"/>
        <family val="2"/>
      </rPr>
      <t>/</t>
    </r>
    <r>
      <rPr>
        <sz val="9"/>
        <color rgb="FF1F3864"/>
        <rFont val="돋움"/>
        <family val="3"/>
        <charset val="129"/>
      </rPr>
      <t>인가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취약점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진단</t>
    </r>
    <phoneticPr fontId="10" type="noConversion"/>
  </si>
  <si>
    <r>
      <rPr>
        <sz val="9"/>
        <color rgb="FF1F3864"/>
        <rFont val="돋움"/>
        <family val="3"/>
        <charset val="129"/>
      </rPr>
      <t>탐지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설정</t>
    </r>
    <phoneticPr fontId="10" type="noConversion"/>
  </si>
  <si>
    <t>9.3.4</t>
    <phoneticPr fontId="10" type="noConversion"/>
  </si>
  <si>
    <t>9.3.2</t>
    <phoneticPr fontId="10" type="noConversion"/>
  </si>
  <si>
    <t>11.1.2</t>
    <phoneticPr fontId="10" type="noConversion"/>
  </si>
  <si>
    <t>4.1.2</t>
    <phoneticPr fontId="10" type="noConversion"/>
  </si>
  <si>
    <t>4.2.1</t>
    <phoneticPr fontId="10" type="noConversion"/>
  </si>
  <si>
    <t>4.2.2</t>
    <phoneticPr fontId="10" type="noConversion"/>
  </si>
  <si>
    <t>6.1.4</t>
    <phoneticPr fontId="10" type="noConversion"/>
  </si>
  <si>
    <r>
      <rPr>
        <b/>
        <sz val="14"/>
        <color rgb="FFFFFFFF"/>
        <rFont val="맑은 고딕"/>
        <family val="3"/>
        <charset val="129"/>
      </rPr>
      <t>유기견</t>
    </r>
    <r>
      <rPr>
        <b/>
        <sz val="14"/>
        <color rgb="FFFFFFFF"/>
        <rFont val="Noto Sans CJK SC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성향</t>
    </r>
    <r>
      <rPr>
        <b/>
        <sz val="14"/>
        <color rgb="FFFFFFFF"/>
        <rFont val="Noto Sans CJK SC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분석</t>
    </r>
    <r>
      <rPr>
        <b/>
        <sz val="14"/>
        <color rgb="FFFFFFFF"/>
        <rFont val="Noto Sans CJK SC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기반</t>
    </r>
    <r>
      <rPr>
        <b/>
        <sz val="14"/>
        <color rgb="FFFFFFFF"/>
        <rFont val="Noto Sans CJK SC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추전</t>
    </r>
    <r>
      <rPr>
        <b/>
        <sz val="14"/>
        <color rgb="FFFFFFFF"/>
        <rFont val="Noto Sans CJK SC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서비스</t>
    </r>
    <r>
      <rPr>
        <b/>
        <sz val="14"/>
        <color rgb="FFFFFFFF"/>
        <rFont val="Noto Sans CJK SC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구축</t>
    </r>
    <r>
      <rPr>
        <b/>
        <sz val="14"/>
        <color rgb="FFFFFFFF"/>
        <rFont val="Noto Sans CJK SC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사업</t>
    </r>
    <r>
      <rPr>
        <b/>
        <sz val="14"/>
        <color rgb="FFFFFFFF"/>
        <rFont val="Noto Sans CJK SC"/>
        <family val="2"/>
      </rPr>
      <t xml:space="preserve">  WBS</t>
    </r>
    <phoneticPr fontId="10" type="noConversion"/>
  </si>
  <si>
    <r>
      <rPr>
        <b/>
        <i/>
        <sz val="9"/>
        <color theme="1"/>
        <rFont val="돋움"/>
        <family val="3"/>
        <charset val="129"/>
      </rPr>
      <t>사업기간</t>
    </r>
    <r>
      <rPr>
        <b/>
        <i/>
        <sz val="9"/>
        <color theme="1"/>
        <rFont val="Noto Sans CJK SC"/>
        <family val="2"/>
      </rPr>
      <t xml:space="preserve"> : 2026. 06 ~ 2026. 07  (6</t>
    </r>
    <r>
      <rPr>
        <b/>
        <i/>
        <sz val="9"/>
        <color theme="1"/>
        <rFont val="돋움"/>
        <family val="3"/>
        <charset val="129"/>
      </rPr>
      <t>주</t>
    </r>
    <r>
      <rPr>
        <b/>
        <i/>
        <sz val="9"/>
        <color theme="1"/>
        <rFont val="Noto Sans CJK SC"/>
        <family val="2"/>
      </rPr>
      <t>)      findeR</t>
    </r>
    <phoneticPr fontId="10" type="noConversion"/>
  </si>
  <si>
    <t>WBS 코드</t>
  </si>
  <si>
    <t>기간(일)</t>
  </si>
  <si>
    <t>1. 사업 착수</t>
  </si>
  <si>
    <t>1.1 착수보고</t>
  </si>
  <si>
    <t>착수보고서, 회의록</t>
  </si>
  <si>
    <t>WBS 수립</t>
  </si>
  <si>
    <t>1.2 프로젝트 조직 구성</t>
  </si>
  <si>
    <t>조직도, R&amp;R</t>
  </si>
  <si>
    <t>역할 및 책임(R&amp;R) 정의</t>
  </si>
  <si>
    <r>
      <t xml:space="preserve">R&amp;R </t>
    </r>
    <r>
      <rPr>
        <sz val="9"/>
        <color rgb="FF1F3864"/>
        <rFont val="맑은 고딕"/>
        <family val="3"/>
        <charset val="129"/>
      </rPr>
      <t>정의서</t>
    </r>
    <phoneticPr fontId="10" type="noConversion"/>
  </si>
  <si>
    <t>1.3 보안관리 계획 수립</t>
  </si>
  <si>
    <r>
      <rPr>
        <b/>
        <sz val="9"/>
        <color rgb="FF1F3864"/>
        <rFont val="돋움"/>
        <family val="3"/>
        <charset val="129"/>
      </rPr>
      <t>보안</t>
    </r>
    <r>
      <rPr>
        <b/>
        <sz val="9"/>
        <color rgb="FF1F3864"/>
        <rFont val="Noto Sans CJK SC"/>
        <family val="2"/>
      </rPr>
      <t>PL</t>
    </r>
    <phoneticPr fontId="10" type="noConversion"/>
  </si>
  <si>
    <r>
      <rPr>
        <sz val="9"/>
        <color rgb="FF1F3864"/>
        <rFont val="돋움"/>
        <family val="3"/>
        <charset val="129"/>
      </rPr>
      <t>보안</t>
    </r>
    <r>
      <rPr>
        <sz val="9"/>
        <color rgb="FF1F3864"/>
        <rFont val="Noto Sans CJK SC"/>
        <family val="2"/>
      </rPr>
      <t>PL</t>
    </r>
    <phoneticPr fontId="10" type="noConversion"/>
  </si>
  <si>
    <r>
      <rPr>
        <sz val="9"/>
        <color rgb="FF1F3864"/>
        <rFont val="돋움"/>
        <family val="3"/>
        <charset val="129"/>
      </rPr>
      <t>보안</t>
    </r>
    <r>
      <rPr>
        <sz val="9"/>
        <color rgb="FF1F3864"/>
        <rFont val="Noto Sans CJK SC"/>
        <family val="2"/>
      </rPr>
      <t>PL</t>
    </r>
    <phoneticPr fontId="10" type="noConversion"/>
  </si>
  <si>
    <r>
      <rPr>
        <sz val="9"/>
        <color rgb="FF1F3864"/>
        <rFont val="돋움"/>
        <family val="3"/>
        <charset val="129"/>
      </rPr>
      <t>보안</t>
    </r>
    <r>
      <rPr>
        <sz val="9"/>
        <color rgb="FF1F3864"/>
        <rFont val="Noto Sans CJK SC"/>
        <family val="2"/>
      </rPr>
      <t>PL</t>
    </r>
    <phoneticPr fontId="10" type="noConversion"/>
  </si>
  <si>
    <r>
      <t xml:space="preserve">2. </t>
    </r>
    <r>
      <rPr>
        <b/>
        <sz val="9"/>
        <color rgb="FFFFFFFF"/>
        <rFont val="맑은 고딕"/>
        <family val="3"/>
        <charset val="129"/>
      </rPr>
      <t>프로젝트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관리</t>
    </r>
    <phoneticPr fontId="10" type="noConversion"/>
  </si>
  <si>
    <r>
      <rPr>
        <b/>
        <sz val="9"/>
        <color rgb="FFFFFFFF"/>
        <rFont val="돋움"/>
        <family val="3"/>
        <charset val="129"/>
      </rPr>
      <t>전원</t>
    </r>
    <phoneticPr fontId="10" type="noConversion"/>
  </si>
  <si>
    <r>
      <t xml:space="preserve">2.1 </t>
    </r>
    <r>
      <rPr>
        <b/>
        <sz val="9"/>
        <color rgb="FF1F3864"/>
        <rFont val="맑은 고딕"/>
        <family val="3"/>
        <charset val="129"/>
      </rPr>
      <t>프로젝트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착수</t>
    </r>
    <phoneticPr fontId="10" type="noConversion"/>
  </si>
  <si>
    <r>
      <rPr>
        <b/>
        <sz val="9"/>
        <color rgb="FF1F3864"/>
        <rFont val="돋움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</si>
  <si>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착수보고</t>
    </r>
    <phoneticPr fontId="10" type="noConversion"/>
  </si>
  <si>
    <r>
      <rPr>
        <sz val="9"/>
        <color rgb="FF1F3864"/>
        <rFont val="돋움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</si>
  <si>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요구사항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분석</t>
    </r>
    <phoneticPr fontId="10" type="noConversion"/>
  </si>
  <si>
    <r>
      <rPr>
        <sz val="9"/>
        <color rgb="FF1F3864"/>
        <rFont val="돋움"/>
        <family val="3"/>
        <charset val="129"/>
      </rPr>
      <t>전원</t>
    </r>
    <phoneticPr fontId="10" type="noConversion"/>
  </si>
  <si>
    <r>
      <t xml:space="preserve">2.2 </t>
    </r>
    <r>
      <rPr>
        <b/>
        <sz val="9"/>
        <color rgb="FF1F3864"/>
        <rFont val="맑은 고딕"/>
        <family val="3"/>
        <charset val="129"/>
      </rPr>
      <t>일정관리</t>
    </r>
    <phoneticPr fontId="10" type="noConversion"/>
  </si>
  <si>
    <r>
      <rPr>
        <b/>
        <sz val="9"/>
        <color rgb="FF1F3864"/>
        <rFont val="돋움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</si>
  <si>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</si>
  <si>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일정계획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수립</t>
    </r>
    <phoneticPr fontId="10" type="noConversion"/>
  </si>
  <si>
    <r>
      <rPr>
        <sz val="9"/>
        <color rgb="FF1F3864"/>
        <rFont val="돋움"/>
        <family val="3"/>
        <charset val="129"/>
      </rPr>
      <t>전원</t>
    </r>
    <phoneticPr fontId="10" type="noConversion"/>
  </si>
  <si>
    <r>
      <t xml:space="preserve">2.3 </t>
    </r>
    <r>
      <rPr>
        <b/>
        <sz val="9"/>
        <color rgb="FF1F3864"/>
        <rFont val="맑은 고딕"/>
        <family val="3"/>
        <charset val="129"/>
      </rPr>
      <t>진척관리</t>
    </r>
    <phoneticPr fontId="10" type="noConversion"/>
  </si>
  <si>
    <r>
      <rPr>
        <b/>
        <sz val="9"/>
        <color rgb="FF1F3864"/>
        <rFont val="돋움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</si>
  <si>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주간보고</t>
    </r>
    <phoneticPr fontId="10" type="noConversion"/>
  </si>
  <si>
    <r>
      <rPr>
        <sz val="9"/>
        <color rgb="FF1F3864"/>
        <rFont val="돋움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</si>
  <si>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중간보고서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작성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및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제출</t>
    </r>
    <phoneticPr fontId="10" type="noConversion"/>
  </si>
  <si>
    <r>
      <t xml:space="preserve">2.4 </t>
    </r>
    <r>
      <rPr>
        <b/>
        <sz val="9"/>
        <color rgb="FF1F3864"/>
        <rFont val="맑은 고딕"/>
        <family val="3"/>
        <charset val="129"/>
      </rPr>
      <t>위험관리</t>
    </r>
    <phoneticPr fontId="10" type="noConversion"/>
  </si>
  <si>
    <r>
      <rPr>
        <b/>
        <sz val="9"/>
        <color rgb="FF1F3864"/>
        <rFont val="돋움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</si>
  <si>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이슈관리</t>
    </r>
    <phoneticPr fontId="10" type="noConversion"/>
  </si>
  <si>
    <r>
      <rPr>
        <sz val="9"/>
        <color rgb="FF1F3864"/>
        <rFont val="돋움"/>
        <family val="3"/>
        <charset val="129"/>
      </rPr>
      <t>위험요소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관리</t>
    </r>
    <phoneticPr fontId="10" type="noConversion"/>
  </si>
  <si>
    <r>
      <t xml:space="preserve">3. </t>
    </r>
    <r>
      <rPr>
        <b/>
        <sz val="9"/>
        <color rgb="FFFFFFFF"/>
        <rFont val="돋움"/>
        <family val="3"/>
        <charset val="129"/>
      </rPr>
      <t>플랫폼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환경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분석</t>
    </r>
    <phoneticPr fontId="10" type="noConversion"/>
  </si>
  <si>
    <r>
      <t xml:space="preserve">3.1 </t>
    </r>
    <r>
      <rPr>
        <b/>
        <sz val="9"/>
        <color rgb="FF1F3864"/>
        <rFont val="맑은 고딕"/>
        <family val="3"/>
        <charset val="129"/>
      </rPr>
      <t>현황분석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</si>
  <si>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전원</t>
    </r>
    <phoneticPr fontId="10" type="noConversion"/>
  </si>
  <si>
    <r>
      <rPr>
        <sz val="9"/>
        <color rgb="FF1F3864"/>
        <rFont val="맑은 고딕"/>
        <family val="3"/>
        <charset val="129"/>
      </rPr>
      <t>위험요소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관리</t>
    </r>
    <phoneticPr fontId="10" type="noConversion"/>
  </si>
  <si>
    <r>
      <rPr>
        <sz val="9"/>
        <color rgb="FF1F3864"/>
        <rFont val="돋움"/>
        <family val="3"/>
        <charset val="129"/>
      </rPr>
      <t>전원</t>
    </r>
  </si>
  <si>
    <r>
      <rPr>
        <sz val="9"/>
        <color rgb="FF1F3864"/>
        <rFont val="돋움"/>
        <family val="3"/>
        <charset val="129"/>
      </rPr>
      <t>시스템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구성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분석</t>
    </r>
    <phoneticPr fontId="10" type="noConversion"/>
  </si>
  <si>
    <r>
      <rPr>
        <sz val="9"/>
        <color rgb="FF1F3864"/>
        <rFont val="돋움"/>
        <family val="3"/>
        <charset val="129"/>
      </rPr>
      <t>자산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식별</t>
    </r>
    <phoneticPr fontId="10" type="noConversion"/>
  </si>
  <si>
    <r>
      <t xml:space="preserve">3.2 </t>
    </r>
    <r>
      <rPr>
        <b/>
        <sz val="9"/>
        <color rgb="FF1F3864"/>
        <rFont val="맑은 고딕"/>
        <family val="3"/>
        <charset val="129"/>
      </rPr>
      <t>아키텍쳐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설계</t>
    </r>
    <phoneticPr fontId="10" type="noConversion"/>
  </si>
  <si>
    <r>
      <rPr>
        <b/>
        <sz val="8.5"/>
        <color rgb="FF1F3864"/>
        <rFont val="돋움"/>
        <family val="3"/>
        <charset val="129"/>
      </rPr>
      <t>네트워크</t>
    </r>
    <r>
      <rPr>
        <b/>
        <sz val="8.5"/>
        <color rgb="FF1F3864"/>
        <rFont val="Noto Sans CJK SC"/>
        <family val="2"/>
      </rPr>
      <t>/</t>
    </r>
    <r>
      <rPr>
        <b/>
        <sz val="8.5"/>
        <color rgb="FF1F3864"/>
        <rFont val="돋움"/>
        <family val="3"/>
        <charset val="129"/>
      </rPr>
      <t>서버</t>
    </r>
    <phoneticPr fontId="10" type="noConversion"/>
  </si>
  <si>
    <r>
      <rPr>
        <sz val="9"/>
        <color rgb="FF1F3864"/>
        <rFont val="돋움"/>
        <family val="3"/>
        <charset val="129"/>
      </rPr>
      <t>네트워크</t>
    </r>
    <r>
      <rPr>
        <sz val="9"/>
        <color rgb="FF1F3864"/>
        <rFont val="Noto Sans CJK SC"/>
        <family val="2"/>
      </rPr>
      <t>/</t>
    </r>
    <r>
      <rPr>
        <sz val="9"/>
        <color rgb="FF1F3864"/>
        <rFont val="돋움"/>
        <family val="3"/>
        <charset val="129"/>
      </rPr>
      <t>서버</t>
    </r>
    <phoneticPr fontId="10" type="noConversion"/>
  </si>
  <si>
    <r>
      <t xml:space="preserve">4. </t>
    </r>
    <r>
      <rPr>
        <b/>
        <sz val="9"/>
        <color rgb="FFFFFFFF"/>
        <rFont val="맑은 고딕"/>
        <family val="3"/>
        <charset val="129"/>
      </rPr>
      <t>인프라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구축</t>
    </r>
    <phoneticPr fontId="10" type="noConversion"/>
  </si>
  <si>
    <r>
      <rPr>
        <b/>
        <sz val="8"/>
        <color rgb="FFFFFFFF"/>
        <rFont val="돋움"/>
        <family val="3"/>
        <charset val="129"/>
      </rPr>
      <t>네트워크</t>
    </r>
    <r>
      <rPr>
        <b/>
        <sz val="8"/>
        <color rgb="FFFFFFFF"/>
        <rFont val="Noto Sans CJK SC"/>
        <family val="2"/>
      </rPr>
      <t>/</t>
    </r>
    <r>
      <rPr>
        <b/>
        <sz val="8"/>
        <color rgb="FFFFFFFF"/>
        <rFont val="돋움"/>
        <family val="3"/>
        <charset val="129"/>
      </rPr>
      <t>서버</t>
    </r>
    <phoneticPr fontId="10" type="noConversion"/>
  </si>
  <si>
    <r>
      <t xml:space="preserve">4.1 </t>
    </r>
    <r>
      <rPr>
        <b/>
        <sz val="9"/>
        <color rgb="FF1F3864"/>
        <rFont val="돋움"/>
        <family val="3"/>
        <charset val="129"/>
      </rPr>
      <t>네트워크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구축</t>
    </r>
    <phoneticPr fontId="10" type="noConversion"/>
  </si>
  <si>
    <r>
      <rPr>
        <b/>
        <sz val="9"/>
        <color rgb="FF1F3864"/>
        <rFont val="돋움"/>
        <family val="3"/>
        <charset val="129"/>
      </rPr>
      <t>네트워크</t>
    </r>
    <r>
      <rPr>
        <b/>
        <sz val="9"/>
        <color rgb="FF1F3864"/>
        <rFont val="Noto Sans CJK SC"/>
        <family val="2"/>
      </rPr>
      <t/>
    </r>
    <phoneticPr fontId="10" type="noConversion"/>
  </si>
  <si>
    <r>
      <t xml:space="preserve">VLAN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</si>
  <si>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r>
      <rPr>
        <sz val="9"/>
        <color rgb="FF1F3864"/>
        <rFont val="돋움"/>
        <family val="3"/>
        <charset val="129"/>
      </rPr>
      <t>네트워크</t>
    </r>
    <phoneticPr fontId="10" type="noConversion"/>
  </si>
  <si>
    <r>
      <t xml:space="preserve">Routing </t>
    </r>
    <r>
      <rPr>
        <sz val="9"/>
        <color rgb="FF1F3864"/>
        <rFont val="돋움"/>
        <family val="3"/>
        <charset val="129"/>
      </rPr>
      <t>구성</t>
    </r>
    <phoneticPr fontId="10" type="noConversion"/>
  </si>
  <si>
    <r>
      <t xml:space="preserve">4.2 </t>
    </r>
    <r>
      <rPr>
        <b/>
        <sz val="9"/>
        <color rgb="FF1F3864"/>
        <rFont val="돋움"/>
        <family val="3"/>
        <charset val="129"/>
      </rPr>
      <t>서버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구축</t>
    </r>
    <phoneticPr fontId="10" type="noConversion"/>
  </si>
  <si>
    <r>
      <rPr>
        <b/>
        <sz val="9"/>
        <color rgb="FF1F3864"/>
        <rFont val="돋움"/>
        <family val="3"/>
        <charset val="129"/>
      </rPr>
      <t>서버팀</t>
    </r>
    <phoneticPr fontId="10" type="noConversion"/>
  </si>
  <si>
    <r>
      <rPr>
        <sz val="9"/>
        <color rgb="FF1F3864"/>
        <rFont val="돋움"/>
        <family val="3"/>
        <charset val="129"/>
      </rPr>
      <t>서버팀</t>
    </r>
    <phoneticPr fontId="10" type="noConversion"/>
  </si>
  <si>
    <r>
      <rPr>
        <sz val="9"/>
        <color rgb="FF1F3864"/>
        <rFont val="돋움"/>
        <family val="3"/>
        <charset val="129"/>
      </rPr>
      <t>서버팀</t>
    </r>
    <phoneticPr fontId="10" type="noConversion"/>
  </si>
  <si>
    <r>
      <t xml:space="preserve">4.3 </t>
    </r>
    <r>
      <rPr>
        <b/>
        <sz val="9"/>
        <color rgb="FF1F3864"/>
        <rFont val="맑은 고딕"/>
        <family val="3"/>
        <charset val="129"/>
      </rPr>
      <t>운영환경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구성</t>
    </r>
    <phoneticPr fontId="10" type="noConversion"/>
  </si>
  <si>
    <r>
      <rPr>
        <b/>
        <sz val="9"/>
        <color rgb="FF1F3864"/>
        <rFont val="돋움"/>
        <family val="3"/>
        <charset val="129"/>
      </rPr>
      <t>서버팀</t>
    </r>
    <phoneticPr fontId="10" type="noConversion"/>
  </si>
  <si>
    <r>
      <t xml:space="preserve">5. </t>
    </r>
    <r>
      <rPr>
        <b/>
        <sz val="9"/>
        <color rgb="FFFFFFFF"/>
        <rFont val="맑은 고딕"/>
        <family val="3"/>
        <charset val="129"/>
      </rPr>
      <t>보안장비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구축</t>
    </r>
    <phoneticPr fontId="10" type="noConversion"/>
  </si>
  <si>
    <r>
      <rPr>
        <b/>
        <sz val="9"/>
        <color rgb="FFFFFFFF"/>
        <rFont val="돋움"/>
        <family val="3"/>
        <charset val="129"/>
      </rPr>
      <t>보안장비</t>
    </r>
    <phoneticPr fontId="10" type="noConversion"/>
  </si>
  <si>
    <r>
      <t xml:space="preserve">5.1 </t>
    </r>
    <r>
      <rPr>
        <b/>
        <sz val="9"/>
        <color rgb="FF1F3864"/>
        <rFont val="돋움"/>
        <family val="3"/>
        <charset val="129"/>
      </rPr>
      <t>방화벽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구축</t>
    </r>
    <phoneticPr fontId="10" type="noConversion"/>
  </si>
  <si>
    <r>
      <rPr>
        <b/>
        <sz val="9"/>
        <color rgb="FF1F3864"/>
        <rFont val="돋움"/>
        <family val="3"/>
        <charset val="129"/>
      </rPr>
      <t>보안장비</t>
    </r>
    <phoneticPr fontId="10" type="noConversion"/>
  </si>
  <si>
    <r>
      <rPr>
        <sz val="9"/>
        <color rgb="FF1F3864"/>
        <rFont val="돋움"/>
        <family val="3"/>
        <charset val="129"/>
      </rPr>
      <t>보안장비</t>
    </r>
    <phoneticPr fontId="10" type="noConversion"/>
  </si>
  <si>
    <r>
      <t xml:space="preserve">5.2 IPS </t>
    </r>
    <r>
      <rPr>
        <b/>
        <sz val="9"/>
        <color rgb="FF1F3864"/>
        <rFont val="맑은 고딕"/>
        <family val="3"/>
        <charset val="129"/>
      </rPr>
      <t>구축</t>
    </r>
    <phoneticPr fontId="10" type="noConversion"/>
  </si>
  <si>
    <r>
      <rPr>
        <b/>
        <sz val="9"/>
        <color rgb="FF1F3864"/>
        <rFont val="돋움"/>
        <family val="3"/>
        <charset val="129"/>
      </rPr>
      <t>보안장비</t>
    </r>
  </si>
  <si>
    <r>
      <rPr>
        <sz val="9"/>
        <color rgb="FF1F3864"/>
        <rFont val="돋움"/>
        <family val="3"/>
        <charset val="129"/>
      </rPr>
      <t>보안장비</t>
    </r>
  </si>
  <si>
    <r>
      <t xml:space="preserve">5.3 WAF </t>
    </r>
    <r>
      <rPr>
        <b/>
        <sz val="9"/>
        <color rgb="FF1F3864"/>
        <rFont val="맑은 고딕"/>
        <family val="3"/>
        <charset val="129"/>
      </rPr>
      <t>구축</t>
    </r>
    <phoneticPr fontId="10" type="noConversion"/>
  </si>
  <si>
    <r>
      <rPr>
        <sz val="9"/>
        <color rgb="FF1F3864"/>
        <rFont val="맑은 고딕"/>
        <family val="3"/>
        <charset val="129"/>
      </rPr>
      <t>웹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공격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차단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정책</t>
    </r>
    <phoneticPr fontId="10" type="noConversion"/>
  </si>
  <si>
    <r>
      <t xml:space="preserve">5.4 </t>
    </r>
    <r>
      <rPr>
        <b/>
        <sz val="9"/>
        <color rgb="FF1F3864"/>
        <rFont val="맑은 고딕"/>
        <family val="3"/>
        <charset val="129"/>
      </rPr>
      <t>로그서버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구축</t>
    </r>
    <phoneticPr fontId="10" type="noConversion"/>
  </si>
  <si>
    <r>
      <t xml:space="preserve">5.5 VPN </t>
    </r>
    <r>
      <rPr>
        <b/>
        <sz val="9"/>
        <color rgb="FF1F3864"/>
        <rFont val="맑은 고딕"/>
        <family val="3"/>
        <charset val="129"/>
      </rPr>
      <t>구축</t>
    </r>
    <phoneticPr fontId="10" type="noConversion"/>
  </si>
  <si>
    <r>
      <t xml:space="preserve">6. </t>
    </r>
    <r>
      <rPr>
        <b/>
        <sz val="9"/>
        <color rgb="FFFFFFFF"/>
        <rFont val="맑은 고딕"/>
        <family val="3"/>
        <charset val="129"/>
      </rPr>
      <t>웹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취약점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진단</t>
    </r>
    <phoneticPr fontId="10" type="noConversion"/>
  </si>
  <si>
    <r>
      <rPr>
        <b/>
        <sz val="9"/>
        <color rgb="FFFFFFFF"/>
        <rFont val="돋움"/>
        <family val="3"/>
        <charset val="129"/>
      </rPr>
      <t>모의해킹</t>
    </r>
    <phoneticPr fontId="10" type="noConversion"/>
  </si>
  <si>
    <r>
      <rPr>
        <b/>
        <sz val="9"/>
        <color rgb="FF1F3864"/>
        <rFont val="돋움"/>
        <family val="3"/>
        <charset val="129"/>
      </rPr>
      <t>모의해킹</t>
    </r>
    <phoneticPr fontId="10" type="noConversion"/>
  </si>
  <si>
    <r>
      <rPr>
        <sz val="9"/>
        <color rgb="FF1F3864"/>
        <rFont val="돋움"/>
        <family val="3"/>
        <charset val="129"/>
      </rPr>
      <t>모의해킹</t>
    </r>
    <phoneticPr fontId="10" type="noConversion"/>
  </si>
  <si>
    <r>
      <t xml:space="preserve">SQL Injection </t>
    </r>
    <r>
      <rPr>
        <sz val="9"/>
        <color rgb="FF1F3864"/>
        <rFont val="돋움"/>
        <family val="3"/>
        <charset val="129"/>
      </rPr>
      <t>진단</t>
    </r>
    <phoneticPr fontId="10" type="noConversion"/>
  </si>
  <si>
    <r>
      <rPr>
        <sz val="9"/>
        <color rgb="FF1F3864"/>
        <rFont val="돋움"/>
        <family val="3"/>
        <charset val="129"/>
      </rPr>
      <t>모의해킹</t>
    </r>
    <phoneticPr fontId="10" type="noConversion"/>
  </si>
  <si>
    <r>
      <rPr>
        <sz val="9"/>
        <color rgb="FF1F3864"/>
        <rFont val="돋움"/>
        <family val="3"/>
        <charset val="129"/>
      </rPr>
      <t>모의해킹</t>
    </r>
    <phoneticPr fontId="10" type="noConversion"/>
  </si>
  <si>
    <r>
      <t xml:space="preserve">7. </t>
    </r>
    <r>
      <rPr>
        <b/>
        <sz val="9"/>
        <color rgb="FFFFFFFF"/>
        <rFont val="맑은 고딕"/>
        <family val="3"/>
        <charset val="129"/>
      </rPr>
      <t>인프라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취약점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진단</t>
    </r>
    <phoneticPr fontId="10" type="noConversion"/>
  </si>
  <si>
    <r>
      <rPr>
        <b/>
        <sz val="9"/>
        <color rgb="FFFFFFFF"/>
        <rFont val="맑은 고딕"/>
        <family val="3"/>
        <charset val="129"/>
      </rPr>
      <t>네트워크</t>
    </r>
    <r>
      <rPr>
        <b/>
        <sz val="9"/>
        <color rgb="FFFFFFFF"/>
        <rFont val="Noto Sans CJK SC"/>
        <family val="2"/>
      </rPr>
      <t>/</t>
    </r>
    <r>
      <rPr>
        <b/>
        <sz val="9"/>
        <color rgb="FFFFFFFF"/>
        <rFont val="맑은 고딕"/>
        <family val="3"/>
        <charset val="129"/>
      </rPr>
      <t>서버</t>
    </r>
    <phoneticPr fontId="10" type="noConversion"/>
  </si>
  <si>
    <t>SIEM 구축 결과보고서</t>
  </si>
  <si>
    <r>
      <t xml:space="preserve">7.1 Linux </t>
    </r>
    <r>
      <rPr>
        <b/>
        <sz val="9"/>
        <color rgb="FF1F3864"/>
        <rFont val="맑은 고딕"/>
        <family val="3"/>
        <charset val="129"/>
      </rPr>
      <t>점검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</si>
  <si>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서버</t>
    </r>
    <phoneticPr fontId="10" type="noConversion"/>
  </si>
  <si>
    <t>SIEM 구축 계획서</t>
  </si>
  <si>
    <r>
      <rPr>
        <sz val="9"/>
        <color rgb="FF1F3864"/>
        <rFont val="맑은 고딕"/>
        <family val="3"/>
        <charset val="129"/>
      </rPr>
      <t>서버</t>
    </r>
    <phoneticPr fontId="10" type="noConversion"/>
  </si>
  <si>
    <r>
      <rPr>
        <sz val="9"/>
        <color rgb="FF1F3864"/>
        <rFont val="맑은 고딕"/>
        <family val="3"/>
        <charset val="129"/>
      </rPr>
      <t>서비스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점검</t>
    </r>
    <phoneticPr fontId="10" type="noConversion"/>
  </si>
  <si>
    <r>
      <rPr>
        <sz val="9"/>
        <color rgb="FF1F3864"/>
        <rFont val="맑은 고딕"/>
        <family val="3"/>
        <charset val="129"/>
      </rPr>
      <t>서버</t>
    </r>
    <phoneticPr fontId="10" type="noConversion"/>
  </si>
  <si>
    <r>
      <t xml:space="preserve">7.2 Winodws </t>
    </r>
    <r>
      <rPr>
        <b/>
        <sz val="9"/>
        <color rgb="FF1F3864"/>
        <rFont val="맑은 고딕"/>
        <family val="3"/>
        <charset val="129"/>
      </rPr>
      <t>점검</t>
    </r>
    <phoneticPr fontId="10" type="noConversion"/>
  </si>
  <si>
    <r>
      <rPr>
        <sz val="9"/>
        <color rgb="FF1F3864"/>
        <rFont val="돋움"/>
        <family val="3"/>
        <charset val="129"/>
      </rPr>
      <t>계정정책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점검</t>
    </r>
    <phoneticPr fontId="10" type="noConversion"/>
  </si>
  <si>
    <r>
      <rPr>
        <sz val="9"/>
        <color rgb="FF1F3864"/>
        <rFont val="맑은 고딕"/>
        <family val="3"/>
        <charset val="129"/>
      </rPr>
      <t>서버</t>
    </r>
    <phoneticPr fontId="10" type="noConversion"/>
  </si>
  <si>
    <r>
      <t xml:space="preserve">7.3 </t>
    </r>
    <r>
      <rPr>
        <b/>
        <sz val="9"/>
        <color rgb="FF1F3864"/>
        <rFont val="돋움"/>
        <family val="3"/>
        <charset val="129"/>
      </rPr>
      <t>네트워크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점검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</si>
  <si>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네트워크</t>
    </r>
    <phoneticPr fontId="10" type="noConversion"/>
  </si>
  <si>
    <t>시험·검증 결과서</t>
  </si>
  <si>
    <r>
      <rPr>
        <sz val="9"/>
        <color rgb="FF1F3864"/>
        <rFont val="맑은 고딕"/>
        <family val="3"/>
        <charset val="129"/>
      </rPr>
      <t>장비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보안설정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점검</t>
    </r>
    <phoneticPr fontId="10" type="noConversion"/>
  </si>
  <si>
    <r>
      <rPr>
        <sz val="9"/>
        <color rgb="FF1F3864"/>
        <rFont val="맑은 고딕"/>
        <family val="3"/>
        <charset val="129"/>
      </rPr>
      <t>네트워크</t>
    </r>
    <phoneticPr fontId="10" type="noConversion"/>
  </si>
  <si>
    <r>
      <t xml:space="preserve">7.4 </t>
    </r>
    <r>
      <rPr>
        <b/>
        <sz val="9"/>
        <color rgb="FF1F3864"/>
        <rFont val="돋움"/>
        <family val="3"/>
        <charset val="129"/>
      </rPr>
      <t>결과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정리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</si>
  <si>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네트워크</t>
    </r>
    <r>
      <rPr>
        <b/>
        <sz val="9"/>
        <color rgb="FF1F3864"/>
        <rFont val="Noto Sans CJK SC"/>
        <family val="2"/>
      </rPr>
      <t>/</t>
    </r>
    <r>
      <rPr>
        <b/>
        <sz val="9"/>
        <color rgb="FF1F3864"/>
        <rFont val="맑은 고딕"/>
        <family val="3"/>
        <charset val="129"/>
      </rPr>
      <t>서버</t>
    </r>
    <phoneticPr fontId="10" type="noConversion"/>
  </si>
  <si>
    <r>
      <rPr>
        <sz val="9"/>
        <color rgb="FF1F3864"/>
        <rFont val="맑은 고딕"/>
        <family val="3"/>
        <charset val="129"/>
      </rPr>
      <t>네트워크</t>
    </r>
    <r>
      <rPr>
        <sz val="9"/>
        <color rgb="FF1F3864"/>
        <rFont val="Noto Sans CJK SC"/>
        <family val="2"/>
      </rPr>
      <t>/</t>
    </r>
    <r>
      <rPr>
        <sz val="9"/>
        <color rgb="FF1F3864"/>
        <rFont val="맑은 고딕"/>
        <family val="3"/>
        <charset val="129"/>
      </rPr>
      <t>서버</t>
    </r>
    <phoneticPr fontId="10" type="noConversion"/>
  </si>
  <si>
    <r>
      <rPr>
        <sz val="9"/>
        <color rgb="FF1F3864"/>
        <rFont val="돋움"/>
        <family val="3"/>
        <charset val="129"/>
      </rPr>
      <t>조치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가이드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작성</t>
    </r>
    <phoneticPr fontId="10" type="noConversion"/>
  </si>
  <si>
    <r>
      <rPr>
        <sz val="9"/>
        <color rgb="FF1F3864"/>
        <rFont val="맑은 고딕"/>
        <family val="3"/>
        <charset val="129"/>
      </rPr>
      <t>네트워크</t>
    </r>
    <r>
      <rPr>
        <sz val="9"/>
        <color rgb="FF1F3864"/>
        <rFont val="Noto Sans CJK SC"/>
        <family val="2"/>
      </rPr>
      <t>/</t>
    </r>
    <r>
      <rPr>
        <sz val="9"/>
        <color rgb="FF1F3864"/>
        <rFont val="맑은 고딕"/>
        <family val="3"/>
        <charset val="129"/>
      </rPr>
      <t>서버</t>
    </r>
    <phoneticPr fontId="10" type="noConversion"/>
  </si>
  <si>
    <r>
      <t xml:space="preserve">8. </t>
    </r>
    <r>
      <rPr>
        <b/>
        <sz val="9"/>
        <color rgb="FFFFFFFF"/>
        <rFont val="돋움"/>
        <family val="3"/>
        <charset val="129"/>
      </rPr>
      <t>모의해킹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수행</t>
    </r>
    <phoneticPr fontId="10" type="noConversion"/>
  </si>
  <si>
    <r>
      <rPr>
        <b/>
        <sz val="9"/>
        <color rgb="FFFFFFFF"/>
        <rFont val="맑은 고딕"/>
        <family val="3"/>
        <charset val="129"/>
      </rPr>
      <t>모의해킹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</si>
  <si>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모의해킹</t>
    </r>
    <phoneticPr fontId="10" type="noConversion"/>
  </si>
  <si>
    <t>WBS, 진척률 관리대장</t>
  </si>
  <si>
    <r>
      <rPr>
        <sz val="9"/>
        <color rgb="FF1F3864"/>
        <rFont val="맑은 고딕"/>
        <family val="3"/>
        <charset val="129"/>
      </rPr>
      <t>모의해킹</t>
    </r>
    <phoneticPr fontId="10" type="noConversion"/>
  </si>
  <si>
    <r>
      <rPr>
        <sz val="9"/>
        <color rgb="FF1F3864"/>
        <rFont val="맑은 고딕"/>
        <family val="3"/>
        <charset val="129"/>
      </rPr>
      <t>모의해킹</t>
    </r>
    <phoneticPr fontId="10" type="noConversion"/>
  </si>
  <si>
    <t>이슈·위험 관리대장</t>
  </si>
  <si>
    <r>
      <rPr>
        <sz val="9"/>
        <color rgb="FF1F3864"/>
        <rFont val="돋움"/>
        <family val="3"/>
        <charset val="129"/>
      </rPr>
      <t>파일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업로드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공격</t>
    </r>
    <phoneticPr fontId="10" type="noConversion"/>
  </si>
  <si>
    <r>
      <t xml:space="preserve">8.2 </t>
    </r>
    <r>
      <rPr>
        <b/>
        <sz val="9"/>
        <color rgb="FF1F3864"/>
        <rFont val="돋움"/>
        <family val="3"/>
        <charset val="129"/>
      </rPr>
      <t>결과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분석</t>
    </r>
    <phoneticPr fontId="10" type="noConversion"/>
  </si>
  <si>
    <r>
      <t xml:space="preserve">9. SIEM </t>
    </r>
    <r>
      <rPr>
        <b/>
        <sz val="9"/>
        <color rgb="FFFFFFFF"/>
        <rFont val="맑은 고딕"/>
        <family val="3"/>
        <charset val="129"/>
      </rPr>
      <t>구축</t>
    </r>
    <phoneticPr fontId="10" type="noConversion"/>
  </si>
  <si>
    <r>
      <rPr>
        <b/>
        <sz val="9"/>
        <color rgb="FFFFFFFF"/>
        <rFont val="맑은 고딕"/>
        <family val="3"/>
        <charset val="129"/>
      </rPr>
      <t>보안장비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</si>
  <si>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보안장비</t>
    </r>
    <phoneticPr fontId="10" type="noConversion"/>
  </si>
  <si>
    <r>
      <rPr>
        <sz val="9"/>
        <color rgb="FF1F3864"/>
        <rFont val="돋움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로그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연동</t>
    </r>
    <phoneticPr fontId="10" type="noConversion"/>
  </si>
  <si>
    <r>
      <rPr>
        <sz val="9"/>
        <color rgb="FF1F3864"/>
        <rFont val="맑은 고딕"/>
        <family val="3"/>
        <charset val="129"/>
      </rPr>
      <t>보안장비</t>
    </r>
    <phoneticPr fontId="10" type="noConversion"/>
  </si>
  <si>
    <r>
      <rPr>
        <sz val="9"/>
        <color rgb="FF1F3864"/>
        <rFont val="돋움"/>
        <family val="3"/>
        <charset val="129"/>
      </rPr>
      <t>보안장비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로그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연동</t>
    </r>
    <phoneticPr fontId="10" type="noConversion"/>
  </si>
  <si>
    <r>
      <rPr>
        <sz val="9"/>
        <color rgb="FF1F3864"/>
        <rFont val="맑은 고딕"/>
        <family val="3"/>
        <charset val="129"/>
      </rPr>
      <t>보안장비</t>
    </r>
    <phoneticPr fontId="10" type="noConversion"/>
  </si>
  <si>
    <t>인수인계서, 산출물 목록</t>
  </si>
  <si>
    <r>
      <rPr>
        <b/>
        <sz val="9"/>
        <color rgb="FF1F3864"/>
        <rFont val="맑은 고딕"/>
        <family val="3"/>
        <charset val="129"/>
      </rPr>
      <t>보안장비</t>
    </r>
    <phoneticPr fontId="10" type="noConversion"/>
  </si>
  <si>
    <r>
      <rPr>
        <sz val="9"/>
        <color rgb="FF1F3864"/>
        <rFont val="맑은 고딕"/>
        <family val="3"/>
        <charset val="129"/>
      </rPr>
      <t>보안장비</t>
    </r>
    <phoneticPr fontId="10" type="noConversion"/>
  </si>
  <si>
    <r>
      <rPr>
        <sz val="9"/>
        <color rgb="FF1F3864"/>
        <rFont val="맑은 고딕"/>
        <family val="3"/>
        <charset val="129"/>
      </rPr>
      <t>보안장비</t>
    </r>
    <phoneticPr fontId="10" type="noConversion"/>
  </si>
  <si>
    <r>
      <rPr>
        <sz val="9"/>
        <color rgb="FF1F3864"/>
        <rFont val="맑은 고딕"/>
        <family val="3"/>
        <charset val="129"/>
      </rPr>
      <t>보안장비</t>
    </r>
    <phoneticPr fontId="10" type="noConversion"/>
  </si>
  <si>
    <r>
      <t xml:space="preserve">XSS </t>
    </r>
    <r>
      <rPr>
        <sz val="9"/>
        <color rgb="FF1F3864"/>
        <rFont val="돋움"/>
        <family val="3"/>
        <charset val="129"/>
      </rPr>
      <t>탐지</t>
    </r>
    <phoneticPr fontId="10" type="noConversion"/>
  </si>
  <si>
    <r>
      <rPr>
        <sz val="9"/>
        <color rgb="FF1F3864"/>
        <rFont val="맑은 고딕"/>
        <family val="3"/>
        <charset val="129"/>
      </rPr>
      <t>보안장비</t>
    </r>
    <phoneticPr fontId="10" type="noConversion"/>
  </si>
  <si>
    <r>
      <rPr>
        <sz val="9"/>
        <color rgb="FF1F3864"/>
        <rFont val="돋움"/>
        <family val="3"/>
        <charset val="129"/>
      </rPr>
      <t>로그인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실패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탐지</t>
    </r>
    <phoneticPr fontId="10" type="noConversion"/>
  </si>
  <si>
    <r>
      <rPr>
        <sz val="9"/>
        <color rgb="FF1F3864"/>
        <rFont val="돋움"/>
        <family val="3"/>
        <charset val="129"/>
      </rPr>
      <t>관리자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권한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탐지</t>
    </r>
    <phoneticPr fontId="10" type="noConversion"/>
  </si>
  <si>
    <r>
      <rPr>
        <sz val="9"/>
        <color rgb="FF1F3864"/>
        <rFont val="맑은 고딕"/>
        <family val="3"/>
        <charset val="129"/>
      </rPr>
      <t>보안장비</t>
    </r>
    <phoneticPr fontId="10" type="noConversion"/>
  </si>
  <si>
    <r>
      <rPr>
        <sz val="9"/>
        <color rgb="FF1F3864"/>
        <rFont val="돋움"/>
        <family val="3"/>
        <charset val="129"/>
      </rPr>
      <t>공격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이벤트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수집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확인</t>
    </r>
    <phoneticPr fontId="10" type="noConversion"/>
  </si>
  <si>
    <r>
      <t xml:space="preserve">10. </t>
    </r>
    <r>
      <rPr>
        <b/>
        <sz val="9"/>
        <color rgb="FFFFFFFF"/>
        <rFont val="맑은 고딕"/>
        <family val="3"/>
        <charset val="129"/>
      </rPr>
      <t>테스트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및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검증</t>
    </r>
    <phoneticPr fontId="10" type="noConversion"/>
  </si>
  <si>
    <r>
      <rPr>
        <b/>
        <sz val="9"/>
        <color rgb="FFFFFFFF"/>
        <rFont val="맑은 고딕"/>
        <family val="3"/>
        <charset val="129"/>
      </rPr>
      <t>전원</t>
    </r>
    <phoneticPr fontId="10" type="noConversion"/>
  </si>
  <si>
    <r>
      <t xml:space="preserve">10.1 </t>
    </r>
    <r>
      <rPr>
        <b/>
        <sz val="9"/>
        <color rgb="FF1F3864"/>
        <rFont val="돋움"/>
        <family val="3"/>
        <charset val="129"/>
      </rPr>
      <t>통합테스트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</si>
  <si>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전원</t>
    </r>
    <phoneticPr fontId="10" type="noConversion"/>
  </si>
  <si>
    <r>
      <rPr>
        <sz val="9"/>
        <color rgb="FF1F3864"/>
        <rFont val="맑은 고딕"/>
        <family val="3"/>
        <charset val="129"/>
      </rPr>
      <t>전원</t>
    </r>
    <phoneticPr fontId="10" type="noConversion"/>
  </si>
  <si>
    <r>
      <rPr>
        <sz val="9"/>
        <color rgb="FF1F3864"/>
        <rFont val="맑은 고딕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</si>
  <si>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탐지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정책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검증</t>
    </r>
    <phoneticPr fontId="10" type="noConversion"/>
  </si>
  <si>
    <r>
      <rPr>
        <sz val="9"/>
        <color rgb="FF1F3864"/>
        <rFont val="맑은 고딕"/>
        <family val="3"/>
        <charset val="129"/>
      </rPr>
      <t>전원</t>
    </r>
    <phoneticPr fontId="10" type="noConversion"/>
  </si>
  <si>
    <t>운영 매뉴얼, 교육 자료</t>
  </si>
  <si>
    <r>
      <rPr>
        <b/>
        <sz val="9"/>
        <color rgb="FFFFFFFF"/>
        <rFont val="맑은 고딕"/>
        <family val="3"/>
        <charset val="129"/>
      </rPr>
      <t>전원</t>
    </r>
    <phoneticPr fontId="10" type="noConversion"/>
  </si>
  <si>
    <r>
      <t xml:space="preserve">11.1 </t>
    </r>
    <r>
      <rPr>
        <b/>
        <sz val="9"/>
        <color rgb="FF1F3864"/>
        <rFont val="맑은 고딕"/>
        <family val="3"/>
        <charset val="129"/>
      </rPr>
      <t>결과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보고서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</si>
  <si>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</si>
  <si>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상세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결과보고서</t>
    </r>
    <phoneticPr fontId="10" type="noConversion"/>
  </si>
  <si>
    <r>
      <rPr>
        <sz val="9"/>
        <color rgb="FF1F3864"/>
        <rFont val="맑은 고딕"/>
        <family val="3"/>
        <charset val="129"/>
      </rPr>
      <t>전원</t>
    </r>
    <phoneticPr fontId="10" type="noConversion"/>
  </si>
  <si>
    <r>
      <t xml:space="preserve">11.2 </t>
    </r>
    <r>
      <rPr>
        <b/>
        <sz val="9"/>
        <color rgb="FF1F3864"/>
        <rFont val="맑은 고딕"/>
        <family val="3"/>
        <charset val="129"/>
      </rPr>
      <t>발표자료</t>
    </r>
    <phoneticPr fontId="10" type="noConversion"/>
  </si>
  <si>
    <r>
      <rPr>
        <b/>
        <sz val="9"/>
        <color rgb="FF1F3864"/>
        <rFont val="맑은 고딕"/>
        <family val="3"/>
        <charset val="129"/>
      </rPr>
      <t>전원</t>
    </r>
    <phoneticPr fontId="10" type="noConversion"/>
  </si>
  <si>
    <r>
      <rPr>
        <sz val="9"/>
        <color rgb="FF1F3864"/>
        <rFont val="돋움"/>
        <family val="3"/>
        <charset val="129"/>
      </rPr>
      <t>발표</t>
    </r>
    <r>
      <rPr>
        <sz val="9"/>
        <color rgb="FF1F3864"/>
        <rFont val="Noto Sans CJK SC"/>
        <family val="2"/>
      </rPr>
      <t xml:space="preserve"> PPT </t>
    </r>
    <r>
      <rPr>
        <sz val="9"/>
        <color rgb="FF1F3864"/>
        <rFont val="돋움"/>
        <family val="3"/>
        <charset val="129"/>
      </rPr>
      <t>작성</t>
    </r>
    <phoneticPr fontId="10" type="noConversion"/>
  </si>
  <si>
    <r>
      <rPr>
        <sz val="9"/>
        <color rgb="FF1F3864"/>
        <rFont val="맑은 고딕"/>
        <family val="3"/>
        <charset val="129"/>
      </rPr>
      <t>전원</t>
    </r>
    <phoneticPr fontId="10" type="noConversion"/>
  </si>
  <si>
    <r>
      <t xml:space="preserve">11.3 </t>
    </r>
    <r>
      <rPr>
        <b/>
        <sz val="9"/>
        <color rgb="FF1F3864"/>
        <rFont val="맑은 고딕"/>
        <family val="3"/>
        <charset val="129"/>
      </rPr>
      <t>최종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제출</t>
    </r>
    <phoneticPr fontId="10" type="noConversion"/>
  </si>
  <si>
    <r>
      <rPr>
        <sz val="9"/>
        <color rgb="FF1F3864"/>
        <rFont val="돋움"/>
        <family val="3"/>
        <charset val="129"/>
      </rPr>
      <t>산출물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제출</t>
    </r>
    <phoneticPr fontId="10" type="noConversion"/>
  </si>
  <si>
    <r>
      <rPr>
        <sz val="9"/>
        <color rgb="FF1F3864"/>
        <rFont val="맑은 고딕"/>
        <family val="3"/>
        <charset val="129"/>
      </rPr>
      <t>전원</t>
    </r>
    <phoneticPr fontId="10" type="noConversion"/>
  </si>
  <si>
    <r>
      <rPr>
        <b/>
        <sz val="9"/>
        <color rgb="FFFFFFFF"/>
        <rFont val="돋움"/>
        <family val="3"/>
        <charset val="129"/>
      </rPr>
      <t>총</t>
    </r>
    <r>
      <rPr>
        <b/>
        <sz val="9"/>
        <color rgb="FFFFFFFF"/>
        <rFont val="Noto Sans CJK SC"/>
        <family val="2"/>
      </rPr>
      <t xml:space="preserve"> 11</t>
    </r>
    <r>
      <rPr>
        <b/>
        <sz val="9"/>
        <color rgb="FFFFFFFF"/>
        <rFont val="돋움"/>
        <family val="3"/>
        <charset val="129"/>
      </rPr>
      <t>개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대분류</t>
    </r>
    <phoneticPr fontId="10" type="noConversion"/>
  </si>
  <si>
    <r>
      <t xml:space="preserve">11. </t>
    </r>
    <r>
      <rPr>
        <b/>
        <sz val="9"/>
        <color rgb="FFFFFFFF"/>
        <rFont val="맑은 고딕"/>
        <family val="3"/>
        <charset val="129"/>
      </rPr>
      <t>산출물</t>
    </r>
    <r>
      <rPr>
        <b/>
        <sz val="9"/>
        <color rgb="FFFFFFFF"/>
        <rFont val="Noto Sans CJK SC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작성</t>
    </r>
    <phoneticPr fontId="10" type="noConversion"/>
  </si>
  <si>
    <r>
      <t xml:space="preserve">9.1 </t>
    </r>
    <r>
      <rPr>
        <b/>
        <sz val="9"/>
        <color rgb="FF1F3864"/>
        <rFont val="돋움"/>
        <family val="3"/>
        <charset val="129"/>
      </rPr>
      <t>로그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수집</t>
    </r>
    <phoneticPr fontId="10" type="noConversion"/>
  </si>
  <si>
    <r>
      <t xml:space="preserve">9.2 SIEM </t>
    </r>
    <r>
      <rPr>
        <b/>
        <sz val="9"/>
        <color rgb="FF1F3864"/>
        <rFont val="맑은 고딕"/>
        <family val="3"/>
        <charset val="129"/>
      </rPr>
      <t>구축</t>
    </r>
    <phoneticPr fontId="10" type="noConversion"/>
  </si>
  <si>
    <r>
      <t xml:space="preserve">9.3 </t>
    </r>
    <r>
      <rPr>
        <b/>
        <sz val="9"/>
        <color rgb="FF1F3864"/>
        <rFont val="맑은 고딕"/>
        <family val="3"/>
        <charset val="129"/>
      </rPr>
      <t>탐지정책</t>
    </r>
    <phoneticPr fontId="10" type="noConversion"/>
  </si>
  <si>
    <r>
      <t xml:space="preserve">9.4 </t>
    </r>
    <r>
      <rPr>
        <b/>
        <sz val="9"/>
        <color rgb="FF1F3864"/>
        <rFont val="맑은 고딕"/>
        <family val="3"/>
        <charset val="129"/>
      </rPr>
      <t>대시보드</t>
    </r>
    <phoneticPr fontId="10" type="noConversion"/>
  </si>
  <si>
    <r>
      <t xml:space="preserve">9.5 </t>
    </r>
    <r>
      <rPr>
        <b/>
        <sz val="9"/>
        <color rgb="FF1F3864"/>
        <rFont val="맑은 고딕"/>
        <family val="3"/>
        <charset val="129"/>
      </rPr>
      <t>검증</t>
    </r>
    <phoneticPr fontId="10" type="noConversion"/>
  </si>
  <si>
    <r>
      <rPr>
        <sz val="9"/>
        <color rgb="FF1F3864"/>
        <rFont val="맑은 고딕"/>
        <family val="3"/>
        <charset val="129"/>
      </rPr>
      <t>취약점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분석</t>
    </r>
    <phoneticPr fontId="10" type="noConversion"/>
  </si>
  <si>
    <r>
      <rPr>
        <sz val="9"/>
        <color rgb="FF1F3864"/>
        <rFont val="돋움"/>
        <family val="3"/>
        <charset val="129"/>
      </rPr>
      <t>보안서약서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징구</t>
    </r>
    <phoneticPr fontId="10" type="noConversion"/>
  </si>
  <si>
    <r>
      <rPr>
        <sz val="9"/>
        <color rgb="FF1F3864"/>
        <rFont val="맑은 고딕"/>
        <family val="3"/>
        <charset val="129"/>
      </rPr>
      <t>리눅스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맑은 고딕"/>
        <family val="3"/>
        <charset val="129"/>
      </rPr>
      <t>구축</t>
    </r>
    <phoneticPr fontId="10" type="noConversion"/>
  </si>
  <si>
    <r>
      <rPr>
        <sz val="9"/>
        <color rgb="FF1F3864"/>
        <rFont val="돋움"/>
        <family val="3"/>
        <charset val="129"/>
      </rPr>
      <t>윈도우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서버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구축</t>
    </r>
    <phoneticPr fontId="10" type="noConversion"/>
  </si>
  <si>
    <t>모의해킹 결과 보고서</t>
    <phoneticPr fontId="10" type="noConversion"/>
  </si>
  <si>
    <r>
      <rPr>
        <sz val="9"/>
        <color rgb="FF1F3864"/>
        <rFont val="돋움"/>
        <family val="3"/>
        <charset val="129"/>
      </rPr>
      <t>시나리오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기반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모의해킹</t>
    </r>
    <r>
      <rPr>
        <sz val="9"/>
        <color rgb="FF1F3864"/>
        <rFont val="Noto Sans CJK SC"/>
        <family val="2"/>
      </rPr>
      <t xml:space="preserve"> </t>
    </r>
    <r>
      <rPr>
        <sz val="9"/>
        <color rgb="FF1F3864"/>
        <rFont val="돋움"/>
        <family val="3"/>
        <charset val="129"/>
      </rPr>
      <t>수행</t>
    </r>
    <phoneticPr fontId="10" type="noConversion"/>
  </si>
  <si>
    <r>
      <t xml:space="preserve">8.2 </t>
    </r>
    <r>
      <rPr>
        <b/>
        <sz val="9"/>
        <color rgb="FF1F3864"/>
        <rFont val="돋움"/>
        <family val="3"/>
        <charset val="129"/>
      </rPr>
      <t>공격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수행</t>
    </r>
    <phoneticPr fontId="10" type="noConversion"/>
  </si>
  <si>
    <r>
      <t xml:space="preserve">8.1 </t>
    </r>
    <r>
      <rPr>
        <b/>
        <sz val="9"/>
        <color rgb="FF1F3864"/>
        <rFont val="맑은 고딕"/>
        <family val="3"/>
        <charset val="129"/>
      </rPr>
      <t>정보수집</t>
    </r>
    <phoneticPr fontId="10" type="noConversion"/>
  </si>
  <si>
    <r>
      <t xml:space="preserve">6.1 </t>
    </r>
    <r>
      <rPr>
        <b/>
        <sz val="9"/>
        <color rgb="FF1F3864"/>
        <rFont val="돋움"/>
        <family val="3"/>
        <charset val="129"/>
      </rPr>
      <t>취약점</t>
    </r>
    <r>
      <rPr>
        <b/>
        <sz val="9"/>
        <color rgb="FF1F3864"/>
        <rFont val="Noto Sans CJK SC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점검</t>
    </r>
    <phoneticPr fontId="10" type="noConversion"/>
  </si>
  <si>
    <t>8.1.1</t>
    <phoneticPr fontId="10" type="noConversion"/>
  </si>
  <si>
    <t>8.2.1</t>
    <phoneticPr fontId="10" type="noConversion"/>
  </si>
  <si>
    <t>8.2.2</t>
    <phoneticPr fontId="10" type="noConversion"/>
  </si>
  <si>
    <t>8.2.3</t>
    <phoneticPr fontId="10" type="noConversion"/>
  </si>
  <si>
    <t>8.2.4</t>
    <phoneticPr fontId="10" type="noConversion"/>
  </si>
  <si>
    <t>8.3.1</t>
    <phoneticPr fontId="10" type="noConversion"/>
  </si>
  <si>
    <t>이중화</t>
    <phoneticPr fontId="10" type="noConversion"/>
  </si>
  <si>
    <t>4.1.4</t>
    <phoneticPr fontId="10" type="noConversion"/>
  </si>
  <si>
    <t>2.3.1</t>
    <phoneticPr fontId="10" type="noConversion"/>
  </si>
  <si>
    <t>2.3.2</t>
    <phoneticPr fontId="10" type="noConversion"/>
  </si>
  <si>
    <t>2.4.1</t>
    <phoneticPr fontId="10" type="noConversion"/>
  </si>
  <si>
    <t>2.4.2</t>
    <phoneticPr fontId="10" type="noConversion"/>
  </si>
  <si>
    <t>6.1.1</t>
    <phoneticPr fontId="10" type="noConversion"/>
  </si>
  <si>
    <t>6.1.2</t>
    <phoneticPr fontId="10" type="noConversion"/>
  </si>
  <si>
    <t>6.1.3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</si>
</sst>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2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b/>
      <sz val="9"/>
      <color rgb="FF1F3864"/>
      <name val="맑은 고딕"/>
      <family val="3"/>
      <charset val="129"/>
    </font>
    <font>
      <b/>
      <sz val="9"/>
      <color rgb="FF1F3864"/>
      <name val="Noto Sans CJK SC"/>
      <family val="2"/>
    </font>
    <font>
      <sz val="9"/>
      <color rgb="FF1F3864"/>
      <name val="맑은 고딕"/>
      <family val="3"/>
      <charset val="129"/>
    </font>
    <font>
      <sz val="9"/>
      <color rgb="FF1F3864"/>
      <name val="Noto Sans CJK SC"/>
      <family val="2"/>
    </font>
    <font>
      <sz val="9"/>
      <color rgb="FFFFFFFF"/>
      <name val="Noto Sans CJK SC"/>
      <family val="2"/>
    </font>
    <font>
      <sz val="8"/>
      <name val="돋움"/>
      <family val="3"/>
      <charset val="129"/>
    </font>
    <font>
      <b/>
      <i/>
      <sz val="9"/>
      <color theme="1"/>
      <name val="Noto Sans CJK SC"/>
      <family val="2"/>
    </font>
    <font>
      <sz val="9"/>
      <color rgb="FF1F3864"/>
      <name val="돋움"/>
      <family val="3"/>
      <charset val="129"/>
    </font>
    <font>
      <b/>
      <sz val="9"/>
      <color rgb="FFFFFFFF"/>
      <name val="돋움"/>
      <family val="3"/>
      <charset val="129"/>
    </font>
    <font>
      <b/>
      <i/>
      <sz val="9"/>
      <color theme="1"/>
      <name val="돋움"/>
      <family val="3"/>
      <charset val="129"/>
    </font>
    <font>
      <b/>
      <sz val="9"/>
      <color rgb="FF1F3864"/>
      <name val="돋움"/>
      <family val="3"/>
      <charset val="129"/>
    </font>
    <font>
      <b/>
      <sz val="8"/>
      <color rgb="FFFFFFFF"/>
      <name val="Noto Sans CJK SC"/>
      <family val="2"/>
    </font>
    <font>
      <b/>
      <sz val="8"/>
      <color rgb="FFFFFFFF"/>
      <name val="돋움"/>
      <family val="3"/>
      <charset val="129"/>
    </font>
    <font>
      <b/>
      <sz val="8.5"/>
      <color rgb="FF1F3864"/>
      <name val="돋움"/>
      <family val="3"/>
      <charset val="129"/>
    </font>
    <font>
      <b/>
      <sz val="14"/>
      <color rgb="FFFFFFFF"/>
      <name val="Noto Sans CJK SC"/>
    </font>
    <font>
      <b/>
      <sz val="8.5"/>
      <color rgb="FF1F3864"/>
      <name val="Noto Sans CJK SC"/>
      <family val="2"/>
    </font>
    <font>
      <sz val="11"/>
      <color theme="1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EBF3FB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0" tint="-4.9989318521683403E-2"/>
        <bgColor rgb="FFF2F7FB"/>
      </patternFill>
    </fill>
  </fills>
  <borders count="5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1F3864"/>
      </left>
      <right style="thin">
        <color rgb="FFB8CCE4"/>
      </right>
      <top style="thin">
        <color rgb="FFB8CCE4"/>
      </top>
      <bottom style="medium">
        <color rgb="FF1F386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0" fillId="0" borderId="0" xfId="0"/>
    <xf numFmtId="0" fontId="6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176" fontId="6" fillId="4" borderId="2" xfId="0" applyNumberFormat="1" applyFont="1" applyFill="1" applyBorder="1" applyAlignment="1">
      <alignment horizontal="center" vertical="center" wrapText="1"/>
    </xf>
    <xf numFmtId="1" fontId="6" fillId="4" borderId="2" xfId="0" applyNumberFormat="1" applyFont="1" applyFill="1" applyBorder="1" applyAlignment="1">
      <alignment horizontal="center" vertical="center" wrapText="1"/>
    </xf>
    <xf numFmtId="176" fontId="8" fillId="5" borderId="2" xfId="0" applyNumberFormat="1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 wrapText="1"/>
    </xf>
    <xf numFmtId="176" fontId="8" fillId="6" borderId="2" xfId="0" applyNumberFormat="1" applyFont="1" applyFill="1" applyBorder="1" applyAlignment="1">
      <alignment horizontal="center" vertical="center" wrapText="1"/>
    </xf>
    <xf numFmtId="1" fontId="8" fillId="6" borderId="2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0" borderId="0" xfId="0" applyFont="1"/>
    <xf numFmtId="0" fontId="19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right" vertical="center" wrapText="1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2F7FB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이온">
  <a:themeElements>
    <a:clrScheme name="이온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이온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이온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abSelected="1" topLeftCell="E1" zoomScale="115" zoomScaleNormal="115" workbookViewId="0">
      <pane ySplit="3" topLeftCell="A22" activePane="bottomLeft" state="frozen"/>
      <selection pane="bottomLeft" activeCell="J29" sqref="J29"/>
    </sheetView>
  </sheetViews>
  <sheetFormatPr defaultColWidth="8.7109375" defaultRowHeight="15"/>
  <cols>
    <col min="1" max="1" width="10" customWidth="1"/>
    <col min="2" max="2" width="25.5703125" bestFit="1" customWidth="1"/>
    <col min="3" max="3" width="22" customWidth="1"/>
    <col min="4" max="4" width="44.140625" bestFit="1" customWidth="1"/>
    <col min="5" max="7" width="12" customWidth="1"/>
    <col min="8" max="8" width="9" customWidth="1"/>
    <col min="9" max="9" width="35" customWidth="1"/>
    <col min="10" max="10" width="18" customWidth="1"/>
  </cols>
  <sheetData>
    <row r="1" spans="1:10" ht="36" customHeight="1">
      <c r="A1" s="30" t="s">
        <v>208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8" customHeight="1">
      <c r="A2" s="32" t="s">
        <v>209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4" customHeight="1">
      <c r="A3" s="1" t="s">
        <v>210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211</v>
      </c>
      <c r="I3" s="1" t="s">
        <v>6</v>
      </c>
      <c r="J3" s="1" t="s">
        <v>7</v>
      </c>
    </row>
    <row r="4" spans="1:10" ht="18" customHeight="1" thickBot="1">
      <c r="A4" s="16" t="s">
        <v>8</v>
      </c>
      <c r="B4" s="2" t="s">
        <v>212</v>
      </c>
      <c r="C4" s="2"/>
      <c r="D4" s="2"/>
      <c r="E4" s="16" t="s">
        <v>9</v>
      </c>
      <c r="F4" s="17">
        <v>46177</v>
      </c>
      <c r="G4" s="17">
        <v>46183</v>
      </c>
      <c r="H4" s="18">
        <f>IF(AND(F4&lt;&gt;"",G4&lt;&gt;""),G4-F4+1,"")</f>
        <v>7</v>
      </c>
      <c r="I4" s="2" t="s">
        <v>12</v>
      </c>
      <c r="J4" s="2"/>
    </row>
    <row r="5" spans="1:10" ht="18" customHeight="1">
      <c r="A5" s="3" t="s">
        <v>13</v>
      </c>
      <c r="B5" s="10"/>
      <c r="C5" s="10" t="s">
        <v>213</v>
      </c>
      <c r="D5" s="10"/>
      <c r="E5" s="3" t="s">
        <v>9</v>
      </c>
      <c r="F5" s="19">
        <v>46182</v>
      </c>
      <c r="G5" s="19" t="s">
        <v>14</v>
      </c>
      <c r="H5" s="20">
        <f t="shared" ref="H5:H35" si="0">IF(AND(F5&lt;&gt;"",G5&lt;&gt;""),G5-F5+1,"")</f>
        <v>2</v>
      </c>
      <c r="I5" s="10" t="s">
        <v>214</v>
      </c>
      <c r="J5" s="10"/>
    </row>
    <row r="6" spans="1:10" ht="18" customHeight="1">
      <c r="A6" s="4" t="s">
        <v>15</v>
      </c>
      <c r="B6" s="11"/>
      <c r="C6" s="11"/>
      <c r="D6" s="11" t="s">
        <v>16</v>
      </c>
      <c r="E6" s="4" t="s">
        <v>9</v>
      </c>
      <c r="F6" s="21">
        <v>46177</v>
      </c>
      <c r="G6" s="21">
        <v>46182</v>
      </c>
      <c r="H6" s="22">
        <f t="shared" si="0"/>
        <v>6</v>
      </c>
      <c r="I6" s="11" t="s">
        <v>12</v>
      </c>
      <c r="J6" s="11"/>
    </row>
    <row r="7" spans="1:10" ht="18" customHeight="1">
      <c r="A7" s="23" t="s">
        <v>17</v>
      </c>
      <c r="B7" s="14"/>
      <c r="C7" s="14"/>
      <c r="D7" s="14" t="s">
        <v>215</v>
      </c>
      <c r="E7" s="23" t="s">
        <v>9</v>
      </c>
      <c r="F7" s="24">
        <v>46183</v>
      </c>
      <c r="G7" s="24">
        <v>46183</v>
      </c>
      <c r="H7" s="25">
        <f t="shared" si="0"/>
        <v>1</v>
      </c>
      <c r="I7" s="14" t="s">
        <v>18</v>
      </c>
      <c r="J7" s="14"/>
    </row>
    <row r="8" spans="1:10" ht="18" customHeight="1">
      <c r="A8" s="3" t="s">
        <v>19</v>
      </c>
      <c r="B8" s="10"/>
      <c r="C8" s="10" t="s">
        <v>216</v>
      </c>
      <c r="D8" s="10"/>
      <c r="E8" s="3" t="s">
        <v>9</v>
      </c>
      <c r="F8" s="19">
        <v>46177</v>
      </c>
      <c r="G8" s="19" t="s">
        <v>14</v>
      </c>
      <c r="H8" s="20">
        <f t="shared" si="0"/>
        <v>7</v>
      </c>
      <c r="I8" s="10" t="s">
        <v>217</v>
      </c>
      <c r="J8" s="10"/>
    </row>
    <row r="9" spans="1:10" ht="18" customHeight="1">
      <c r="A9" s="4" t="s">
        <v>20</v>
      </c>
      <c r="B9" s="11"/>
      <c r="C9" s="11"/>
      <c r="D9" s="11" t="s">
        <v>21</v>
      </c>
      <c r="E9" s="4" t="s">
        <v>9</v>
      </c>
      <c r="F9" s="21">
        <v>46182</v>
      </c>
      <c r="G9" s="21">
        <v>46183</v>
      </c>
      <c r="H9" s="22">
        <f t="shared" si="0"/>
        <v>2</v>
      </c>
      <c r="I9" s="11" t="s">
        <v>22</v>
      </c>
      <c r="J9" s="11"/>
    </row>
    <row r="10" spans="1:10" ht="18" customHeight="1">
      <c r="A10" s="5" t="s">
        <v>23</v>
      </c>
      <c r="B10" s="12"/>
      <c r="C10" s="12"/>
      <c r="D10" s="12" t="s">
        <v>218</v>
      </c>
      <c r="E10" s="5" t="s">
        <v>9</v>
      </c>
      <c r="F10" s="26" t="s">
        <v>10</v>
      </c>
      <c r="G10" s="26" t="s">
        <v>14</v>
      </c>
      <c r="H10" s="27">
        <f t="shared" si="0"/>
        <v>2</v>
      </c>
      <c r="I10" s="12" t="s">
        <v>219</v>
      </c>
      <c r="J10" s="12"/>
    </row>
    <row r="11" spans="1:10" ht="18" customHeight="1">
      <c r="A11" s="4" t="s">
        <v>24</v>
      </c>
      <c r="B11" s="11"/>
      <c r="C11" s="11"/>
      <c r="D11" s="11" t="s">
        <v>25</v>
      </c>
      <c r="E11" s="4" t="s">
        <v>9</v>
      </c>
      <c r="F11" s="21" t="s">
        <v>14</v>
      </c>
      <c r="G11" s="21" t="s">
        <v>14</v>
      </c>
      <c r="H11" s="22">
        <f t="shared" si="0"/>
        <v>1</v>
      </c>
      <c r="I11" s="11" t="s">
        <v>26</v>
      </c>
      <c r="J11" s="11"/>
    </row>
    <row r="12" spans="1:10" ht="18" customHeight="1">
      <c r="A12" s="3" t="s">
        <v>27</v>
      </c>
      <c r="B12" s="10"/>
      <c r="C12" s="10" t="s">
        <v>220</v>
      </c>
      <c r="D12" s="10"/>
      <c r="E12" s="3" t="s">
        <v>221</v>
      </c>
      <c r="F12" s="19" t="s">
        <v>10</v>
      </c>
      <c r="G12" s="19" t="s">
        <v>11</v>
      </c>
      <c r="H12" s="20">
        <f t="shared" si="0"/>
        <v>5</v>
      </c>
      <c r="I12" s="10" t="s">
        <v>28</v>
      </c>
      <c r="J12" s="10"/>
    </row>
    <row r="13" spans="1:10" ht="18" customHeight="1">
      <c r="A13" s="4" t="s">
        <v>29</v>
      </c>
      <c r="B13" s="11"/>
      <c r="C13" s="11"/>
      <c r="D13" s="11" t="s">
        <v>367</v>
      </c>
      <c r="E13" s="4" t="s">
        <v>222</v>
      </c>
      <c r="F13" s="21" t="s">
        <v>10</v>
      </c>
      <c r="G13" s="21" t="s">
        <v>14</v>
      </c>
      <c r="H13" s="22">
        <f t="shared" si="0"/>
        <v>2</v>
      </c>
      <c r="I13" s="11" t="s">
        <v>30</v>
      </c>
      <c r="J13" s="11"/>
    </row>
    <row r="14" spans="1:10" ht="18" customHeight="1">
      <c r="A14" s="5" t="s">
        <v>31</v>
      </c>
      <c r="B14" s="12"/>
      <c r="C14" s="12"/>
      <c r="D14" s="12" t="s">
        <v>32</v>
      </c>
      <c r="E14" s="5" t="s">
        <v>223</v>
      </c>
      <c r="F14" s="26" t="s">
        <v>14</v>
      </c>
      <c r="G14" s="26" t="s">
        <v>11</v>
      </c>
      <c r="H14" s="27">
        <f t="shared" si="0"/>
        <v>4</v>
      </c>
      <c r="I14" s="12" t="s">
        <v>33</v>
      </c>
      <c r="J14" s="12"/>
    </row>
    <row r="15" spans="1:10" ht="18" customHeight="1">
      <c r="A15" s="4" t="s">
        <v>34</v>
      </c>
      <c r="B15" s="11"/>
      <c r="C15" s="11"/>
      <c r="D15" s="11" t="s">
        <v>35</v>
      </c>
      <c r="E15" s="4" t="s">
        <v>224</v>
      </c>
      <c r="F15" s="21" t="s">
        <v>36</v>
      </c>
      <c r="G15" s="21" t="s">
        <v>11</v>
      </c>
      <c r="H15" s="22">
        <f t="shared" si="0"/>
        <v>2</v>
      </c>
      <c r="I15" s="11" t="s">
        <v>28</v>
      </c>
      <c r="J15" s="11"/>
    </row>
    <row r="16" spans="1:10" ht="18" customHeight="1" thickBot="1">
      <c r="A16" s="16" t="s">
        <v>37</v>
      </c>
      <c r="B16" s="2" t="s">
        <v>225</v>
      </c>
      <c r="C16" s="2"/>
      <c r="D16" s="2"/>
      <c r="E16" s="16" t="s">
        <v>226</v>
      </c>
      <c r="F16" s="17" t="s">
        <v>10</v>
      </c>
      <c r="G16" s="17" t="s">
        <v>11</v>
      </c>
      <c r="H16" s="18">
        <f t="shared" si="0"/>
        <v>5</v>
      </c>
      <c r="I16" s="2" t="s">
        <v>38</v>
      </c>
      <c r="J16" s="2" t="s">
        <v>174</v>
      </c>
    </row>
    <row r="17" spans="1:10" ht="18" customHeight="1">
      <c r="A17" s="3" t="s">
        <v>39</v>
      </c>
      <c r="B17" s="10"/>
      <c r="C17" s="10" t="s">
        <v>227</v>
      </c>
      <c r="D17" s="10"/>
      <c r="E17" s="3" t="s">
        <v>228</v>
      </c>
      <c r="F17" s="19" t="s">
        <v>10</v>
      </c>
      <c r="G17" s="19" t="s">
        <v>40</v>
      </c>
      <c r="H17" s="20">
        <f t="shared" si="0"/>
        <v>3</v>
      </c>
      <c r="I17" s="10" t="s">
        <v>41</v>
      </c>
      <c r="J17" s="10" t="s">
        <v>175</v>
      </c>
    </row>
    <row r="18" spans="1:10" ht="18" customHeight="1">
      <c r="A18" s="23" t="s">
        <v>42</v>
      </c>
      <c r="B18" s="14"/>
      <c r="C18" s="14"/>
      <c r="D18" s="14" t="s">
        <v>229</v>
      </c>
      <c r="E18" s="23" t="s">
        <v>230</v>
      </c>
      <c r="F18" s="24" t="s">
        <v>10</v>
      </c>
      <c r="G18" s="24" t="s">
        <v>14</v>
      </c>
      <c r="H18" s="25">
        <f t="shared" si="0"/>
        <v>2</v>
      </c>
      <c r="I18" s="14" t="s">
        <v>41</v>
      </c>
      <c r="J18" s="14" t="s">
        <v>176</v>
      </c>
    </row>
    <row r="19" spans="1:10" ht="18" customHeight="1">
      <c r="A19" s="4" t="s">
        <v>43</v>
      </c>
      <c r="B19" s="14"/>
      <c r="C19" s="14"/>
      <c r="D19" s="14" t="s">
        <v>231</v>
      </c>
      <c r="E19" s="23" t="s">
        <v>232</v>
      </c>
      <c r="F19" s="24" t="s">
        <v>14</v>
      </c>
      <c r="G19" s="24" t="s">
        <v>40</v>
      </c>
      <c r="H19" s="25">
        <f t="shared" si="0"/>
        <v>2</v>
      </c>
      <c r="I19" s="14" t="s">
        <v>44</v>
      </c>
      <c r="J19" s="14" t="s">
        <v>119</v>
      </c>
    </row>
    <row r="20" spans="1:10" ht="18" customHeight="1">
      <c r="A20" s="3" t="s">
        <v>45</v>
      </c>
      <c r="B20" s="10"/>
      <c r="C20" s="10" t="s">
        <v>233</v>
      </c>
      <c r="D20" s="10"/>
      <c r="E20" s="3" t="s">
        <v>234</v>
      </c>
      <c r="F20" s="19" t="s">
        <v>40</v>
      </c>
      <c r="G20" s="19" t="s">
        <v>11</v>
      </c>
      <c r="H20" s="20">
        <f t="shared" ref="H20:H28" si="1">IF(AND(F20&lt;&gt;"",G20&lt;&gt;""),G20-F20+1,"")</f>
        <v>3</v>
      </c>
      <c r="I20" s="10" t="s">
        <v>46</v>
      </c>
      <c r="J20" s="10" t="s">
        <v>186</v>
      </c>
    </row>
    <row r="21" spans="1:10" ht="18" customHeight="1">
      <c r="A21" s="23" t="s">
        <v>47</v>
      </c>
      <c r="B21" s="14"/>
      <c r="C21" s="14"/>
      <c r="D21" s="14" t="s">
        <v>140</v>
      </c>
      <c r="E21" s="23" t="s">
        <v>235</v>
      </c>
      <c r="F21" s="24" t="s">
        <v>40</v>
      </c>
      <c r="G21" s="24" t="s">
        <v>36</v>
      </c>
      <c r="H21" s="25">
        <f t="shared" si="1"/>
        <v>2</v>
      </c>
      <c r="I21" s="14" t="s">
        <v>48</v>
      </c>
      <c r="J21" s="14" t="s">
        <v>178</v>
      </c>
    </row>
    <row r="22" spans="1:10" ht="18" customHeight="1">
      <c r="A22" s="4" t="s">
        <v>49</v>
      </c>
      <c r="B22" s="14"/>
      <c r="C22" s="14"/>
      <c r="D22" s="14" t="s">
        <v>236</v>
      </c>
      <c r="E22" s="23" t="s">
        <v>237</v>
      </c>
      <c r="F22" s="24" t="s">
        <v>36</v>
      </c>
      <c r="G22" s="24" t="s">
        <v>11</v>
      </c>
      <c r="H22" s="25">
        <f t="shared" si="1"/>
        <v>2</v>
      </c>
      <c r="I22" s="14" t="s">
        <v>46</v>
      </c>
      <c r="J22" s="14" t="s">
        <v>177</v>
      </c>
    </row>
    <row r="23" spans="1:10" ht="18" customHeight="1">
      <c r="A23" s="3">
        <v>2.2999999999999998</v>
      </c>
      <c r="B23" s="10"/>
      <c r="C23" s="10" t="s">
        <v>238</v>
      </c>
      <c r="D23" s="10"/>
      <c r="E23" s="3" t="s">
        <v>239</v>
      </c>
      <c r="F23" s="19" t="s">
        <v>40</v>
      </c>
      <c r="G23" s="19" t="s">
        <v>11</v>
      </c>
      <c r="H23" s="20">
        <f t="shared" si="1"/>
        <v>3</v>
      </c>
      <c r="I23" s="10" t="s">
        <v>46</v>
      </c>
      <c r="J23" s="10" t="s">
        <v>187</v>
      </c>
    </row>
    <row r="24" spans="1:10" ht="18" customHeight="1">
      <c r="A24" s="23" t="s">
        <v>383</v>
      </c>
      <c r="B24" s="14"/>
      <c r="C24" s="14"/>
      <c r="D24" s="14" t="s">
        <v>240</v>
      </c>
      <c r="E24" s="23" t="s">
        <v>241</v>
      </c>
      <c r="F24" s="24" t="s">
        <v>40</v>
      </c>
      <c r="G24" s="24" t="s">
        <v>36</v>
      </c>
      <c r="H24" s="25">
        <f t="shared" si="1"/>
        <v>2</v>
      </c>
      <c r="I24" s="14" t="s">
        <v>48</v>
      </c>
      <c r="J24" s="14" t="s">
        <v>179</v>
      </c>
    </row>
    <row r="25" spans="1:10" ht="18.75" customHeight="1">
      <c r="A25" s="4" t="s">
        <v>384</v>
      </c>
      <c r="B25" s="14"/>
      <c r="C25" s="14"/>
      <c r="D25" s="14" t="s">
        <v>242</v>
      </c>
      <c r="E25" s="23" t="s">
        <v>241</v>
      </c>
      <c r="F25" s="24" t="s">
        <v>36</v>
      </c>
      <c r="G25" s="24" t="s">
        <v>11</v>
      </c>
      <c r="H25" s="25">
        <f t="shared" si="1"/>
        <v>2</v>
      </c>
      <c r="I25" s="14" t="s">
        <v>46</v>
      </c>
      <c r="J25" s="14" t="s">
        <v>131</v>
      </c>
    </row>
    <row r="26" spans="1:10" ht="18" customHeight="1">
      <c r="A26" s="3">
        <v>2.4</v>
      </c>
      <c r="B26" s="10"/>
      <c r="C26" s="10" t="s">
        <v>243</v>
      </c>
      <c r="D26" s="10"/>
      <c r="E26" s="3" t="s">
        <v>244</v>
      </c>
      <c r="F26" s="19" t="s">
        <v>40</v>
      </c>
      <c r="G26" s="19" t="s">
        <v>11</v>
      </c>
      <c r="H26" s="20">
        <f t="shared" si="1"/>
        <v>3</v>
      </c>
      <c r="I26" s="10" t="s">
        <v>46</v>
      </c>
      <c r="J26" s="10" t="s">
        <v>188</v>
      </c>
    </row>
    <row r="27" spans="1:10" ht="18" customHeight="1">
      <c r="A27" s="23" t="s">
        <v>385</v>
      </c>
      <c r="B27" s="14"/>
      <c r="C27" s="14"/>
      <c r="D27" s="14" t="s">
        <v>245</v>
      </c>
      <c r="E27" s="23" t="s">
        <v>241</v>
      </c>
      <c r="F27" s="24" t="s">
        <v>40</v>
      </c>
      <c r="G27" s="24" t="s">
        <v>36</v>
      </c>
      <c r="H27" s="25">
        <f t="shared" si="1"/>
        <v>2</v>
      </c>
      <c r="I27" s="14" t="s">
        <v>48</v>
      </c>
      <c r="J27" s="14" t="s">
        <v>180</v>
      </c>
    </row>
    <row r="28" spans="1:10" ht="18.75" customHeight="1">
      <c r="A28" s="23" t="s">
        <v>386</v>
      </c>
      <c r="B28" s="14"/>
      <c r="C28" s="14"/>
      <c r="D28" s="14" t="s">
        <v>246</v>
      </c>
      <c r="E28" s="23" t="s">
        <v>232</v>
      </c>
      <c r="F28" s="24" t="s">
        <v>36</v>
      </c>
      <c r="G28" s="24" t="s">
        <v>11</v>
      </c>
      <c r="H28" s="25">
        <f t="shared" si="1"/>
        <v>2</v>
      </c>
      <c r="I28" s="14" t="s">
        <v>46</v>
      </c>
      <c r="J28" s="14" t="s">
        <v>181</v>
      </c>
    </row>
    <row r="29" spans="1:10" ht="18" customHeight="1" thickBot="1">
      <c r="A29" s="16" t="s">
        <v>50</v>
      </c>
      <c r="B29" s="2" t="s">
        <v>247</v>
      </c>
      <c r="C29" s="2"/>
      <c r="D29" s="2"/>
      <c r="E29" s="16" t="s">
        <v>226</v>
      </c>
      <c r="F29" s="17" t="s">
        <v>10</v>
      </c>
      <c r="G29" s="17" t="s">
        <v>51</v>
      </c>
      <c r="H29" s="18">
        <f t="shared" si="0"/>
        <v>12</v>
      </c>
      <c r="I29" s="2" t="s">
        <v>52</v>
      </c>
      <c r="J29" s="2"/>
    </row>
    <row r="30" spans="1:10" ht="18" customHeight="1">
      <c r="A30" s="3" t="s">
        <v>53</v>
      </c>
      <c r="B30" s="10"/>
      <c r="C30" s="10" t="s">
        <v>248</v>
      </c>
      <c r="D30" s="10"/>
      <c r="E30" s="3" t="s">
        <v>249</v>
      </c>
      <c r="F30" s="19" t="s">
        <v>10</v>
      </c>
      <c r="G30" s="19" t="s">
        <v>11</v>
      </c>
      <c r="H30" s="20">
        <f t="shared" si="0"/>
        <v>5</v>
      </c>
      <c r="I30" s="10" t="s">
        <v>54</v>
      </c>
      <c r="J30" s="10"/>
    </row>
    <row r="31" spans="1:10" ht="18" customHeight="1">
      <c r="A31" s="4" t="s">
        <v>55</v>
      </c>
      <c r="B31" s="11"/>
      <c r="C31" s="11"/>
      <c r="D31" s="11" t="s">
        <v>250</v>
      </c>
      <c r="E31" s="4" t="s">
        <v>251</v>
      </c>
      <c r="F31" s="21" t="s">
        <v>10</v>
      </c>
      <c r="G31" s="21" t="s">
        <v>14</v>
      </c>
      <c r="H31" s="22">
        <f t="shared" si="0"/>
        <v>2</v>
      </c>
      <c r="I31" s="11" t="s">
        <v>56</v>
      </c>
      <c r="J31" s="11"/>
    </row>
    <row r="32" spans="1:10" ht="18" customHeight="1">
      <c r="A32" s="5" t="s">
        <v>57</v>
      </c>
      <c r="B32" s="12"/>
      <c r="C32" s="12"/>
      <c r="D32" s="12" t="s">
        <v>252</v>
      </c>
      <c r="E32" s="5" t="s">
        <v>251</v>
      </c>
      <c r="F32" s="26" t="s">
        <v>14</v>
      </c>
      <c r="G32" s="26" t="s">
        <v>40</v>
      </c>
      <c r="H32" s="27">
        <f t="shared" si="0"/>
        <v>2</v>
      </c>
      <c r="I32" s="12" t="s">
        <v>58</v>
      </c>
      <c r="J32" s="12"/>
    </row>
    <row r="33" spans="1:10" ht="18" customHeight="1">
      <c r="A33" s="4" t="s">
        <v>59</v>
      </c>
      <c r="B33" s="11"/>
      <c r="C33" s="11"/>
      <c r="D33" s="11" t="s">
        <v>253</v>
      </c>
      <c r="E33" s="4" t="s">
        <v>251</v>
      </c>
      <c r="F33" s="21" t="s">
        <v>36</v>
      </c>
      <c r="G33" s="21" t="s">
        <v>11</v>
      </c>
      <c r="H33" s="22">
        <f t="shared" si="0"/>
        <v>2</v>
      </c>
      <c r="I33" s="11" t="s">
        <v>54</v>
      </c>
      <c r="J33" s="11"/>
    </row>
    <row r="34" spans="1:10" ht="18" customHeight="1">
      <c r="A34" s="3" t="s">
        <v>60</v>
      </c>
      <c r="B34" s="10"/>
      <c r="C34" s="10" t="s">
        <v>254</v>
      </c>
      <c r="D34" s="10"/>
      <c r="E34" s="28" t="s">
        <v>255</v>
      </c>
      <c r="F34" s="19" t="s">
        <v>11</v>
      </c>
      <c r="G34" s="19" t="s">
        <v>61</v>
      </c>
      <c r="H34" s="20">
        <f t="shared" si="0"/>
        <v>6</v>
      </c>
      <c r="I34" s="10" t="s">
        <v>58</v>
      </c>
      <c r="J34" s="10"/>
    </row>
    <row r="35" spans="1:10" ht="18" customHeight="1">
      <c r="A35" s="4" t="s">
        <v>62</v>
      </c>
      <c r="B35" s="11"/>
      <c r="C35" s="11"/>
      <c r="D35" s="11" t="s">
        <v>141</v>
      </c>
      <c r="E35" s="4" t="s">
        <v>256</v>
      </c>
      <c r="F35" s="21" t="s">
        <v>11</v>
      </c>
      <c r="G35" s="21" t="s">
        <v>63</v>
      </c>
      <c r="H35" s="22">
        <f t="shared" si="0"/>
        <v>2</v>
      </c>
      <c r="I35" s="11" t="s">
        <v>64</v>
      </c>
      <c r="J35" s="11"/>
    </row>
    <row r="36" spans="1:10" ht="18" customHeight="1" thickBot="1">
      <c r="A36" s="16" t="s">
        <v>69</v>
      </c>
      <c r="B36" s="2" t="s">
        <v>257</v>
      </c>
      <c r="C36" s="2"/>
      <c r="D36" s="2"/>
      <c r="E36" s="15" t="s">
        <v>258</v>
      </c>
      <c r="F36" s="17" t="s">
        <v>11</v>
      </c>
      <c r="G36" s="17" t="s">
        <v>51</v>
      </c>
      <c r="H36" s="18">
        <f t="shared" ref="H36:H58" si="2">IF(AND(F36&lt;&gt;"",G36&lt;&gt;""),G36-F36+1,"")</f>
        <v>8</v>
      </c>
      <c r="I36" s="2" t="s">
        <v>70</v>
      </c>
      <c r="J36" s="2"/>
    </row>
    <row r="37" spans="1:10" ht="18" customHeight="1">
      <c r="A37" s="3" t="s">
        <v>71</v>
      </c>
      <c r="B37" s="10"/>
      <c r="C37" s="10" t="s">
        <v>259</v>
      </c>
      <c r="D37" s="10"/>
      <c r="E37" s="3" t="s">
        <v>260</v>
      </c>
      <c r="F37" s="19" t="s">
        <v>11</v>
      </c>
      <c r="G37" s="19" t="s">
        <v>66</v>
      </c>
      <c r="H37" s="20">
        <f t="shared" si="2"/>
        <v>3</v>
      </c>
      <c r="I37" s="10" t="s">
        <v>72</v>
      </c>
      <c r="J37" s="10"/>
    </row>
    <row r="38" spans="1:10" ht="18" customHeight="1">
      <c r="A38" s="4" t="s">
        <v>142</v>
      </c>
      <c r="B38" s="11"/>
      <c r="C38" s="11"/>
      <c r="D38" s="11" t="s">
        <v>261</v>
      </c>
      <c r="E38" s="4" t="s">
        <v>262</v>
      </c>
      <c r="F38" s="21" t="s">
        <v>11</v>
      </c>
      <c r="G38" s="21" t="s">
        <v>63</v>
      </c>
      <c r="H38" s="22">
        <f t="shared" si="2"/>
        <v>2</v>
      </c>
      <c r="I38" s="11" t="s">
        <v>73</v>
      </c>
      <c r="J38" s="11"/>
    </row>
    <row r="39" spans="1:10" ht="18" customHeight="1">
      <c r="A39" s="5" t="s">
        <v>204</v>
      </c>
      <c r="B39" s="12"/>
      <c r="C39" s="12"/>
      <c r="D39" s="12" t="s">
        <v>263</v>
      </c>
      <c r="E39" s="5" t="s">
        <v>262</v>
      </c>
      <c r="F39" s="26" t="s">
        <v>63</v>
      </c>
      <c r="G39" s="26" t="s">
        <v>66</v>
      </c>
      <c r="H39" s="27">
        <f t="shared" si="2"/>
        <v>2</v>
      </c>
      <c r="I39" s="12" t="s">
        <v>58</v>
      </c>
      <c r="J39" s="12"/>
    </row>
    <row r="40" spans="1:10" ht="18" customHeight="1">
      <c r="A40" s="23" t="s">
        <v>143</v>
      </c>
      <c r="B40" s="14"/>
      <c r="C40" s="14"/>
      <c r="D40" s="14" t="s">
        <v>144</v>
      </c>
      <c r="E40" s="23" t="s">
        <v>262</v>
      </c>
      <c r="F40" s="24" t="s">
        <v>63</v>
      </c>
      <c r="G40" s="24" t="s">
        <v>66</v>
      </c>
      <c r="H40" s="25">
        <f t="shared" si="2"/>
        <v>2</v>
      </c>
      <c r="I40" s="14" t="s">
        <v>72</v>
      </c>
      <c r="J40" s="14"/>
    </row>
    <row r="41" spans="1:10" s="9" customFormat="1" ht="18" customHeight="1">
      <c r="A41" s="23" t="s">
        <v>382</v>
      </c>
      <c r="B41" s="14"/>
      <c r="C41" s="14"/>
      <c r="D41" s="13" t="s">
        <v>381</v>
      </c>
      <c r="E41" s="23" t="s">
        <v>262</v>
      </c>
      <c r="F41" s="24" t="s">
        <v>66</v>
      </c>
      <c r="G41" s="24" t="s">
        <v>97</v>
      </c>
      <c r="H41" s="25">
        <f t="shared" si="2"/>
        <v>2</v>
      </c>
      <c r="I41" s="14"/>
      <c r="J41" s="14"/>
    </row>
    <row r="42" spans="1:10" ht="18" customHeight="1">
      <c r="A42" s="3" t="s">
        <v>74</v>
      </c>
      <c r="B42" s="10"/>
      <c r="C42" s="10" t="s">
        <v>264</v>
      </c>
      <c r="D42" s="10"/>
      <c r="E42" s="3" t="s">
        <v>265</v>
      </c>
      <c r="F42" s="19" t="s">
        <v>66</v>
      </c>
      <c r="G42" s="19" t="s">
        <v>67</v>
      </c>
      <c r="H42" s="20">
        <f t="shared" si="2"/>
        <v>5</v>
      </c>
      <c r="I42" s="10" t="s">
        <v>75</v>
      </c>
      <c r="J42" s="10"/>
    </row>
    <row r="43" spans="1:10" ht="18" customHeight="1">
      <c r="A43" s="23" t="s">
        <v>205</v>
      </c>
      <c r="B43" s="14"/>
      <c r="C43" s="14"/>
      <c r="D43" s="14" t="s">
        <v>368</v>
      </c>
      <c r="E43" s="23" t="s">
        <v>266</v>
      </c>
      <c r="F43" s="24">
        <v>46188</v>
      </c>
      <c r="G43" s="24" t="s">
        <v>65</v>
      </c>
      <c r="H43" s="25">
        <f>IF(AND(F43&lt;&gt;"",G43&lt;&gt;""),G43-F43+1,"")</f>
        <v>3</v>
      </c>
      <c r="I43" s="14" t="s">
        <v>189</v>
      </c>
      <c r="J43" s="14"/>
    </row>
    <row r="44" spans="1:10" ht="18" customHeight="1">
      <c r="A44" s="5" t="s">
        <v>206</v>
      </c>
      <c r="B44" s="12"/>
      <c r="C44" s="12"/>
      <c r="D44" s="12" t="s">
        <v>369</v>
      </c>
      <c r="E44" s="5" t="s">
        <v>267</v>
      </c>
      <c r="F44" s="26">
        <v>46188</v>
      </c>
      <c r="G44" s="26">
        <v>46188</v>
      </c>
      <c r="H44" s="27">
        <v>5</v>
      </c>
      <c r="I44" s="12"/>
      <c r="J44" s="12"/>
    </row>
    <row r="45" spans="1:10" ht="18" customHeight="1">
      <c r="A45" s="3" t="s">
        <v>76</v>
      </c>
      <c r="B45" s="10"/>
      <c r="C45" s="10" t="s">
        <v>268</v>
      </c>
      <c r="D45" s="10"/>
      <c r="E45" s="3" t="s">
        <v>269</v>
      </c>
      <c r="F45" s="19" t="s">
        <v>51</v>
      </c>
      <c r="G45" s="19" t="s">
        <v>51</v>
      </c>
      <c r="H45" s="20">
        <f t="shared" si="2"/>
        <v>1</v>
      </c>
      <c r="I45" s="10" t="s">
        <v>68</v>
      </c>
      <c r="J45" s="10"/>
    </row>
    <row r="46" spans="1:10" ht="18" customHeight="1">
      <c r="A46" s="4" t="s">
        <v>77</v>
      </c>
      <c r="B46" s="11"/>
      <c r="C46" s="11"/>
      <c r="D46" s="11" t="s">
        <v>145</v>
      </c>
      <c r="E46" s="4" t="s">
        <v>266</v>
      </c>
      <c r="F46" s="21" t="s">
        <v>51</v>
      </c>
      <c r="G46" s="21" t="s">
        <v>51</v>
      </c>
      <c r="H46" s="22">
        <f t="shared" si="2"/>
        <v>1</v>
      </c>
      <c r="I46" s="11" t="s">
        <v>68</v>
      </c>
      <c r="J46" s="11"/>
    </row>
    <row r="47" spans="1:10" ht="18" customHeight="1" thickBot="1">
      <c r="A47" s="16" t="s">
        <v>78</v>
      </c>
      <c r="B47" s="2" t="s">
        <v>270</v>
      </c>
      <c r="C47" s="2"/>
      <c r="D47" s="2"/>
      <c r="E47" s="16" t="s">
        <v>271</v>
      </c>
      <c r="F47" s="17" t="s">
        <v>51</v>
      </c>
      <c r="G47" s="17" t="s">
        <v>79</v>
      </c>
      <c r="H47" s="18">
        <f t="shared" si="2"/>
        <v>15</v>
      </c>
      <c r="I47" s="2" t="s">
        <v>80</v>
      </c>
      <c r="J47" s="2"/>
    </row>
    <row r="48" spans="1:10" ht="18" customHeight="1">
      <c r="A48" s="3" t="s">
        <v>81</v>
      </c>
      <c r="B48" s="10"/>
      <c r="C48" s="10" t="s">
        <v>272</v>
      </c>
      <c r="D48" s="10"/>
      <c r="E48" s="3" t="s">
        <v>273</v>
      </c>
      <c r="F48" s="19" t="s">
        <v>51</v>
      </c>
      <c r="G48" s="19" t="s">
        <v>82</v>
      </c>
      <c r="H48" s="20">
        <f t="shared" si="2"/>
        <v>8</v>
      </c>
      <c r="I48" s="10" t="s">
        <v>83</v>
      </c>
      <c r="J48" s="10"/>
    </row>
    <row r="49" spans="1:10" ht="18" customHeight="1">
      <c r="A49" s="23" t="s">
        <v>84</v>
      </c>
      <c r="B49" s="14"/>
      <c r="C49" s="14"/>
      <c r="D49" s="14" t="s">
        <v>146</v>
      </c>
      <c r="E49" s="23" t="s">
        <v>274</v>
      </c>
      <c r="F49" s="24" t="s">
        <v>51</v>
      </c>
      <c r="G49" s="24" t="s">
        <v>51</v>
      </c>
      <c r="H49" s="25">
        <f t="shared" si="2"/>
        <v>1</v>
      </c>
      <c r="I49" s="14" t="s">
        <v>85</v>
      </c>
      <c r="J49" s="14"/>
    </row>
    <row r="50" spans="1:10" ht="18" customHeight="1">
      <c r="A50" s="3">
        <v>5.2</v>
      </c>
      <c r="B50" s="10"/>
      <c r="C50" s="10" t="s">
        <v>275</v>
      </c>
      <c r="D50" s="10"/>
      <c r="E50" s="3" t="s">
        <v>276</v>
      </c>
      <c r="F50" s="19" t="s">
        <v>51</v>
      </c>
      <c r="G50" s="19" t="s">
        <v>82</v>
      </c>
      <c r="H50" s="20">
        <f t="shared" ref="H50" si="3">IF(AND(F50&lt;&gt;"",G50&lt;&gt;""),G50-F50+1,"")</f>
        <v>8</v>
      </c>
      <c r="I50" s="10" t="s">
        <v>83</v>
      </c>
      <c r="J50" s="10"/>
    </row>
    <row r="51" spans="1:10" ht="18" customHeight="1">
      <c r="A51" s="23" t="s">
        <v>149</v>
      </c>
      <c r="B51" s="11"/>
      <c r="C51" s="11"/>
      <c r="D51" s="11" t="s">
        <v>200</v>
      </c>
      <c r="E51" s="4" t="s">
        <v>277</v>
      </c>
      <c r="F51" s="21" t="s">
        <v>86</v>
      </c>
      <c r="G51" s="21" t="s">
        <v>87</v>
      </c>
      <c r="H51" s="22">
        <f t="shared" si="2"/>
        <v>4</v>
      </c>
      <c r="I51" s="11" t="s">
        <v>88</v>
      </c>
      <c r="J51" s="11"/>
    </row>
    <row r="52" spans="1:10" ht="18" customHeight="1">
      <c r="A52" s="3">
        <v>5.3</v>
      </c>
      <c r="B52" s="10"/>
      <c r="C52" s="10" t="s">
        <v>278</v>
      </c>
      <c r="D52" s="10"/>
      <c r="E52" s="3" t="s">
        <v>276</v>
      </c>
      <c r="F52" s="19" t="s">
        <v>51</v>
      </c>
      <c r="G52" s="19" t="s">
        <v>82</v>
      </c>
      <c r="H52" s="20">
        <f t="shared" ref="H52" si="4">IF(AND(F52&lt;&gt;"",G52&lt;&gt;""),G52-F52+1,"")</f>
        <v>8</v>
      </c>
      <c r="I52" s="10" t="s">
        <v>83</v>
      </c>
      <c r="J52" s="10"/>
    </row>
    <row r="53" spans="1:10" ht="18" customHeight="1">
      <c r="A53" s="23" t="s">
        <v>150</v>
      </c>
      <c r="B53" s="14"/>
      <c r="C53" s="14"/>
      <c r="D53" s="14" t="s">
        <v>279</v>
      </c>
      <c r="E53" s="23" t="s">
        <v>277</v>
      </c>
      <c r="F53" s="24" t="s">
        <v>86</v>
      </c>
      <c r="G53" s="24" t="s">
        <v>87</v>
      </c>
      <c r="H53" s="25">
        <f t="shared" si="2"/>
        <v>4</v>
      </c>
      <c r="I53" s="14" t="s">
        <v>89</v>
      </c>
      <c r="J53" s="14"/>
    </row>
    <row r="54" spans="1:10" ht="18" customHeight="1">
      <c r="A54" s="3">
        <v>5.4</v>
      </c>
      <c r="B54" s="10"/>
      <c r="C54" s="10" t="s">
        <v>280</v>
      </c>
      <c r="D54" s="10"/>
      <c r="E54" s="3" t="s">
        <v>276</v>
      </c>
      <c r="F54" s="19" t="s">
        <v>51</v>
      </c>
      <c r="G54" s="19" t="s">
        <v>82</v>
      </c>
      <c r="H54" s="20">
        <f t="shared" ref="H54" si="5">IF(AND(F54&lt;&gt;"",G54&lt;&gt;""),G54-F54+1,"")</f>
        <v>8</v>
      </c>
      <c r="I54" s="10" t="s">
        <v>83</v>
      </c>
      <c r="J54" s="10"/>
    </row>
    <row r="55" spans="1:10" ht="18" customHeight="1">
      <c r="A55" s="23" t="s">
        <v>151</v>
      </c>
      <c r="B55" s="11"/>
      <c r="C55" s="11"/>
      <c r="D55" s="11" t="s">
        <v>147</v>
      </c>
      <c r="E55" s="4" t="s">
        <v>277</v>
      </c>
      <c r="F55" s="21" t="s">
        <v>87</v>
      </c>
      <c r="G55" s="21" t="s">
        <v>90</v>
      </c>
      <c r="H55" s="22">
        <f t="shared" si="2"/>
        <v>2</v>
      </c>
      <c r="I55" s="11" t="s">
        <v>91</v>
      </c>
      <c r="J55" s="11"/>
    </row>
    <row r="56" spans="1:10" ht="18" customHeight="1">
      <c r="A56" s="3">
        <v>5.5</v>
      </c>
      <c r="B56" s="10"/>
      <c r="C56" s="10" t="s">
        <v>281</v>
      </c>
      <c r="D56" s="10"/>
      <c r="E56" s="3" t="s">
        <v>276</v>
      </c>
      <c r="F56" s="19" t="s">
        <v>51</v>
      </c>
      <c r="G56" s="19" t="s">
        <v>82</v>
      </c>
      <c r="H56" s="20">
        <f t="shared" ref="H56" si="6">IF(AND(F56&lt;&gt;"",G56&lt;&gt;""),G56-F56+1,"")</f>
        <v>8</v>
      </c>
      <c r="I56" s="10" t="s">
        <v>83</v>
      </c>
      <c r="J56" s="10"/>
    </row>
    <row r="57" spans="1:10" ht="18" customHeight="1">
      <c r="A57" s="23" t="s">
        <v>152</v>
      </c>
      <c r="B57" s="14"/>
      <c r="C57" s="14"/>
      <c r="D57" s="14" t="s">
        <v>148</v>
      </c>
      <c r="E57" s="23" t="s">
        <v>277</v>
      </c>
      <c r="F57" s="24" t="s">
        <v>90</v>
      </c>
      <c r="G57" s="24" t="s">
        <v>92</v>
      </c>
      <c r="H57" s="25">
        <f t="shared" si="2"/>
        <v>2</v>
      </c>
      <c r="I57" s="14" t="s">
        <v>93</v>
      </c>
      <c r="J57" s="14"/>
    </row>
    <row r="58" spans="1:10" ht="18" customHeight="1" thickBot="1">
      <c r="A58" s="16" t="s">
        <v>96</v>
      </c>
      <c r="B58" s="2" t="s">
        <v>282</v>
      </c>
      <c r="C58" s="2"/>
      <c r="D58" s="2"/>
      <c r="E58" s="16" t="s">
        <v>283</v>
      </c>
      <c r="F58" s="17" t="s">
        <v>97</v>
      </c>
      <c r="G58" s="17" t="s">
        <v>82</v>
      </c>
      <c r="H58" s="18">
        <f t="shared" si="2"/>
        <v>12</v>
      </c>
      <c r="I58" s="2" t="s">
        <v>98</v>
      </c>
      <c r="J58" s="2"/>
    </row>
    <row r="59" spans="1:10" ht="18" customHeight="1">
      <c r="A59" s="3">
        <v>6.1</v>
      </c>
      <c r="B59" s="10"/>
      <c r="C59" s="10" t="s">
        <v>374</v>
      </c>
      <c r="D59" s="10"/>
      <c r="E59" s="3" t="s">
        <v>284</v>
      </c>
      <c r="F59" s="19" t="s">
        <v>51</v>
      </c>
      <c r="G59" s="19" t="s">
        <v>82</v>
      </c>
      <c r="H59" s="20">
        <f t="shared" ref="H59:H82" si="7">IF(AND(F59&lt;&gt;"",G59&lt;&gt;""),G59-F59+1,"")</f>
        <v>8</v>
      </c>
      <c r="I59" s="10" t="s">
        <v>101</v>
      </c>
      <c r="J59" s="10"/>
    </row>
    <row r="60" spans="1:10" ht="18" customHeight="1">
      <c r="A60" s="23" t="s">
        <v>387</v>
      </c>
      <c r="B60" s="11"/>
      <c r="C60" s="11"/>
      <c r="D60" s="11" t="s">
        <v>286</v>
      </c>
      <c r="E60" s="4" t="s">
        <v>287</v>
      </c>
      <c r="F60" s="21" t="s">
        <v>51</v>
      </c>
      <c r="G60" s="21" t="s">
        <v>87</v>
      </c>
      <c r="H60" s="22">
        <f t="shared" si="7"/>
        <v>5</v>
      </c>
      <c r="I60" s="11" t="s">
        <v>101</v>
      </c>
      <c r="J60" s="11"/>
    </row>
    <row r="61" spans="1:10" ht="18" customHeight="1">
      <c r="A61" s="5" t="s">
        <v>388</v>
      </c>
      <c r="B61" s="12"/>
      <c r="C61" s="12"/>
      <c r="D61" s="12" t="s">
        <v>197</v>
      </c>
      <c r="E61" s="5" t="s">
        <v>285</v>
      </c>
      <c r="F61" s="26" t="s">
        <v>87</v>
      </c>
      <c r="G61" s="26" t="s">
        <v>82</v>
      </c>
      <c r="H61" s="27">
        <f t="shared" ref="H61:H62" si="8">IF(AND(F61&lt;&gt;"",G61&lt;&gt;""),G61-F61+1,"")</f>
        <v>4</v>
      </c>
      <c r="I61" s="12" t="s">
        <v>102</v>
      </c>
      <c r="J61" s="12"/>
    </row>
    <row r="62" spans="1:10" ht="18" customHeight="1">
      <c r="A62" s="23" t="s">
        <v>389</v>
      </c>
      <c r="B62" s="11"/>
      <c r="C62" s="11"/>
      <c r="D62" s="11" t="s">
        <v>198</v>
      </c>
      <c r="E62" s="4" t="s">
        <v>285</v>
      </c>
      <c r="F62" s="21" t="s">
        <v>51</v>
      </c>
      <c r="G62" s="21" t="s">
        <v>87</v>
      </c>
      <c r="H62" s="22">
        <f t="shared" si="8"/>
        <v>5</v>
      </c>
      <c r="I62" s="11" t="s">
        <v>101</v>
      </c>
      <c r="J62" s="11"/>
    </row>
    <row r="63" spans="1:10" ht="18" customHeight="1">
      <c r="A63" s="5" t="s">
        <v>207</v>
      </c>
      <c r="B63" s="12"/>
      <c r="C63" s="12"/>
      <c r="D63" s="12" t="s">
        <v>199</v>
      </c>
      <c r="E63" s="5" t="s">
        <v>288</v>
      </c>
      <c r="F63" s="26" t="s">
        <v>87</v>
      </c>
      <c r="G63" s="26" t="s">
        <v>82</v>
      </c>
      <c r="H63" s="27">
        <f t="shared" si="7"/>
        <v>4</v>
      </c>
      <c r="I63" s="12" t="s">
        <v>102</v>
      </c>
      <c r="J63" s="12"/>
    </row>
    <row r="64" spans="1:10" ht="18" customHeight="1" thickBot="1">
      <c r="A64" s="16" t="s">
        <v>103</v>
      </c>
      <c r="B64" s="2" t="s">
        <v>289</v>
      </c>
      <c r="C64" s="2"/>
      <c r="D64" s="2"/>
      <c r="E64" s="16" t="s">
        <v>290</v>
      </c>
      <c r="F64" s="17" t="s">
        <v>97</v>
      </c>
      <c r="G64" s="17" t="s">
        <v>79</v>
      </c>
      <c r="H64" s="18">
        <f t="shared" si="7"/>
        <v>19</v>
      </c>
      <c r="I64" s="2" t="s">
        <v>291</v>
      </c>
      <c r="J64" s="2"/>
    </row>
    <row r="65" spans="1:10" ht="18" customHeight="1">
      <c r="A65" s="3" t="s">
        <v>104</v>
      </c>
      <c r="B65" s="10"/>
      <c r="C65" s="10" t="s">
        <v>292</v>
      </c>
      <c r="D65" s="10"/>
      <c r="E65" s="3" t="s">
        <v>293</v>
      </c>
      <c r="F65" s="19" t="s">
        <v>97</v>
      </c>
      <c r="G65" s="19" t="s">
        <v>105</v>
      </c>
      <c r="H65" s="20">
        <f t="shared" si="7"/>
        <v>7</v>
      </c>
      <c r="I65" s="10" t="s">
        <v>294</v>
      </c>
      <c r="J65" s="10"/>
    </row>
    <row r="66" spans="1:10" ht="18" customHeight="1">
      <c r="A66" s="4" t="s">
        <v>106</v>
      </c>
      <c r="B66" s="11"/>
      <c r="C66" s="11"/>
      <c r="D66" s="11" t="s">
        <v>196</v>
      </c>
      <c r="E66" s="4" t="s">
        <v>295</v>
      </c>
      <c r="F66" s="21" t="s">
        <v>97</v>
      </c>
      <c r="G66" s="21" t="s">
        <v>65</v>
      </c>
      <c r="H66" s="22">
        <f t="shared" si="7"/>
        <v>2</v>
      </c>
      <c r="I66" s="11" t="s">
        <v>294</v>
      </c>
      <c r="J66" s="11"/>
    </row>
    <row r="67" spans="1:10" ht="18" customHeight="1">
      <c r="A67" s="23" t="s">
        <v>107</v>
      </c>
      <c r="B67" s="14"/>
      <c r="C67" s="14"/>
      <c r="D67" s="14" t="s">
        <v>296</v>
      </c>
      <c r="E67" s="23" t="s">
        <v>297</v>
      </c>
      <c r="F67" s="24" t="s">
        <v>61</v>
      </c>
      <c r="G67" s="24" t="s">
        <v>51</v>
      </c>
      <c r="H67" s="25">
        <f t="shared" si="7"/>
        <v>3</v>
      </c>
      <c r="I67" s="14" t="s">
        <v>64</v>
      </c>
      <c r="J67" s="14"/>
    </row>
    <row r="68" spans="1:10" ht="18" customHeight="1">
      <c r="A68" s="3" t="s">
        <v>108</v>
      </c>
      <c r="B68" s="10"/>
      <c r="C68" s="10" t="s">
        <v>298</v>
      </c>
      <c r="D68" s="10"/>
      <c r="E68" s="3" t="s">
        <v>293</v>
      </c>
      <c r="F68" s="19" t="s">
        <v>105</v>
      </c>
      <c r="G68" s="19" t="s">
        <v>95</v>
      </c>
      <c r="H68" s="20">
        <f t="shared" si="7"/>
        <v>8</v>
      </c>
      <c r="I68" s="10" t="s">
        <v>109</v>
      </c>
      <c r="J68" s="10"/>
    </row>
    <row r="69" spans="1:10" ht="18" customHeight="1">
      <c r="A69" s="4" t="s">
        <v>110</v>
      </c>
      <c r="B69" s="11"/>
      <c r="C69" s="11"/>
      <c r="D69" s="11" t="s">
        <v>299</v>
      </c>
      <c r="E69" s="4" t="s">
        <v>300</v>
      </c>
      <c r="F69" s="21" t="s">
        <v>105</v>
      </c>
      <c r="G69" s="21" t="s">
        <v>87</v>
      </c>
      <c r="H69" s="22">
        <f t="shared" si="7"/>
        <v>3</v>
      </c>
      <c r="I69" s="11" t="s">
        <v>111</v>
      </c>
      <c r="J69" s="11"/>
    </row>
    <row r="70" spans="1:10" ht="18" customHeight="1">
      <c r="A70" s="3" t="s">
        <v>112</v>
      </c>
      <c r="B70" s="10"/>
      <c r="C70" s="10" t="s">
        <v>301</v>
      </c>
      <c r="D70" s="10"/>
      <c r="E70" s="3" t="s">
        <v>302</v>
      </c>
      <c r="F70" s="19" t="s">
        <v>95</v>
      </c>
      <c r="G70" s="19" t="s">
        <v>79</v>
      </c>
      <c r="H70" s="20">
        <f t="shared" ref="H70:H71" si="9">IF(AND(F70&lt;&gt;"",G70&lt;&gt;""),G70-F70+1,"")</f>
        <v>6</v>
      </c>
      <c r="I70" s="10" t="s">
        <v>303</v>
      </c>
      <c r="J70" s="10"/>
    </row>
    <row r="71" spans="1:10" ht="18" customHeight="1">
      <c r="A71" s="23" t="s">
        <v>113</v>
      </c>
      <c r="B71" s="14"/>
      <c r="C71" s="14"/>
      <c r="D71" s="14" t="s">
        <v>304</v>
      </c>
      <c r="E71" s="23" t="s">
        <v>305</v>
      </c>
      <c r="F71" s="24" t="s">
        <v>95</v>
      </c>
      <c r="G71" s="24" t="s">
        <v>94</v>
      </c>
      <c r="H71" s="25">
        <f t="shared" si="9"/>
        <v>3</v>
      </c>
      <c r="I71" s="14" t="s">
        <v>303</v>
      </c>
      <c r="J71" s="14"/>
    </row>
    <row r="72" spans="1:10" ht="18" customHeight="1">
      <c r="A72" s="3">
        <v>7.4</v>
      </c>
      <c r="B72" s="10"/>
      <c r="C72" s="10" t="s">
        <v>306</v>
      </c>
      <c r="D72" s="10"/>
      <c r="E72" s="3" t="s">
        <v>307</v>
      </c>
      <c r="F72" s="19" t="s">
        <v>95</v>
      </c>
      <c r="G72" s="19" t="s">
        <v>79</v>
      </c>
      <c r="H72" s="20">
        <f t="shared" si="7"/>
        <v>6</v>
      </c>
      <c r="I72" s="10" t="s">
        <v>303</v>
      </c>
      <c r="J72" s="10"/>
    </row>
    <row r="73" spans="1:10" ht="18" customHeight="1">
      <c r="A73" s="23" t="s">
        <v>154</v>
      </c>
      <c r="B73" s="14"/>
      <c r="C73" s="14"/>
      <c r="D73" s="14" t="s">
        <v>366</v>
      </c>
      <c r="E73" s="23" t="s">
        <v>308</v>
      </c>
      <c r="F73" s="24" t="s">
        <v>95</v>
      </c>
      <c r="G73" s="24" t="s">
        <v>94</v>
      </c>
      <c r="H73" s="25">
        <f t="shared" si="7"/>
        <v>3</v>
      </c>
      <c r="I73" s="14" t="s">
        <v>303</v>
      </c>
      <c r="J73" s="14"/>
    </row>
    <row r="74" spans="1:10" ht="18" customHeight="1">
      <c r="A74" s="23" t="s">
        <v>155</v>
      </c>
      <c r="B74" s="11"/>
      <c r="C74" s="11"/>
      <c r="D74" s="11" t="s">
        <v>309</v>
      </c>
      <c r="E74" s="23" t="s">
        <v>310</v>
      </c>
      <c r="F74" s="21" t="s">
        <v>114</v>
      </c>
      <c r="G74" s="21" t="s">
        <v>115</v>
      </c>
      <c r="H74" s="22">
        <f t="shared" si="7"/>
        <v>2</v>
      </c>
      <c r="I74" s="11" t="s">
        <v>116</v>
      </c>
      <c r="J74" s="11"/>
    </row>
    <row r="75" spans="1:10" ht="18" customHeight="1" thickBot="1">
      <c r="A75" s="16">
        <v>8</v>
      </c>
      <c r="B75" s="2" t="s">
        <v>311</v>
      </c>
      <c r="C75" s="2"/>
      <c r="D75" s="2"/>
      <c r="E75" s="16" t="s">
        <v>312</v>
      </c>
      <c r="F75" s="17" t="s">
        <v>10</v>
      </c>
      <c r="G75" s="17" t="s">
        <v>117</v>
      </c>
      <c r="H75" s="18">
        <f t="shared" si="7"/>
        <v>40</v>
      </c>
      <c r="I75" s="2" t="s">
        <v>118</v>
      </c>
      <c r="J75" s="2"/>
    </row>
    <row r="76" spans="1:10" ht="18" customHeight="1">
      <c r="A76" s="3">
        <v>8.1</v>
      </c>
      <c r="B76" s="10"/>
      <c r="C76" s="10" t="s">
        <v>373</v>
      </c>
      <c r="D76" s="10"/>
      <c r="E76" s="3" t="s">
        <v>284</v>
      </c>
      <c r="F76" s="19" t="s">
        <v>97</v>
      </c>
      <c r="G76" s="19" t="s">
        <v>51</v>
      </c>
      <c r="H76" s="20">
        <f t="shared" ref="H76:H77" si="10">IF(AND(F76&lt;&gt;"",G76&lt;&gt;""),G76-F76+1,"")</f>
        <v>5</v>
      </c>
      <c r="I76" s="10" t="s">
        <v>99</v>
      </c>
      <c r="J76" s="10"/>
    </row>
    <row r="77" spans="1:10" ht="18" customHeight="1">
      <c r="A77" s="23" t="s">
        <v>375</v>
      </c>
      <c r="B77" s="14"/>
      <c r="C77" s="14"/>
      <c r="D77" s="14" t="s">
        <v>153</v>
      </c>
      <c r="E77" s="23" t="s">
        <v>285</v>
      </c>
      <c r="F77" s="24" t="s">
        <v>97</v>
      </c>
      <c r="G77" s="24" t="s">
        <v>61</v>
      </c>
      <c r="H77" s="25">
        <f t="shared" si="10"/>
        <v>3</v>
      </c>
      <c r="I77" s="14" t="s">
        <v>100</v>
      </c>
      <c r="J77" s="14"/>
    </row>
    <row r="78" spans="1:10" ht="18" customHeight="1">
      <c r="A78" s="3">
        <v>8.1999999999999993</v>
      </c>
      <c r="B78" s="10"/>
      <c r="C78" s="10" t="s">
        <v>372</v>
      </c>
      <c r="D78" s="10"/>
      <c r="E78" s="3" t="s">
        <v>313</v>
      </c>
      <c r="F78" s="19" t="s">
        <v>10</v>
      </c>
      <c r="G78" s="19" t="s">
        <v>117</v>
      </c>
      <c r="H78" s="20">
        <f t="shared" si="7"/>
        <v>40</v>
      </c>
      <c r="I78" s="10" t="s">
        <v>314</v>
      </c>
      <c r="J78" s="10"/>
    </row>
    <row r="79" spans="1:10" ht="18" customHeight="1">
      <c r="A79" s="4" t="s">
        <v>376</v>
      </c>
      <c r="B79" s="11"/>
      <c r="C79" s="11"/>
      <c r="D79" s="11" t="s">
        <v>371</v>
      </c>
      <c r="E79" s="4" t="s">
        <v>315</v>
      </c>
      <c r="F79" s="21" t="s">
        <v>10</v>
      </c>
      <c r="G79" s="21" t="s">
        <v>117</v>
      </c>
      <c r="H79" s="22">
        <f t="shared" si="7"/>
        <v>40</v>
      </c>
      <c r="I79" s="11" t="s">
        <v>120</v>
      </c>
      <c r="J79" s="11"/>
    </row>
    <row r="80" spans="1:10" ht="18" customHeight="1">
      <c r="A80" s="5" t="s">
        <v>377</v>
      </c>
      <c r="B80" s="12"/>
      <c r="C80" s="12"/>
      <c r="D80" s="12" t="s">
        <v>194</v>
      </c>
      <c r="E80" s="26" t="s">
        <v>316</v>
      </c>
      <c r="F80" s="26" t="s">
        <v>10</v>
      </c>
      <c r="G80" s="26" t="s">
        <v>117</v>
      </c>
      <c r="H80" s="27">
        <f t="shared" ref="H80:H81" si="11">IF(AND(F80&lt;&gt;"",G80&lt;&gt;""),G80-F80+1,"")</f>
        <v>40</v>
      </c>
      <c r="I80" s="12" t="s">
        <v>317</v>
      </c>
      <c r="J80" s="12"/>
    </row>
    <row r="81" spans="1:10" ht="18" customHeight="1">
      <c r="A81" s="4" t="s">
        <v>378</v>
      </c>
      <c r="B81" s="11"/>
      <c r="C81" s="11"/>
      <c r="D81" s="11" t="s">
        <v>195</v>
      </c>
      <c r="E81" s="4" t="s">
        <v>315</v>
      </c>
      <c r="F81" s="21" t="s">
        <v>10</v>
      </c>
      <c r="G81" s="21" t="s">
        <v>117</v>
      </c>
      <c r="H81" s="22">
        <f t="shared" si="11"/>
        <v>40</v>
      </c>
      <c r="I81" s="11" t="s">
        <v>120</v>
      </c>
      <c r="J81" s="11"/>
    </row>
    <row r="82" spans="1:10" ht="18" customHeight="1">
      <c r="A82" s="5" t="s">
        <v>379</v>
      </c>
      <c r="B82" s="12"/>
      <c r="C82" s="12"/>
      <c r="D82" s="12" t="s">
        <v>318</v>
      </c>
      <c r="E82" s="26" t="s">
        <v>315</v>
      </c>
      <c r="F82" s="26" t="s">
        <v>10</v>
      </c>
      <c r="G82" s="26" t="s">
        <v>117</v>
      </c>
      <c r="H82" s="27">
        <f t="shared" si="7"/>
        <v>40</v>
      </c>
      <c r="I82" s="12" t="s">
        <v>317</v>
      </c>
      <c r="J82" s="12"/>
    </row>
    <row r="83" spans="1:10" ht="18" customHeight="1">
      <c r="A83" s="3">
        <v>8.3000000000000007</v>
      </c>
      <c r="B83" s="10"/>
      <c r="C83" s="10" t="s">
        <v>319</v>
      </c>
      <c r="D83" s="10"/>
      <c r="E83" s="3" t="s">
        <v>172</v>
      </c>
      <c r="F83" s="19" t="s">
        <v>10</v>
      </c>
      <c r="G83" s="19" t="s">
        <v>117</v>
      </c>
      <c r="H83" s="20">
        <f t="shared" ref="H83:H111" si="12">IF(AND(F83&lt;&gt;"",G83&lt;&gt;""),G83-F83+1,"")</f>
        <v>40</v>
      </c>
      <c r="I83" s="10" t="s">
        <v>122</v>
      </c>
      <c r="J83" s="10"/>
    </row>
    <row r="84" spans="1:10" ht="18" customHeight="1">
      <c r="A84" s="23" t="s">
        <v>380</v>
      </c>
      <c r="B84" s="14"/>
      <c r="C84" s="14"/>
      <c r="D84" s="13" t="s">
        <v>370</v>
      </c>
      <c r="E84" s="23" t="s">
        <v>173</v>
      </c>
      <c r="F84" s="24" t="s">
        <v>10</v>
      </c>
      <c r="G84" s="24" t="s">
        <v>117</v>
      </c>
      <c r="H84" s="25">
        <f t="shared" si="12"/>
        <v>40</v>
      </c>
      <c r="I84" s="14" t="s">
        <v>123</v>
      </c>
      <c r="J84" s="14"/>
    </row>
    <row r="85" spans="1:10" ht="18" customHeight="1" thickBot="1">
      <c r="A85" s="16">
        <v>9</v>
      </c>
      <c r="B85" s="2" t="s">
        <v>320</v>
      </c>
      <c r="C85" s="2"/>
      <c r="D85" s="2"/>
      <c r="E85" s="16" t="s">
        <v>321</v>
      </c>
      <c r="F85" s="17" t="s">
        <v>125</v>
      </c>
      <c r="G85" s="17" t="s">
        <v>117</v>
      </c>
      <c r="H85" s="18">
        <f t="shared" si="12"/>
        <v>8</v>
      </c>
      <c r="I85" s="2" t="s">
        <v>126</v>
      </c>
      <c r="J85" s="2"/>
    </row>
    <row r="86" spans="1:10" ht="18" customHeight="1">
      <c r="A86" s="3">
        <v>9.1</v>
      </c>
      <c r="B86" s="10"/>
      <c r="C86" s="10" t="s">
        <v>361</v>
      </c>
      <c r="D86" s="10"/>
      <c r="E86" s="3" t="s">
        <v>322</v>
      </c>
      <c r="F86" s="19" t="s">
        <v>125</v>
      </c>
      <c r="G86" s="19" t="s">
        <v>128</v>
      </c>
      <c r="H86" s="20">
        <f t="shared" si="12"/>
        <v>6</v>
      </c>
      <c r="I86" s="10" t="s">
        <v>118</v>
      </c>
      <c r="J86" s="10"/>
    </row>
    <row r="87" spans="1:10" ht="18" customHeight="1">
      <c r="A87" s="4" t="s">
        <v>156</v>
      </c>
      <c r="B87" s="11"/>
      <c r="C87" s="11"/>
      <c r="D87" s="11" t="s">
        <v>323</v>
      </c>
      <c r="E87" s="4" t="s">
        <v>324</v>
      </c>
      <c r="F87" s="21" t="s">
        <v>125</v>
      </c>
      <c r="G87" s="21" t="s">
        <v>130</v>
      </c>
      <c r="H87" s="22">
        <f t="shared" si="12"/>
        <v>4</v>
      </c>
      <c r="I87" s="11" t="s">
        <v>118</v>
      </c>
      <c r="J87" s="11"/>
    </row>
    <row r="88" spans="1:10" ht="18" customHeight="1">
      <c r="A88" s="4" t="s">
        <v>121</v>
      </c>
      <c r="B88" s="14"/>
      <c r="C88" s="14"/>
      <c r="D88" s="14" t="s">
        <v>325</v>
      </c>
      <c r="E88" s="23" t="s">
        <v>326</v>
      </c>
      <c r="F88" s="24" t="s">
        <v>130</v>
      </c>
      <c r="G88" s="24" t="s">
        <v>133</v>
      </c>
      <c r="H88" s="25">
        <f t="shared" si="12"/>
        <v>2</v>
      </c>
      <c r="I88" s="14" t="s">
        <v>327</v>
      </c>
      <c r="J88" s="14"/>
    </row>
    <row r="89" spans="1:10" ht="18" customHeight="1">
      <c r="A89" s="3">
        <v>9.1999999999999993</v>
      </c>
      <c r="B89" s="10"/>
      <c r="C89" s="10" t="s">
        <v>362</v>
      </c>
      <c r="D89" s="10"/>
      <c r="E89" s="3" t="s">
        <v>328</v>
      </c>
      <c r="F89" s="19" t="s">
        <v>135</v>
      </c>
      <c r="G89" s="19" t="s">
        <v>117</v>
      </c>
      <c r="H89" s="20">
        <f t="shared" si="12"/>
        <v>2</v>
      </c>
      <c r="I89" s="10" t="s">
        <v>136</v>
      </c>
      <c r="J89" s="10"/>
    </row>
    <row r="90" spans="1:10" ht="18" customHeight="1">
      <c r="A90" s="4" t="s">
        <v>161</v>
      </c>
      <c r="B90" s="11"/>
      <c r="C90" s="11"/>
      <c r="D90" s="11" t="s">
        <v>157</v>
      </c>
      <c r="E90" s="4" t="s">
        <v>329</v>
      </c>
      <c r="F90" s="21" t="s">
        <v>135</v>
      </c>
      <c r="G90" s="21" t="s">
        <v>135</v>
      </c>
      <c r="H90" s="22">
        <f t="shared" si="12"/>
        <v>1</v>
      </c>
      <c r="I90" s="11" t="s">
        <v>136</v>
      </c>
      <c r="J90" s="11"/>
    </row>
    <row r="91" spans="1:10" ht="18" customHeight="1">
      <c r="A91" s="4" t="s">
        <v>124</v>
      </c>
      <c r="B91" s="14"/>
      <c r="C91" s="14"/>
      <c r="D91" s="14" t="s">
        <v>158</v>
      </c>
      <c r="E91" s="23" t="s">
        <v>330</v>
      </c>
      <c r="F91" s="24" t="s">
        <v>117</v>
      </c>
      <c r="G91" s="24" t="s">
        <v>117</v>
      </c>
      <c r="H91" s="25">
        <f t="shared" si="12"/>
        <v>1</v>
      </c>
      <c r="I91" s="14" t="s">
        <v>137</v>
      </c>
      <c r="J91" s="14"/>
    </row>
    <row r="92" spans="1:10" s="9" customFormat="1" ht="18" customHeight="1">
      <c r="A92" s="3">
        <v>9.3000000000000007</v>
      </c>
      <c r="B92" s="10"/>
      <c r="C92" s="10" t="s">
        <v>363</v>
      </c>
      <c r="D92" s="10"/>
      <c r="E92" s="3" t="s">
        <v>322</v>
      </c>
      <c r="F92" s="19" t="s">
        <v>135</v>
      </c>
      <c r="G92" s="19" t="s">
        <v>117</v>
      </c>
      <c r="H92" s="20">
        <f t="shared" ref="H92:H98" si="13">IF(AND(F92&lt;&gt;"",G92&lt;&gt;""),G92-F92+1,"")</f>
        <v>2</v>
      </c>
      <c r="I92" s="10" t="s">
        <v>136</v>
      </c>
      <c r="J92" s="10"/>
    </row>
    <row r="93" spans="1:10" s="9" customFormat="1" ht="18" customHeight="1">
      <c r="A93" s="4" t="s">
        <v>162</v>
      </c>
      <c r="B93" s="11"/>
      <c r="C93" s="11"/>
      <c r="D93" s="11" t="s">
        <v>159</v>
      </c>
      <c r="E93" s="4" t="s">
        <v>331</v>
      </c>
      <c r="F93" s="21" t="s">
        <v>135</v>
      </c>
      <c r="G93" s="21" t="s">
        <v>135</v>
      </c>
      <c r="H93" s="22">
        <f t="shared" si="13"/>
        <v>1</v>
      </c>
      <c r="I93" s="11" t="s">
        <v>136</v>
      </c>
      <c r="J93" s="11"/>
    </row>
    <row r="94" spans="1:10" s="9" customFormat="1" ht="18" customHeight="1">
      <c r="A94" s="5" t="s">
        <v>202</v>
      </c>
      <c r="B94" s="12"/>
      <c r="C94" s="12"/>
      <c r="D94" s="12" t="s">
        <v>332</v>
      </c>
      <c r="E94" s="26" t="s">
        <v>333</v>
      </c>
      <c r="F94" s="26" t="s">
        <v>117</v>
      </c>
      <c r="G94" s="26" t="s">
        <v>117</v>
      </c>
      <c r="H94" s="27">
        <f>IF(AND(F94&lt;&gt;"",G94&lt;&gt;""),G94-F94+1,"")</f>
        <v>1</v>
      </c>
      <c r="I94" s="12" t="s">
        <v>137</v>
      </c>
      <c r="J94" s="12"/>
    </row>
    <row r="95" spans="1:10" s="9" customFormat="1" ht="18" customHeight="1">
      <c r="A95" s="4" t="s">
        <v>163</v>
      </c>
      <c r="B95" s="14"/>
      <c r="C95" s="14"/>
      <c r="D95" s="14" t="s">
        <v>334</v>
      </c>
      <c r="E95" s="23" t="s">
        <v>331</v>
      </c>
      <c r="F95" s="24" t="s">
        <v>117</v>
      </c>
      <c r="G95" s="24" t="s">
        <v>117</v>
      </c>
      <c r="H95" s="25">
        <f>IF(AND(F95&lt;&gt;"",G95&lt;&gt;""),G95-F95+1,"")</f>
        <v>1</v>
      </c>
      <c r="I95" s="14" t="s">
        <v>137</v>
      </c>
      <c r="J95" s="14"/>
    </row>
    <row r="96" spans="1:10" s="9" customFormat="1" ht="18" customHeight="1">
      <c r="A96" s="5" t="s">
        <v>201</v>
      </c>
      <c r="B96" s="12"/>
      <c r="C96" s="12"/>
      <c r="D96" s="12" t="s">
        <v>335</v>
      </c>
      <c r="E96" s="26" t="s">
        <v>336</v>
      </c>
      <c r="F96" s="26" t="s">
        <v>117</v>
      </c>
      <c r="G96" s="26" t="s">
        <v>117</v>
      </c>
      <c r="H96" s="27">
        <f>IF(AND(F96&lt;&gt;"",G96&lt;&gt;""),G96-F96+1,"")</f>
        <v>1</v>
      </c>
      <c r="I96" s="12" t="s">
        <v>137</v>
      </c>
      <c r="J96" s="12"/>
    </row>
    <row r="97" spans="1:10" s="9" customFormat="1" ht="18" customHeight="1">
      <c r="A97" s="3">
        <v>9.4</v>
      </c>
      <c r="B97" s="10"/>
      <c r="C97" s="10" t="s">
        <v>364</v>
      </c>
      <c r="D97" s="10"/>
      <c r="E97" s="3" t="s">
        <v>328</v>
      </c>
      <c r="F97" s="19" t="s">
        <v>135</v>
      </c>
      <c r="G97" s="19" t="s">
        <v>117</v>
      </c>
      <c r="H97" s="20">
        <f t="shared" si="13"/>
        <v>2</v>
      </c>
      <c r="I97" s="10" t="s">
        <v>136</v>
      </c>
      <c r="J97" s="10"/>
    </row>
    <row r="98" spans="1:10" s="9" customFormat="1" ht="18" customHeight="1">
      <c r="A98" s="4" t="s">
        <v>164</v>
      </c>
      <c r="B98" s="11"/>
      <c r="C98" s="11"/>
      <c r="D98" s="11" t="s">
        <v>160</v>
      </c>
      <c r="E98" s="4" t="s">
        <v>329</v>
      </c>
      <c r="F98" s="21" t="s">
        <v>135</v>
      </c>
      <c r="G98" s="21" t="s">
        <v>135</v>
      </c>
      <c r="H98" s="22">
        <f t="shared" si="13"/>
        <v>1</v>
      </c>
      <c r="I98" s="11" t="s">
        <v>136</v>
      </c>
      <c r="J98" s="11"/>
    </row>
    <row r="99" spans="1:10" s="9" customFormat="1" ht="18" customHeight="1">
      <c r="A99" s="3">
        <v>9.5</v>
      </c>
      <c r="B99" s="10"/>
      <c r="C99" s="10" t="s">
        <v>365</v>
      </c>
      <c r="D99" s="10"/>
      <c r="E99" s="3" t="s">
        <v>322</v>
      </c>
      <c r="F99" s="19" t="s">
        <v>135</v>
      </c>
      <c r="G99" s="19" t="s">
        <v>117</v>
      </c>
      <c r="H99" s="20">
        <f t="shared" ref="H99:H100" si="14">IF(AND(F99&lt;&gt;"",G99&lt;&gt;""),G99-F99+1,"")</f>
        <v>2</v>
      </c>
      <c r="I99" s="10" t="s">
        <v>136</v>
      </c>
      <c r="J99" s="10"/>
    </row>
    <row r="100" spans="1:10" s="9" customFormat="1" ht="18" customHeight="1">
      <c r="A100" s="4" t="s">
        <v>165</v>
      </c>
      <c r="B100" s="11"/>
      <c r="C100" s="11"/>
      <c r="D100" s="11" t="s">
        <v>337</v>
      </c>
      <c r="E100" s="4" t="s">
        <v>330</v>
      </c>
      <c r="F100" s="21" t="s">
        <v>135</v>
      </c>
      <c r="G100" s="21" t="s">
        <v>135</v>
      </c>
      <c r="H100" s="22">
        <f t="shared" si="14"/>
        <v>1</v>
      </c>
      <c r="I100" s="11" t="s">
        <v>136</v>
      </c>
      <c r="J100" s="11"/>
    </row>
    <row r="101" spans="1:10" ht="18" customHeight="1" thickBot="1">
      <c r="A101" s="16">
        <v>10</v>
      </c>
      <c r="B101" s="2" t="s">
        <v>338</v>
      </c>
      <c r="C101" s="2"/>
      <c r="D101" s="2"/>
      <c r="E101" s="16" t="s">
        <v>339</v>
      </c>
      <c r="F101" s="17" t="s">
        <v>125</v>
      </c>
      <c r="G101" s="17" t="s">
        <v>117</v>
      </c>
      <c r="H101" s="18">
        <f t="shared" ref="H101:H105" si="15">IF(AND(F101&lt;&gt;"",G101&lt;&gt;""),G101-F101+1,"")</f>
        <v>8</v>
      </c>
      <c r="I101" s="2" t="s">
        <v>126</v>
      </c>
      <c r="J101" s="2"/>
    </row>
    <row r="102" spans="1:10" ht="18" customHeight="1">
      <c r="A102" s="3" t="s">
        <v>127</v>
      </c>
      <c r="B102" s="10"/>
      <c r="C102" s="10" t="s">
        <v>340</v>
      </c>
      <c r="D102" s="10"/>
      <c r="E102" s="3" t="s">
        <v>341</v>
      </c>
      <c r="F102" s="19" t="s">
        <v>125</v>
      </c>
      <c r="G102" s="19" t="s">
        <v>128</v>
      </c>
      <c r="H102" s="20">
        <f t="shared" si="15"/>
        <v>6</v>
      </c>
      <c r="I102" s="10" t="s">
        <v>118</v>
      </c>
      <c r="J102" s="10"/>
    </row>
    <row r="103" spans="1:10" ht="18" customHeight="1">
      <c r="A103" s="4" t="s">
        <v>129</v>
      </c>
      <c r="B103" s="11"/>
      <c r="C103" s="11"/>
      <c r="D103" s="11" t="s">
        <v>166</v>
      </c>
      <c r="E103" s="4" t="s">
        <v>342</v>
      </c>
      <c r="F103" s="21" t="s">
        <v>125</v>
      </c>
      <c r="G103" s="21" t="s">
        <v>130</v>
      </c>
      <c r="H103" s="22">
        <f t="shared" si="15"/>
        <v>4</v>
      </c>
      <c r="I103" s="11" t="s">
        <v>118</v>
      </c>
      <c r="J103" s="11"/>
    </row>
    <row r="104" spans="1:10" ht="18" customHeight="1">
      <c r="A104" s="5" t="s">
        <v>132</v>
      </c>
      <c r="B104" s="12"/>
      <c r="C104" s="12"/>
      <c r="D104" s="12" t="s">
        <v>167</v>
      </c>
      <c r="E104" s="26" t="s">
        <v>343</v>
      </c>
      <c r="F104" s="26" t="s">
        <v>130</v>
      </c>
      <c r="G104" s="26" t="s">
        <v>133</v>
      </c>
      <c r="H104" s="27">
        <f t="shared" si="15"/>
        <v>2</v>
      </c>
      <c r="I104" s="12" t="s">
        <v>327</v>
      </c>
      <c r="J104" s="12"/>
    </row>
    <row r="105" spans="1:10" ht="18" customHeight="1">
      <c r="A105" s="4" t="s">
        <v>134</v>
      </c>
      <c r="B105" s="11"/>
      <c r="C105" s="11"/>
      <c r="D105" s="11" t="s">
        <v>344</v>
      </c>
      <c r="E105" s="4" t="s">
        <v>345</v>
      </c>
      <c r="F105" s="21" t="s">
        <v>133</v>
      </c>
      <c r="G105" s="21" t="s">
        <v>128</v>
      </c>
      <c r="H105" s="22">
        <f t="shared" si="15"/>
        <v>2</v>
      </c>
      <c r="I105" s="11" t="s">
        <v>346</v>
      </c>
      <c r="J105" s="11"/>
    </row>
    <row r="106" spans="1:10" ht="15.75" thickBot="1">
      <c r="A106" s="16">
        <v>11</v>
      </c>
      <c r="B106" s="2" t="s">
        <v>360</v>
      </c>
      <c r="C106" s="2"/>
      <c r="D106" s="2"/>
      <c r="E106" s="16" t="s">
        <v>347</v>
      </c>
      <c r="F106" s="17" t="s">
        <v>125</v>
      </c>
      <c r="G106" s="17" t="s">
        <v>117</v>
      </c>
      <c r="H106" s="18">
        <f t="shared" si="12"/>
        <v>8</v>
      </c>
      <c r="I106" s="2" t="s">
        <v>126</v>
      </c>
      <c r="J106" s="2" t="s">
        <v>185</v>
      </c>
    </row>
    <row r="107" spans="1:10">
      <c r="A107" s="3">
        <v>11.1</v>
      </c>
      <c r="B107" s="10"/>
      <c r="C107" s="10" t="s">
        <v>348</v>
      </c>
      <c r="D107" s="10"/>
      <c r="E107" s="3" t="s">
        <v>349</v>
      </c>
      <c r="F107" s="19" t="s">
        <v>125</v>
      </c>
      <c r="G107" s="19" t="s">
        <v>128</v>
      </c>
      <c r="H107" s="20">
        <f t="shared" si="12"/>
        <v>6</v>
      </c>
      <c r="I107" s="10" t="s">
        <v>118</v>
      </c>
      <c r="J107" s="10" t="s">
        <v>184</v>
      </c>
    </row>
    <row r="108" spans="1:10">
      <c r="A108" s="4" t="s">
        <v>168</v>
      </c>
      <c r="B108" s="11"/>
      <c r="C108" s="11"/>
      <c r="D108" s="11" t="s">
        <v>350</v>
      </c>
      <c r="E108" s="4" t="s">
        <v>351</v>
      </c>
      <c r="F108" s="21" t="s">
        <v>125</v>
      </c>
      <c r="G108" s="21" t="s">
        <v>130</v>
      </c>
      <c r="H108" s="22">
        <f t="shared" si="12"/>
        <v>4</v>
      </c>
      <c r="I108" s="11" t="s">
        <v>118</v>
      </c>
      <c r="J108" s="14" t="s">
        <v>190</v>
      </c>
    </row>
    <row r="109" spans="1:10">
      <c r="A109" s="5" t="s">
        <v>203</v>
      </c>
      <c r="B109" s="12"/>
      <c r="C109" s="12"/>
      <c r="D109" s="12" t="s">
        <v>169</v>
      </c>
      <c r="E109" s="26" t="s">
        <v>351</v>
      </c>
      <c r="F109" s="26" t="s">
        <v>130</v>
      </c>
      <c r="G109" s="26" t="s">
        <v>133</v>
      </c>
      <c r="H109" s="27">
        <f t="shared" si="12"/>
        <v>2</v>
      </c>
      <c r="I109" s="12" t="s">
        <v>327</v>
      </c>
      <c r="J109" s="12" t="s">
        <v>193</v>
      </c>
    </row>
    <row r="110" spans="1:10">
      <c r="A110" s="3">
        <v>11.2</v>
      </c>
      <c r="B110" s="10"/>
      <c r="C110" s="10" t="s">
        <v>352</v>
      </c>
      <c r="D110" s="10"/>
      <c r="E110" s="3" t="s">
        <v>353</v>
      </c>
      <c r="F110" s="19" t="s">
        <v>135</v>
      </c>
      <c r="G110" s="19" t="s">
        <v>117</v>
      </c>
      <c r="H110" s="20">
        <f t="shared" si="12"/>
        <v>2</v>
      </c>
      <c r="I110" s="10" t="s">
        <v>136</v>
      </c>
      <c r="J110" s="10" t="s">
        <v>182</v>
      </c>
    </row>
    <row r="111" spans="1:10">
      <c r="A111" s="4" t="s">
        <v>170</v>
      </c>
      <c r="B111" s="11"/>
      <c r="C111" s="11"/>
      <c r="D111" s="11" t="s">
        <v>354</v>
      </c>
      <c r="E111" s="4" t="s">
        <v>355</v>
      </c>
      <c r="F111" s="21" t="s">
        <v>135</v>
      </c>
      <c r="G111" s="21" t="s">
        <v>135</v>
      </c>
      <c r="H111" s="22">
        <f t="shared" si="12"/>
        <v>1</v>
      </c>
      <c r="I111" s="11" t="s">
        <v>136</v>
      </c>
      <c r="J111" s="14" t="s">
        <v>191</v>
      </c>
    </row>
    <row r="112" spans="1:10" s="9" customFormat="1">
      <c r="A112" s="3">
        <v>11.3</v>
      </c>
      <c r="B112" s="10"/>
      <c r="C112" s="10" t="s">
        <v>356</v>
      </c>
      <c r="D112" s="10"/>
      <c r="E112" s="3" t="s">
        <v>353</v>
      </c>
      <c r="F112" s="19" t="s">
        <v>135</v>
      </c>
      <c r="G112" s="19" t="s">
        <v>117</v>
      </c>
      <c r="H112" s="20">
        <f t="shared" ref="H112:H113" si="16">IF(AND(F112&lt;&gt;"",G112&lt;&gt;""),G112-F112+1,"")</f>
        <v>2</v>
      </c>
      <c r="I112" s="10" t="s">
        <v>136</v>
      </c>
      <c r="J112" s="10" t="s">
        <v>183</v>
      </c>
    </row>
    <row r="113" spans="1:10" s="9" customFormat="1" ht="15.75" thickBot="1">
      <c r="A113" s="4" t="s">
        <v>171</v>
      </c>
      <c r="B113" s="11"/>
      <c r="C113" s="11"/>
      <c r="D113" s="11" t="s">
        <v>357</v>
      </c>
      <c r="E113" s="4" t="s">
        <v>358</v>
      </c>
      <c r="F113" s="21" t="s">
        <v>135</v>
      </c>
      <c r="G113" s="21" t="s">
        <v>135</v>
      </c>
      <c r="H113" s="22">
        <f t="shared" si="16"/>
        <v>1</v>
      </c>
      <c r="I113" s="11" t="s">
        <v>136</v>
      </c>
      <c r="J113" s="14" t="s">
        <v>192</v>
      </c>
    </row>
    <row r="114" spans="1:10" ht="15.75" thickBot="1">
      <c r="A114" s="6" t="s">
        <v>138</v>
      </c>
      <c r="B114" s="6" t="s">
        <v>359</v>
      </c>
      <c r="C114" s="6"/>
      <c r="D114" s="6"/>
      <c r="E114" s="6"/>
      <c r="F114" s="6"/>
      <c r="G114" s="6"/>
      <c r="H114" s="6">
        <f>SUM(H4:H111)</f>
        <v>716</v>
      </c>
      <c r="I114" s="6"/>
      <c r="J114" s="6"/>
    </row>
    <row r="115" spans="1:10">
      <c r="A115" s="29"/>
      <c r="B115" s="29"/>
      <c r="C115" s="29"/>
      <c r="D115" s="29"/>
      <c r="E115" s="29"/>
      <c r="F115" s="29"/>
      <c r="G115" s="29"/>
      <c r="H115" s="29"/>
      <c r="I115" s="29"/>
      <c r="J115" s="29"/>
    </row>
    <row r="116" spans="1:10">
      <c r="A116" s="33" t="s">
        <v>139</v>
      </c>
      <c r="B116" s="33"/>
      <c r="C116" s="29"/>
      <c r="D116" s="29"/>
      <c r="E116" s="29"/>
      <c r="F116" s="29"/>
      <c r="G116" s="29"/>
      <c r="H116" s="29"/>
      <c r="I116" s="29"/>
      <c r="J116" s="29"/>
    </row>
    <row r="117" spans="1:10">
      <c r="A117" s="7" t="s">
        <v>0</v>
      </c>
      <c r="B117" s="29"/>
      <c r="C117" s="8" t="s">
        <v>1</v>
      </c>
      <c r="D117" s="29"/>
      <c r="E117" s="4" t="s">
        <v>2</v>
      </c>
      <c r="F117" s="29"/>
      <c r="G117" s="29"/>
      <c r="H117" s="29"/>
      <c r="I117" s="29"/>
      <c r="J117" s="29"/>
    </row>
  </sheetData>
  <autoFilter ref="A3:J111"/>
  <mergeCells count="3">
    <mergeCell ref="A1:J1"/>
    <mergeCell ref="A2:J2"/>
    <mergeCell ref="A116:B116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사용자</cp:lastModifiedBy>
  <cp:revision>0</cp:revision>
  <dcterms:created xsi:type="dcterms:W3CDTF">2026-06-09T12:53:42Z</dcterms:created>
  <dcterms:modified xsi:type="dcterms:W3CDTF">2026-06-11T01:45:01Z</dcterms:modified>
  <dc:language>en-US</dc:language>
</cp:coreProperties>
</file>
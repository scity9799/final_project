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___________________________★★★★★★KDT4기★★★★★★\260629\상세보고서\"/>
    </mc:Choice>
  </mc:AlternateContent>
  <bookViews>
    <workbookView xWindow="-105" yWindow="-105" windowWidth="25815" windowHeight="15495" tabRatio="641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항목별 통계" sheetId="7" r:id="rId6"/>
    <sheet name="취약점 진단 통계 (이행)" sheetId="6" r:id="rId7"/>
    <sheet name="취약점 진단 항목별 통계 (이행)" sheetId="8" r:id="rId8"/>
    <sheet name="HQ_L3_1" sheetId="9" r:id="rId9"/>
    <sheet name="HQ_L3_2" sheetId="10" r:id="rId10"/>
    <sheet name="BR_L3_1" sheetId="11" r:id="rId11"/>
    <sheet name="BR_L3_2" sheetId="12" r:id="rId12"/>
    <sheet name="headquarter" sheetId="13" r:id="rId13"/>
    <sheet name="branch" sheetId="14" r:id="rId14"/>
    <sheet name="HQ_L4_1" sheetId="17" r:id="rId15"/>
    <sheet name="HQ_L4_2" sheetId="18" r:id="rId16"/>
    <sheet name="BR_L4_1" sheetId="19" r:id="rId17"/>
    <sheet name="BR_L4_2" sheetId="16" r:id="rId18"/>
  </sheets>
  <externalReferences>
    <externalReference r:id="rId19"/>
  </externalReferences>
  <definedNames>
    <definedName name="_10월_변동내역_메모_확인" localSheetId="9">#REF!</definedName>
    <definedName name="_10월_변동내역_메모_확인">#REF!</definedName>
    <definedName name="_xlnm._FilterDatabase" localSheetId="10" hidden="1">BR_L3_1!$A$20:$X$58</definedName>
    <definedName name="_xlnm._FilterDatabase" localSheetId="11" hidden="1">BR_L3_2!$A$20:$X$58</definedName>
    <definedName name="_xlnm._FilterDatabase" localSheetId="16" hidden="1">BR_L4_1!$A$20:$X$58</definedName>
    <definedName name="_xlnm._FilterDatabase" localSheetId="17" hidden="1">BR_L4_2!$A$20:$X$58</definedName>
    <definedName name="_xlnm._FilterDatabase" localSheetId="13" hidden="1">branch!$A$20:$X$58</definedName>
    <definedName name="_xlnm._FilterDatabase" localSheetId="3" hidden="1">ChkList!$A$4:$F$42</definedName>
    <definedName name="_xlnm._FilterDatabase" localSheetId="12" hidden="1">headquarter!$A$20:$X$58</definedName>
    <definedName name="_xlnm._FilterDatabase" localSheetId="8" hidden="1">HQ_L3_1!$A$20:$X$58</definedName>
    <definedName name="_xlnm._FilterDatabase" localSheetId="9" hidden="1">HQ_L3_2!$A$20:$X$58</definedName>
    <definedName name="_xlnm._FilterDatabase" localSheetId="14" hidden="1">HQ_L4_1!$A$20:$X$58</definedName>
    <definedName name="_xlnm._FilterDatabase" localSheetId="15" hidden="1">HQ_L4_2!$A$20:$X$58</definedName>
    <definedName name="_xlnm._FilterDatabase" localSheetId="5" hidden="1">'취약점 진단 항목별 통계'!$F$4:$J$43</definedName>
    <definedName name="_xlnm._FilterDatabase" localSheetId="7" hidden="1">'취약점 진단 항목별 통계 (이행)'!$F$4:$J$43</definedName>
    <definedName name="_Order1">255</definedName>
    <definedName name="_Order2">255</definedName>
    <definedName name="asd" localSheetId="9">#REF!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9">#REF!</definedName>
    <definedName name="MPLS">#REF!</definedName>
    <definedName name="MPLS2" localSheetId="9">#REF!</definedName>
    <definedName name="MPLS2">#REF!</definedName>
    <definedName name="MPLSLine" localSheetId="9">#REF!</definedName>
    <definedName name="MPLSLine">#REF!</definedName>
    <definedName name="N_A" localSheetId="9">#REF!</definedName>
    <definedName name="N_A">#REF!</definedName>
    <definedName name="O" localSheetId="9">#REF!</definedName>
    <definedName name="O">#REF!</definedName>
    <definedName name="P" localSheetId="9">#REF!</definedName>
    <definedName name="P">#REF!</definedName>
    <definedName name="PC">[1]목록!$T$7:$T$9</definedName>
    <definedName name="_xlnm.Print_Area" localSheetId="10">BR_L3_1!$A$1:$Q$58</definedName>
    <definedName name="_xlnm.Print_Area" localSheetId="11">BR_L3_2!$A$1:$Q$58</definedName>
    <definedName name="_xlnm.Print_Area" localSheetId="16">BR_L4_1!$A$1:$Q$58</definedName>
    <definedName name="_xlnm.Print_Area" localSheetId="17">BR_L4_2!$A$1:$Q$58</definedName>
    <definedName name="_xlnm.Print_Area" localSheetId="13">branch!$A$1:$Q$58</definedName>
    <definedName name="_xlnm.Print_Area" localSheetId="3">ChkList!$A$1:$E$42</definedName>
    <definedName name="_xlnm.Print_Area" localSheetId="12">headquarter!$A$1:$Q$58</definedName>
    <definedName name="_xlnm.Print_Area" localSheetId="8">HQ_L3_1!$A$1:$Q$58</definedName>
    <definedName name="_xlnm.Print_Area" localSheetId="9">HQ_L3_2!$A$1:$Q$58</definedName>
    <definedName name="_xlnm.Print_Area" localSheetId="14">HQ_L4_1!$A$1:$Q$58</definedName>
    <definedName name="_xlnm.Print_Area" localSheetId="15">HQ_L4_2!$A$1:$Q$58</definedName>
    <definedName name="_xlnm.Print_Area" localSheetId="1">자산목록!$A$1:$Q$14</definedName>
    <definedName name="_xlnm.Print_Area" localSheetId="4">'취약점 진단 통계'!$A$1:$L$52</definedName>
    <definedName name="_xlnm.Print_Area" localSheetId="6">'취약점 진단 통계 (이행)'!$A$1:$U$44</definedName>
    <definedName name="_xlnm.Print_Area" localSheetId="5">'취약점 진단 항목별 통계'!$A$1:$V$43</definedName>
    <definedName name="_xlnm.Print_Area" localSheetId="7">'취약점 진단 항목별 통계 (이행)'!$A$1:$T$43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9">#REF!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 localSheetId="9">#REF!</definedName>
    <definedName name="기술2팀">#REF!</definedName>
    <definedName name="기준반영" localSheetId="9">#REF!</definedName>
    <definedName name="기준반영">#REF!</definedName>
    <definedName name="네트워크">[1]목록!$R$7:$R$9</definedName>
    <definedName name="담당자">[1]목록!$A$36:$A$66</definedName>
    <definedName name="동의여부" localSheetId="9">#REF!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 localSheetId="9">#REF!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9" l="1"/>
  <c r="K47" i="9"/>
  <c r="K46" i="9"/>
  <c r="K45" i="9"/>
  <c r="K44" i="9"/>
  <c r="A34" i="9" l="1"/>
  <c r="K25" i="9"/>
  <c r="Q58" i="19"/>
  <c r="K58" i="19"/>
  <c r="G58" i="19"/>
  <c r="F58" i="19"/>
  <c r="U58" i="19" s="1"/>
  <c r="C58" i="19"/>
  <c r="B58" i="19"/>
  <c r="A58" i="19"/>
  <c r="U57" i="19"/>
  <c r="Q57" i="19"/>
  <c r="K57" i="19"/>
  <c r="G57" i="19"/>
  <c r="F57" i="19"/>
  <c r="R57" i="19" s="1"/>
  <c r="C57" i="19"/>
  <c r="B57" i="19"/>
  <c r="A57" i="19"/>
  <c r="U56" i="19"/>
  <c r="Q56" i="19"/>
  <c r="K56" i="19"/>
  <c r="G56" i="19"/>
  <c r="F56" i="19"/>
  <c r="S56" i="19" s="1"/>
  <c r="C56" i="19"/>
  <c r="B56" i="19"/>
  <c r="A56" i="19"/>
  <c r="Q55" i="19"/>
  <c r="K55" i="19"/>
  <c r="G55" i="19"/>
  <c r="F55" i="19"/>
  <c r="R55" i="19" s="1"/>
  <c r="C55" i="19"/>
  <c r="B55" i="19"/>
  <c r="A55" i="19"/>
  <c r="U54" i="19"/>
  <c r="Q54" i="19"/>
  <c r="K54" i="19"/>
  <c r="G54" i="19"/>
  <c r="F54" i="19"/>
  <c r="S54" i="19" s="1"/>
  <c r="C54" i="19"/>
  <c r="B54" i="19"/>
  <c r="A54" i="19"/>
  <c r="U53" i="19"/>
  <c r="Q53" i="19"/>
  <c r="K53" i="19"/>
  <c r="G53" i="19"/>
  <c r="F53" i="19"/>
  <c r="S53" i="19" s="1"/>
  <c r="C53" i="19"/>
  <c r="B53" i="19"/>
  <c r="A53" i="19"/>
  <c r="U52" i="19"/>
  <c r="Q52" i="19"/>
  <c r="K52" i="19"/>
  <c r="G52" i="19"/>
  <c r="F52" i="19"/>
  <c r="C52" i="19"/>
  <c r="B52" i="19"/>
  <c r="A52" i="19"/>
  <c r="U51" i="19"/>
  <c r="Q51" i="19"/>
  <c r="K51" i="19"/>
  <c r="G51" i="19"/>
  <c r="F51" i="19"/>
  <c r="S51" i="19" s="1"/>
  <c r="C51" i="19"/>
  <c r="B51" i="19"/>
  <c r="A51" i="19"/>
  <c r="Q50" i="19"/>
  <c r="K50" i="19"/>
  <c r="G50" i="19"/>
  <c r="F50" i="19"/>
  <c r="U50" i="19" s="1"/>
  <c r="C50" i="19"/>
  <c r="B50" i="19"/>
  <c r="A50" i="19"/>
  <c r="Q49" i="19"/>
  <c r="K49" i="19"/>
  <c r="G49" i="19"/>
  <c r="F49" i="19"/>
  <c r="U49" i="19" s="1"/>
  <c r="C49" i="19"/>
  <c r="B49" i="19"/>
  <c r="A49" i="19"/>
  <c r="R48" i="19"/>
  <c r="Q48" i="19"/>
  <c r="K48" i="19"/>
  <c r="G48" i="19"/>
  <c r="F48" i="19"/>
  <c r="U48" i="19" s="1"/>
  <c r="C48" i="19"/>
  <c r="B48" i="19"/>
  <c r="A48" i="19"/>
  <c r="Q47" i="19"/>
  <c r="K47" i="19"/>
  <c r="G47" i="19"/>
  <c r="F47" i="19"/>
  <c r="U47" i="19" s="1"/>
  <c r="C47" i="19"/>
  <c r="B47" i="19"/>
  <c r="A47" i="19"/>
  <c r="Q46" i="19"/>
  <c r="K46" i="19"/>
  <c r="G46" i="19"/>
  <c r="F46" i="19"/>
  <c r="U46" i="19" s="1"/>
  <c r="C46" i="19"/>
  <c r="B46" i="19"/>
  <c r="A46" i="19"/>
  <c r="U45" i="19"/>
  <c r="Q45" i="19"/>
  <c r="K45" i="19"/>
  <c r="G45" i="19"/>
  <c r="F45" i="19"/>
  <c r="R45" i="19" s="1"/>
  <c r="C45" i="19"/>
  <c r="B45" i="19"/>
  <c r="A45" i="19"/>
  <c r="U44" i="19"/>
  <c r="R44" i="19"/>
  <c r="Q44" i="19"/>
  <c r="K44" i="19"/>
  <c r="T44" i="19" s="1"/>
  <c r="G44" i="19"/>
  <c r="F44" i="19"/>
  <c r="S44" i="19" s="1"/>
  <c r="C44" i="19"/>
  <c r="B44" i="19"/>
  <c r="A44" i="19"/>
  <c r="Q43" i="19"/>
  <c r="K43" i="19"/>
  <c r="G43" i="19"/>
  <c r="F43" i="19"/>
  <c r="R43" i="19" s="1"/>
  <c r="C43" i="19"/>
  <c r="B43" i="19"/>
  <c r="A43" i="19"/>
  <c r="U42" i="19"/>
  <c r="Q42" i="19"/>
  <c r="K42" i="19"/>
  <c r="G42" i="19"/>
  <c r="F42" i="19"/>
  <c r="S42" i="19" s="1"/>
  <c r="C42" i="19"/>
  <c r="B42" i="19"/>
  <c r="A42" i="19"/>
  <c r="Q41" i="19"/>
  <c r="K41" i="19"/>
  <c r="G41" i="19"/>
  <c r="F41" i="19"/>
  <c r="C41" i="19"/>
  <c r="B41" i="19"/>
  <c r="A41" i="19"/>
  <c r="U40" i="19"/>
  <c r="Q40" i="19"/>
  <c r="K40" i="19"/>
  <c r="G40" i="19"/>
  <c r="F40" i="19"/>
  <c r="S40" i="19" s="1"/>
  <c r="C40" i="19"/>
  <c r="B40" i="19"/>
  <c r="A40" i="19"/>
  <c r="Q39" i="19"/>
  <c r="K39" i="19"/>
  <c r="G39" i="19"/>
  <c r="F39" i="19"/>
  <c r="U39" i="19" s="1"/>
  <c r="C39" i="19"/>
  <c r="B39" i="19"/>
  <c r="A39" i="19"/>
  <c r="Q38" i="19"/>
  <c r="K38" i="19"/>
  <c r="G38" i="19"/>
  <c r="F38" i="19"/>
  <c r="U38" i="19" s="1"/>
  <c r="C38" i="19"/>
  <c r="B38" i="19"/>
  <c r="A38" i="19"/>
  <c r="Q37" i="19"/>
  <c r="K37" i="19"/>
  <c r="G37" i="19"/>
  <c r="F37" i="19"/>
  <c r="U37" i="19" s="1"/>
  <c r="C37" i="19"/>
  <c r="B37" i="19"/>
  <c r="A37" i="19"/>
  <c r="Q36" i="19"/>
  <c r="K36" i="19"/>
  <c r="G36" i="19"/>
  <c r="F36" i="19"/>
  <c r="U36" i="19" s="1"/>
  <c r="C36" i="19"/>
  <c r="B36" i="19"/>
  <c r="A36" i="19"/>
  <c r="Q35" i="19"/>
  <c r="K35" i="19"/>
  <c r="G35" i="19"/>
  <c r="F35" i="19"/>
  <c r="U35" i="19" s="1"/>
  <c r="C35" i="19"/>
  <c r="B35" i="19"/>
  <c r="A35" i="19"/>
  <c r="Q34" i="19"/>
  <c r="K34" i="19"/>
  <c r="G34" i="19"/>
  <c r="F34" i="19"/>
  <c r="U34" i="19" s="1"/>
  <c r="C34" i="19"/>
  <c r="B34" i="19"/>
  <c r="A34" i="19"/>
  <c r="Q33" i="19"/>
  <c r="K33" i="19"/>
  <c r="G33" i="19"/>
  <c r="F33" i="19"/>
  <c r="U33" i="19" s="1"/>
  <c r="C33" i="19"/>
  <c r="B33" i="19"/>
  <c r="A33" i="19"/>
  <c r="Q32" i="19"/>
  <c r="K32" i="19"/>
  <c r="G32" i="19"/>
  <c r="F32" i="19"/>
  <c r="S32" i="19" s="1"/>
  <c r="C32" i="19"/>
  <c r="B32" i="19"/>
  <c r="A32" i="19"/>
  <c r="Q31" i="19"/>
  <c r="K31" i="19"/>
  <c r="G31" i="19"/>
  <c r="F31" i="19"/>
  <c r="R31" i="19" s="1"/>
  <c r="C31" i="19"/>
  <c r="B31" i="19"/>
  <c r="A31" i="19"/>
  <c r="Q30" i="19"/>
  <c r="K30" i="19"/>
  <c r="G30" i="19"/>
  <c r="F30" i="19"/>
  <c r="U30" i="19" s="1"/>
  <c r="C30" i="19"/>
  <c r="B30" i="19"/>
  <c r="A30" i="19"/>
  <c r="Q29" i="19"/>
  <c r="K29" i="19"/>
  <c r="G29" i="19"/>
  <c r="F29" i="19"/>
  <c r="R29" i="19" s="1"/>
  <c r="C29" i="19"/>
  <c r="B29" i="19"/>
  <c r="A29" i="19"/>
  <c r="Q28" i="19"/>
  <c r="K28" i="19"/>
  <c r="G28" i="19"/>
  <c r="F28" i="19"/>
  <c r="C28" i="19"/>
  <c r="B28" i="19"/>
  <c r="A28" i="19"/>
  <c r="Q27" i="19"/>
  <c r="K27" i="19"/>
  <c r="G27" i="19"/>
  <c r="F27" i="19"/>
  <c r="R27" i="19" s="1"/>
  <c r="C27" i="19"/>
  <c r="B27" i="19"/>
  <c r="A27" i="19"/>
  <c r="R26" i="19"/>
  <c r="Q26" i="19"/>
  <c r="K26" i="19"/>
  <c r="G26" i="19"/>
  <c r="F26" i="19"/>
  <c r="U26" i="19" s="1"/>
  <c r="C26" i="19"/>
  <c r="B26" i="19"/>
  <c r="A26" i="19"/>
  <c r="G25" i="19"/>
  <c r="F25" i="19"/>
  <c r="C25" i="19"/>
  <c r="B25" i="19"/>
  <c r="A25" i="19"/>
  <c r="Q24" i="19"/>
  <c r="K24" i="19"/>
  <c r="G24" i="19"/>
  <c r="F24" i="19"/>
  <c r="U24" i="19" s="1"/>
  <c r="C24" i="19"/>
  <c r="B24" i="19"/>
  <c r="A24" i="19"/>
  <c r="Q23" i="19"/>
  <c r="K23" i="19"/>
  <c r="G23" i="19"/>
  <c r="F23" i="19"/>
  <c r="U23" i="19" s="1"/>
  <c r="C23" i="19"/>
  <c r="B23" i="19"/>
  <c r="A23" i="19"/>
  <c r="Q22" i="19"/>
  <c r="K22" i="19"/>
  <c r="G22" i="19"/>
  <c r="F22" i="19"/>
  <c r="U22" i="19" s="1"/>
  <c r="C22" i="19"/>
  <c r="B22" i="19"/>
  <c r="A22" i="19"/>
  <c r="Q21" i="19"/>
  <c r="K21" i="19"/>
  <c r="G21" i="19"/>
  <c r="F21" i="19"/>
  <c r="U21" i="19" s="1"/>
  <c r="C21" i="19"/>
  <c r="B21" i="19"/>
  <c r="A21" i="19"/>
  <c r="V16" i="19"/>
  <c r="V15" i="19"/>
  <c r="V14" i="19"/>
  <c r="V13" i="19"/>
  <c r="V12" i="19"/>
  <c r="B4" i="19"/>
  <c r="B6" i="19" s="1"/>
  <c r="Q58" i="18"/>
  <c r="K58" i="18"/>
  <c r="G58" i="18"/>
  <c r="F58" i="18"/>
  <c r="U58" i="18" s="1"/>
  <c r="C58" i="18"/>
  <c r="B58" i="18"/>
  <c r="A58" i="18"/>
  <c r="U57" i="18"/>
  <c r="Q57" i="18"/>
  <c r="K57" i="18"/>
  <c r="G57" i="18"/>
  <c r="F57" i="18"/>
  <c r="R57" i="18" s="1"/>
  <c r="C57" i="18"/>
  <c r="B57" i="18"/>
  <c r="A57" i="18"/>
  <c r="U56" i="18"/>
  <c r="Q56" i="18"/>
  <c r="K56" i="18"/>
  <c r="G56" i="18"/>
  <c r="F56" i="18"/>
  <c r="S56" i="18" s="1"/>
  <c r="C56" i="18"/>
  <c r="B56" i="18"/>
  <c r="A56" i="18"/>
  <c r="Q55" i="18"/>
  <c r="K55" i="18"/>
  <c r="G55" i="18"/>
  <c r="F55" i="18"/>
  <c r="R55" i="18" s="1"/>
  <c r="C55" i="18"/>
  <c r="B55" i="18"/>
  <c r="A55" i="18"/>
  <c r="U54" i="18"/>
  <c r="Q54" i="18"/>
  <c r="K54" i="18"/>
  <c r="G54" i="18"/>
  <c r="F54" i="18"/>
  <c r="R54" i="18" s="1"/>
  <c r="C54" i="18"/>
  <c r="B54" i="18"/>
  <c r="A54" i="18"/>
  <c r="U53" i="18"/>
  <c r="Q53" i="18"/>
  <c r="K53" i="18"/>
  <c r="G53" i="18"/>
  <c r="F53" i="18"/>
  <c r="C53" i="18"/>
  <c r="B53" i="18"/>
  <c r="A53" i="18"/>
  <c r="U52" i="18"/>
  <c r="Q52" i="18"/>
  <c r="K52" i="18"/>
  <c r="G52" i="18"/>
  <c r="F52" i="18"/>
  <c r="S52" i="18" s="1"/>
  <c r="C52" i="18"/>
  <c r="B52" i="18"/>
  <c r="A52" i="18"/>
  <c r="U51" i="18"/>
  <c r="Q51" i="18"/>
  <c r="K51" i="18"/>
  <c r="G51" i="18"/>
  <c r="F51" i="18"/>
  <c r="S51" i="18" s="1"/>
  <c r="C51" i="18"/>
  <c r="B51" i="18"/>
  <c r="A51" i="18"/>
  <c r="Q50" i="18"/>
  <c r="K50" i="18"/>
  <c r="G50" i="18"/>
  <c r="F50" i="18"/>
  <c r="U50" i="18" s="1"/>
  <c r="C50" i="18"/>
  <c r="B50" i="18"/>
  <c r="A50" i="18"/>
  <c r="Q49" i="18"/>
  <c r="K49" i="18"/>
  <c r="G49" i="18"/>
  <c r="F49" i="18"/>
  <c r="U49" i="18" s="1"/>
  <c r="C49" i="18"/>
  <c r="B49" i="18"/>
  <c r="A49" i="18"/>
  <c r="Q48" i="18"/>
  <c r="K48" i="18"/>
  <c r="G48" i="18"/>
  <c r="F48" i="18"/>
  <c r="U48" i="18" s="1"/>
  <c r="C48" i="18"/>
  <c r="B48" i="18"/>
  <c r="A48" i="18"/>
  <c r="Q47" i="18"/>
  <c r="K47" i="18"/>
  <c r="G47" i="18"/>
  <c r="F47" i="18"/>
  <c r="U47" i="18" s="1"/>
  <c r="C47" i="18"/>
  <c r="B47" i="18"/>
  <c r="A47" i="18"/>
  <c r="Q46" i="18"/>
  <c r="K46" i="18"/>
  <c r="G46" i="18"/>
  <c r="F46" i="18"/>
  <c r="U46" i="18" s="1"/>
  <c r="C46" i="18"/>
  <c r="B46" i="18"/>
  <c r="A46" i="18"/>
  <c r="U45" i="18"/>
  <c r="Q45" i="18"/>
  <c r="K45" i="18"/>
  <c r="G45" i="18"/>
  <c r="F45" i="18"/>
  <c r="R45" i="18" s="1"/>
  <c r="C45" i="18"/>
  <c r="B45" i="18"/>
  <c r="A45" i="18"/>
  <c r="U44" i="18"/>
  <c r="Q44" i="18"/>
  <c r="K44" i="18"/>
  <c r="G44" i="18"/>
  <c r="F44" i="18"/>
  <c r="S44" i="18" s="1"/>
  <c r="C44" i="18"/>
  <c r="B44" i="18"/>
  <c r="A44" i="18"/>
  <c r="Q43" i="18"/>
  <c r="K43" i="18"/>
  <c r="G43" i="18"/>
  <c r="F43" i="18"/>
  <c r="R43" i="18" s="1"/>
  <c r="C43" i="18"/>
  <c r="B43" i="18"/>
  <c r="A43" i="18"/>
  <c r="Q42" i="18"/>
  <c r="K42" i="18"/>
  <c r="G42" i="18"/>
  <c r="F42" i="18"/>
  <c r="C42" i="18"/>
  <c r="B42" i="18"/>
  <c r="A42" i="18"/>
  <c r="Q41" i="18"/>
  <c r="K41" i="18"/>
  <c r="G41" i="18"/>
  <c r="F41" i="18"/>
  <c r="R41" i="18" s="1"/>
  <c r="C41" i="18"/>
  <c r="B41" i="18"/>
  <c r="A41" i="18"/>
  <c r="U40" i="18"/>
  <c r="Q40" i="18"/>
  <c r="K40" i="18"/>
  <c r="G40" i="18"/>
  <c r="F40" i="18"/>
  <c r="S40" i="18" s="1"/>
  <c r="C40" i="18"/>
  <c r="B40" i="18"/>
  <c r="A40" i="18"/>
  <c r="Q39" i="18"/>
  <c r="K39" i="18"/>
  <c r="G39" i="18"/>
  <c r="F39" i="18"/>
  <c r="C39" i="18"/>
  <c r="B39" i="18"/>
  <c r="A39" i="18"/>
  <c r="Q38" i="18"/>
  <c r="K38" i="18"/>
  <c r="G38" i="18"/>
  <c r="F38" i="18"/>
  <c r="U38" i="18" s="1"/>
  <c r="C38" i="18"/>
  <c r="B38" i="18"/>
  <c r="A38" i="18"/>
  <c r="Q37" i="18"/>
  <c r="K37" i="18"/>
  <c r="G37" i="18"/>
  <c r="F37" i="18"/>
  <c r="U37" i="18" s="1"/>
  <c r="C37" i="18"/>
  <c r="B37" i="18"/>
  <c r="A37" i="18"/>
  <c r="Q36" i="18"/>
  <c r="K36" i="18"/>
  <c r="G36" i="18"/>
  <c r="F36" i="18"/>
  <c r="U36" i="18" s="1"/>
  <c r="C36" i="18"/>
  <c r="B36" i="18"/>
  <c r="A36" i="18"/>
  <c r="Q35" i="18"/>
  <c r="K35" i="18"/>
  <c r="G35" i="18"/>
  <c r="F35" i="18"/>
  <c r="U35" i="18" s="1"/>
  <c r="C35" i="18"/>
  <c r="B35" i="18"/>
  <c r="A35" i="18"/>
  <c r="Q34" i="18"/>
  <c r="K34" i="18"/>
  <c r="G34" i="18"/>
  <c r="F34" i="18"/>
  <c r="U34" i="18" s="1"/>
  <c r="C34" i="18"/>
  <c r="B34" i="18"/>
  <c r="A34" i="18"/>
  <c r="Q33" i="18"/>
  <c r="K33" i="18"/>
  <c r="G33" i="18"/>
  <c r="F33" i="18"/>
  <c r="U33" i="18" s="1"/>
  <c r="C33" i="18"/>
  <c r="B33" i="18"/>
  <c r="A33" i="18"/>
  <c r="Q32" i="18"/>
  <c r="K32" i="18"/>
  <c r="G32" i="18"/>
  <c r="F32" i="18"/>
  <c r="C32" i="18"/>
  <c r="B32" i="18"/>
  <c r="A32" i="18"/>
  <c r="Q31" i="18"/>
  <c r="K31" i="18"/>
  <c r="G31" i="18"/>
  <c r="F31" i="18"/>
  <c r="R31" i="18" s="1"/>
  <c r="C31" i="18"/>
  <c r="B31" i="18"/>
  <c r="A31" i="18"/>
  <c r="Q30" i="18"/>
  <c r="K30" i="18"/>
  <c r="G30" i="18"/>
  <c r="F30" i="18"/>
  <c r="U30" i="18" s="1"/>
  <c r="C30" i="18"/>
  <c r="B30" i="18"/>
  <c r="A30" i="18"/>
  <c r="Q29" i="18"/>
  <c r="K29" i="18"/>
  <c r="G29" i="18"/>
  <c r="F29" i="18"/>
  <c r="C29" i="18"/>
  <c r="B29" i="18"/>
  <c r="A29" i="18"/>
  <c r="Q28" i="18"/>
  <c r="K28" i="18"/>
  <c r="G28" i="18"/>
  <c r="F28" i="18"/>
  <c r="S28" i="18" s="1"/>
  <c r="C28" i="18"/>
  <c r="B28" i="18"/>
  <c r="A28" i="18"/>
  <c r="U27" i="18"/>
  <c r="Q27" i="18"/>
  <c r="K27" i="18"/>
  <c r="G27" i="18"/>
  <c r="F27" i="18"/>
  <c r="S27" i="18" s="1"/>
  <c r="C27" i="18"/>
  <c r="B27" i="18"/>
  <c r="A27" i="18"/>
  <c r="Q26" i="18"/>
  <c r="K26" i="18"/>
  <c r="G26" i="18"/>
  <c r="F26" i="18"/>
  <c r="U26" i="18" s="1"/>
  <c r="C26" i="18"/>
  <c r="B26" i="18"/>
  <c r="A26" i="18"/>
  <c r="G25" i="18"/>
  <c r="F25" i="18"/>
  <c r="C25" i="18"/>
  <c r="B25" i="18"/>
  <c r="A25" i="18"/>
  <c r="Q24" i="18"/>
  <c r="K24" i="18"/>
  <c r="G24" i="18"/>
  <c r="F24" i="18"/>
  <c r="U24" i="18" s="1"/>
  <c r="C24" i="18"/>
  <c r="B24" i="18"/>
  <c r="A24" i="18"/>
  <c r="Q23" i="18"/>
  <c r="K23" i="18"/>
  <c r="G23" i="18"/>
  <c r="F23" i="18"/>
  <c r="U23" i="18" s="1"/>
  <c r="C23" i="18"/>
  <c r="B23" i="18"/>
  <c r="A23" i="18"/>
  <c r="Q22" i="18"/>
  <c r="K22" i="18"/>
  <c r="G22" i="18"/>
  <c r="F22" i="18"/>
  <c r="U22" i="18" s="1"/>
  <c r="C22" i="18"/>
  <c r="B22" i="18"/>
  <c r="A22" i="18"/>
  <c r="Q21" i="18"/>
  <c r="K21" i="18"/>
  <c r="G21" i="18"/>
  <c r="F21" i="18"/>
  <c r="U21" i="18" s="1"/>
  <c r="C21" i="18"/>
  <c r="B21" i="18"/>
  <c r="A21" i="18"/>
  <c r="V16" i="18"/>
  <c r="V15" i="18"/>
  <c r="V14" i="18"/>
  <c r="V13" i="18"/>
  <c r="V12" i="18"/>
  <c r="B4" i="18"/>
  <c r="B6" i="18" s="1"/>
  <c r="Q58" i="17"/>
  <c r="K58" i="17"/>
  <c r="G58" i="17"/>
  <c r="F58" i="17"/>
  <c r="U58" i="17" s="1"/>
  <c r="C58" i="17"/>
  <c r="B58" i="17"/>
  <c r="A58" i="17"/>
  <c r="U57" i="17"/>
  <c r="Q57" i="17"/>
  <c r="K57" i="17"/>
  <c r="G57" i="17"/>
  <c r="F57" i="17"/>
  <c r="R57" i="17" s="1"/>
  <c r="C57" i="17"/>
  <c r="B57" i="17"/>
  <c r="A57" i="17"/>
  <c r="U56" i="17"/>
  <c r="Q56" i="17"/>
  <c r="K56" i="17"/>
  <c r="G56" i="17"/>
  <c r="F56" i="17"/>
  <c r="S56" i="17" s="1"/>
  <c r="C56" i="17"/>
  <c r="B56" i="17"/>
  <c r="A56" i="17"/>
  <c r="Q55" i="17"/>
  <c r="K55" i="17"/>
  <c r="G55" i="17"/>
  <c r="F55" i="17"/>
  <c r="R55" i="17" s="1"/>
  <c r="C55" i="17"/>
  <c r="B55" i="17"/>
  <c r="A55" i="17"/>
  <c r="U54" i="17"/>
  <c r="Q54" i="17"/>
  <c r="K54" i="17"/>
  <c r="G54" i="17"/>
  <c r="F54" i="17"/>
  <c r="S54" i="17" s="1"/>
  <c r="C54" i="17"/>
  <c r="B54" i="17"/>
  <c r="A54" i="17"/>
  <c r="U53" i="17"/>
  <c r="Q53" i="17"/>
  <c r="K53" i="17"/>
  <c r="G53" i="17"/>
  <c r="F53" i="17"/>
  <c r="S53" i="17" s="1"/>
  <c r="C53" i="17"/>
  <c r="B53" i="17"/>
  <c r="A53" i="17"/>
  <c r="U52" i="17"/>
  <c r="Q52" i="17"/>
  <c r="K52" i="17"/>
  <c r="G52" i="17"/>
  <c r="F52" i="17"/>
  <c r="C52" i="17"/>
  <c r="B52" i="17"/>
  <c r="A52" i="17"/>
  <c r="U51" i="17"/>
  <c r="Q51" i="17"/>
  <c r="K51" i="17"/>
  <c r="G51" i="17"/>
  <c r="F51" i="17"/>
  <c r="S51" i="17" s="1"/>
  <c r="C51" i="17"/>
  <c r="B51" i="17"/>
  <c r="A51" i="17"/>
  <c r="Q50" i="17"/>
  <c r="K50" i="17"/>
  <c r="G50" i="17"/>
  <c r="F50" i="17"/>
  <c r="U50" i="17" s="1"/>
  <c r="C50" i="17"/>
  <c r="B50" i="17"/>
  <c r="A50" i="17"/>
  <c r="Q49" i="17"/>
  <c r="K49" i="17"/>
  <c r="G49" i="17"/>
  <c r="F49" i="17"/>
  <c r="U49" i="17" s="1"/>
  <c r="C49" i="17"/>
  <c r="B49" i="17"/>
  <c r="A49" i="17"/>
  <c r="Q48" i="17"/>
  <c r="K48" i="17"/>
  <c r="G48" i="17"/>
  <c r="F48" i="17"/>
  <c r="U48" i="17" s="1"/>
  <c r="C48" i="17"/>
  <c r="B48" i="17"/>
  <c r="A48" i="17"/>
  <c r="Q47" i="17"/>
  <c r="K47" i="17"/>
  <c r="G47" i="17"/>
  <c r="F47" i="17"/>
  <c r="U47" i="17" s="1"/>
  <c r="C47" i="17"/>
  <c r="B47" i="17"/>
  <c r="A47" i="17"/>
  <c r="Q46" i="17"/>
  <c r="K46" i="17"/>
  <c r="G46" i="17"/>
  <c r="F46" i="17"/>
  <c r="U46" i="17" s="1"/>
  <c r="C46" i="17"/>
  <c r="B46" i="17"/>
  <c r="A46" i="17"/>
  <c r="U45" i="17"/>
  <c r="Q45" i="17"/>
  <c r="K45" i="17"/>
  <c r="G45" i="17"/>
  <c r="F45" i="17"/>
  <c r="R45" i="17" s="1"/>
  <c r="C45" i="17"/>
  <c r="B45" i="17"/>
  <c r="A45" i="17"/>
  <c r="U44" i="17"/>
  <c r="Q44" i="17"/>
  <c r="K44" i="17"/>
  <c r="G44" i="17"/>
  <c r="F44" i="17"/>
  <c r="S44" i="17" s="1"/>
  <c r="C44" i="17"/>
  <c r="B44" i="17"/>
  <c r="A44" i="17"/>
  <c r="Q43" i="17"/>
  <c r="K43" i="17"/>
  <c r="G43" i="17"/>
  <c r="F43" i="17"/>
  <c r="R43" i="17" s="1"/>
  <c r="C43" i="17"/>
  <c r="B43" i="17"/>
  <c r="A43" i="17"/>
  <c r="Q42" i="17"/>
  <c r="K42" i="17"/>
  <c r="G42" i="17"/>
  <c r="F42" i="17"/>
  <c r="S42" i="17" s="1"/>
  <c r="C42" i="17"/>
  <c r="B42" i="17"/>
  <c r="A42" i="17"/>
  <c r="Q41" i="17"/>
  <c r="K41" i="17"/>
  <c r="G41" i="17"/>
  <c r="F41" i="17"/>
  <c r="C41" i="17"/>
  <c r="B41" i="17"/>
  <c r="A41" i="17"/>
  <c r="U40" i="17"/>
  <c r="Q40" i="17"/>
  <c r="K40" i="17"/>
  <c r="G40" i="17"/>
  <c r="F40" i="17"/>
  <c r="R40" i="17" s="1"/>
  <c r="C40" i="17"/>
  <c r="B40" i="17"/>
  <c r="A40" i="17"/>
  <c r="Q39" i="17"/>
  <c r="K39" i="17"/>
  <c r="G39" i="17"/>
  <c r="F39" i="17"/>
  <c r="U39" i="17" s="1"/>
  <c r="C39" i="17"/>
  <c r="B39" i="17"/>
  <c r="A39" i="17"/>
  <c r="Q38" i="17"/>
  <c r="K38" i="17"/>
  <c r="G38" i="17"/>
  <c r="F38" i="17"/>
  <c r="U38" i="17" s="1"/>
  <c r="C38" i="17"/>
  <c r="B38" i="17"/>
  <c r="A38" i="17"/>
  <c r="Q37" i="17"/>
  <c r="K37" i="17"/>
  <c r="G37" i="17"/>
  <c r="F37" i="17"/>
  <c r="U37" i="17" s="1"/>
  <c r="C37" i="17"/>
  <c r="B37" i="17"/>
  <c r="A37" i="17"/>
  <c r="Q36" i="17"/>
  <c r="K36" i="17"/>
  <c r="G36" i="17"/>
  <c r="F36" i="17"/>
  <c r="U36" i="17" s="1"/>
  <c r="C36" i="17"/>
  <c r="B36" i="17"/>
  <c r="A36" i="17"/>
  <c r="Q35" i="17"/>
  <c r="K35" i="17"/>
  <c r="G35" i="17"/>
  <c r="F35" i="17"/>
  <c r="U35" i="17" s="1"/>
  <c r="C35" i="17"/>
  <c r="B35" i="17"/>
  <c r="A35" i="17"/>
  <c r="Q34" i="17"/>
  <c r="K34" i="17"/>
  <c r="G34" i="17"/>
  <c r="F34" i="17"/>
  <c r="U34" i="17" s="1"/>
  <c r="C34" i="17"/>
  <c r="B34" i="17"/>
  <c r="A34" i="17"/>
  <c r="Q33" i="17"/>
  <c r="K33" i="17"/>
  <c r="G33" i="17"/>
  <c r="F33" i="17"/>
  <c r="U33" i="17" s="1"/>
  <c r="C33" i="17"/>
  <c r="B33" i="17"/>
  <c r="A33" i="17"/>
  <c r="Q32" i="17"/>
  <c r="K32" i="17"/>
  <c r="G32" i="17"/>
  <c r="F32" i="17"/>
  <c r="S32" i="17" s="1"/>
  <c r="C32" i="17"/>
  <c r="B32" i="17"/>
  <c r="A32" i="17"/>
  <c r="Q31" i="17"/>
  <c r="K31" i="17"/>
  <c r="G31" i="17"/>
  <c r="F31" i="17"/>
  <c r="C31" i="17"/>
  <c r="B31" i="17"/>
  <c r="A31" i="17"/>
  <c r="Q30" i="17"/>
  <c r="K30" i="17"/>
  <c r="G30" i="17"/>
  <c r="F30" i="17"/>
  <c r="S30" i="17" s="1"/>
  <c r="C30" i="17"/>
  <c r="B30" i="17"/>
  <c r="A30" i="17"/>
  <c r="Q29" i="17"/>
  <c r="K29" i="17"/>
  <c r="G29" i="17"/>
  <c r="F29" i="17"/>
  <c r="U29" i="17" s="1"/>
  <c r="C29" i="17"/>
  <c r="B29" i="17"/>
  <c r="A29" i="17"/>
  <c r="Q28" i="17"/>
  <c r="K28" i="17"/>
  <c r="G28" i="17"/>
  <c r="F28" i="17"/>
  <c r="C28" i="17"/>
  <c r="B28" i="17"/>
  <c r="A28" i="17"/>
  <c r="Q27" i="17"/>
  <c r="K27" i="17"/>
  <c r="G27" i="17"/>
  <c r="F27" i="17"/>
  <c r="U27" i="17" s="1"/>
  <c r="C27" i="17"/>
  <c r="B27" i="17"/>
  <c r="A27" i="17"/>
  <c r="Q26" i="17"/>
  <c r="K26" i="17"/>
  <c r="G26" i="17"/>
  <c r="F26" i="17"/>
  <c r="U26" i="17" s="1"/>
  <c r="C26" i="17"/>
  <c r="B26" i="17"/>
  <c r="A26" i="17"/>
  <c r="G25" i="17"/>
  <c r="F25" i="17"/>
  <c r="R25" i="17" s="1"/>
  <c r="C25" i="17"/>
  <c r="B25" i="17"/>
  <c r="A25" i="17"/>
  <c r="Q24" i="17"/>
  <c r="K24" i="17"/>
  <c r="G24" i="17"/>
  <c r="F24" i="17"/>
  <c r="U24" i="17" s="1"/>
  <c r="C24" i="17"/>
  <c r="B24" i="17"/>
  <c r="A24" i="17"/>
  <c r="Q23" i="17"/>
  <c r="K23" i="17"/>
  <c r="G23" i="17"/>
  <c r="F23" i="17"/>
  <c r="U23" i="17" s="1"/>
  <c r="C23" i="17"/>
  <c r="B23" i="17"/>
  <c r="A23" i="17"/>
  <c r="Q22" i="17"/>
  <c r="K22" i="17"/>
  <c r="G22" i="17"/>
  <c r="F22" i="17"/>
  <c r="U22" i="17" s="1"/>
  <c r="C22" i="17"/>
  <c r="B22" i="17"/>
  <c r="A22" i="17"/>
  <c r="Q21" i="17"/>
  <c r="K21" i="17"/>
  <c r="G21" i="17"/>
  <c r="F21" i="17"/>
  <c r="U21" i="17" s="1"/>
  <c r="C21" i="17"/>
  <c r="B21" i="17"/>
  <c r="A21" i="17"/>
  <c r="V16" i="17"/>
  <c r="V15" i="17"/>
  <c r="V14" i="17"/>
  <c r="V13" i="17"/>
  <c r="V12" i="17"/>
  <c r="B4" i="17"/>
  <c r="B6" i="17" s="1"/>
  <c r="Q58" i="16"/>
  <c r="K58" i="16"/>
  <c r="G58" i="16"/>
  <c r="F58" i="16"/>
  <c r="U58" i="16" s="1"/>
  <c r="C58" i="16"/>
  <c r="B58" i="16"/>
  <c r="A58" i="16"/>
  <c r="U57" i="16"/>
  <c r="Q57" i="16"/>
  <c r="K57" i="16"/>
  <c r="G57" i="16"/>
  <c r="F57" i="16"/>
  <c r="R57" i="16" s="1"/>
  <c r="C57" i="16"/>
  <c r="B57" i="16"/>
  <c r="A57" i="16"/>
  <c r="U56" i="16"/>
  <c r="Q56" i="16"/>
  <c r="K56" i="16"/>
  <c r="G56" i="16"/>
  <c r="F56" i="16"/>
  <c r="C56" i="16"/>
  <c r="B56" i="16"/>
  <c r="A56" i="16"/>
  <c r="Q55" i="16"/>
  <c r="K55" i="16"/>
  <c r="G55" i="16"/>
  <c r="F55" i="16"/>
  <c r="R55" i="16" s="1"/>
  <c r="C55" i="16"/>
  <c r="B55" i="16"/>
  <c r="A55" i="16"/>
  <c r="U54" i="16"/>
  <c r="Q54" i="16"/>
  <c r="K54" i="16"/>
  <c r="G54" i="16"/>
  <c r="F54" i="16"/>
  <c r="S54" i="16" s="1"/>
  <c r="C54" i="16"/>
  <c r="B54" i="16"/>
  <c r="A54" i="16"/>
  <c r="U53" i="16"/>
  <c r="Q53" i="16"/>
  <c r="K53" i="16"/>
  <c r="G53" i="16"/>
  <c r="F53" i="16"/>
  <c r="C53" i="16"/>
  <c r="B53" i="16"/>
  <c r="A53" i="16"/>
  <c r="U52" i="16"/>
  <c r="Q52" i="16"/>
  <c r="K52" i="16"/>
  <c r="G52" i="16"/>
  <c r="F52" i="16"/>
  <c r="S52" i="16" s="1"/>
  <c r="C52" i="16"/>
  <c r="B52" i="16"/>
  <c r="A52" i="16"/>
  <c r="U51" i="16"/>
  <c r="Q51" i="16"/>
  <c r="K51" i="16"/>
  <c r="G51" i="16"/>
  <c r="F51" i="16"/>
  <c r="S51" i="16" s="1"/>
  <c r="C51" i="16"/>
  <c r="B51" i="16"/>
  <c r="A51" i="16"/>
  <c r="Q50" i="16"/>
  <c r="K50" i="16"/>
  <c r="G50" i="16"/>
  <c r="F50" i="16"/>
  <c r="U50" i="16" s="1"/>
  <c r="C50" i="16"/>
  <c r="B50" i="16"/>
  <c r="A50" i="16"/>
  <c r="Q49" i="16"/>
  <c r="K49" i="16"/>
  <c r="G49" i="16"/>
  <c r="F49" i="16"/>
  <c r="U49" i="16" s="1"/>
  <c r="C49" i="16"/>
  <c r="B49" i="16"/>
  <c r="A49" i="16"/>
  <c r="Q48" i="16"/>
  <c r="K48" i="16"/>
  <c r="G48" i="16"/>
  <c r="F48" i="16"/>
  <c r="U48" i="16" s="1"/>
  <c r="C48" i="16"/>
  <c r="B48" i="16"/>
  <c r="A48" i="16"/>
  <c r="Q47" i="16"/>
  <c r="K47" i="16"/>
  <c r="G47" i="16"/>
  <c r="F47" i="16"/>
  <c r="C47" i="16"/>
  <c r="B47" i="16"/>
  <c r="A47" i="16"/>
  <c r="Q46" i="16"/>
  <c r="K46" i="16"/>
  <c r="G46" i="16"/>
  <c r="F46" i="16"/>
  <c r="U46" i="16" s="1"/>
  <c r="C46" i="16"/>
  <c r="B46" i="16"/>
  <c r="A46" i="16"/>
  <c r="U45" i="16"/>
  <c r="Q45" i="16"/>
  <c r="K45" i="16"/>
  <c r="G45" i="16"/>
  <c r="F45" i="16"/>
  <c r="R45" i="16" s="1"/>
  <c r="C45" i="16"/>
  <c r="B45" i="16"/>
  <c r="A45" i="16"/>
  <c r="U44" i="16"/>
  <c r="Q44" i="16"/>
  <c r="K44" i="16"/>
  <c r="G44" i="16"/>
  <c r="F44" i="16"/>
  <c r="S44" i="16" s="1"/>
  <c r="C44" i="16"/>
  <c r="B44" i="16"/>
  <c r="A44" i="16"/>
  <c r="Q43" i="16"/>
  <c r="K43" i="16"/>
  <c r="G43" i="16"/>
  <c r="F43" i="16"/>
  <c r="R43" i="16" s="1"/>
  <c r="C43" i="16"/>
  <c r="B43" i="16"/>
  <c r="A43" i="16"/>
  <c r="Q42" i="16"/>
  <c r="K42" i="16"/>
  <c r="G42" i="16"/>
  <c r="F42" i="16"/>
  <c r="C42" i="16"/>
  <c r="B42" i="16"/>
  <c r="A42" i="16"/>
  <c r="Q41" i="16"/>
  <c r="K41" i="16"/>
  <c r="G41" i="16"/>
  <c r="F41" i="16"/>
  <c r="S41" i="16" s="1"/>
  <c r="C41" i="16"/>
  <c r="B41" i="16"/>
  <c r="A41" i="16"/>
  <c r="U40" i="16"/>
  <c r="Q40" i="16"/>
  <c r="K40" i="16"/>
  <c r="G40" i="16"/>
  <c r="F40" i="16"/>
  <c r="S40" i="16" s="1"/>
  <c r="C40" i="16"/>
  <c r="B40" i="16"/>
  <c r="A40" i="16"/>
  <c r="Q39" i="16"/>
  <c r="K39" i="16"/>
  <c r="G39" i="16"/>
  <c r="F39" i="16"/>
  <c r="U39" i="16" s="1"/>
  <c r="C39" i="16"/>
  <c r="B39" i="16"/>
  <c r="A39" i="16"/>
  <c r="Q38" i="16"/>
  <c r="K38" i="16"/>
  <c r="G38" i="16"/>
  <c r="F38" i="16"/>
  <c r="R38" i="16" s="1"/>
  <c r="C38" i="16"/>
  <c r="B38" i="16"/>
  <c r="A38" i="16"/>
  <c r="Q37" i="16"/>
  <c r="K37" i="16"/>
  <c r="G37" i="16"/>
  <c r="F37" i="16"/>
  <c r="S37" i="16" s="1"/>
  <c r="C37" i="16"/>
  <c r="B37" i="16"/>
  <c r="A37" i="16"/>
  <c r="Q36" i="16"/>
  <c r="K36" i="16"/>
  <c r="G36" i="16"/>
  <c r="F36" i="16"/>
  <c r="U36" i="16" s="1"/>
  <c r="C36" i="16"/>
  <c r="B36" i="16"/>
  <c r="A36" i="16"/>
  <c r="Q35" i="16"/>
  <c r="K35" i="16"/>
  <c r="G35" i="16"/>
  <c r="F35" i="16"/>
  <c r="U35" i="16" s="1"/>
  <c r="C35" i="16"/>
  <c r="B35" i="16"/>
  <c r="A35" i="16"/>
  <c r="Q34" i="16"/>
  <c r="K34" i="16"/>
  <c r="G34" i="16"/>
  <c r="F34" i="16"/>
  <c r="U34" i="16" s="1"/>
  <c r="C34" i="16"/>
  <c r="B34" i="16"/>
  <c r="A34" i="16"/>
  <c r="Q33" i="16"/>
  <c r="K33" i="16"/>
  <c r="G33" i="16"/>
  <c r="F33" i="16"/>
  <c r="U33" i="16" s="1"/>
  <c r="C33" i="16"/>
  <c r="B33" i="16"/>
  <c r="A33" i="16"/>
  <c r="Q32" i="16"/>
  <c r="K32" i="16"/>
  <c r="G32" i="16"/>
  <c r="F32" i="16"/>
  <c r="C32" i="16"/>
  <c r="B32" i="16"/>
  <c r="A32" i="16"/>
  <c r="U31" i="16"/>
  <c r="Q31" i="16"/>
  <c r="K31" i="16"/>
  <c r="G31" i="16"/>
  <c r="F31" i="16"/>
  <c r="R31" i="16" s="1"/>
  <c r="C31" i="16"/>
  <c r="B31" i="16"/>
  <c r="A31" i="16"/>
  <c r="Q30" i="16"/>
  <c r="K30" i="16"/>
  <c r="G30" i="16"/>
  <c r="F30" i="16"/>
  <c r="U30" i="16" s="1"/>
  <c r="C30" i="16"/>
  <c r="B30" i="16"/>
  <c r="A30" i="16"/>
  <c r="Q29" i="16"/>
  <c r="K29" i="16"/>
  <c r="G29" i="16"/>
  <c r="F29" i="16"/>
  <c r="U29" i="16" s="1"/>
  <c r="C29" i="16"/>
  <c r="B29" i="16"/>
  <c r="A29" i="16"/>
  <c r="Q28" i="16"/>
  <c r="K28" i="16"/>
  <c r="G28" i="16"/>
  <c r="F28" i="16"/>
  <c r="S28" i="16" s="1"/>
  <c r="C28" i="16"/>
  <c r="B28" i="16"/>
  <c r="A28" i="16"/>
  <c r="Q27" i="16"/>
  <c r="K27" i="16"/>
  <c r="G27" i="16"/>
  <c r="F27" i="16"/>
  <c r="C27" i="16"/>
  <c r="B27" i="16"/>
  <c r="A27" i="16"/>
  <c r="Q26" i="16"/>
  <c r="K26" i="16"/>
  <c r="G26" i="16"/>
  <c r="F26" i="16"/>
  <c r="C26" i="16"/>
  <c r="B26" i="16"/>
  <c r="A26" i="16"/>
  <c r="G25" i="16"/>
  <c r="F25" i="16"/>
  <c r="R25" i="16" s="1"/>
  <c r="C25" i="16"/>
  <c r="B25" i="16"/>
  <c r="A25" i="16"/>
  <c r="Q24" i="16"/>
  <c r="K24" i="16"/>
  <c r="G24" i="16"/>
  <c r="F24" i="16"/>
  <c r="S24" i="16" s="1"/>
  <c r="C24" i="16"/>
  <c r="B24" i="16"/>
  <c r="A24" i="16"/>
  <c r="Q23" i="16"/>
  <c r="K23" i="16"/>
  <c r="G23" i="16"/>
  <c r="F23" i="16"/>
  <c r="R23" i="16" s="1"/>
  <c r="C23" i="16"/>
  <c r="B23" i="16"/>
  <c r="A23" i="16"/>
  <c r="Q22" i="16"/>
  <c r="K22" i="16"/>
  <c r="G22" i="16"/>
  <c r="F22" i="16"/>
  <c r="U22" i="16" s="1"/>
  <c r="C22" i="16"/>
  <c r="B22" i="16"/>
  <c r="A22" i="16"/>
  <c r="Q21" i="16"/>
  <c r="K21" i="16"/>
  <c r="G21" i="16"/>
  <c r="F21" i="16"/>
  <c r="U21" i="16" s="1"/>
  <c r="C21" i="16"/>
  <c r="B21" i="16"/>
  <c r="A21" i="16"/>
  <c r="V16" i="16"/>
  <c r="V15" i="16"/>
  <c r="V14" i="16"/>
  <c r="V13" i="16"/>
  <c r="V12" i="16"/>
  <c r="B4" i="16"/>
  <c r="B6" i="16" s="1"/>
  <c r="S39" i="17" l="1"/>
  <c r="T27" i="18"/>
  <c r="R46" i="17"/>
  <c r="R27" i="18"/>
  <c r="T32" i="17"/>
  <c r="R39" i="17"/>
  <c r="U43" i="16"/>
  <c r="U41" i="16"/>
  <c r="T54" i="17"/>
  <c r="T30" i="18"/>
  <c r="S29" i="19"/>
  <c r="S31" i="19"/>
  <c r="T30" i="16"/>
  <c r="T43" i="17"/>
  <c r="T55" i="17"/>
  <c r="T40" i="18"/>
  <c r="T44" i="18"/>
  <c r="T56" i="18"/>
  <c r="T43" i="19"/>
  <c r="T55" i="19"/>
  <c r="T40" i="16"/>
  <c r="T52" i="16"/>
  <c r="T54" i="16"/>
  <c r="S43" i="17"/>
  <c r="S55" i="17"/>
  <c r="R40" i="18"/>
  <c r="R44" i="18"/>
  <c r="S54" i="18"/>
  <c r="R56" i="18"/>
  <c r="R39" i="19"/>
  <c r="U55" i="17"/>
  <c r="S39" i="19"/>
  <c r="S43" i="19"/>
  <c r="S55" i="19"/>
  <c r="R40" i="16"/>
  <c r="R54" i="16"/>
  <c r="U55" i="19"/>
  <c r="T31" i="19"/>
  <c r="T51" i="18"/>
  <c r="R36" i="16"/>
  <c r="T51" i="16"/>
  <c r="R29" i="17"/>
  <c r="T44" i="17"/>
  <c r="T28" i="18"/>
  <c r="R51" i="18"/>
  <c r="U29" i="19"/>
  <c r="U31" i="19"/>
  <c r="T54" i="19"/>
  <c r="R30" i="16"/>
  <c r="S29" i="17"/>
  <c r="R50" i="17"/>
  <c r="R54" i="17"/>
  <c r="R30" i="18"/>
  <c r="U28" i="16"/>
  <c r="S30" i="16"/>
  <c r="R51" i="16"/>
  <c r="U42" i="17"/>
  <c r="R44" i="17"/>
  <c r="R48" i="17"/>
  <c r="U28" i="18"/>
  <c r="S30" i="18"/>
  <c r="U43" i="18"/>
  <c r="R38" i="19"/>
  <c r="R50" i="19"/>
  <c r="R54" i="19"/>
  <c r="T43" i="16"/>
  <c r="R47" i="18"/>
  <c r="T41" i="16"/>
  <c r="R46" i="19"/>
  <c r="S43" i="16"/>
  <c r="R31" i="17"/>
  <c r="U31" i="17"/>
  <c r="S31" i="17"/>
  <c r="S52" i="19"/>
  <c r="R52" i="19"/>
  <c r="S32" i="16"/>
  <c r="U32" i="16"/>
  <c r="T52" i="17"/>
  <c r="S39" i="18"/>
  <c r="R39" i="18"/>
  <c r="U39" i="18"/>
  <c r="T32" i="16"/>
  <c r="U47" i="16"/>
  <c r="R47" i="16"/>
  <c r="S29" i="18"/>
  <c r="R29" i="18"/>
  <c r="U29" i="18"/>
  <c r="U27" i="16"/>
  <c r="S27" i="16"/>
  <c r="R27" i="16"/>
  <c r="U42" i="18"/>
  <c r="S42" i="18"/>
  <c r="R42" i="18"/>
  <c r="T27" i="16"/>
  <c r="S56" i="16"/>
  <c r="R56" i="16"/>
  <c r="T41" i="17"/>
  <c r="S42" i="16"/>
  <c r="R42" i="16"/>
  <c r="U42" i="16"/>
  <c r="T41" i="19"/>
  <c r="S52" i="17"/>
  <c r="R52" i="17"/>
  <c r="S32" i="18"/>
  <c r="U32" i="18"/>
  <c r="S53" i="18"/>
  <c r="R53" i="18"/>
  <c r="T31" i="17"/>
  <c r="S53" i="16"/>
  <c r="R53" i="16"/>
  <c r="T32" i="18"/>
  <c r="T52" i="19"/>
  <c r="U28" i="19"/>
  <c r="S28" i="19"/>
  <c r="R28" i="19"/>
  <c r="U41" i="17"/>
  <c r="S41" i="17"/>
  <c r="R41" i="17"/>
  <c r="U41" i="19"/>
  <c r="S41" i="19"/>
  <c r="R41" i="19"/>
  <c r="T56" i="16"/>
  <c r="U28" i="17"/>
  <c r="S28" i="17"/>
  <c r="R28" i="17"/>
  <c r="S29" i="16"/>
  <c r="R39" i="16"/>
  <c r="T55" i="16"/>
  <c r="U43" i="17"/>
  <c r="T56" i="17"/>
  <c r="T31" i="18"/>
  <c r="T41" i="18"/>
  <c r="R50" i="18"/>
  <c r="T52" i="18"/>
  <c r="S55" i="18"/>
  <c r="T27" i="19"/>
  <c r="R30" i="19"/>
  <c r="U43" i="19"/>
  <c r="T56" i="19"/>
  <c r="T51" i="17"/>
  <c r="T31" i="16"/>
  <c r="S39" i="16"/>
  <c r="R44" i="16"/>
  <c r="R46" i="18"/>
  <c r="S30" i="19"/>
  <c r="R50" i="16"/>
  <c r="S40" i="17"/>
  <c r="R56" i="17"/>
  <c r="R52" i="18"/>
  <c r="R56" i="19"/>
  <c r="S31" i="16"/>
  <c r="U55" i="16"/>
  <c r="U30" i="17"/>
  <c r="U31" i="18"/>
  <c r="S41" i="18"/>
  <c r="S27" i="19"/>
  <c r="U32" i="19"/>
  <c r="T42" i="19"/>
  <c r="T53" i="19"/>
  <c r="R41" i="16"/>
  <c r="R52" i="16"/>
  <c r="S27" i="17"/>
  <c r="U32" i="17"/>
  <c r="R28" i="18"/>
  <c r="U41" i="18"/>
  <c r="T43" i="18"/>
  <c r="T54" i="18"/>
  <c r="U27" i="19"/>
  <c r="T29" i="19"/>
  <c r="T42" i="18"/>
  <c r="T28" i="19"/>
  <c r="T42" i="16"/>
  <c r="T53" i="16"/>
  <c r="T29" i="18"/>
  <c r="T39" i="18"/>
  <c r="T29" i="16"/>
  <c r="T39" i="16"/>
  <c r="T55" i="18"/>
  <c r="T30" i="19"/>
  <c r="R29" i="16"/>
  <c r="T44" i="16"/>
  <c r="T30" i="17"/>
  <c r="T40" i="17"/>
  <c r="T40" i="19"/>
  <c r="T51" i="19"/>
  <c r="T27" i="17"/>
  <c r="R30" i="17"/>
  <c r="R51" i="17"/>
  <c r="R48" i="18"/>
  <c r="U55" i="18"/>
  <c r="T32" i="19"/>
  <c r="R40" i="19"/>
  <c r="R51" i="19"/>
  <c r="S55" i="16"/>
  <c r="R47" i="17"/>
  <c r="S31" i="18"/>
  <c r="R47" i="19"/>
  <c r="T28" i="16"/>
  <c r="R46" i="16"/>
  <c r="R48" i="16"/>
  <c r="R27" i="17"/>
  <c r="T42" i="17"/>
  <c r="T53" i="17"/>
  <c r="R28" i="16"/>
  <c r="T29" i="17"/>
  <c r="T39" i="17"/>
  <c r="R42" i="17"/>
  <c r="R53" i="17"/>
  <c r="T39" i="19"/>
  <c r="R42" i="19"/>
  <c r="R53" i="19"/>
  <c r="T53" i="18"/>
  <c r="T28" i="17"/>
  <c r="S43" i="18"/>
  <c r="T45" i="16"/>
  <c r="T33" i="18"/>
  <c r="T45" i="18"/>
  <c r="T58" i="19"/>
  <c r="T26" i="16"/>
  <c r="T45" i="17"/>
  <c r="T33" i="17"/>
  <c r="T45" i="19"/>
  <c r="T58" i="16"/>
  <c r="T33" i="16"/>
  <c r="T57" i="16"/>
  <c r="T33" i="19"/>
  <c r="T57" i="19"/>
  <c r="T57" i="18"/>
  <c r="T58" i="17"/>
  <c r="T57" i="17"/>
  <c r="T58" i="18"/>
  <c r="S6" i="19"/>
  <c r="F6" i="19"/>
  <c r="A1" i="19"/>
  <c r="F4" i="19"/>
  <c r="R24" i="19"/>
  <c r="R25" i="19"/>
  <c r="S26" i="19"/>
  <c r="R37" i="19"/>
  <c r="S38" i="19"/>
  <c r="R49" i="19"/>
  <c r="S50" i="19"/>
  <c r="S4" i="19"/>
  <c r="R23" i="19"/>
  <c r="S24" i="19"/>
  <c r="S25" i="19"/>
  <c r="T26" i="19"/>
  <c r="R36" i="19"/>
  <c r="S37" i="19"/>
  <c r="T38" i="19"/>
  <c r="S49" i="19"/>
  <c r="T50" i="19"/>
  <c r="R22" i="19"/>
  <c r="S23" i="19"/>
  <c r="T24" i="19"/>
  <c r="R35" i="19"/>
  <c r="S36" i="19"/>
  <c r="T37" i="19"/>
  <c r="S48" i="19"/>
  <c r="T49" i="19"/>
  <c r="B5" i="19"/>
  <c r="R21" i="19"/>
  <c r="S22" i="19"/>
  <c r="T23" i="19"/>
  <c r="R34" i="19"/>
  <c r="S35" i="19"/>
  <c r="T36" i="19"/>
  <c r="S47" i="19"/>
  <c r="T48" i="19"/>
  <c r="R58" i="19"/>
  <c r="F5" i="19"/>
  <c r="S21" i="19"/>
  <c r="T22" i="19"/>
  <c r="R33" i="19"/>
  <c r="S34" i="19"/>
  <c r="T35" i="19"/>
  <c r="S46" i="19"/>
  <c r="T47" i="19"/>
  <c r="S58" i="19"/>
  <c r="S5" i="19"/>
  <c r="T21" i="19"/>
  <c r="R32" i="19"/>
  <c r="S33" i="19"/>
  <c r="T34" i="19"/>
  <c r="S45" i="19"/>
  <c r="T46" i="19"/>
  <c r="S57" i="19"/>
  <c r="F6" i="18"/>
  <c r="S6" i="18"/>
  <c r="R26" i="18"/>
  <c r="R38" i="18"/>
  <c r="A1" i="18"/>
  <c r="F4" i="18"/>
  <c r="R24" i="18"/>
  <c r="R25" i="18"/>
  <c r="S26" i="18"/>
  <c r="R37" i="18"/>
  <c r="S38" i="18"/>
  <c r="R49" i="18"/>
  <c r="S50" i="18"/>
  <c r="S4" i="18"/>
  <c r="R23" i="18"/>
  <c r="S24" i="18"/>
  <c r="S25" i="18"/>
  <c r="T26" i="18"/>
  <c r="R36" i="18"/>
  <c r="S37" i="18"/>
  <c r="T38" i="18"/>
  <c r="S49" i="18"/>
  <c r="T50" i="18"/>
  <c r="R22" i="18"/>
  <c r="S23" i="18"/>
  <c r="T24" i="18"/>
  <c r="R35" i="18"/>
  <c r="S36" i="18"/>
  <c r="T37" i="18"/>
  <c r="S48" i="18"/>
  <c r="T49" i="18"/>
  <c r="B5" i="18"/>
  <c r="R21" i="18"/>
  <c r="S22" i="18"/>
  <c r="T23" i="18"/>
  <c r="R34" i="18"/>
  <c r="S35" i="18"/>
  <c r="T36" i="18"/>
  <c r="S47" i="18"/>
  <c r="T48" i="18"/>
  <c r="R58" i="18"/>
  <c r="F5" i="18"/>
  <c r="S21" i="18"/>
  <c r="T22" i="18"/>
  <c r="R33" i="18"/>
  <c r="S34" i="18"/>
  <c r="T35" i="18"/>
  <c r="S46" i="18"/>
  <c r="T47" i="18"/>
  <c r="S58" i="18"/>
  <c r="S5" i="18"/>
  <c r="T21" i="18"/>
  <c r="R32" i="18"/>
  <c r="S33" i="18"/>
  <c r="T34" i="18"/>
  <c r="S45" i="18"/>
  <c r="T46" i="18"/>
  <c r="S57" i="18"/>
  <c r="S6" i="17"/>
  <c r="F6" i="17"/>
  <c r="R26" i="17"/>
  <c r="R38" i="17"/>
  <c r="R24" i="17"/>
  <c r="S26" i="17"/>
  <c r="R37" i="17"/>
  <c r="S38" i="17"/>
  <c r="R49" i="17"/>
  <c r="S50" i="17"/>
  <c r="F4" i="17"/>
  <c r="S4" i="17"/>
  <c r="R23" i="17"/>
  <c r="S24" i="17"/>
  <c r="S25" i="17"/>
  <c r="T26" i="17"/>
  <c r="R36" i="17"/>
  <c r="S37" i="17"/>
  <c r="T38" i="17"/>
  <c r="S49" i="17"/>
  <c r="T50" i="17"/>
  <c r="R22" i="17"/>
  <c r="S23" i="17"/>
  <c r="T24" i="17"/>
  <c r="R35" i="17"/>
  <c r="S36" i="17"/>
  <c r="T37" i="17"/>
  <c r="S48" i="17"/>
  <c r="T49" i="17"/>
  <c r="A1" i="17"/>
  <c r="B5" i="17"/>
  <c r="R21" i="17"/>
  <c r="S22" i="17"/>
  <c r="T23" i="17"/>
  <c r="R34" i="17"/>
  <c r="S35" i="17"/>
  <c r="T36" i="17"/>
  <c r="S47" i="17"/>
  <c r="T48" i="17"/>
  <c r="R58" i="17"/>
  <c r="F5" i="17"/>
  <c r="S21" i="17"/>
  <c r="T22" i="17"/>
  <c r="R33" i="17"/>
  <c r="S34" i="17"/>
  <c r="T35" i="17"/>
  <c r="S46" i="17"/>
  <c r="T47" i="17"/>
  <c r="S58" i="17"/>
  <c r="S5" i="17"/>
  <c r="T21" i="17"/>
  <c r="R32" i="17"/>
  <c r="S33" i="17"/>
  <c r="T34" i="17"/>
  <c r="S45" i="17"/>
  <c r="T46" i="17"/>
  <c r="S57" i="17"/>
  <c r="F6" i="16"/>
  <c r="S6" i="16"/>
  <c r="R37" i="16"/>
  <c r="S38" i="16"/>
  <c r="R49" i="16"/>
  <c r="S50" i="16"/>
  <c r="S49" i="16"/>
  <c r="T50" i="16"/>
  <c r="A1" i="16"/>
  <c r="S26" i="16"/>
  <c r="S4" i="16"/>
  <c r="S25" i="16"/>
  <c r="T38" i="16"/>
  <c r="R22" i="16"/>
  <c r="S23" i="16"/>
  <c r="T24" i="16"/>
  <c r="U26" i="16"/>
  <c r="R35" i="16"/>
  <c r="S36" i="16"/>
  <c r="T37" i="16"/>
  <c r="U38" i="16"/>
  <c r="S48" i="16"/>
  <c r="T49" i="16"/>
  <c r="R21" i="16"/>
  <c r="S22" i="16"/>
  <c r="T23" i="16"/>
  <c r="U24" i="16"/>
  <c r="R34" i="16"/>
  <c r="S35" i="16"/>
  <c r="T36" i="16"/>
  <c r="U37" i="16"/>
  <c r="S47" i="16"/>
  <c r="T48" i="16"/>
  <c r="R58" i="16"/>
  <c r="R26" i="16"/>
  <c r="S21" i="16"/>
  <c r="T22" i="16"/>
  <c r="U23" i="16"/>
  <c r="R33" i="16"/>
  <c r="S34" i="16"/>
  <c r="T35" i="16"/>
  <c r="S46" i="16"/>
  <c r="T47" i="16"/>
  <c r="S58" i="16"/>
  <c r="F4" i="16"/>
  <c r="R24" i="16"/>
  <c r="B5" i="16"/>
  <c r="T21" i="16"/>
  <c r="R32" i="16"/>
  <c r="S33" i="16"/>
  <c r="T34" i="16"/>
  <c r="S45" i="16"/>
  <c r="T46" i="16"/>
  <c r="S57" i="16"/>
  <c r="F5" i="16"/>
  <c r="S5" i="16"/>
  <c r="R16" i="19"/>
  <c r="M16" i="19"/>
  <c r="G13" i="18"/>
  <c r="G14" i="19"/>
  <c r="L16" i="19"/>
  <c r="J15" i="18"/>
  <c r="S15" i="16"/>
  <c r="D15" i="17"/>
  <c r="M12" i="19"/>
  <c r="S13" i="19"/>
  <c r="E16" i="16"/>
  <c r="E12" i="19"/>
  <c r="R11" i="2" l="1"/>
  <c r="Q11" i="2" s="1"/>
  <c r="U4" i="17" s="1"/>
  <c r="R12" i="2"/>
  <c r="Q12" i="2" s="1"/>
  <c r="U4" i="18" s="1"/>
  <c r="R13" i="2"/>
  <c r="Q13" i="2" s="1"/>
  <c r="U4" i="19" s="1"/>
  <c r="R14" i="2"/>
  <c r="Q14" i="2" s="1"/>
  <c r="U4" i="16" s="1"/>
  <c r="B4" i="9"/>
  <c r="J12" i="19"/>
  <c r="L15" i="16"/>
  <c r="D12" i="18"/>
  <c r="R12" i="17"/>
  <c r="S12" i="16"/>
  <c r="L16" i="16"/>
  <c r="K12" i="17"/>
  <c r="K12" i="16"/>
  <c r="E13" i="18"/>
  <c r="F13" i="17"/>
  <c r="F13" i="16"/>
  <c r="K14" i="18"/>
  <c r="T15" i="16"/>
  <c r="S15" i="18"/>
  <c r="M16" i="17"/>
  <c r="R15" i="17"/>
  <c r="A45" i="5"/>
  <c r="T14" i="19"/>
  <c r="U16" i="17"/>
  <c r="R13" i="16"/>
  <c r="M15" i="18"/>
  <c r="L12" i="18"/>
  <c r="M15" i="16"/>
  <c r="J15" i="17"/>
  <c r="K12" i="19"/>
  <c r="T14" i="16"/>
  <c r="D15" i="19"/>
  <c r="L12" i="19"/>
  <c r="U15" i="19"/>
  <c r="T16" i="16"/>
  <c r="R14" i="17"/>
  <c r="R14" i="19"/>
  <c r="J14" i="17"/>
  <c r="J14" i="19"/>
  <c r="F12" i="18"/>
  <c r="R16" i="17"/>
  <c r="G15" i="18"/>
  <c r="E12" i="17"/>
  <c r="K14" i="17"/>
  <c r="E16" i="17"/>
  <c r="S16" i="17"/>
  <c r="G15" i="19"/>
  <c r="K15" i="17"/>
  <c r="J15" i="19"/>
  <c r="R12" i="19"/>
  <c r="D14" i="18"/>
  <c r="U14" i="19"/>
  <c r="D13" i="17"/>
  <c r="G16" i="17"/>
  <c r="J14" i="18"/>
  <c r="E13" i="17"/>
  <c r="D16" i="16"/>
  <c r="V4" i="7"/>
  <c r="E15" i="17"/>
  <c r="G14" i="18"/>
  <c r="M12" i="17"/>
  <c r="J12" i="18"/>
  <c r="G14" i="17"/>
  <c r="T15" i="18"/>
  <c r="G12" i="16"/>
  <c r="S14" i="17"/>
  <c r="T15" i="17"/>
  <c r="T14" i="17"/>
  <c r="D14" i="17"/>
  <c r="L14" i="19"/>
  <c r="S4" i="7"/>
  <c r="U15" i="18"/>
  <c r="T16" i="17"/>
  <c r="G15" i="16"/>
  <c r="R12" i="16"/>
  <c r="D12" i="19"/>
  <c r="U14" i="18"/>
  <c r="A44" i="5"/>
  <c r="M12" i="16"/>
  <c r="M15" i="17"/>
  <c r="R16" i="18"/>
  <c r="M14" i="19"/>
  <c r="A51" i="5"/>
  <c r="F15" i="17"/>
  <c r="U14" i="17"/>
  <c r="D12" i="16"/>
  <c r="S12" i="17"/>
  <c r="M15" i="19"/>
  <c r="E12" i="18"/>
  <c r="T4" i="7"/>
  <c r="E14" i="18"/>
  <c r="G12" i="18"/>
  <c r="G12" i="17"/>
  <c r="F13" i="18"/>
  <c r="E15" i="19"/>
  <c r="F15" i="18"/>
  <c r="L16" i="17"/>
  <c r="D15" i="16"/>
  <c r="M16" i="16"/>
  <c r="G13" i="19"/>
  <c r="L16" i="18"/>
  <c r="S12" i="19"/>
  <c r="S13" i="17"/>
  <c r="A46" i="5"/>
  <c r="F15" i="19"/>
  <c r="D15" i="18"/>
  <c r="D12" i="17"/>
  <c r="F13" i="19"/>
  <c r="F15" i="16"/>
  <c r="G16" i="18"/>
  <c r="S12" i="18"/>
  <c r="K15" i="18"/>
  <c r="R13" i="19"/>
  <c r="J15" i="16"/>
  <c r="D14" i="19"/>
  <c r="U16" i="16"/>
  <c r="D16" i="19"/>
  <c r="K16" i="17"/>
  <c r="F16" i="18"/>
  <c r="U15" i="17"/>
  <c r="T14" i="18"/>
  <c r="S15" i="19"/>
  <c r="E16" i="18"/>
  <c r="S13" i="18"/>
  <c r="A49" i="5"/>
  <c r="E14" i="16"/>
  <c r="F14" i="19"/>
  <c r="K12" i="18"/>
  <c r="E15" i="18"/>
  <c r="A43" i="5"/>
  <c r="L15" i="17"/>
  <c r="E16" i="19"/>
  <c r="U15" i="16"/>
  <c r="D16" i="18"/>
  <c r="U4" i="7"/>
  <c r="R14" i="16"/>
  <c r="S14" i="16"/>
  <c r="M14" i="16"/>
  <c r="N4" i="7"/>
  <c r="J16" i="16"/>
  <c r="M14" i="17"/>
  <c r="O4" i="7"/>
  <c r="D13" i="19"/>
  <c r="A50" i="5"/>
  <c r="U14" i="16"/>
  <c r="K16" i="18"/>
  <c r="L15" i="18"/>
  <c r="J12" i="17"/>
  <c r="L14" i="18"/>
  <c r="M14" i="18"/>
  <c r="E14" i="19"/>
  <c r="M16" i="18"/>
  <c r="K14" i="19"/>
  <c r="F14" i="16"/>
  <c r="G14" i="16"/>
  <c r="T15" i="19"/>
  <c r="E15" i="16"/>
  <c r="F12" i="19"/>
  <c r="L14" i="17"/>
  <c r="G12" i="19"/>
  <c r="F12" i="17"/>
  <c r="S16" i="19"/>
  <c r="S16" i="16"/>
  <c r="R15" i="16"/>
  <c r="F16" i="19"/>
  <c r="L12" i="17"/>
  <c r="J14" i="16"/>
  <c r="S14" i="19"/>
  <c r="T16" i="19"/>
  <c r="E13" i="16"/>
  <c r="R16" i="16"/>
  <c r="J16" i="18"/>
  <c r="L12" i="16"/>
  <c r="S14" i="18"/>
  <c r="J12" i="16"/>
  <c r="J16" i="19"/>
  <c r="G13" i="17"/>
  <c r="S16" i="18"/>
  <c r="R14" i="18"/>
  <c r="R12" i="18"/>
  <c r="K14" i="16"/>
  <c r="A48" i="5"/>
  <c r="E12" i="16"/>
  <c r="G15" i="17"/>
  <c r="G16" i="16"/>
  <c r="F16" i="16"/>
  <c r="M12" i="18"/>
  <c r="E13" i="19"/>
  <c r="L15" i="19"/>
  <c r="D13" i="16"/>
  <c r="F14" i="17"/>
  <c r="R13" i="17"/>
  <c r="K15" i="16"/>
  <c r="T16" i="18"/>
  <c r="A47" i="5"/>
  <c r="G16" i="19"/>
  <c r="D16" i="17"/>
  <c r="F16" i="17"/>
  <c r="G13" i="16"/>
  <c r="D13" i="18"/>
  <c r="F12" i="16"/>
  <c r="R15" i="19"/>
  <c r="F14" i="18"/>
  <c r="L14" i="16"/>
  <c r="K16" i="19"/>
  <c r="U16" i="18"/>
  <c r="U16" i="19"/>
  <c r="D14" i="16"/>
  <c r="R15" i="18"/>
  <c r="J16" i="17"/>
  <c r="E14" i="17"/>
  <c r="S13" i="16"/>
  <c r="R13" i="18"/>
  <c r="K15" i="19"/>
  <c r="S15" i="17"/>
  <c r="P4" i="7"/>
  <c r="K16" i="16"/>
  <c r="H13" i="16" l="1"/>
  <c r="X13" i="16" s="1"/>
  <c r="N15" i="19"/>
  <c r="O14" i="19"/>
  <c r="Y14" i="19" s="1"/>
  <c r="H14" i="19"/>
  <c r="X14" i="19" s="1"/>
  <c r="H16" i="19"/>
  <c r="X16" i="19" s="1"/>
  <c r="O16" i="19"/>
  <c r="Y16" i="19" s="1"/>
  <c r="N12" i="16"/>
  <c r="R17" i="16"/>
  <c r="H13" i="19"/>
  <c r="X13" i="19" s="1"/>
  <c r="N15" i="17"/>
  <c r="H12" i="19"/>
  <c r="X12" i="19" s="1"/>
  <c r="G17" i="19"/>
  <c r="H15" i="18"/>
  <c r="X15" i="18" s="1"/>
  <c r="S17" i="16"/>
  <c r="N14" i="17"/>
  <c r="E17" i="19"/>
  <c r="H14" i="17"/>
  <c r="X14" i="17" s="1"/>
  <c r="O14" i="17"/>
  <c r="Y14" i="17" s="1"/>
  <c r="G17" i="17"/>
  <c r="H12" i="17"/>
  <c r="X12" i="17" s="1"/>
  <c r="F17" i="18"/>
  <c r="S17" i="17"/>
  <c r="H12" i="16"/>
  <c r="X12" i="16" s="1"/>
  <c r="G17" i="16"/>
  <c r="H15" i="16"/>
  <c r="X15" i="16" s="1"/>
  <c r="O15" i="16"/>
  <c r="Y15" i="16" s="1"/>
  <c r="H12" i="18"/>
  <c r="X12" i="18" s="1"/>
  <c r="D17" i="18"/>
  <c r="F17" i="17"/>
  <c r="F17" i="16"/>
  <c r="R17" i="19"/>
  <c r="E17" i="18"/>
  <c r="D17" i="16"/>
  <c r="H14" i="16"/>
  <c r="X14" i="16" s="1"/>
  <c r="O14" i="16"/>
  <c r="Y14" i="16" s="1"/>
  <c r="R17" i="18"/>
  <c r="H16" i="17"/>
  <c r="X16" i="17" s="1"/>
  <c r="O16" i="17"/>
  <c r="Y16" i="17" s="1"/>
  <c r="N12" i="17"/>
  <c r="N16" i="19"/>
  <c r="R17" i="17"/>
  <c r="N14" i="16"/>
  <c r="H15" i="19"/>
  <c r="X15" i="19" s="1"/>
  <c r="O15" i="19"/>
  <c r="Y15" i="19" s="1"/>
  <c r="N15" i="16"/>
  <c r="N16" i="18"/>
  <c r="N12" i="19"/>
  <c r="F17" i="19"/>
  <c r="H16" i="18"/>
  <c r="X16" i="18" s="1"/>
  <c r="O16" i="18"/>
  <c r="Y16" i="18" s="1"/>
  <c r="N16" i="17"/>
  <c r="N14" i="19"/>
  <c r="N15" i="18"/>
  <c r="O15" i="18"/>
  <c r="Y15" i="18" s="1"/>
  <c r="E17" i="17"/>
  <c r="H16" i="16"/>
  <c r="X16" i="16" s="1"/>
  <c r="O16" i="16"/>
  <c r="Y16" i="16" s="1"/>
  <c r="N16" i="16"/>
  <c r="H13" i="17"/>
  <c r="X13" i="17" s="1"/>
  <c r="D17" i="17"/>
  <c r="E17" i="16"/>
  <c r="G17" i="18"/>
  <c r="H14" i="18"/>
  <c r="X14" i="18" s="1"/>
  <c r="O14" i="18"/>
  <c r="Y14" i="18" s="1"/>
  <c r="S17" i="18"/>
  <c r="H13" i="18"/>
  <c r="X13" i="18" s="1"/>
  <c r="D17" i="19"/>
  <c r="H15" i="17"/>
  <c r="X15" i="17" s="1"/>
  <c r="O15" i="17"/>
  <c r="Y15" i="17" s="1"/>
  <c r="N14" i="18"/>
  <c r="N12" i="18"/>
  <c r="S17" i="19"/>
  <c r="C49" i="5"/>
  <c r="C48" i="5"/>
  <c r="C47" i="5"/>
  <c r="C46" i="5"/>
  <c r="C51" i="5"/>
  <c r="C45" i="5"/>
  <c r="C50" i="5"/>
  <c r="C44" i="5"/>
  <c r="C43" i="5"/>
  <c r="R6" i="2"/>
  <c r="Q6" i="2" s="1"/>
  <c r="R7" i="2"/>
  <c r="Q7" i="2" s="1"/>
  <c r="R8" i="2"/>
  <c r="Q8" i="2" s="1"/>
  <c r="R9" i="2"/>
  <c r="Q9" i="2" s="1"/>
  <c r="R10" i="2"/>
  <c r="Q10" i="2" s="1"/>
  <c r="E21" i="7"/>
  <c r="U58" i="14"/>
  <c r="Q58" i="14"/>
  <c r="K58" i="14"/>
  <c r="G58" i="14"/>
  <c r="F58" i="14"/>
  <c r="S58" i="14" s="1"/>
  <c r="C58" i="14"/>
  <c r="B58" i="14"/>
  <c r="A58" i="14"/>
  <c r="Q57" i="14"/>
  <c r="K57" i="14"/>
  <c r="G57" i="14"/>
  <c r="F57" i="14"/>
  <c r="C57" i="14"/>
  <c r="B57" i="14"/>
  <c r="A57" i="14"/>
  <c r="Q56" i="14"/>
  <c r="K56" i="14"/>
  <c r="G56" i="14"/>
  <c r="F56" i="14"/>
  <c r="R56" i="14" s="1"/>
  <c r="C56" i="14"/>
  <c r="B56" i="14"/>
  <c r="A56" i="14"/>
  <c r="Q55" i="14"/>
  <c r="K55" i="14"/>
  <c r="G55" i="14"/>
  <c r="F55" i="14"/>
  <c r="U55" i="14" s="1"/>
  <c r="C55" i="14"/>
  <c r="B55" i="14"/>
  <c r="A55" i="14"/>
  <c r="Q54" i="14"/>
  <c r="K54" i="14"/>
  <c r="G54" i="14"/>
  <c r="F54" i="14"/>
  <c r="C54" i="14"/>
  <c r="B54" i="14"/>
  <c r="A54" i="14"/>
  <c r="Q53" i="14"/>
  <c r="K53" i="14"/>
  <c r="G53" i="14"/>
  <c r="F53" i="14"/>
  <c r="C53" i="14"/>
  <c r="B53" i="14"/>
  <c r="A53" i="14"/>
  <c r="Q52" i="14"/>
  <c r="K52" i="14"/>
  <c r="G52" i="14"/>
  <c r="F52" i="14"/>
  <c r="U52" i="14" s="1"/>
  <c r="C52" i="14"/>
  <c r="B52" i="14"/>
  <c r="A52" i="14"/>
  <c r="Q51" i="14"/>
  <c r="K51" i="14"/>
  <c r="G51" i="14"/>
  <c r="F51" i="14"/>
  <c r="C51" i="14"/>
  <c r="B51" i="14"/>
  <c r="A51" i="14"/>
  <c r="R50" i="14"/>
  <c r="Q50" i="14"/>
  <c r="K50" i="14"/>
  <c r="G50" i="14"/>
  <c r="F50" i="14"/>
  <c r="S50" i="14" s="1"/>
  <c r="C50" i="14"/>
  <c r="B50" i="14"/>
  <c r="A50" i="14"/>
  <c r="Q49" i="14"/>
  <c r="K49" i="14"/>
  <c r="G49" i="14"/>
  <c r="F49" i="14"/>
  <c r="C49" i="14"/>
  <c r="B49" i="14"/>
  <c r="A49" i="14"/>
  <c r="Q48" i="14"/>
  <c r="K48" i="14"/>
  <c r="G48" i="14"/>
  <c r="F48" i="14"/>
  <c r="R48" i="14" s="1"/>
  <c r="C48" i="14"/>
  <c r="B48" i="14"/>
  <c r="A48" i="14"/>
  <c r="Q47" i="14"/>
  <c r="K47" i="14"/>
  <c r="G47" i="14"/>
  <c r="F47" i="14"/>
  <c r="C47" i="14"/>
  <c r="B47" i="14"/>
  <c r="A47" i="14"/>
  <c r="Q46" i="14"/>
  <c r="K46" i="14"/>
  <c r="G46" i="14"/>
  <c r="F46" i="14"/>
  <c r="U46" i="14" s="1"/>
  <c r="C46" i="14"/>
  <c r="B46" i="14"/>
  <c r="A46" i="14"/>
  <c r="Q45" i="14"/>
  <c r="K45" i="14"/>
  <c r="G45" i="14"/>
  <c r="F45" i="14"/>
  <c r="S45" i="14" s="1"/>
  <c r="C45" i="14"/>
  <c r="B45" i="14"/>
  <c r="A45" i="14"/>
  <c r="Q44" i="14"/>
  <c r="K44" i="14"/>
  <c r="G44" i="14"/>
  <c r="F44" i="14"/>
  <c r="C44" i="14"/>
  <c r="B44" i="14"/>
  <c r="A44" i="14"/>
  <c r="Q43" i="14"/>
  <c r="K43" i="14"/>
  <c r="G43" i="14"/>
  <c r="F43" i="14"/>
  <c r="R43" i="14" s="1"/>
  <c r="C43" i="14"/>
  <c r="B43" i="14"/>
  <c r="A43" i="14"/>
  <c r="Q42" i="14"/>
  <c r="K42" i="14"/>
  <c r="G42" i="14"/>
  <c r="F42" i="14"/>
  <c r="U42" i="14" s="1"/>
  <c r="C42" i="14"/>
  <c r="B42" i="14"/>
  <c r="A42" i="14"/>
  <c r="U41" i="14"/>
  <c r="Q41" i="14"/>
  <c r="K41" i="14"/>
  <c r="G41" i="14"/>
  <c r="F41" i="14"/>
  <c r="R41" i="14" s="1"/>
  <c r="C41" i="14"/>
  <c r="B41" i="14"/>
  <c r="A41" i="14"/>
  <c r="Q40" i="14"/>
  <c r="K40" i="14"/>
  <c r="G40" i="14"/>
  <c r="F40" i="14"/>
  <c r="C40" i="14"/>
  <c r="B40" i="14"/>
  <c r="A40" i="14"/>
  <c r="Q39" i="14"/>
  <c r="K39" i="14"/>
  <c r="G39" i="14"/>
  <c r="F39" i="14"/>
  <c r="U39" i="14" s="1"/>
  <c r="C39" i="14"/>
  <c r="B39" i="14"/>
  <c r="A39" i="14"/>
  <c r="Q38" i="14"/>
  <c r="K38" i="14"/>
  <c r="G38" i="14"/>
  <c r="F38" i="14"/>
  <c r="C38" i="14"/>
  <c r="B38" i="14"/>
  <c r="A38" i="14"/>
  <c r="Q37" i="14"/>
  <c r="K37" i="14"/>
  <c r="G37" i="14"/>
  <c r="F37" i="14"/>
  <c r="C37" i="14"/>
  <c r="B37" i="14"/>
  <c r="A37" i="14"/>
  <c r="Q36" i="14"/>
  <c r="K36" i="14"/>
  <c r="G36" i="14"/>
  <c r="F36" i="14"/>
  <c r="S36" i="14" s="1"/>
  <c r="C36" i="14"/>
  <c r="B36" i="14"/>
  <c r="A36" i="14"/>
  <c r="Q35" i="14"/>
  <c r="K35" i="14"/>
  <c r="G35" i="14"/>
  <c r="F35" i="14"/>
  <c r="C35" i="14"/>
  <c r="B35" i="14"/>
  <c r="A35" i="14"/>
  <c r="Q34" i="14"/>
  <c r="K34" i="14"/>
  <c r="G34" i="14"/>
  <c r="F34" i="14"/>
  <c r="U34" i="14" s="1"/>
  <c r="C34" i="14"/>
  <c r="B34" i="14"/>
  <c r="A34" i="14"/>
  <c r="Q33" i="14"/>
  <c r="K33" i="14"/>
  <c r="G33" i="14"/>
  <c r="F33" i="14"/>
  <c r="R33" i="14" s="1"/>
  <c r="C33" i="14"/>
  <c r="B33" i="14"/>
  <c r="A33" i="14"/>
  <c r="Q32" i="14"/>
  <c r="K32" i="14"/>
  <c r="G32" i="14"/>
  <c r="F32" i="14"/>
  <c r="C32" i="14"/>
  <c r="B32" i="14"/>
  <c r="A32" i="14"/>
  <c r="Q31" i="14"/>
  <c r="K31" i="14"/>
  <c r="G31" i="14"/>
  <c r="F31" i="14"/>
  <c r="U31" i="14" s="1"/>
  <c r="C31" i="14"/>
  <c r="B31" i="14"/>
  <c r="A31" i="14"/>
  <c r="Q30" i="14"/>
  <c r="K30" i="14"/>
  <c r="G30" i="14"/>
  <c r="F30" i="14"/>
  <c r="U30" i="14" s="1"/>
  <c r="C30" i="14"/>
  <c r="B30" i="14"/>
  <c r="A30" i="14"/>
  <c r="Q29" i="14"/>
  <c r="K29" i="14"/>
  <c r="G29" i="14"/>
  <c r="F29" i="14"/>
  <c r="C29" i="14"/>
  <c r="B29" i="14"/>
  <c r="A29" i="14"/>
  <c r="Q28" i="14"/>
  <c r="K28" i="14"/>
  <c r="G28" i="14"/>
  <c r="F28" i="14"/>
  <c r="U28" i="14" s="1"/>
  <c r="C28" i="14"/>
  <c r="B28" i="14"/>
  <c r="A28" i="14"/>
  <c r="Q27" i="14"/>
  <c r="K27" i="14"/>
  <c r="G27" i="14"/>
  <c r="F27" i="14"/>
  <c r="R27" i="14" s="1"/>
  <c r="C27" i="14"/>
  <c r="B27" i="14"/>
  <c r="A27" i="14"/>
  <c r="Q26" i="14"/>
  <c r="K26" i="14"/>
  <c r="G26" i="14"/>
  <c r="F26" i="14"/>
  <c r="U26" i="14" s="1"/>
  <c r="C26" i="14"/>
  <c r="B26" i="14"/>
  <c r="A26" i="14"/>
  <c r="G25" i="14"/>
  <c r="F25" i="14"/>
  <c r="R25" i="14" s="1"/>
  <c r="C25" i="14"/>
  <c r="B25" i="14"/>
  <c r="A25" i="14"/>
  <c r="Q24" i="14"/>
  <c r="K24" i="14"/>
  <c r="G24" i="14"/>
  <c r="F24" i="14"/>
  <c r="C24" i="14"/>
  <c r="B24" i="14"/>
  <c r="A24" i="14"/>
  <c r="Q23" i="14"/>
  <c r="K23" i="14"/>
  <c r="G23" i="14"/>
  <c r="F23" i="14"/>
  <c r="R23" i="14" s="1"/>
  <c r="C23" i="14"/>
  <c r="B23" i="14"/>
  <c r="A23" i="14"/>
  <c r="Q22" i="14"/>
  <c r="K22" i="14"/>
  <c r="G22" i="14"/>
  <c r="F22" i="14"/>
  <c r="C22" i="14"/>
  <c r="B22" i="14"/>
  <c r="A22" i="14"/>
  <c r="Q21" i="14"/>
  <c r="K21" i="14"/>
  <c r="G21" i="14"/>
  <c r="F21" i="14"/>
  <c r="U21" i="14" s="1"/>
  <c r="C21" i="14"/>
  <c r="B21" i="14"/>
  <c r="A21" i="14"/>
  <c r="V16" i="14"/>
  <c r="V15" i="14"/>
  <c r="V14" i="14"/>
  <c r="V13" i="14"/>
  <c r="V12" i="14"/>
  <c r="B4" i="14"/>
  <c r="B6" i="14" s="1"/>
  <c r="U58" i="13"/>
  <c r="Q58" i="13"/>
  <c r="K58" i="13"/>
  <c r="G58" i="13"/>
  <c r="F58" i="13"/>
  <c r="S58" i="13" s="1"/>
  <c r="C58" i="13"/>
  <c r="B58" i="13"/>
  <c r="A58" i="13"/>
  <c r="Q57" i="13"/>
  <c r="K57" i="13"/>
  <c r="G57" i="13"/>
  <c r="F57" i="13"/>
  <c r="C57" i="13"/>
  <c r="B57" i="13"/>
  <c r="A57" i="13"/>
  <c r="Q56" i="13"/>
  <c r="K56" i="13"/>
  <c r="G56" i="13"/>
  <c r="F56" i="13"/>
  <c r="R56" i="13" s="1"/>
  <c r="C56" i="13"/>
  <c r="B56" i="13"/>
  <c r="A56" i="13"/>
  <c r="Q55" i="13"/>
  <c r="K55" i="13"/>
  <c r="G55" i="13"/>
  <c r="F55" i="13"/>
  <c r="U55" i="13" s="1"/>
  <c r="C55" i="13"/>
  <c r="B55" i="13"/>
  <c r="A55" i="13"/>
  <c r="Q54" i="13"/>
  <c r="K54" i="13"/>
  <c r="G54" i="13"/>
  <c r="F54" i="13"/>
  <c r="U54" i="13" s="1"/>
  <c r="C54" i="13"/>
  <c r="B54" i="13"/>
  <c r="A54" i="13"/>
  <c r="Q53" i="13"/>
  <c r="K53" i="13"/>
  <c r="G53" i="13"/>
  <c r="F53" i="13"/>
  <c r="U53" i="13" s="1"/>
  <c r="C53" i="13"/>
  <c r="B53" i="13"/>
  <c r="A53" i="13"/>
  <c r="Q52" i="13"/>
  <c r="K52" i="13"/>
  <c r="G52" i="13"/>
  <c r="F52" i="13"/>
  <c r="C52" i="13"/>
  <c r="B52" i="13"/>
  <c r="A52" i="13"/>
  <c r="Q51" i="13"/>
  <c r="K51" i="13"/>
  <c r="G51" i="13"/>
  <c r="F51" i="13"/>
  <c r="S51" i="13" s="1"/>
  <c r="C51" i="13"/>
  <c r="B51" i="13"/>
  <c r="A51" i="13"/>
  <c r="Q50" i="13"/>
  <c r="K50" i="13"/>
  <c r="G50" i="13"/>
  <c r="F50" i="13"/>
  <c r="C50" i="13"/>
  <c r="B50" i="13"/>
  <c r="A50" i="13"/>
  <c r="Q49" i="13"/>
  <c r="K49" i="13"/>
  <c r="G49" i="13"/>
  <c r="F49" i="13"/>
  <c r="U49" i="13" s="1"/>
  <c r="C49" i="13"/>
  <c r="B49" i="13"/>
  <c r="A49" i="13"/>
  <c r="Q48" i="13"/>
  <c r="K48" i="13"/>
  <c r="G48" i="13"/>
  <c r="F48" i="13"/>
  <c r="C48" i="13"/>
  <c r="B48" i="13"/>
  <c r="A48" i="13"/>
  <c r="Q47" i="13"/>
  <c r="K47" i="13"/>
  <c r="G47" i="13"/>
  <c r="F47" i="13"/>
  <c r="U47" i="13" s="1"/>
  <c r="C47" i="13"/>
  <c r="B47" i="13"/>
  <c r="A47" i="13"/>
  <c r="Q46" i="13"/>
  <c r="K46" i="13"/>
  <c r="G46" i="13"/>
  <c r="F46" i="13"/>
  <c r="C46" i="13"/>
  <c r="B46" i="13"/>
  <c r="A46" i="13"/>
  <c r="Q45" i="13"/>
  <c r="K45" i="13"/>
  <c r="G45" i="13"/>
  <c r="F45" i="13"/>
  <c r="U45" i="13" s="1"/>
  <c r="C45" i="13"/>
  <c r="B45" i="13"/>
  <c r="A45" i="13"/>
  <c r="Q44" i="13"/>
  <c r="K44" i="13"/>
  <c r="G44" i="13"/>
  <c r="F44" i="13"/>
  <c r="R44" i="13" s="1"/>
  <c r="C44" i="13"/>
  <c r="B44" i="13"/>
  <c r="A44" i="13"/>
  <c r="Q43" i="13"/>
  <c r="K43" i="13"/>
  <c r="G43" i="13"/>
  <c r="F43" i="13"/>
  <c r="S43" i="13" s="1"/>
  <c r="C43" i="13"/>
  <c r="B43" i="13"/>
  <c r="A43" i="13"/>
  <c r="Q42" i="13"/>
  <c r="K42" i="13"/>
  <c r="G42" i="13"/>
  <c r="F42" i="13"/>
  <c r="U42" i="13" s="1"/>
  <c r="C42" i="13"/>
  <c r="B42" i="13"/>
  <c r="A42" i="13"/>
  <c r="U41" i="13"/>
  <c r="Q41" i="13"/>
  <c r="K41" i="13"/>
  <c r="G41" i="13"/>
  <c r="F41" i="13"/>
  <c r="R41" i="13" s="1"/>
  <c r="C41" i="13"/>
  <c r="B41" i="13"/>
  <c r="A41" i="13"/>
  <c r="Q40" i="13"/>
  <c r="K40" i="13"/>
  <c r="G40" i="13"/>
  <c r="F40" i="13"/>
  <c r="U40" i="13" s="1"/>
  <c r="C40" i="13"/>
  <c r="B40" i="13"/>
  <c r="A40" i="13"/>
  <c r="Q39" i="13"/>
  <c r="K39" i="13"/>
  <c r="G39" i="13"/>
  <c r="F39" i="13"/>
  <c r="C39" i="13"/>
  <c r="B39" i="13"/>
  <c r="A39" i="13"/>
  <c r="Q38" i="13"/>
  <c r="K38" i="13"/>
  <c r="G38" i="13"/>
  <c r="F38" i="13"/>
  <c r="U38" i="13" s="1"/>
  <c r="C38" i="13"/>
  <c r="B38" i="13"/>
  <c r="A38" i="13"/>
  <c r="Q37" i="13"/>
  <c r="K37" i="13"/>
  <c r="G37" i="13"/>
  <c r="F37" i="13"/>
  <c r="C37" i="13"/>
  <c r="B37" i="13"/>
  <c r="A37" i="13"/>
  <c r="Q36" i="13"/>
  <c r="K36" i="13"/>
  <c r="G36" i="13"/>
  <c r="F36" i="13"/>
  <c r="C36" i="13"/>
  <c r="B36" i="13"/>
  <c r="A36" i="13"/>
  <c r="Q35" i="13"/>
  <c r="K35" i="13"/>
  <c r="G35" i="13"/>
  <c r="F35" i="13"/>
  <c r="C35" i="13"/>
  <c r="B35" i="13"/>
  <c r="A35" i="13"/>
  <c r="Q34" i="13"/>
  <c r="K34" i="13"/>
  <c r="G34" i="13"/>
  <c r="F34" i="13"/>
  <c r="S34" i="13" s="1"/>
  <c r="C34" i="13"/>
  <c r="B34" i="13"/>
  <c r="A34" i="13"/>
  <c r="Q33" i="13"/>
  <c r="K33" i="13"/>
  <c r="G33" i="13"/>
  <c r="F33" i="13"/>
  <c r="C33" i="13"/>
  <c r="B33" i="13"/>
  <c r="A33" i="13"/>
  <c r="Q32" i="13"/>
  <c r="K32" i="13"/>
  <c r="G32" i="13"/>
  <c r="F32" i="13"/>
  <c r="C32" i="13"/>
  <c r="B32" i="13"/>
  <c r="A32" i="13"/>
  <c r="Q31" i="13"/>
  <c r="K31" i="13"/>
  <c r="G31" i="13"/>
  <c r="F31" i="13"/>
  <c r="U31" i="13" s="1"/>
  <c r="C31" i="13"/>
  <c r="B31" i="13"/>
  <c r="A31" i="13"/>
  <c r="Q30" i="13"/>
  <c r="K30" i="13"/>
  <c r="G30" i="13"/>
  <c r="F30" i="13"/>
  <c r="C30" i="13"/>
  <c r="B30" i="13"/>
  <c r="A30" i="13"/>
  <c r="Q29" i="13"/>
  <c r="K29" i="13"/>
  <c r="G29" i="13"/>
  <c r="F29" i="13"/>
  <c r="U29" i="13" s="1"/>
  <c r="C29" i="13"/>
  <c r="B29" i="13"/>
  <c r="A29" i="13"/>
  <c r="Q28" i="13"/>
  <c r="K28" i="13"/>
  <c r="G28" i="13"/>
  <c r="F28" i="13"/>
  <c r="C28" i="13"/>
  <c r="B28" i="13"/>
  <c r="A28" i="13"/>
  <c r="Q27" i="13"/>
  <c r="K27" i="13"/>
  <c r="G27" i="13"/>
  <c r="F27" i="13"/>
  <c r="R27" i="13" s="1"/>
  <c r="C27" i="13"/>
  <c r="B27" i="13"/>
  <c r="A27" i="13"/>
  <c r="Q26" i="13"/>
  <c r="K26" i="13"/>
  <c r="G26" i="13"/>
  <c r="F26" i="13"/>
  <c r="R26" i="13" s="1"/>
  <c r="C26" i="13"/>
  <c r="B26" i="13"/>
  <c r="A26" i="13"/>
  <c r="G25" i="13"/>
  <c r="F25" i="13"/>
  <c r="R25" i="13" s="1"/>
  <c r="C25" i="13"/>
  <c r="B25" i="13"/>
  <c r="A25" i="13"/>
  <c r="Q24" i="13"/>
  <c r="K24" i="13"/>
  <c r="G24" i="13"/>
  <c r="F24" i="13"/>
  <c r="U24" i="13" s="1"/>
  <c r="C24" i="13"/>
  <c r="B24" i="13"/>
  <c r="A24" i="13"/>
  <c r="Q23" i="13"/>
  <c r="K23" i="13"/>
  <c r="G23" i="13"/>
  <c r="F23" i="13"/>
  <c r="C23" i="13"/>
  <c r="B23" i="13"/>
  <c r="A23" i="13"/>
  <c r="Q22" i="13"/>
  <c r="K22" i="13"/>
  <c r="G22" i="13"/>
  <c r="F22" i="13"/>
  <c r="S22" i="13" s="1"/>
  <c r="C22" i="13"/>
  <c r="B22" i="13"/>
  <c r="A22" i="13"/>
  <c r="Q21" i="13"/>
  <c r="K21" i="13"/>
  <c r="G21" i="13"/>
  <c r="F21" i="13"/>
  <c r="C21" i="13"/>
  <c r="B21" i="13"/>
  <c r="A21" i="13"/>
  <c r="V16" i="13"/>
  <c r="V15" i="13"/>
  <c r="V14" i="13"/>
  <c r="V13" i="13"/>
  <c r="V12" i="13"/>
  <c r="B4" i="13"/>
  <c r="F6" i="13" s="1"/>
  <c r="Q58" i="12"/>
  <c r="K58" i="12"/>
  <c r="G58" i="12"/>
  <c r="F58" i="12"/>
  <c r="S58" i="12" s="1"/>
  <c r="C58" i="12"/>
  <c r="B58" i="12"/>
  <c r="A58" i="12"/>
  <c r="Q57" i="12"/>
  <c r="K57" i="12"/>
  <c r="G57" i="12"/>
  <c r="F57" i="12"/>
  <c r="C57" i="12"/>
  <c r="B57" i="12"/>
  <c r="A57" i="12"/>
  <c r="Q56" i="12"/>
  <c r="K56" i="12"/>
  <c r="G56" i="12"/>
  <c r="F56" i="12"/>
  <c r="U56" i="12" s="1"/>
  <c r="C56" i="12"/>
  <c r="B56" i="12"/>
  <c r="A56" i="12"/>
  <c r="Q55" i="12"/>
  <c r="K55" i="12"/>
  <c r="G55" i="12"/>
  <c r="F55" i="12"/>
  <c r="R55" i="12" s="1"/>
  <c r="C55" i="12"/>
  <c r="B55" i="12"/>
  <c r="A55" i="12"/>
  <c r="Q54" i="12"/>
  <c r="K54" i="12"/>
  <c r="G54" i="12"/>
  <c r="F54" i="12"/>
  <c r="C54" i="12"/>
  <c r="B54" i="12"/>
  <c r="A54" i="12"/>
  <c r="Q53" i="12"/>
  <c r="K53" i="12"/>
  <c r="G53" i="12"/>
  <c r="F53" i="12"/>
  <c r="U53" i="12" s="1"/>
  <c r="C53" i="12"/>
  <c r="B53" i="12"/>
  <c r="A53" i="12"/>
  <c r="Q52" i="12"/>
  <c r="K52" i="12"/>
  <c r="G52" i="12"/>
  <c r="F52" i="12"/>
  <c r="C52" i="12"/>
  <c r="B52" i="12"/>
  <c r="A52" i="12"/>
  <c r="Q51" i="12"/>
  <c r="K51" i="12"/>
  <c r="G51" i="12"/>
  <c r="F51" i="12"/>
  <c r="C51" i="12"/>
  <c r="B51" i="12"/>
  <c r="A51" i="12"/>
  <c r="Q50" i="12"/>
  <c r="K50" i="12"/>
  <c r="G50" i="12"/>
  <c r="F50" i="12"/>
  <c r="U50" i="12" s="1"/>
  <c r="C50" i="12"/>
  <c r="B50" i="12"/>
  <c r="A50" i="12"/>
  <c r="Q49" i="12"/>
  <c r="K49" i="12"/>
  <c r="G49" i="12"/>
  <c r="F49" i="12"/>
  <c r="C49" i="12"/>
  <c r="B49" i="12"/>
  <c r="A49" i="12"/>
  <c r="Q48" i="12"/>
  <c r="K48" i="12"/>
  <c r="G48" i="12"/>
  <c r="F48" i="12"/>
  <c r="U48" i="12" s="1"/>
  <c r="C48" i="12"/>
  <c r="B48" i="12"/>
  <c r="A48" i="12"/>
  <c r="Q47" i="12"/>
  <c r="K47" i="12"/>
  <c r="G47" i="12"/>
  <c r="F47" i="12"/>
  <c r="C47" i="12"/>
  <c r="B47" i="12"/>
  <c r="A47" i="12"/>
  <c r="Q46" i="12"/>
  <c r="K46" i="12"/>
  <c r="G46" i="12"/>
  <c r="F46" i="12"/>
  <c r="U46" i="12" s="1"/>
  <c r="C46" i="12"/>
  <c r="B46" i="12"/>
  <c r="A46" i="12"/>
  <c r="Q45" i="12"/>
  <c r="K45" i="12"/>
  <c r="G45" i="12"/>
  <c r="F45" i="12"/>
  <c r="C45" i="12"/>
  <c r="B45" i="12"/>
  <c r="A45" i="12"/>
  <c r="Q44" i="12"/>
  <c r="K44" i="12"/>
  <c r="G44" i="12"/>
  <c r="F44" i="12"/>
  <c r="U44" i="12" s="1"/>
  <c r="C44" i="12"/>
  <c r="B44" i="12"/>
  <c r="A44" i="12"/>
  <c r="Q43" i="12"/>
  <c r="K43" i="12"/>
  <c r="G43" i="12"/>
  <c r="F43" i="12"/>
  <c r="C43" i="12"/>
  <c r="B43" i="12"/>
  <c r="A43" i="12"/>
  <c r="Q42" i="12"/>
  <c r="K42" i="12"/>
  <c r="G42" i="12"/>
  <c r="F42" i="12"/>
  <c r="U42" i="12" s="1"/>
  <c r="C42" i="12"/>
  <c r="B42" i="12"/>
  <c r="A42" i="12"/>
  <c r="Q41" i="12"/>
  <c r="K41" i="12"/>
  <c r="G41" i="12"/>
  <c r="F41" i="12"/>
  <c r="R41" i="12" s="1"/>
  <c r="C41" i="12"/>
  <c r="B41" i="12"/>
  <c r="A41" i="12"/>
  <c r="Q40" i="12"/>
  <c r="K40" i="12"/>
  <c r="G40" i="12"/>
  <c r="F40" i="12"/>
  <c r="U40" i="12" s="1"/>
  <c r="C40" i="12"/>
  <c r="B40" i="12"/>
  <c r="A40" i="12"/>
  <c r="Q39" i="12"/>
  <c r="K39" i="12"/>
  <c r="G39" i="12"/>
  <c r="F39" i="12"/>
  <c r="S39" i="12" s="1"/>
  <c r="C39" i="12"/>
  <c r="B39" i="12"/>
  <c r="A39" i="12"/>
  <c r="Q38" i="12"/>
  <c r="K38" i="12"/>
  <c r="G38" i="12"/>
  <c r="F38" i="12"/>
  <c r="C38" i="12"/>
  <c r="B38" i="12"/>
  <c r="A38" i="12"/>
  <c r="Q37" i="12"/>
  <c r="K37" i="12"/>
  <c r="G37" i="12"/>
  <c r="F37" i="12"/>
  <c r="U37" i="12" s="1"/>
  <c r="C37" i="12"/>
  <c r="B37" i="12"/>
  <c r="A37" i="12"/>
  <c r="Q36" i="12"/>
  <c r="K36" i="12"/>
  <c r="G36" i="12"/>
  <c r="F36" i="12"/>
  <c r="C36" i="12"/>
  <c r="B36" i="12"/>
  <c r="A36" i="12"/>
  <c r="Q35" i="12"/>
  <c r="K35" i="12"/>
  <c r="G35" i="12"/>
  <c r="F35" i="12"/>
  <c r="U35" i="12" s="1"/>
  <c r="C35" i="12"/>
  <c r="B35" i="12"/>
  <c r="A35" i="12"/>
  <c r="Q34" i="12"/>
  <c r="K34" i="12"/>
  <c r="G34" i="12"/>
  <c r="F34" i="12"/>
  <c r="U34" i="12" s="1"/>
  <c r="C34" i="12"/>
  <c r="B34" i="12"/>
  <c r="A34" i="12"/>
  <c r="Q33" i="12"/>
  <c r="K33" i="12"/>
  <c r="G33" i="12"/>
  <c r="F33" i="12"/>
  <c r="U33" i="12" s="1"/>
  <c r="C33" i="12"/>
  <c r="B33" i="12"/>
  <c r="A33" i="12"/>
  <c r="Q32" i="12"/>
  <c r="K32" i="12"/>
  <c r="G32" i="12"/>
  <c r="F32" i="12"/>
  <c r="U32" i="12" s="1"/>
  <c r="C32" i="12"/>
  <c r="B32" i="12"/>
  <c r="A32" i="12"/>
  <c r="Q31" i="12"/>
  <c r="K31" i="12"/>
  <c r="G31" i="12"/>
  <c r="F31" i="12"/>
  <c r="C31" i="12"/>
  <c r="B31" i="12"/>
  <c r="A31" i="12"/>
  <c r="Q30" i="12"/>
  <c r="K30" i="12"/>
  <c r="G30" i="12"/>
  <c r="F30" i="12"/>
  <c r="U30" i="12" s="1"/>
  <c r="C30" i="12"/>
  <c r="B30" i="12"/>
  <c r="A30" i="12"/>
  <c r="Q29" i="12"/>
  <c r="K29" i="12"/>
  <c r="G29" i="12"/>
  <c r="F29" i="12"/>
  <c r="C29" i="12"/>
  <c r="B29" i="12"/>
  <c r="A29" i="12"/>
  <c r="Q28" i="12"/>
  <c r="K28" i="12"/>
  <c r="G28" i="12"/>
  <c r="F28" i="12"/>
  <c r="C28" i="12"/>
  <c r="B28" i="12"/>
  <c r="A28" i="12"/>
  <c r="Q27" i="12"/>
  <c r="K27" i="12"/>
  <c r="G27" i="12"/>
  <c r="F27" i="12"/>
  <c r="C27" i="12"/>
  <c r="B27" i="12"/>
  <c r="A27" i="12"/>
  <c r="Q26" i="12"/>
  <c r="K26" i="12"/>
  <c r="G26" i="12"/>
  <c r="F26" i="12"/>
  <c r="R26" i="12" s="1"/>
  <c r="C26" i="12"/>
  <c r="B26" i="12"/>
  <c r="A26" i="12"/>
  <c r="G25" i="12"/>
  <c r="F25" i="12"/>
  <c r="S25" i="12" s="1"/>
  <c r="C25" i="12"/>
  <c r="B25" i="12"/>
  <c r="A25" i="12"/>
  <c r="Q24" i="12"/>
  <c r="K24" i="12"/>
  <c r="G24" i="12"/>
  <c r="F24" i="12"/>
  <c r="U24" i="12" s="1"/>
  <c r="C24" i="12"/>
  <c r="B24" i="12"/>
  <c r="A24" i="12"/>
  <c r="Q23" i="12"/>
  <c r="K23" i="12"/>
  <c r="G23" i="12"/>
  <c r="F23" i="12"/>
  <c r="C23" i="12"/>
  <c r="B23" i="12"/>
  <c r="A23" i="12"/>
  <c r="Q22" i="12"/>
  <c r="K22" i="12"/>
  <c r="G22" i="12"/>
  <c r="F22" i="12"/>
  <c r="U22" i="12" s="1"/>
  <c r="C22" i="12"/>
  <c r="B22" i="12"/>
  <c r="A22" i="12"/>
  <c r="Q21" i="12"/>
  <c r="K21" i="12"/>
  <c r="G21" i="12"/>
  <c r="F21" i="12"/>
  <c r="U21" i="12" s="1"/>
  <c r="C21" i="12"/>
  <c r="B21" i="12"/>
  <c r="A21" i="12"/>
  <c r="V16" i="12"/>
  <c r="V15" i="12"/>
  <c r="V14" i="12"/>
  <c r="V13" i="12"/>
  <c r="V12" i="12"/>
  <c r="B4" i="12"/>
  <c r="B5" i="12" s="1"/>
  <c r="Q58" i="11"/>
  <c r="K58" i="11"/>
  <c r="G58" i="11"/>
  <c r="F58" i="11"/>
  <c r="R58" i="11" s="1"/>
  <c r="C58" i="11"/>
  <c r="B58" i="11"/>
  <c r="A58" i="11"/>
  <c r="Q57" i="11"/>
  <c r="K57" i="11"/>
  <c r="G57" i="11"/>
  <c r="F57" i="11"/>
  <c r="C57" i="11"/>
  <c r="B57" i="11"/>
  <c r="A57" i="11"/>
  <c r="Q56" i="11"/>
  <c r="K56" i="11"/>
  <c r="G56" i="11"/>
  <c r="F56" i="11"/>
  <c r="S56" i="11" s="1"/>
  <c r="C56" i="11"/>
  <c r="B56" i="11"/>
  <c r="A56" i="11"/>
  <c r="Q55" i="11"/>
  <c r="K55" i="11"/>
  <c r="G55" i="11"/>
  <c r="F55" i="11"/>
  <c r="C55" i="11"/>
  <c r="B55" i="11"/>
  <c r="A55" i="11"/>
  <c r="Q54" i="11"/>
  <c r="K54" i="11"/>
  <c r="G54" i="11"/>
  <c r="F54" i="11"/>
  <c r="C54" i="11"/>
  <c r="B54" i="11"/>
  <c r="A54" i="11"/>
  <c r="Q53" i="11"/>
  <c r="K53" i="11"/>
  <c r="G53" i="11"/>
  <c r="F53" i="11"/>
  <c r="R53" i="11" s="1"/>
  <c r="C53" i="11"/>
  <c r="B53" i="11"/>
  <c r="A53" i="11"/>
  <c r="Q52" i="11"/>
  <c r="K52" i="11"/>
  <c r="G52" i="11"/>
  <c r="F52" i="11"/>
  <c r="C52" i="11"/>
  <c r="B52" i="11"/>
  <c r="A52" i="11"/>
  <c r="Q51" i="11"/>
  <c r="K51" i="11"/>
  <c r="G51" i="11"/>
  <c r="F51" i="11"/>
  <c r="U51" i="11" s="1"/>
  <c r="C51" i="11"/>
  <c r="B51" i="11"/>
  <c r="A51" i="11"/>
  <c r="Q50" i="11"/>
  <c r="K50" i="11"/>
  <c r="G50" i="11"/>
  <c r="F50" i="11"/>
  <c r="S50" i="11" s="1"/>
  <c r="C50" i="11"/>
  <c r="B50" i="11"/>
  <c r="A50" i="11"/>
  <c r="Q49" i="11"/>
  <c r="K49" i="11"/>
  <c r="G49" i="11"/>
  <c r="F49" i="11"/>
  <c r="U49" i="11" s="1"/>
  <c r="C49" i="11"/>
  <c r="B49" i="11"/>
  <c r="A49" i="11"/>
  <c r="Q48" i="11"/>
  <c r="K48" i="11"/>
  <c r="G48" i="11"/>
  <c r="F48" i="11"/>
  <c r="C48" i="11"/>
  <c r="B48" i="11"/>
  <c r="A48" i="11"/>
  <c r="Q47" i="11"/>
  <c r="K47" i="11"/>
  <c r="G47" i="11"/>
  <c r="F47" i="11"/>
  <c r="U47" i="11" s="1"/>
  <c r="C47" i="11"/>
  <c r="B47" i="11"/>
  <c r="A47" i="11"/>
  <c r="Q46" i="11"/>
  <c r="K46" i="11"/>
  <c r="G46" i="11"/>
  <c r="F46" i="11"/>
  <c r="C46" i="11"/>
  <c r="B46" i="11"/>
  <c r="A46" i="11"/>
  <c r="Q45" i="11"/>
  <c r="K45" i="11"/>
  <c r="G45" i="11"/>
  <c r="F45" i="11"/>
  <c r="U45" i="11" s="1"/>
  <c r="C45" i="11"/>
  <c r="B45" i="11"/>
  <c r="A45" i="11"/>
  <c r="Q44" i="11"/>
  <c r="K44" i="11"/>
  <c r="G44" i="11"/>
  <c r="F44" i="11"/>
  <c r="U44" i="11" s="1"/>
  <c r="C44" i="11"/>
  <c r="B44" i="11"/>
  <c r="A44" i="11"/>
  <c r="Q43" i="11"/>
  <c r="K43" i="11"/>
  <c r="G43" i="11"/>
  <c r="F43" i="11"/>
  <c r="C43" i="11"/>
  <c r="B43" i="11"/>
  <c r="A43" i="11"/>
  <c r="Q42" i="11"/>
  <c r="K42" i="11"/>
  <c r="G42" i="11"/>
  <c r="F42" i="11"/>
  <c r="C42" i="11"/>
  <c r="B42" i="11"/>
  <c r="A42" i="11"/>
  <c r="Q41" i="11"/>
  <c r="K41" i="11"/>
  <c r="G41" i="11"/>
  <c r="F41" i="11"/>
  <c r="S41" i="11" s="1"/>
  <c r="C41" i="11"/>
  <c r="B41" i="11"/>
  <c r="A41" i="11"/>
  <c r="Q40" i="11"/>
  <c r="K40" i="11"/>
  <c r="G40" i="11"/>
  <c r="F40" i="11"/>
  <c r="U40" i="11" s="1"/>
  <c r="C40" i="11"/>
  <c r="B40" i="11"/>
  <c r="A40" i="11"/>
  <c r="Q39" i="11"/>
  <c r="K39" i="11"/>
  <c r="G39" i="11"/>
  <c r="F39" i="11"/>
  <c r="C39" i="11"/>
  <c r="B39" i="11"/>
  <c r="A39" i="11"/>
  <c r="Q38" i="11"/>
  <c r="K38" i="11"/>
  <c r="G38" i="11"/>
  <c r="F38" i="11"/>
  <c r="S38" i="11" s="1"/>
  <c r="C38" i="11"/>
  <c r="B38" i="11"/>
  <c r="A38" i="11"/>
  <c r="Q37" i="11"/>
  <c r="K37" i="11"/>
  <c r="G37" i="11"/>
  <c r="F37" i="11"/>
  <c r="C37" i="11"/>
  <c r="B37" i="11"/>
  <c r="A37" i="11"/>
  <c r="Q36" i="11"/>
  <c r="K36" i="11"/>
  <c r="G36" i="11"/>
  <c r="F36" i="11"/>
  <c r="C36" i="11"/>
  <c r="B36" i="11"/>
  <c r="A36" i="11"/>
  <c r="Q35" i="11"/>
  <c r="K35" i="11"/>
  <c r="G35" i="11"/>
  <c r="F35" i="11"/>
  <c r="R35" i="11" s="1"/>
  <c r="C35" i="11"/>
  <c r="B35" i="11"/>
  <c r="A35" i="11"/>
  <c r="Q34" i="11"/>
  <c r="K34" i="11"/>
  <c r="G34" i="11"/>
  <c r="F34" i="11"/>
  <c r="S34" i="11" s="1"/>
  <c r="C34" i="11"/>
  <c r="B34" i="11"/>
  <c r="A34" i="11"/>
  <c r="Q33" i="11"/>
  <c r="K33" i="11"/>
  <c r="G33" i="11"/>
  <c r="F33" i="11"/>
  <c r="U33" i="11" s="1"/>
  <c r="C33" i="11"/>
  <c r="B33" i="11"/>
  <c r="A33" i="11"/>
  <c r="Q32" i="11"/>
  <c r="K32" i="11"/>
  <c r="G32" i="11"/>
  <c r="F32" i="11"/>
  <c r="U32" i="11" s="1"/>
  <c r="C32" i="11"/>
  <c r="B32" i="11"/>
  <c r="A32" i="11"/>
  <c r="Q31" i="11"/>
  <c r="K31" i="11"/>
  <c r="G31" i="11"/>
  <c r="F31" i="11"/>
  <c r="U31" i="11" s="1"/>
  <c r="C31" i="11"/>
  <c r="B31" i="11"/>
  <c r="A31" i="11"/>
  <c r="Q30" i="11"/>
  <c r="K30" i="11"/>
  <c r="G30" i="11"/>
  <c r="F30" i="11"/>
  <c r="C30" i="11"/>
  <c r="B30" i="11"/>
  <c r="A30" i="11"/>
  <c r="Q29" i="11"/>
  <c r="K29" i="11"/>
  <c r="G29" i="11"/>
  <c r="F29" i="11"/>
  <c r="U29" i="11" s="1"/>
  <c r="C29" i="11"/>
  <c r="B29" i="11"/>
  <c r="A29" i="11"/>
  <c r="Q28" i="11"/>
  <c r="K28" i="11"/>
  <c r="G28" i="11"/>
  <c r="F28" i="11"/>
  <c r="C28" i="11"/>
  <c r="B28" i="11"/>
  <c r="A28" i="11"/>
  <c r="Q27" i="11"/>
  <c r="K27" i="11"/>
  <c r="G27" i="11"/>
  <c r="F27" i="11"/>
  <c r="C27" i="11"/>
  <c r="B27" i="11"/>
  <c r="A27" i="11"/>
  <c r="Q26" i="11"/>
  <c r="K26" i="11"/>
  <c r="G26" i="11"/>
  <c r="F26" i="11"/>
  <c r="C26" i="11"/>
  <c r="B26" i="11"/>
  <c r="A26" i="11"/>
  <c r="Q25" i="11"/>
  <c r="K25" i="11"/>
  <c r="G25" i="11"/>
  <c r="F25" i="11"/>
  <c r="U25" i="11" s="1"/>
  <c r="C25" i="11"/>
  <c r="B25" i="11"/>
  <c r="A25" i="11"/>
  <c r="Q24" i="11"/>
  <c r="K24" i="11"/>
  <c r="G24" i="11"/>
  <c r="F24" i="11"/>
  <c r="R24" i="11" s="1"/>
  <c r="C24" i="11"/>
  <c r="B24" i="11"/>
  <c r="A24" i="11"/>
  <c r="Q23" i="11"/>
  <c r="K23" i="11"/>
  <c r="G23" i="11"/>
  <c r="F23" i="11"/>
  <c r="U23" i="11" s="1"/>
  <c r="C23" i="11"/>
  <c r="B23" i="11"/>
  <c r="A23" i="11"/>
  <c r="Q22" i="11"/>
  <c r="K22" i="11"/>
  <c r="G22" i="11"/>
  <c r="F22" i="11"/>
  <c r="U22" i="11" s="1"/>
  <c r="C22" i="11"/>
  <c r="B22" i="11"/>
  <c r="A22" i="11"/>
  <c r="Q21" i="11"/>
  <c r="K21" i="11"/>
  <c r="G21" i="11"/>
  <c r="F21" i="11"/>
  <c r="R21" i="11" s="1"/>
  <c r="C21" i="11"/>
  <c r="B21" i="11"/>
  <c r="A21" i="11"/>
  <c r="V16" i="11"/>
  <c r="V15" i="11"/>
  <c r="V14" i="11"/>
  <c r="V13" i="11"/>
  <c r="V12" i="11"/>
  <c r="B4" i="11"/>
  <c r="S6" i="11" s="1"/>
  <c r="K58" i="10"/>
  <c r="G58" i="10"/>
  <c r="F58" i="10"/>
  <c r="S58" i="10" s="1"/>
  <c r="C58" i="10"/>
  <c r="B58" i="10"/>
  <c r="A58" i="10"/>
  <c r="Q57" i="10"/>
  <c r="K57" i="10"/>
  <c r="G57" i="10"/>
  <c r="F57" i="10"/>
  <c r="U57" i="10" s="1"/>
  <c r="C57" i="10"/>
  <c r="B57" i="10"/>
  <c r="A57" i="10"/>
  <c r="Q56" i="10"/>
  <c r="K56" i="10"/>
  <c r="G56" i="10"/>
  <c r="F56" i="10"/>
  <c r="C56" i="10"/>
  <c r="B56" i="10"/>
  <c r="A56" i="10"/>
  <c r="G55" i="10"/>
  <c r="F55" i="10"/>
  <c r="S55" i="10" s="1"/>
  <c r="C55" i="10"/>
  <c r="B55" i="10"/>
  <c r="A55" i="10"/>
  <c r="Q54" i="10"/>
  <c r="K54" i="10"/>
  <c r="G54" i="10"/>
  <c r="F54" i="10"/>
  <c r="C54" i="10"/>
  <c r="B54" i="10"/>
  <c r="A54" i="10"/>
  <c r="Q53" i="10"/>
  <c r="K53" i="10"/>
  <c r="G53" i="10"/>
  <c r="F53" i="10"/>
  <c r="U53" i="10" s="1"/>
  <c r="C53" i="10"/>
  <c r="B53" i="10"/>
  <c r="A53" i="10"/>
  <c r="Q52" i="10"/>
  <c r="K52" i="10"/>
  <c r="G52" i="10"/>
  <c r="F52" i="10"/>
  <c r="S52" i="10" s="1"/>
  <c r="C52" i="10"/>
  <c r="B52" i="10"/>
  <c r="A52" i="10"/>
  <c r="Q51" i="10"/>
  <c r="K51" i="10"/>
  <c r="G51" i="10"/>
  <c r="F51" i="10"/>
  <c r="R51" i="10" s="1"/>
  <c r="C51" i="10"/>
  <c r="B51" i="10"/>
  <c r="A51" i="10"/>
  <c r="Q50" i="10"/>
  <c r="K50" i="10"/>
  <c r="G50" i="10"/>
  <c r="F50" i="10"/>
  <c r="C50" i="10"/>
  <c r="B50" i="10"/>
  <c r="A50" i="10"/>
  <c r="Q49" i="10"/>
  <c r="K49" i="10"/>
  <c r="G49" i="10"/>
  <c r="F49" i="10"/>
  <c r="U49" i="10" s="1"/>
  <c r="C49" i="10"/>
  <c r="B49" i="10"/>
  <c r="A49" i="10"/>
  <c r="K48" i="10"/>
  <c r="G48" i="10"/>
  <c r="F48" i="10"/>
  <c r="S48" i="10" s="1"/>
  <c r="C48" i="10"/>
  <c r="B48" i="10"/>
  <c r="A48" i="10"/>
  <c r="G47" i="10"/>
  <c r="F47" i="10"/>
  <c r="R47" i="10" s="1"/>
  <c r="C47" i="10"/>
  <c r="B47" i="10"/>
  <c r="A47" i="10"/>
  <c r="Q46" i="10"/>
  <c r="G46" i="10"/>
  <c r="F46" i="10"/>
  <c r="C46" i="10"/>
  <c r="B46" i="10"/>
  <c r="A46" i="10"/>
  <c r="Q45" i="10"/>
  <c r="K45" i="10"/>
  <c r="G45" i="10"/>
  <c r="F45" i="10"/>
  <c r="C45" i="10"/>
  <c r="B45" i="10"/>
  <c r="A45" i="10"/>
  <c r="Q44" i="10"/>
  <c r="G44" i="10"/>
  <c r="F44" i="10"/>
  <c r="S44" i="10" s="1"/>
  <c r="C44" i="10"/>
  <c r="B44" i="10"/>
  <c r="A44" i="10"/>
  <c r="Q43" i="10"/>
  <c r="G43" i="10"/>
  <c r="F43" i="10"/>
  <c r="S43" i="10" s="1"/>
  <c r="C43" i="10"/>
  <c r="B43" i="10"/>
  <c r="A43" i="10"/>
  <c r="G42" i="10"/>
  <c r="F42" i="10"/>
  <c r="R42" i="10" s="1"/>
  <c r="C42" i="10"/>
  <c r="B42" i="10"/>
  <c r="A42" i="10"/>
  <c r="G41" i="10"/>
  <c r="F41" i="10"/>
  <c r="S41" i="10" s="1"/>
  <c r="C41" i="10"/>
  <c r="B41" i="10"/>
  <c r="A41" i="10"/>
  <c r="Q40" i="10"/>
  <c r="G40" i="10"/>
  <c r="F40" i="10"/>
  <c r="R40" i="10" s="1"/>
  <c r="C40" i="10"/>
  <c r="B40" i="10"/>
  <c r="A40" i="10"/>
  <c r="Q39" i="10"/>
  <c r="G39" i="10"/>
  <c r="F39" i="10"/>
  <c r="S39" i="10" s="1"/>
  <c r="C39" i="10"/>
  <c r="B39" i="10"/>
  <c r="A39" i="10"/>
  <c r="G38" i="10"/>
  <c r="F38" i="10"/>
  <c r="R38" i="10" s="1"/>
  <c r="C38" i="10"/>
  <c r="B38" i="10"/>
  <c r="A38" i="10"/>
  <c r="K37" i="10"/>
  <c r="G37" i="10"/>
  <c r="F37" i="10"/>
  <c r="S37" i="10" s="1"/>
  <c r="C37" i="10"/>
  <c r="B37" i="10"/>
  <c r="A37" i="10"/>
  <c r="Q36" i="10"/>
  <c r="G36" i="10"/>
  <c r="F36" i="10"/>
  <c r="C36" i="10"/>
  <c r="B36" i="10"/>
  <c r="A36" i="10"/>
  <c r="Q35" i="10"/>
  <c r="K35" i="10"/>
  <c r="G35" i="10"/>
  <c r="F35" i="10"/>
  <c r="U35" i="10" s="1"/>
  <c r="C35" i="10"/>
  <c r="B35" i="10"/>
  <c r="A35" i="10"/>
  <c r="Q34" i="10"/>
  <c r="K34" i="10"/>
  <c r="G34" i="10"/>
  <c r="F34" i="10"/>
  <c r="C34" i="10"/>
  <c r="B34" i="10"/>
  <c r="A34" i="10"/>
  <c r="Q33" i="10"/>
  <c r="K33" i="10"/>
  <c r="G33" i="10"/>
  <c r="F33" i="10"/>
  <c r="U33" i="10" s="1"/>
  <c r="C33" i="10"/>
  <c r="B33" i="10"/>
  <c r="A33" i="10"/>
  <c r="Q32" i="10"/>
  <c r="K32" i="10"/>
  <c r="G32" i="10"/>
  <c r="F32" i="10"/>
  <c r="C32" i="10"/>
  <c r="B32" i="10"/>
  <c r="A32" i="10"/>
  <c r="Q31" i="10"/>
  <c r="K31" i="10"/>
  <c r="G31" i="10"/>
  <c r="F31" i="10"/>
  <c r="U31" i="10" s="1"/>
  <c r="C31" i="10"/>
  <c r="B31" i="10"/>
  <c r="A31" i="10"/>
  <c r="G30" i="10"/>
  <c r="F30" i="10"/>
  <c r="R30" i="10" s="1"/>
  <c r="C30" i="10"/>
  <c r="B30" i="10"/>
  <c r="A30" i="10"/>
  <c r="Q29" i="10"/>
  <c r="K29" i="10"/>
  <c r="G29" i="10"/>
  <c r="F29" i="10"/>
  <c r="U29" i="10" s="1"/>
  <c r="C29" i="10"/>
  <c r="B29" i="10"/>
  <c r="A29" i="10"/>
  <c r="Q28" i="10"/>
  <c r="K28" i="10"/>
  <c r="G28" i="10"/>
  <c r="F28" i="10"/>
  <c r="U28" i="10" s="1"/>
  <c r="C28" i="10"/>
  <c r="B28" i="10"/>
  <c r="A28" i="10"/>
  <c r="Q27" i="10"/>
  <c r="K27" i="10"/>
  <c r="G27" i="10"/>
  <c r="F27" i="10"/>
  <c r="C27" i="10"/>
  <c r="B27" i="10"/>
  <c r="A27" i="10"/>
  <c r="Q26" i="10"/>
  <c r="K26" i="10"/>
  <c r="G26" i="10"/>
  <c r="F26" i="10"/>
  <c r="R26" i="10" s="1"/>
  <c r="C26" i="10"/>
  <c r="B26" i="10"/>
  <c r="A26" i="10"/>
  <c r="Q25" i="10"/>
  <c r="K25" i="10"/>
  <c r="G25" i="10"/>
  <c r="F25" i="10"/>
  <c r="C25" i="10"/>
  <c r="B25" i="10"/>
  <c r="A25" i="10"/>
  <c r="Q24" i="10"/>
  <c r="K24" i="10"/>
  <c r="G24" i="10"/>
  <c r="F24" i="10"/>
  <c r="U24" i="10" s="1"/>
  <c r="C24" i="10"/>
  <c r="B24" i="10"/>
  <c r="A24" i="10"/>
  <c r="Q23" i="10"/>
  <c r="K23" i="10"/>
  <c r="G23" i="10"/>
  <c r="F23" i="10"/>
  <c r="C23" i="10"/>
  <c r="B23" i="10"/>
  <c r="A23" i="10"/>
  <c r="Q22" i="10"/>
  <c r="K22" i="10"/>
  <c r="G22" i="10"/>
  <c r="F22" i="10"/>
  <c r="U22" i="10" s="1"/>
  <c r="C22" i="10"/>
  <c r="B22" i="10"/>
  <c r="A22" i="10"/>
  <c r="Q21" i="10"/>
  <c r="K21" i="10"/>
  <c r="G21" i="10"/>
  <c r="F21" i="10"/>
  <c r="C21" i="10"/>
  <c r="B21" i="10"/>
  <c r="A21" i="10"/>
  <c r="V16" i="10"/>
  <c r="V15" i="10"/>
  <c r="V14" i="10"/>
  <c r="V13" i="10"/>
  <c r="V12" i="10"/>
  <c r="B4" i="10"/>
  <c r="F5" i="10" s="1"/>
  <c r="Q58" i="9"/>
  <c r="K58" i="9"/>
  <c r="G58" i="9"/>
  <c r="F58" i="9"/>
  <c r="R58" i="9" s="1"/>
  <c r="C58" i="9"/>
  <c r="B58" i="9"/>
  <c r="A58" i="9"/>
  <c r="Q57" i="9"/>
  <c r="K57" i="9"/>
  <c r="G57" i="9"/>
  <c r="F57" i="9"/>
  <c r="C57" i="9"/>
  <c r="B57" i="9"/>
  <c r="A57" i="9"/>
  <c r="Q56" i="9"/>
  <c r="K56" i="9"/>
  <c r="G56" i="9"/>
  <c r="F56" i="9"/>
  <c r="C56" i="9"/>
  <c r="B56" i="9"/>
  <c r="A56" i="9"/>
  <c r="Q55" i="9"/>
  <c r="K55" i="9"/>
  <c r="G55" i="9"/>
  <c r="F55" i="9"/>
  <c r="U55" i="9" s="1"/>
  <c r="C55" i="9"/>
  <c r="B55" i="9"/>
  <c r="A55" i="9"/>
  <c r="Q54" i="9"/>
  <c r="K54" i="9"/>
  <c r="G54" i="9"/>
  <c r="F54" i="9"/>
  <c r="C54" i="9"/>
  <c r="B54" i="9"/>
  <c r="A54" i="9"/>
  <c r="Q53" i="9"/>
  <c r="K53" i="9"/>
  <c r="G53" i="9"/>
  <c r="F53" i="9"/>
  <c r="U53" i="9" s="1"/>
  <c r="C53" i="9"/>
  <c r="B53" i="9"/>
  <c r="A53" i="9"/>
  <c r="Q52" i="9"/>
  <c r="K52" i="9"/>
  <c r="G52" i="9"/>
  <c r="F52" i="9"/>
  <c r="U52" i="9" s="1"/>
  <c r="C52" i="9"/>
  <c r="B52" i="9"/>
  <c r="A52" i="9"/>
  <c r="Q51" i="9"/>
  <c r="K51" i="9"/>
  <c r="G51" i="9"/>
  <c r="F51" i="9"/>
  <c r="R51" i="9" s="1"/>
  <c r="C51" i="9"/>
  <c r="B51" i="9"/>
  <c r="A51" i="9"/>
  <c r="Q50" i="9"/>
  <c r="K50" i="9"/>
  <c r="G50" i="9"/>
  <c r="F50" i="9"/>
  <c r="U50" i="9" s="1"/>
  <c r="C50" i="9"/>
  <c r="B50" i="9"/>
  <c r="A50" i="9"/>
  <c r="Q49" i="9"/>
  <c r="K49" i="9"/>
  <c r="G49" i="9"/>
  <c r="F49" i="9"/>
  <c r="C49" i="9"/>
  <c r="B49" i="9"/>
  <c r="A49" i="9"/>
  <c r="Q48" i="9"/>
  <c r="G48" i="9"/>
  <c r="F48" i="9"/>
  <c r="U48" i="9" s="1"/>
  <c r="C48" i="9"/>
  <c r="B48" i="9"/>
  <c r="A48" i="9"/>
  <c r="Q47" i="9"/>
  <c r="G47" i="9"/>
  <c r="F47" i="9"/>
  <c r="C47" i="9"/>
  <c r="B47" i="9"/>
  <c r="A47" i="9"/>
  <c r="Q46" i="9"/>
  <c r="G46" i="9"/>
  <c r="F46" i="9"/>
  <c r="U46" i="9" s="1"/>
  <c r="C46" i="9"/>
  <c r="B46" i="9"/>
  <c r="A46" i="9"/>
  <c r="Q45" i="9"/>
  <c r="G45" i="9"/>
  <c r="F45" i="9"/>
  <c r="U45" i="9" s="1"/>
  <c r="C45" i="9"/>
  <c r="B45" i="9"/>
  <c r="A45" i="9"/>
  <c r="Q44" i="9"/>
  <c r="G44" i="9"/>
  <c r="F44" i="9"/>
  <c r="U44" i="9" s="1"/>
  <c r="C44" i="9"/>
  <c r="B44" i="9"/>
  <c r="A44" i="9"/>
  <c r="Q43" i="9"/>
  <c r="K43" i="9"/>
  <c r="G43" i="9"/>
  <c r="F43" i="9"/>
  <c r="U43" i="9" s="1"/>
  <c r="C43" i="9"/>
  <c r="B43" i="9"/>
  <c r="A43" i="9"/>
  <c r="Q42" i="9"/>
  <c r="K42" i="9"/>
  <c r="G42" i="9"/>
  <c r="F42" i="9"/>
  <c r="C42" i="9"/>
  <c r="B42" i="9"/>
  <c r="A42" i="9"/>
  <c r="Q41" i="9"/>
  <c r="K41" i="9"/>
  <c r="G41" i="9"/>
  <c r="F41" i="9"/>
  <c r="R41" i="9" s="1"/>
  <c r="C41" i="9"/>
  <c r="B41" i="9"/>
  <c r="A41" i="9"/>
  <c r="Q40" i="9"/>
  <c r="K40" i="9"/>
  <c r="G40" i="9"/>
  <c r="F40" i="9"/>
  <c r="C40" i="9"/>
  <c r="B40" i="9"/>
  <c r="A40" i="9"/>
  <c r="Q39" i="9"/>
  <c r="K39" i="9"/>
  <c r="G39" i="9"/>
  <c r="F39" i="9"/>
  <c r="U39" i="9" s="1"/>
  <c r="C39" i="9"/>
  <c r="B39" i="9"/>
  <c r="A39" i="9"/>
  <c r="Q38" i="9"/>
  <c r="K38" i="9"/>
  <c r="G38" i="9"/>
  <c r="F38" i="9"/>
  <c r="C38" i="9"/>
  <c r="B38" i="9"/>
  <c r="A38" i="9"/>
  <c r="Q37" i="9"/>
  <c r="K37" i="9"/>
  <c r="G37" i="9"/>
  <c r="F37" i="9"/>
  <c r="U37" i="9" s="1"/>
  <c r="C37" i="9"/>
  <c r="B37" i="9"/>
  <c r="A37" i="9"/>
  <c r="Q36" i="9"/>
  <c r="K36" i="9"/>
  <c r="G36" i="9"/>
  <c r="F36" i="9"/>
  <c r="C36" i="9"/>
  <c r="B36" i="9"/>
  <c r="A36" i="9"/>
  <c r="Q35" i="9"/>
  <c r="K35" i="9"/>
  <c r="G35" i="9"/>
  <c r="F35" i="9"/>
  <c r="S35" i="9" s="1"/>
  <c r="C35" i="9"/>
  <c r="B35" i="9"/>
  <c r="A35" i="9"/>
  <c r="Q34" i="9"/>
  <c r="K34" i="9"/>
  <c r="G34" i="9"/>
  <c r="F34" i="9"/>
  <c r="C34" i="9"/>
  <c r="B34" i="9"/>
  <c r="Q33" i="9"/>
  <c r="K33" i="9"/>
  <c r="G33" i="9"/>
  <c r="F33" i="9"/>
  <c r="R33" i="9" s="1"/>
  <c r="C33" i="9"/>
  <c r="B33" i="9"/>
  <c r="A33" i="9"/>
  <c r="Q32" i="9"/>
  <c r="K32" i="9"/>
  <c r="G32" i="9"/>
  <c r="F32" i="9"/>
  <c r="U32" i="9" s="1"/>
  <c r="C32" i="9"/>
  <c r="B32" i="9"/>
  <c r="A32" i="9"/>
  <c r="Q31" i="9"/>
  <c r="K31" i="9"/>
  <c r="G31" i="9"/>
  <c r="F31" i="9"/>
  <c r="C31" i="9"/>
  <c r="B31" i="9"/>
  <c r="A31" i="9"/>
  <c r="Q30" i="9"/>
  <c r="K30" i="9"/>
  <c r="G30" i="9"/>
  <c r="F30" i="9"/>
  <c r="U30" i="9" s="1"/>
  <c r="C30" i="9"/>
  <c r="B30" i="9"/>
  <c r="A30" i="9"/>
  <c r="Q29" i="9"/>
  <c r="K29" i="9"/>
  <c r="G29" i="9"/>
  <c r="F29" i="9"/>
  <c r="C29" i="9"/>
  <c r="B29" i="9"/>
  <c r="A29" i="9"/>
  <c r="Q28" i="9"/>
  <c r="K28" i="9"/>
  <c r="G28" i="9"/>
  <c r="F28" i="9"/>
  <c r="U28" i="9" s="1"/>
  <c r="C28" i="9"/>
  <c r="B28" i="9"/>
  <c r="A28" i="9"/>
  <c r="Q27" i="9"/>
  <c r="K27" i="9"/>
  <c r="G27" i="9"/>
  <c r="F27" i="9"/>
  <c r="R27" i="9" s="1"/>
  <c r="C27" i="9"/>
  <c r="B27" i="9"/>
  <c r="A27" i="9"/>
  <c r="Q26" i="9"/>
  <c r="K26" i="9"/>
  <c r="G26" i="9"/>
  <c r="F26" i="9"/>
  <c r="C26" i="9"/>
  <c r="B26" i="9"/>
  <c r="A26" i="9"/>
  <c r="Q25" i="9"/>
  <c r="G25" i="9"/>
  <c r="F25" i="9"/>
  <c r="C25" i="9"/>
  <c r="B25" i="9"/>
  <c r="A25" i="9"/>
  <c r="Q24" i="9"/>
  <c r="K24" i="9"/>
  <c r="G24" i="9"/>
  <c r="F24" i="9"/>
  <c r="R24" i="9" s="1"/>
  <c r="C24" i="9"/>
  <c r="B24" i="9"/>
  <c r="A24" i="9"/>
  <c r="Q23" i="9"/>
  <c r="K23" i="9"/>
  <c r="G23" i="9"/>
  <c r="F23" i="9"/>
  <c r="U23" i="9" s="1"/>
  <c r="C23" i="9"/>
  <c r="B23" i="9"/>
  <c r="A23" i="9"/>
  <c r="Q22" i="9"/>
  <c r="K22" i="9"/>
  <c r="G22" i="9"/>
  <c r="F22" i="9"/>
  <c r="R22" i="9" s="1"/>
  <c r="C22" i="9"/>
  <c r="B22" i="9"/>
  <c r="A22" i="9"/>
  <c r="Q21" i="9"/>
  <c r="K21" i="9"/>
  <c r="G21" i="9"/>
  <c r="F21" i="9"/>
  <c r="U21" i="9" s="1"/>
  <c r="C21" i="9"/>
  <c r="B21" i="9"/>
  <c r="A21" i="9"/>
  <c r="V16" i="9"/>
  <c r="V15" i="9"/>
  <c r="V14" i="9"/>
  <c r="V13" i="9"/>
  <c r="V12" i="9"/>
  <c r="B6" i="9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D3" i="8"/>
  <c r="C3" i="8"/>
  <c r="A3" i="8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E6" i="7"/>
  <c r="D6" i="7"/>
  <c r="C6" i="7"/>
  <c r="B6" i="7"/>
  <c r="A6" i="7"/>
  <c r="E5" i="7"/>
  <c r="D5" i="7"/>
  <c r="C5" i="7"/>
  <c r="B5" i="7"/>
  <c r="A5" i="7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5" i="2"/>
  <c r="Q5" i="2" s="1"/>
  <c r="U6" i="7"/>
  <c r="T31" i="7"/>
  <c r="U31" i="7"/>
  <c r="U5" i="7"/>
  <c r="V16" i="7"/>
  <c r="S33" i="7"/>
  <c r="S34" i="7"/>
  <c r="V21" i="7"/>
  <c r="V29" i="7"/>
  <c r="V9" i="7"/>
  <c r="H49" i="5"/>
  <c r="T14" i="7"/>
  <c r="S24" i="7"/>
  <c r="V33" i="7"/>
  <c r="V40" i="7"/>
  <c r="J49" i="5"/>
  <c r="E49" i="5"/>
  <c r="T10" i="7"/>
  <c r="T17" i="7"/>
  <c r="S39" i="7"/>
  <c r="V17" i="7"/>
  <c r="U19" i="7"/>
  <c r="S7" i="7"/>
  <c r="S26" i="7"/>
  <c r="T33" i="7"/>
  <c r="T22" i="7"/>
  <c r="S18" i="7"/>
  <c r="G48" i="5"/>
  <c r="H50" i="5"/>
  <c r="V20" i="7"/>
  <c r="R4" i="7"/>
  <c r="T26" i="7"/>
  <c r="S8" i="7"/>
  <c r="S23" i="7"/>
  <c r="V32" i="7"/>
  <c r="J50" i="5"/>
  <c r="U15" i="7"/>
  <c r="T35" i="7"/>
  <c r="T37" i="7"/>
  <c r="V38" i="7"/>
  <c r="A42" i="6"/>
  <c r="I49" i="5"/>
  <c r="S15" i="7"/>
  <c r="J51" i="5"/>
  <c r="V7" i="7"/>
  <c r="S27" i="7"/>
  <c r="U29" i="7"/>
  <c r="K48" i="5"/>
  <c r="T11" i="7"/>
  <c r="U9" i="7"/>
  <c r="V36" i="7"/>
  <c r="V14" i="7"/>
  <c r="T20" i="7"/>
  <c r="T16" i="7"/>
  <c r="S22" i="7"/>
  <c r="U26" i="7"/>
  <c r="S21" i="7"/>
  <c r="S16" i="7"/>
  <c r="U30" i="7"/>
  <c r="U39" i="7"/>
  <c r="S29" i="7"/>
  <c r="G50" i="5"/>
  <c r="S31" i="7"/>
  <c r="V39" i="7"/>
  <c r="S28" i="7"/>
  <c r="S41" i="7"/>
  <c r="T28" i="7"/>
  <c r="U37" i="7"/>
  <c r="T39" i="7"/>
  <c r="U7" i="7"/>
  <c r="U17" i="7"/>
  <c r="S30" i="7"/>
  <c r="S12" i="7"/>
  <c r="T42" i="7"/>
  <c r="V27" i="7"/>
  <c r="V5" i="7"/>
  <c r="I48" i="5"/>
  <c r="U42" i="7"/>
  <c r="E50" i="5"/>
  <c r="T40" i="7"/>
  <c r="U12" i="7"/>
  <c r="S42" i="7"/>
  <c r="V30" i="7"/>
  <c r="S19" i="7"/>
  <c r="V18" i="7"/>
  <c r="J48" i="5"/>
  <c r="T41" i="7"/>
  <c r="U20" i="7"/>
  <c r="T15" i="7"/>
  <c r="S14" i="7"/>
  <c r="G49" i="5"/>
  <c r="U34" i="7"/>
  <c r="U13" i="7"/>
  <c r="S40" i="7"/>
  <c r="T7" i="7"/>
  <c r="V25" i="7"/>
  <c r="T25" i="7"/>
  <c r="S11" i="7"/>
  <c r="T13" i="7"/>
  <c r="I50" i="5"/>
  <c r="S17" i="7"/>
  <c r="U41" i="7"/>
  <c r="V41" i="7"/>
  <c r="U38" i="7"/>
  <c r="T12" i="7"/>
  <c r="V24" i="7"/>
  <c r="U23" i="7"/>
  <c r="V34" i="7"/>
  <c r="S5" i="7"/>
  <c r="T19" i="7"/>
  <c r="T5" i="7"/>
  <c r="S9" i="7"/>
  <c r="S10" i="7"/>
  <c r="V31" i="7"/>
  <c r="U35" i="7"/>
  <c r="T30" i="7"/>
  <c r="U27" i="7"/>
  <c r="V37" i="7"/>
  <c r="E51" i="5"/>
  <c r="T34" i="7"/>
  <c r="T38" i="7"/>
  <c r="U18" i="7"/>
  <c r="S36" i="7"/>
  <c r="U21" i="7"/>
  <c r="S37" i="7"/>
  <c r="T29" i="7"/>
  <c r="V35" i="7"/>
  <c r="K49" i="5"/>
  <c r="T18" i="7"/>
  <c r="A43" i="6"/>
  <c r="V10" i="7"/>
  <c r="E48" i="5"/>
  <c r="I51" i="5"/>
  <c r="U24" i="7"/>
  <c r="K50" i="5"/>
  <c r="S25" i="7"/>
  <c r="G51" i="5"/>
  <c r="V6" i="7"/>
  <c r="Q4" i="7"/>
  <c r="U22" i="7"/>
  <c r="V42" i="7"/>
  <c r="H51" i="5"/>
  <c r="T4" i="8"/>
  <c r="V13" i="7"/>
  <c r="K51" i="5"/>
  <c r="U11" i="7"/>
  <c r="V22" i="7"/>
  <c r="U10" i="7"/>
  <c r="V11" i="7"/>
  <c r="U40" i="7"/>
  <c r="T21" i="7"/>
  <c r="S6" i="7"/>
  <c r="S20" i="7"/>
  <c r="T36" i="7"/>
  <c r="T8" i="7"/>
  <c r="S38" i="7"/>
  <c r="U25" i="7"/>
  <c r="T9" i="7"/>
  <c r="V12" i="7"/>
  <c r="T23" i="7"/>
  <c r="M4" i="7"/>
  <c r="U16" i="7"/>
  <c r="S32" i="7"/>
  <c r="S13" i="7"/>
  <c r="T32" i="7"/>
  <c r="U36" i="7"/>
  <c r="U32" i="7"/>
  <c r="H48" i="5"/>
  <c r="V19" i="7"/>
  <c r="U33" i="7"/>
  <c r="V23" i="7"/>
  <c r="T6" i="7"/>
  <c r="V15" i="7"/>
  <c r="S4" i="8"/>
  <c r="V28" i="7"/>
  <c r="U28" i="7"/>
  <c r="T27" i="7"/>
  <c r="V8" i="7"/>
  <c r="U8" i="7"/>
  <c r="A42" i="5"/>
  <c r="U14" i="7"/>
  <c r="V26" i="7"/>
  <c r="T24" i="7"/>
  <c r="S35" i="7"/>
  <c r="U58" i="12" l="1"/>
  <c r="R56" i="11"/>
  <c r="R47" i="11"/>
  <c r="T31" i="13"/>
  <c r="R31" i="13"/>
  <c r="S56" i="13"/>
  <c r="T57" i="10"/>
  <c r="U47" i="10"/>
  <c r="U41" i="11"/>
  <c r="R32" i="9"/>
  <c r="R52" i="10"/>
  <c r="R48" i="9"/>
  <c r="T55" i="9"/>
  <c r="U41" i="9"/>
  <c r="R30" i="9"/>
  <c r="R46" i="9"/>
  <c r="T26" i="12"/>
  <c r="R40" i="11"/>
  <c r="S35" i="12"/>
  <c r="R44" i="10"/>
  <c r="R48" i="10"/>
  <c r="U58" i="9"/>
  <c r="T58" i="10"/>
  <c r="U58" i="11"/>
  <c r="U41" i="12"/>
  <c r="H17" i="19"/>
  <c r="H17" i="18"/>
  <c r="H17" i="16"/>
  <c r="H17" i="17"/>
  <c r="T54" i="11"/>
  <c r="S45" i="9"/>
  <c r="S31" i="10"/>
  <c r="R58" i="10"/>
  <c r="R58" i="12"/>
  <c r="T58" i="14"/>
  <c r="T43" i="13"/>
  <c r="T50" i="14"/>
  <c r="R35" i="10"/>
  <c r="U43" i="13"/>
  <c r="U50" i="14"/>
  <c r="S30" i="9"/>
  <c r="T35" i="9"/>
  <c r="S29" i="10"/>
  <c r="T31" i="10"/>
  <c r="T34" i="11"/>
  <c r="S37" i="12"/>
  <c r="V43" i="7"/>
  <c r="T43" i="7"/>
  <c r="U43" i="7"/>
  <c r="S43" i="7"/>
  <c r="F50" i="5"/>
  <c r="F51" i="5"/>
  <c r="F48" i="5"/>
  <c r="F49" i="5"/>
  <c r="U56" i="11"/>
  <c r="S26" i="12"/>
  <c r="R35" i="12"/>
  <c r="R37" i="12"/>
  <c r="S30" i="10"/>
  <c r="U55" i="10"/>
  <c r="T46" i="12"/>
  <c r="T34" i="14"/>
  <c r="T21" i="12"/>
  <c r="T51" i="10"/>
  <c r="R55" i="10"/>
  <c r="S57" i="10"/>
  <c r="T25" i="11"/>
  <c r="S29" i="11"/>
  <c r="T40" i="11"/>
  <c r="S55" i="12"/>
  <c r="S31" i="13"/>
  <c r="T40" i="13"/>
  <c r="R58" i="14"/>
  <c r="U33" i="9"/>
  <c r="U55" i="12"/>
  <c r="S27" i="13"/>
  <c r="S34" i="14"/>
  <c r="T37" i="10"/>
  <c r="U51" i="10"/>
  <c r="R25" i="11"/>
  <c r="R38" i="11"/>
  <c r="U27" i="13"/>
  <c r="S42" i="13"/>
  <c r="S46" i="9"/>
  <c r="S50" i="9"/>
  <c r="R24" i="10"/>
  <c r="R37" i="10"/>
  <c r="S42" i="10"/>
  <c r="S25" i="11"/>
  <c r="U38" i="11"/>
  <c r="S40" i="11"/>
  <c r="S44" i="11"/>
  <c r="S38" i="13"/>
  <c r="U23" i="14"/>
  <c r="T37" i="14"/>
  <c r="R22" i="10"/>
  <c r="T24" i="10"/>
  <c r="U34" i="11"/>
  <c r="T34" i="13"/>
  <c r="T46" i="14"/>
  <c r="T41" i="13"/>
  <c r="R25" i="12"/>
  <c r="U34" i="13"/>
  <c r="R58" i="13"/>
  <c r="T37" i="11"/>
  <c r="T41" i="11"/>
  <c r="T31" i="14"/>
  <c r="S24" i="9"/>
  <c r="S45" i="11"/>
  <c r="S21" i="12"/>
  <c r="T22" i="13"/>
  <c r="S24" i="13"/>
  <c r="S31" i="14"/>
  <c r="S22" i="9"/>
  <c r="U24" i="9"/>
  <c r="R41" i="11"/>
  <c r="T56" i="11"/>
  <c r="T48" i="9"/>
  <c r="Q48" i="10"/>
  <c r="U48" i="10"/>
  <c r="T52" i="12"/>
  <c r="T28" i="12"/>
  <c r="U58" i="10"/>
  <c r="T39" i="9"/>
  <c r="T51" i="9"/>
  <c r="S24" i="10"/>
  <c r="K36" i="10"/>
  <c r="T36" i="10" s="1"/>
  <c r="T48" i="10"/>
  <c r="R57" i="10"/>
  <c r="T29" i="11"/>
  <c r="U26" i="12"/>
  <c r="T55" i="12"/>
  <c r="R42" i="13"/>
  <c r="R45" i="13"/>
  <c r="U56" i="13"/>
  <c r="T54" i="12"/>
  <c r="T47" i="13"/>
  <c r="T55" i="13"/>
  <c r="R31" i="14"/>
  <c r="R34" i="14"/>
  <c r="T43" i="14"/>
  <c r="R31" i="11"/>
  <c r="U28" i="12"/>
  <c r="T39" i="12"/>
  <c r="S48" i="12"/>
  <c r="R47" i="13"/>
  <c r="S43" i="14"/>
  <c r="T33" i="9"/>
  <c r="T32" i="10"/>
  <c r="T46" i="11"/>
  <c r="S47" i="13"/>
  <c r="U43" i="14"/>
  <c r="R46" i="14"/>
  <c r="T46" i="9"/>
  <c r="U51" i="9"/>
  <c r="S26" i="10"/>
  <c r="T29" i="10"/>
  <c r="S35" i="10"/>
  <c r="S40" i="10"/>
  <c r="R49" i="11"/>
  <c r="S33" i="12"/>
  <c r="U39" i="12"/>
  <c r="R42" i="12"/>
  <c r="R29" i="13"/>
  <c r="R40" i="13"/>
  <c r="T24" i="14"/>
  <c r="T27" i="14"/>
  <c r="T36" i="14"/>
  <c r="R39" i="14"/>
  <c r="S46" i="14"/>
  <c r="S33" i="9"/>
  <c r="R50" i="9"/>
  <c r="U26" i="10"/>
  <c r="U40" i="10"/>
  <c r="S49" i="11"/>
  <c r="R24" i="12"/>
  <c r="S30" i="12"/>
  <c r="S42" i="12"/>
  <c r="S50" i="12"/>
  <c r="R53" i="12"/>
  <c r="S40" i="13"/>
  <c r="S39" i="14"/>
  <c r="S54" i="11"/>
  <c r="S24" i="12"/>
  <c r="T30" i="12"/>
  <c r="T50" i="12"/>
  <c r="S53" i="12"/>
  <c r="R21" i="14"/>
  <c r="S27" i="14"/>
  <c r="U36" i="14"/>
  <c r="T39" i="14"/>
  <c r="R45" i="14"/>
  <c r="T24" i="9"/>
  <c r="S22" i="10"/>
  <c r="U54" i="11"/>
  <c r="S21" i="14"/>
  <c r="U27" i="14"/>
  <c r="T43" i="9"/>
  <c r="T23" i="11"/>
  <c r="T33" i="13"/>
  <c r="T21" i="14"/>
  <c r="U44" i="10"/>
  <c r="T45" i="11"/>
  <c r="R52" i="12"/>
  <c r="R51" i="11"/>
  <c r="U57" i="11"/>
  <c r="R57" i="11"/>
  <c r="T57" i="11"/>
  <c r="R22" i="11"/>
  <c r="T51" i="11"/>
  <c r="U53" i="11"/>
  <c r="U49" i="14"/>
  <c r="R49" i="14"/>
  <c r="T53" i="14"/>
  <c r="U53" i="14"/>
  <c r="R53" i="14"/>
  <c r="S53" i="14"/>
  <c r="S22" i="11"/>
  <c r="U39" i="13"/>
  <c r="S39" i="13"/>
  <c r="T39" i="13"/>
  <c r="U40" i="9"/>
  <c r="T40" i="9"/>
  <c r="S40" i="9"/>
  <c r="R40" i="9"/>
  <c r="U46" i="11"/>
  <c r="S46" i="11"/>
  <c r="R30" i="12"/>
  <c r="T36" i="12"/>
  <c r="U36" i="12"/>
  <c r="R36" i="12"/>
  <c r="U38" i="12"/>
  <c r="R38" i="12"/>
  <c r="S38" i="12"/>
  <c r="S54" i="12"/>
  <c r="U54" i="12"/>
  <c r="U21" i="13"/>
  <c r="T21" i="13"/>
  <c r="R21" i="13"/>
  <c r="S21" i="13"/>
  <c r="U37" i="13"/>
  <c r="S37" i="13"/>
  <c r="U47" i="14"/>
  <c r="R47" i="14"/>
  <c r="T47" i="14"/>
  <c r="S47" i="14"/>
  <c r="S23" i="10"/>
  <c r="U23" i="10"/>
  <c r="U48" i="11"/>
  <c r="S48" i="11"/>
  <c r="R48" i="11"/>
  <c r="S32" i="12"/>
  <c r="S34" i="12"/>
  <c r="S34" i="9"/>
  <c r="T34" i="9"/>
  <c r="U34" i="9"/>
  <c r="R36" i="9"/>
  <c r="U36" i="9"/>
  <c r="S36" i="9"/>
  <c r="S45" i="10"/>
  <c r="U45" i="10"/>
  <c r="R45" i="10"/>
  <c r="T34" i="12"/>
  <c r="S35" i="13"/>
  <c r="T35" i="13"/>
  <c r="U35" i="13"/>
  <c r="T31" i="9"/>
  <c r="U31" i="9"/>
  <c r="S31" i="9"/>
  <c r="R31" i="9"/>
  <c r="T23" i="10"/>
  <c r="U27" i="10"/>
  <c r="R27" i="10"/>
  <c r="S27" i="10"/>
  <c r="T23" i="12"/>
  <c r="U52" i="12"/>
  <c r="T57" i="13"/>
  <c r="U57" i="13"/>
  <c r="R57" i="13"/>
  <c r="T56" i="14"/>
  <c r="U56" i="14"/>
  <c r="S54" i="9"/>
  <c r="U54" i="9"/>
  <c r="T36" i="9"/>
  <c r="U56" i="9"/>
  <c r="R56" i="9"/>
  <c r="U39" i="10"/>
  <c r="R37" i="11"/>
  <c r="S37" i="11"/>
  <c r="U37" i="11"/>
  <c r="R46" i="11"/>
  <c r="R54" i="12"/>
  <c r="S55" i="13"/>
  <c r="U40" i="14"/>
  <c r="R40" i="14"/>
  <c r="T40" i="14"/>
  <c r="S40" i="14"/>
  <c r="T54" i="9"/>
  <c r="R43" i="10"/>
  <c r="T52" i="10"/>
  <c r="U52" i="10"/>
  <c r="U56" i="10"/>
  <c r="S56" i="10"/>
  <c r="T56" i="10"/>
  <c r="U35" i="11"/>
  <c r="S35" i="11"/>
  <c r="T35" i="11"/>
  <c r="T39" i="11"/>
  <c r="U39" i="11"/>
  <c r="U29" i="12"/>
  <c r="S29" i="12"/>
  <c r="T29" i="12"/>
  <c r="R29" i="12"/>
  <c r="U33" i="13"/>
  <c r="T51" i="13"/>
  <c r="S53" i="13"/>
  <c r="S53" i="11"/>
  <c r="R34" i="9"/>
  <c r="R39" i="10"/>
  <c r="R41" i="10"/>
  <c r="R54" i="10"/>
  <c r="U54" i="10"/>
  <c r="T54" i="10"/>
  <c r="S54" i="10"/>
  <c r="T27" i="12"/>
  <c r="U27" i="12"/>
  <c r="U51" i="13"/>
  <c r="R54" i="9"/>
  <c r="R33" i="11"/>
  <c r="R23" i="12"/>
  <c r="U49" i="12"/>
  <c r="S49" i="12"/>
  <c r="U51" i="12"/>
  <c r="R51" i="12"/>
  <c r="S51" i="12"/>
  <c r="R38" i="9"/>
  <c r="S38" i="9"/>
  <c r="T41" i="9"/>
  <c r="U29" i="9"/>
  <c r="S29" i="9"/>
  <c r="R52" i="9"/>
  <c r="S33" i="11"/>
  <c r="U23" i="12"/>
  <c r="U26" i="13"/>
  <c r="S26" i="13"/>
  <c r="S33" i="14"/>
  <c r="T33" i="14"/>
  <c r="U33" i="14"/>
  <c r="S56" i="14"/>
  <c r="R45" i="12"/>
  <c r="U45" i="12"/>
  <c r="T45" i="12"/>
  <c r="S45" i="12"/>
  <c r="U49" i="9"/>
  <c r="S49" i="9"/>
  <c r="R49" i="9"/>
  <c r="T43" i="12"/>
  <c r="U43" i="12"/>
  <c r="S28" i="13"/>
  <c r="T28" i="13"/>
  <c r="U28" i="13"/>
  <c r="R28" i="13"/>
  <c r="S44" i="13"/>
  <c r="U44" i="13"/>
  <c r="T44" i="13"/>
  <c r="U50" i="13"/>
  <c r="T50" i="13"/>
  <c r="R50" i="13"/>
  <c r="S50" i="13"/>
  <c r="U25" i="9"/>
  <c r="R25" i="9"/>
  <c r="R43" i="9"/>
  <c r="U34" i="10"/>
  <c r="S34" i="10"/>
  <c r="R34" i="10"/>
  <c r="R36" i="10"/>
  <c r="S36" i="10"/>
  <c r="T53" i="11"/>
  <c r="T55" i="11"/>
  <c r="U55" i="11"/>
  <c r="T48" i="13"/>
  <c r="U48" i="13"/>
  <c r="U27" i="9"/>
  <c r="S27" i="9"/>
  <c r="T27" i="9"/>
  <c r="R47" i="9"/>
  <c r="U47" i="9"/>
  <c r="S47" i="9"/>
  <c r="S43" i="9"/>
  <c r="U32" i="10"/>
  <c r="R32" i="10"/>
  <c r="S32" i="10"/>
  <c r="T22" i="11"/>
  <c r="U24" i="11"/>
  <c r="S24" i="11"/>
  <c r="T24" i="11"/>
  <c r="U28" i="11"/>
  <c r="S28" i="11"/>
  <c r="U30" i="11"/>
  <c r="S30" i="11"/>
  <c r="R30" i="11"/>
  <c r="U22" i="13"/>
  <c r="T49" i="9"/>
  <c r="T27" i="10"/>
  <c r="K47" i="10"/>
  <c r="T47" i="10" s="1"/>
  <c r="T38" i="12"/>
  <c r="T51" i="12"/>
  <c r="T58" i="12"/>
  <c r="T32" i="13"/>
  <c r="Q47" i="10"/>
  <c r="T21" i="11"/>
  <c r="T22" i="12"/>
  <c r="T30" i="14"/>
  <c r="T55" i="14"/>
  <c r="T30" i="9"/>
  <c r="U36" i="10"/>
  <c r="U38" i="10"/>
  <c r="R49" i="10"/>
  <c r="T53" i="10"/>
  <c r="Q58" i="10"/>
  <c r="S21" i="11"/>
  <c r="R32" i="11"/>
  <c r="T47" i="11"/>
  <c r="R50" i="11"/>
  <c r="R22" i="12"/>
  <c r="T42" i="12"/>
  <c r="T44" i="12"/>
  <c r="R56" i="12"/>
  <c r="R24" i="14"/>
  <c r="R30" i="14"/>
  <c r="R37" i="14"/>
  <c r="R55" i="14"/>
  <c r="R29" i="10"/>
  <c r="S38" i="10"/>
  <c r="K40" i="10"/>
  <c r="T40" i="10" s="1"/>
  <c r="S49" i="10"/>
  <c r="S51" i="10"/>
  <c r="U21" i="11"/>
  <c r="S32" i="11"/>
  <c r="T38" i="11"/>
  <c r="T50" i="11"/>
  <c r="S22" i="12"/>
  <c r="T35" i="12"/>
  <c r="R40" i="12"/>
  <c r="U32" i="13"/>
  <c r="R34" i="13"/>
  <c r="R43" i="13"/>
  <c r="T56" i="13"/>
  <c r="S24" i="14"/>
  <c r="S30" i="14"/>
  <c r="S37" i="14"/>
  <c r="S55" i="14"/>
  <c r="T27" i="13"/>
  <c r="S54" i="13"/>
  <c r="T58" i="13"/>
  <c r="U37" i="14"/>
  <c r="T31" i="11"/>
  <c r="T49" i="13"/>
  <c r="T23" i="14"/>
  <c r="T30" i="11"/>
  <c r="T49" i="10"/>
  <c r="U50" i="11"/>
  <c r="K44" i="10"/>
  <c r="T44" i="10" s="1"/>
  <c r="T32" i="9"/>
  <c r="T26" i="10"/>
  <c r="U46" i="10"/>
  <c r="T49" i="11"/>
  <c r="F5" i="14"/>
  <c r="S5" i="11"/>
  <c r="S6" i="13"/>
  <c r="F4" i="11"/>
  <c r="F6" i="9"/>
  <c r="A1" i="10"/>
  <c r="F4" i="10"/>
  <c r="B5" i="13"/>
  <c r="B5" i="10"/>
  <c r="F5" i="13"/>
  <c r="S5" i="10"/>
  <c r="S4" i="12"/>
  <c r="F5" i="12"/>
  <c r="S5" i="12"/>
  <c r="B6" i="12"/>
  <c r="A1" i="11"/>
  <c r="S6" i="12"/>
  <c r="A1" i="9"/>
  <c r="F5" i="11"/>
  <c r="U4" i="14"/>
  <c r="C42" i="6"/>
  <c r="C43" i="6"/>
  <c r="C42" i="5"/>
  <c r="U42" i="9"/>
  <c r="T42" i="9"/>
  <c r="S42" i="9"/>
  <c r="R42" i="9"/>
  <c r="U26" i="9"/>
  <c r="T26" i="9"/>
  <c r="S26" i="9"/>
  <c r="R26" i="9"/>
  <c r="U26" i="11"/>
  <c r="T26" i="11"/>
  <c r="S26" i="11"/>
  <c r="R26" i="11"/>
  <c r="T37" i="9"/>
  <c r="S37" i="9"/>
  <c r="R37" i="9"/>
  <c r="U57" i="9"/>
  <c r="T57" i="9"/>
  <c r="S57" i="9"/>
  <c r="R57" i="9"/>
  <c r="T50" i="9"/>
  <c r="T21" i="9"/>
  <c r="S21" i="9"/>
  <c r="R21" i="9"/>
  <c r="T21" i="10"/>
  <c r="U21" i="10"/>
  <c r="S21" i="10"/>
  <c r="R21" i="10"/>
  <c r="U36" i="11"/>
  <c r="T36" i="11"/>
  <c r="S36" i="11"/>
  <c r="R36" i="11"/>
  <c r="U27" i="11"/>
  <c r="T27" i="11"/>
  <c r="R27" i="11"/>
  <c r="S27" i="11"/>
  <c r="T47" i="9"/>
  <c r="T58" i="9"/>
  <c r="S58" i="9"/>
  <c r="S6" i="9"/>
  <c r="T22" i="9"/>
  <c r="S25" i="9"/>
  <c r="R28" i="9"/>
  <c r="U35" i="9"/>
  <c r="T38" i="9"/>
  <c r="S41" i="9"/>
  <c r="R44" i="9"/>
  <c r="R53" i="9"/>
  <c r="S56" i="9"/>
  <c r="U22" i="9"/>
  <c r="T25" i="9"/>
  <c r="S28" i="9"/>
  <c r="U38" i="9"/>
  <c r="S44" i="9"/>
  <c r="S53" i="9"/>
  <c r="T56" i="9"/>
  <c r="U41" i="10"/>
  <c r="Q41" i="10"/>
  <c r="T28" i="9"/>
  <c r="T44" i="9"/>
  <c r="T53" i="9"/>
  <c r="S55" i="9"/>
  <c r="R55" i="9"/>
  <c r="K41" i="10"/>
  <c r="T41" i="10" s="1"/>
  <c r="U50" i="10"/>
  <c r="T50" i="10"/>
  <c r="S50" i="10"/>
  <c r="R50" i="10"/>
  <c r="U47" i="12"/>
  <c r="T47" i="12"/>
  <c r="S47" i="12"/>
  <c r="R47" i="12"/>
  <c r="U46" i="13"/>
  <c r="T46" i="13"/>
  <c r="S46" i="13"/>
  <c r="R46" i="13"/>
  <c r="T52" i="9"/>
  <c r="S52" i="9"/>
  <c r="U43" i="10"/>
  <c r="K43" i="10"/>
  <c r="T43" i="10" s="1"/>
  <c r="T33" i="10"/>
  <c r="S33" i="10"/>
  <c r="T45" i="10"/>
  <c r="U43" i="11"/>
  <c r="T43" i="11"/>
  <c r="R43" i="11"/>
  <c r="U30" i="13"/>
  <c r="T30" i="13"/>
  <c r="S30" i="13"/>
  <c r="R30" i="13"/>
  <c r="S47" i="10"/>
  <c r="U52" i="11"/>
  <c r="T52" i="11"/>
  <c r="S52" i="11"/>
  <c r="R52" i="11"/>
  <c r="U31" i="12"/>
  <c r="T31" i="12"/>
  <c r="S31" i="12"/>
  <c r="R31" i="12"/>
  <c r="U23" i="13"/>
  <c r="T23" i="13"/>
  <c r="S23" i="13"/>
  <c r="R23" i="13"/>
  <c r="U52" i="13"/>
  <c r="T52" i="13"/>
  <c r="S52" i="13"/>
  <c r="R52" i="13"/>
  <c r="F4" i="9"/>
  <c r="U4" i="10"/>
  <c r="S4" i="10"/>
  <c r="S6" i="10"/>
  <c r="T28" i="10"/>
  <c r="S28" i="10"/>
  <c r="R28" i="10"/>
  <c r="R33" i="10"/>
  <c r="S43" i="11"/>
  <c r="S4" i="9"/>
  <c r="R23" i="9"/>
  <c r="R39" i="9"/>
  <c r="U36" i="13"/>
  <c r="T36" i="13"/>
  <c r="S36" i="13"/>
  <c r="R36" i="13"/>
  <c r="U4" i="9"/>
  <c r="S23" i="9"/>
  <c r="S39" i="9"/>
  <c r="T58" i="11"/>
  <c r="S58" i="11"/>
  <c r="B5" i="9"/>
  <c r="T23" i="9"/>
  <c r="R29" i="9"/>
  <c r="R45" i="9"/>
  <c r="U37" i="10"/>
  <c r="Q37" i="10"/>
  <c r="U42" i="10"/>
  <c r="U57" i="12"/>
  <c r="T57" i="12"/>
  <c r="S57" i="12"/>
  <c r="R57" i="12"/>
  <c r="U35" i="14"/>
  <c r="T35" i="14"/>
  <c r="S35" i="14"/>
  <c r="R35" i="14"/>
  <c r="F5" i="9"/>
  <c r="U30" i="10"/>
  <c r="Q30" i="10"/>
  <c r="K30" i="10"/>
  <c r="T30" i="10" s="1"/>
  <c r="T41" i="12"/>
  <c r="S41" i="12"/>
  <c r="S5" i="9"/>
  <c r="T29" i="9"/>
  <c r="S32" i="9"/>
  <c r="R35" i="9"/>
  <c r="T45" i="9"/>
  <c r="S48" i="9"/>
  <c r="S51" i="9"/>
  <c r="B6" i="10"/>
  <c r="U25" i="10"/>
  <c r="T25" i="10"/>
  <c r="S25" i="10"/>
  <c r="R25" i="10"/>
  <c r="U42" i="11"/>
  <c r="T42" i="11"/>
  <c r="S42" i="11"/>
  <c r="R42" i="11"/>
  <c r="F6" i="10"/>
  <c r="K39" i="10"/>
  <c r="T39" i="10" s="1"/>
  <c r="R32" i="12"/>
  <c r="R48" i="12"/>
  <c r="R24" i="13"/>
  <c r="R37" i="13"/>
  <c r="R53" i="13"/>
  <c r="B5" i="14"/>
  <c r="U22" i="14"/>
  <c r="S22" i="14"/>
  <c r="R22" i="14"/>
  <c r="T32" i="14"/>
  <c r="S32" i="14"/>
  <c r="U29" i="14"/>
  <c r="T29" i="14"/>
  <c r="F6" i="12"/>
  <c r="T32" i="12"/>
  <c r="T48" i="12"/>
  <c r="A1" i="13"/>
  <c r="T24" i="13"/>
  <c r="T37" i="13"/>
  <c r="T53" i="13"/>
  <c r="S5" i="14"/>
  <c r="K46" i="10"/>
  <c r="T46" i="10" s="1"/>
  <c r="F6" i="14"/>
  <c r="U57" i="14"/>
  <c r="T57" i="14"/>
  <c r="S57" i="14"/>
  <c r="R57" i="14"/>
  <c r="T22" i="10"/>
  <c r="T35" i="10"/>
  <c r="K38" i="10"/>
  <c r="T38" i="10" s="1"/>
  <c r="K42" i="10"/>
  <c r="T42" i="10" s="1"/>
  <c r="R53" i="10"/>
  <c r="S4" i="11"/>
  <c r="R23" i="11"/>
  <c r="T33" i="11"/>
  <c r="R39" i="11"/>
  <c r="R55" i="11"/>
  <c r="R28" i="12"/>
  <c r="R44" i="12"/>
  <c r="F4" i="13"/>
  <c r="R33" i="13"/>
  <c r="R49" i="13"/>
  <c r="S6" i="14"/>
  <c r="T22" i="14"/>
  <c r="R32" i="14"/>
  <c r="Q38" i="10"/>
  <c r="Q42" i="10"/>
  <c r="R46" i="10"/>
  <c r="S53" i="10"/>
  <c r="U4" i="11"/>
  <c r="S23" i="11"/>
  <c r="S39" i="11"/>
  <c r="S55" i="11"/>
  <c r="S28" i="12"/>
  <c r="S44" i="12"/>
  <c r="S4" i="13"/>
  <c r="S33" i="13"/>
  <c r="S49" i="13"/>
  <c r="R29" i="14"/>
  <c r="U32" i="14"/>
  <c r="R42" i="14"/>
  <c r="T44" i="14"/>
  <c r="S44" i="14"/>
  <c r="R44" i="14"/>
  <c r="R52" i="14"/>
  <c r="R31" i="10"/>
  <c r="S46" i="10"/>
  <c r="R56" i="10"/>
  <c r="B5" i="11"/>
  <c r="R29" i="11"/>
  <c r="R45" i="11"/>
  <c r="R21" i="12"/>
  <c r="R34" i="12"/>
  <c r="R50" i="12"/>
  <c r="U4" i="13"/>
  <c r="R39" i="13"/>
  <c r="R55" i="13"/>
  <c r="S29" i="14"/>
  <c r="S42" i="14"/>
  <c r="S52" i="14"/>
  <c r="U54" i="14"/>
  <c r="T54" i="14"/>
  <c r="S54" i="14"/>
  <c r="R54" i="14"/>
  <c r="T42" i="14"/>
  <c r="T52" i="14"/>
  <c r="T41" i="14"/>
  <c r="S41" i="14"/>
  <c r="T34" i="10"/>
  <c r="K55" i="10"/>
  <c r="T55" i="10" s="1"/>
  <c r="B6" i="11"/>
  <c r="T32" i="11"/>
  <c r="T48" i="11"/>
  <c r="S51" i="11"/>
  <c r="R54" i="11"/>
  <c r="A1" i="12"/>
  <c r="T24" i="12"/>
  <c r="R27" i="12"/>
  <c r="T37" i="12"/>
  <c r="S40" i="12"/>
  <c r="R43" i="12"/>
  <c r="T53" i="12"/>
  <c r="S56" i="12"/>
  <c r="S5" i="13"/>
  <c r="T26" i="13"/>
  <c r="S29" i="13"/>
  <c r="R32" i="13"/>
  <c r="T42" i="13"/>
  <c r="S45" i="13"/>
  <c r="R48" i="13"/>
  <c r="U24" i="14"/>
  <c r="R26" i="14"/>
  <c r="T28" i="14"/>
  <c r="S28" i="14"/>
  <c r="R28" i="14"/>
  <c r="U44" i="14"/>
  <c r="S49" i="14"/>
  <c r="Q55" i="10"/>
  <c r="F6" i="11"/>
  <c r="S27" i="12"/>
  <c r="T40" i="12"/>
  <c r="S43" i="12"/>
  <c r="R46" i="12"/>
  <c r="T56" i="12"/>
  <c r="B6" i="13"/>
  <c r="R22" i="13"/>
  <c r="T29" i="13"/>
  <c r="S32" i="13"/>
  <c r="R35" i="13"/>
  <c r="T45" i="13"/>
  <c r="S48" i="13"/>
  <c r="R51" i="13"/>
  <c r="S26" i="14"/>
  <c r="R36" i="14"/>
  <c r="T49" i="14"/>
  <c r="U51" i="14"/>
  <c r="T51" i="14"/>
  <c r="S51" i="14"/>
  <c r="R51" i="14"/>
  <c r="R28" i="11"/>
  <c r="R44" i="11"/>
  <c r="S57" i="11"/>
  <c r="F4" i="12"/>
  <c r="R33" i="12"/>
  <c r="S46" i="12"/>
  <c r="R49" i="12"/>
  <c r="R38" i="13"/>
  <c r="R54" i="13"/>
  <c r="A1" i="14"/>
  <c r="T26" i="14"/>
  <c r="U38" i="14"/>
  <c r="T38" i="14"/>
  <c r="S38" i="14"/>
  <c r="R38" i="14"/>
  <c r="U48" i="14"/>
  <c r="T48" i="14"/>
  <c r="S48" i="14"/>
  <c r="R23" i="10"/>
  <c r="T28" i="11"/>
  <c r="S31" i="11"/>
  <c r="R34" i="11"/>
  <c r="T44" i="11"/>
  <c r="S47" i="11"/>
  <c r="U4" i="12"/>
  <c r="S23" i="12"/>
  <c r="T33" i="12"/>
  <c r="S36" i="12"/>
  <c r="R39" i="12"/>
  <c r="T49" i="12"/>
  <c r="S52" i="12"/>
  <c r="S25" i="13"/>
  <c r="T38" i="13"/>
  <c r="S41" i="13"/>
  <c r="T54" i="13"/>
  <c r="S57" i="13"/>
  <c r="F4" i="14"/>
  <c r="S23" i="14"/>
  <c r="S25" i="14"/>
  <c r="U45" i="14"/>
  <c r="T45" i="14"/>
  <c r="S4" i="14"/>
  <c r="P9" i="7"/>
  <c r="R29" i="7"/>
  <c r="P7" i="7"/>
  <c r="N27" i="7"/>
  <c r="P22" i="7"/>
  <c r="Q16" i="7"/>
  <c r="P6" i="7"/>
  <c r="O39" i="7"/>
  <c r="P29" i="7"/>
  <c r="M5" i="7"/>
  <c r="P20" i="7"/>
  <c r="S26" i="8"/>
  <c r="F16" i="11"/>
  <c r="O35" i="7"/>
  <c r="M10" i="7"/>
  <c r="T40" i="8"/>
  <c r="Q14" i="7"/>
  <c r="P39" i="7"/>
  <c r="J13" i="11"/>
  <c r="D15" i="11"/>
  <c r="T7" i="8"/>
  <c r="Q29" i="7"/>
  <c r="S19" i="8"/>
  <c r="M13" i="7"/>
  <c r="Q7" i="7"/>
  <c r="R5" i="7"/>
  <c r="Q8" i="7"/>
  <c r="L12" i="11"/>
  <c r="N35" i="7"/>
  <c r="M38" i="7"/>
  <c r="Q21" i="7"/>
  <c r="O36" i="7"/>
  <c r="Q25" i="7"/>
  <c r="M34" i="7"/>
  <c r="T9" i="8"/>
  <c r="P41" i="7"/>
  <c r="M42" i="7"/>
  <c r="L49" i="5"/>
  <c r="R35" i="7"/>
  <c r="K14" i="11"/>
  <c r="O22" i="7"/>
  <c r="M9" i="7"/>
  <c r="N36" i="7"/>
  <c r="D13" i="10"/>
  <c r="Q41" i="7"/>
  <c r="S10" i="8"/>
  <c r="O41" i="7"/>
  <c r="R14" i="7"/>
  <c r="O40" i="7"/>
  <c r="P37" i="7"/>
  <c r="O10" i="7"/>
  <c r="U12" i="11"/>
  <c r="Q26" i="7"/>
  <c r="N12" i="7"/>
  <c r="O34" i="7"/>
  <c r="N25" i="7"/>
  <c r="T17" i="8"/>
  <c r="S38" i="8"/>
  <c r="N39" i="7"/>
  <c r="M36" i="7"/>
  <c r="M33" i="7"/>
  <c r="D14" i="11"/>
  <c r="T11" i="8"/>
  <c r="T16" i="8"/>
  <c r="O20" i="7"/>
  <c r="R37" i="7"/>
  <c r="Q32" i="7"/>
  <c r="M14" i="11"/>
  <c r="O32" i="7"/>
  <c r="T32" i="8"/>
  <c r="N6" i="7"/>
  <c r="R7" i="7"/>
  <c r="N28" i="7"/>
  <c r="S27" i="8"/>
  <c r="P5" i="7"/>
  <c r="S6" i="8"/>
  <c r="O6" i="7"/>
  <c r="R16" i="7"/>
  <c r="O12" i="7"/>
  <c r="Q9" i="7"/>
  <c r="O18" i="7"/>
  <c r="O17" i="7"/>
  <c r="S17" i="8"/>
  <c r="R16" i="11"/>
  <c r="S7" i="8"/>
  <c r="N40" i="7"/>
  <c r="M19" i="7"/>
  <c r="M12" i="7"/>
  <c r="S11" i="8"/>
  <c r="P31" i="7"/>
  <c r="S29" i="8"/>
  <c r="R23" i="7"/>
  <c r="Q34" i="7"/>
  <c r="O29" i="7"/>
  <c r="Q31" i="7"/>
  <c r="S18" i="8"/>
  <c r="T26" i="8"/>
  <c r="J15" i="11"/>
  <c r="T10" i="8"/>
  <c r="N37" i="7"/>
  <c r="M23" i="7"/>
  <c r="Q11" i="7"/>
  <c r="M35" i="7"/>
  <c r="O16" i="7"/>
  <c r="M27" i="7"/>
  <c r="S31" i="8"/>
  <c r="M6" i="7"/>
  <c r="O42" i="7"/>
  <c r="R17" i="7"/>
  <c r="Q20" i="7"/>
  <c r="T13" i="8"/>
  <c r="O19" i="7"/>
  <c r="M14" i="7"/>
  <c r="M32" i="7"/>
  <c r="M29" i="7"/>
  <c r="M20" i="7"/>
  <c r="O21" i="7"/>
  <c r="Q19" i="7"/>
  <c r="Q30" i="7"/>
  <c r="P38" i="7"/>
  <c r="M22" i="7"/>
  <c r="E14" i="9"/>
  <c r="Q22" i="7"/>
  <c r="T22" i="8"/>
  <c r="S36" i="8"/>
  <c r="P40" i="7"/>
  <c r="M24" i="7"/>
  <c r="S13" i="8"/>
  <c r="O33" i="7"/>
  <c r="N7" i="7"/>
  <c r="R15" i="7"/>
  <c r="S24" i="8"/>
  <c r="S35" i="8"/>
  <c r="S34" i="8"/>
  <c r="R32" i="7"/>
  <c r="T35" i="8"/>
  <c r="O24" i="7"/>
  <c r="N38" i="7"/>
  <c r="S37" i="8"/>
  <c r="N33" i="7"/>
  <c r="P26" i="7"/>
  <c r="Q23" i="7"/>
  <c r="T5" i="8"/>
  <c r="R30" i="7"/>
  <c r="T20" i="8"/>
  <c r="R31" i="7"/>
  <c r="O14" i="7"/>
  <c r="R10" i="7"/>
  <c r="O7" i="7"/>
  <c r="Q17" i="7"/>
  <c r="F13" i="11"/>
  <c r="M26" i="7"/>
  <c r="G12" i="11"/>
  <c r="T28" i="8"/>
  <c r="Q39" i="7"/>
  <c r="T41" i="8"/>
  <c r="Q24" i="7"/>
  <c r="S41" i="8"/>
  <c r="F15" i="11"/>
  <c r="T18" i="8"/>
  <c r="N10" i="7"/>
  <c r="R18" i="7"/>
  <c r="S21" i="8"/>
  <c r="O15" i="7"/>
  <c r="R25" i="7"/>
  <c r="S16" i="11"/>
  <c r="T38" i="8"/>
  <c r="N20" i="7"/>
  <c r="T12" i="11"/>
  <c r="T36" i="8"/>
  <c r="P23" i="7"/>
  <c r="T25" i="8"/>
  <c r="R33" i="7"/>
  <c r="P25" i="7"/>
  <c r="S13" i="11"/>
  <c r="S15" i="8"/>
  <c r="E16" i="11"/>
  <c r="T8" i="8"/>
  <c r="N22" i="7"/>
  <c r="P18" i="7"/>
  <c r="T37" i="8"/>
  <c r="D16" i="9"/>
  <c r="P17" i="7"/>
  <c r="R9" i="7"/>
  <c r="O38" i="7"/>
  <c r="O11" i="7"/>
  <c r="P14" i="7"/>
  <c r="O30" i="7"/>
  <c r="T31" i="8"/>
  <c r="R6" i="7"/>
  <c r="S12" i="8"/>
  <c r="M21" i="7"/>
  <c r="M40" i="7"/>
  <c r="R13" i="11"/>
  <c r="N9" i="7"/>
  <c r="S40" i="8"/>
  <c r="O9" i="7"/>
  <c r="L51" i="5"/>
  <c r="R26" i="7"/>
  <c r="M39" i="7"/>
  <c r="R19" i="7"/>
  <c r="N23" i="7"/>
  <c r="O37" i="7"/>
  <c r="S15" i="11"/>
  <c r="Q10" i="7"/>
  <c r="N34" i="7"/>
  <c r="Q6" i="7"/>
  <c r="S42" i="8"/>
  <c r="L50" i="5"/>
  <c r="K12" i="9"/>
  <c r="O13" i="7"/>
  <c r="M31" i="7"/>
  <c r="R24" i="7"/>
  <c r="R13" i="7"/>
  <c r="T27" i="8"/>
  <c r="S23" i="8"/>
  <c r="P13" i="7"/>
  <c r="R39" i="7"/>
  <c r="O28" i="7"/>
  <c r="T33" i="8"/>
  <c r="Q18" i="7"/>
  <c r="P16" i="7"/>
  <c r="J14" i="11"/>
  <c r="T14" i="9"/>
  <c r="M7" i="7"/>
  <c r="S25" i="8"/>
  <c r="L48" i="5"/>
  <c r="T6" i="8"/>
  <c r="Q42" i="7"/>
  <c r="N15" i="7"/>
  <c r="P34" i="7"/>
  <c r="M37" i="7"/>
  <c r="R20" i="7"/>
  <c r="M25" i="7"/>
  <c r="N5" i="7"/>
  <c r="Q35" i="7"/>
  <c r="O8" i="7"/>
  <c r="T23" i="8"/>
  <c r="N19" i="7"/>
  <c r="N11" i="7"/>
  <c r="N8" i="7"/>
  <c r="D12" i="11"/>
  <c r="Q33" i="7"/>
  <c r="R28" i="7"/>
  <c r="M28" i="7"/>
  <c r="N14" i="7"/>
  <c r="P19" i="7"/>
  <c r="P24" i="7"/>
  <c r="S16" i="8"/>
  <c r="E12" i="11"/>
  <c r="T14" i="11"/>
  <c r="R12" i="11"/>
  <c r="S39" i="8"/>
  <c r="F14" i="11"/>
  <c r="P15" i="7"/>
  <c r="P32" i="7"/>
  <c r="R42" i="7"/>
  <c r="N31" i="7"/>
  <c r="M30" i="7"/>
  <c r="N29" i="7"/>
  <c r="R38" i="7"/>
  <c r="L16" i="11"/>
  <c r="R36" i="7"/>
  <c r="M15" i="7"/>
  <c r="N16" i="7"/>
  <c r="R40" i="7"/>
  <c r="T39" i="8"/>
  <c r="Q38" i="7"/>
  <c r="N17" i="7"/>
  <c r="N32" i="7"/>
  <c r="S14" i="8"/>
  <c r="P28" i="7"/>
  <c r="S8" i="8"/>
  <c r="P27" i="7"/>
  <c r="P36" i="7"/>
  <c r="M16" i="7"/>
  <c r="R8" i="7"/>
  <c r="N41" i="7"/>
  <c r="P10" i="7"/>
  <c r="T19" i="8"/>
  <c r="O25" i="7"/>
  <c r="N24" i="7"/>
  <c r="F12" i="9"/>
  <c r="Q15" i="7"/>
  <c r="U15" i="11"/>
  <c r="S30" i="8"/>
  <c r="T21" i="8"/>
  <c r="N30" i="7"/>
  <c r="T42" i="8"/>
  <c r="T30" i="8"/>
  <c r="O23" i="7"/>
  <c r="M17" i="7"/>
  <c r="Q5" i="7"/>
  <c r="T34" i="8"/>
  <c r="Q28" i="7"/>
  <c r="O31" i="7"/>
  <c r="M8" i="7"/>
  <c r="P30" i="7"/>
  <c r="N21" i="7"/>
  <c r="M12" i="11"/>
  <c r="T12" i="8"/>
  <c r="S20" i="8"/>
  <c r="Q40" i="7"/>
  <c r="P35" i="7"/>
  <c r="T15" i="8"/>
  <c r="R22" i="7"/>
  <c r="O27" i="7"/>
  <c r="P42" i="7"/>
  <c r="K15" i="11"/>
  <c r="S22" i="8"/>
  <c r="M11" i="7"/>
  <c r="R41" i="7"/>
  <c r="N26" i="7"/>
  <c r="R34" i="7"/>
  <c r="P21" i="7"/>
  <c r="S33" i="8"/>
  <c r="S12" i="11"/>
  <c r="P33" i="7"/>
  <c r="U14" i="11"/>
  <c r="Q12" i="7"/>
  <c r="O5" i="7"/>
  <c r="S28" i="8"/>
  <c r="T29" i="8"/>
  <c r="S5" i="8"/>
  <c r="T24" i="8"/>
  <c r="N42" i="7"/>
  <c r="R21" i="7"/>
  <c r="Q27" i="7"/>
  <c r="P11" i="7"/>
  <c r="T14" i="8"/>
  <c r="Q13" i="7"/>
  <c r="S32" i="8"/>
  <c r="R11" i="7"/>
  <c r="Q36" i="7"/>
  <c r="Q37" i="7"/>
  <c r="M41" i="7"/>
  <c r="S9" i="8"/>
  <c r="N18" i="7"/>
  <c r="N13" i="7"/>
  <c r="E14" i="11"/>
  <c r="P12" i="7"/>
  <c r="O26" i="7"/>
  <c r="M18" i="7"/>
  <c r="P8" i="7"/>
  <c r="R12" i="7"/>
  <c r="R27" i="7"/>
  <c r="K16" i="11"/>
  <c r="X17" i="17" l="1"/>
  <c r="X17" i="16"/>
  <c r="X17" i="18"/>
  <c r="X17" i="19"/>
  <c r="P43" i="7"/>
  <c r="O43" i="7"/>
  <c r="R43" i="7"/>
  <c r="Q43" i="7"/>
  <c r="T43" i="8"/>
  <c r="O12" i="11"/>
  <c r="Y12" i="11" s="1"/>
  <c r="S43" i="8"/>
  <c r="N43" i="7"/>
  <c r="M43" i="7"/>
  <c r="H12" i="11"/>
  <c r="X12" i="11" s="1"/>
  <c r="U16" i="11"/>
  <c r="E13" i="12"/>
  <c r="S12" i="12"/>
  <c r="T13" i="9"/>
  <c r="T16" i="11"/>
  <c r="K16" i="12"/>
  <c r="G16" i="14"/>
  <c r="U16" i="12"/>
  <c r="J14" i="12"/>
  <c r="F13" i="13"/>
  <c r="M16" i="12"/>
  <c r="J12" i="12"/>
  <c r="M15" i="10"/>
  <c r="U12" i="9"/>
  <c r="R16" i="14"/>
  <c r="M12" i="10"/>
  <c r="J15" i="12"/>
  <c r="L12" i="9"/>
  <c r="M15" i="14"/>
  <c r="T12" i="10"/>
  <c r="T16" i="13"/>
  <c r="J14" i="13"/>
  <c r="G14" i="11"/>
  <c r="R15" i="13"/>
  <c r="D16" i="11"/>
  <c r="G14" i="9"/>
  <c r="E16" i="9"/>
  <c r="R14" i="13"/>
  <c r="S15" i="10"/>
  <c r="F15" i="9"/>
  <c r="D13" i="12"/>
  <c r="K14" i="12"/>
  <c r="R16" i="10"/>
  <c r="E12" i="10"/>
  <c r="D16" i="13"/>
  <c r="D12" i="9"/>
  <c r="E14" i="12"/>
  <c r="S12" i="10"/>
  <c r="R15" i="14"/>
  <c r="K12" i="10"/>
  <c r="L14" i="11"/>
  <c r="D15" i="10"/>
  <c r="R13" i="12"/>
  <c r="U15" i="13"/>
  <c r="T14" i="10"/>
  <c r="D12" i="10"/>
  <c r="L14" i="13"/>
  <c r="K15" i="14"/>
  <c r="K12" i="12"/>
  <c r="S12" i="14"/>
  <c r="T15" i="14"/>
  <c r="S13" i="14"/>
  <c r="G12" i="9"/>
  <c r="T12" i="9"/>
  <c r="R16" i="13"/>
  <c r="F14" i="13"/>
  <c r="T16" i="10"/>
  <c r="F14" i="12"/>
  <c r="U16" i="13"/>
  <c r="S14" i="13"/>
  <c r="D14" i="9"/>
  <c r="K16" i="13"/>
  <c r="T14" i="13"/>
  <c r="K14" i="14"/>
  <c r="L15" i="11"/>
  <c r="K13" i="9"/>
  <c r="G15" i="11"/>
  <c r="M16" i="10"/>
  <c r="T13" i="10"/>
  <c r="M14" i="10"/>
  <c r="F16" i="9"/>
  <c r="M16" i="13"/>
  <c r="T16" i="14"/>
  <c r="T15" i="9"/>
  <c r="F13" i="14"/>
  <c r="F12" i="13"/>
  <c r="J14" i="9"/>
  <c r="E12" i="13"/>
  <c r="F14" i="9"/>
  <c r="E13" i="14"/>
  <c r="D13" i="14"/>
  <c r="M13" i="11"/>
  <c r="G15" i="13"/>
  <c r="S15" i="12"/>
  <c r="F12" i="12"/>
  <c r="J16" i="13"/>
  <c r="E13" i="11"/>
  <c r="D12" i="12"/>
  <c r="K14" i="13"/>
  <c r="U15" i="14"/>
  <c r="U14" i="14"/>
  <c r="L14" i="9"/>
  <c r="E16" i="12"/>
  <c r="R14" i="9"/>
  <c r="R13" i="9"/>
  <c r="L15" i="12"/>
  <c r="L15" i="9"/>
  <c r="D16" i="12"/>
  <c r="M16" i="11"/>
  <c r="D14" i="12"/>
  <c r="J15" i="10"/>
  <c r="R13" i="10"/>
  <c r="R16" i="12"/>
  <c r="K15" i="12"/>
  <c r="S14" i="12"/>
  <c r="R13" i="14"/>
  <c r="E15" i="12"/>
  <c r="S15" i="13"/>
  <c r="M15" i="13"/>
  <c r="E15" i="14"/>
  <c r="D13" i="13"/>
  <c r="G13" i="11"/>
  <c r="J12" i="11"/>
  <c r="L15" i="10"/>
  <c r="M16" i="14"/>
  <c r="U15" i="12"/>
  <c r="K12" i="11"/>
  <c r="R14" i="12"/>
  <c r="D15" i="14"/>
  <c r="D14" i="13"/>
  <c r="U13" i="11"/>
  <c r="M16" i="9"/>
  <c r="G15" i="14"/>
  <c r="E15" i="9"/>
  <c r="M14" i="13"/>
  <c r="M14" i="12"/>
  <c r="K14" i="10"/>
  <c r="E12" i="9"/>
  <c r="R12" i="9"/>
  <c r="S16" i="10"/>
  <c r="S14" i="9"/>
  <c r="F12" i="14"/>
  <c r="J16" i="11"/>
  <c r="S12" i="9"/>
  <c r="U14" i="13"/>
  <c r="D14" i="14"/>
  <c r="F14" i="10"/>
  <c r="S13" i="10"/>
  <c r="E14" i="14"/>
  <c r="T15" i="11"/>
  <c r="L15" i="13"/>
  <c r="T14" i="14"/>
  <c r="F12" i="11"/>
  <c r="U13" i="9"/>
  <c r="D12" i="13"/>
  <c r="D15" i="9"/>
  <c r="L16" i="14"/>
  <c r="M12" i="9"/>
  <c r="E16" i="10"/>
  <c r="J15" i="9"/>
  <c r="G14" i="13"/>
  <c r="D16" i="10"/>
  <c r="R12" i="13"/>
  <c r="L14" i="12"/>
  <c r="G16" i="12"/>
  <c r="U16" i="14"/>
  <c r="L15" i="14"/>
  <c r="K16" i="14"/>
  <c r="S16" i="14"/>
  <c r="U15" i="9"/>
  <c r="S13" i="12"/>
  <c r="G16" i="10"/>
  <c r="M13" i="9"/>
  <c r="K15" i="10"/>
  <c r="S15" i="9"/>
  <c r="E15" i="11"/>
  <c r="S12" i="13"/>
  <c r="K13" i="10"/>
  <c r="L16" i="13"/>
  <c r="F12" i="10"/>
  <c r="E16" i="14"/>
  <c r="G13" i="10"/>
  <c r="M12" i="12"/>
  <c r="G15" i="12"/>
  <c r="E15" i="13"/>
  <c r="T15" i="12"/>
  <c r="E12" i="12"/>
  <c r="E13" i="10"/>
  <c r="R15" i="9"/>
  <c r="T13" i="11"/>
  <c r="F15" i="10"/>
  <c r="T16" i="9"/>
  <c r="L14" i="14"/>
  <c r="D12" i="14"/>
  <c r="L12" i="12"/>
  <c r="J13" i="10"/>
  <c r="E15" i="10"/>
  <c r="F13" i="10"/>
  <c r="G13" i="9"/>
  <c r="T16" i="12"/>
  <c r="L14" i="10"/>
  <c r="S15" i="14"/>
  <c r="G13" i="12"/>
  <c r="D15" i="12"/>
  <c r="R13" i="13"/>
  <c r="M14" i="9"/>
  <c r="S16" i="13"/>
  <c r="R12" i="12"/>
  <c r="G15" i="10"/>
  <c r="F14" i="14"/>
  <c r="G16" i="13"/>
  <c r="D14" i="10"/>
  <c r="S14" i="11"/>
  <c r="S14" i="10"/>
  <c r="J12" i="10"/>
  <c r="U16" i="9"/>
  <c r="T15" i="10"/>
  <c r="R12" i="14"/>
  <c r="D13" i="9"/>
  <c r="R14" i="14"/>
  <c r="L16" i="10"/>
  <c r="F13" i="9"/>
  <c r="E14" i="10"/>
  <c r="D16" i="14"/>
  <c r="G15" i="9"/>
  <c r="G14" i="10"/>
  <c r="S14" i="14"/>
  <c r="R15" i="11"/>
  <c r="G13" i="13"/>
  <c r="D13" i="11"/>
  <c r="M13" i="10"/>
  <c r="G12" i="12"/>
  <c r="S13" i="13"/>
  <c r="K14" i="9"/>
  <c r="E14" i="13"/>
  <c r="R16" i="9"/>
  <c r="R14" i="10"/>
  <c r="L12" i="10"/>
  <c r="T15" i="13"/>
  <c r="L16" i="12"/>
  <c r="G14" i="14"/>
  <c r="J15" i="13"/>
  <c r="E16" i="13"/>
  <c r="M15" i="9"/>
  <c r="L13" i="11"/>
  <c r="G12" i="13"/>
  <c r="F16" i="14"/>
  <c r="L13" i="10"/>
  <c r="G16" i="11"/>
  <c r="R15" i="10"/>
  <c r="K16" i="10"/>
  <c r="S16" i="12"/>
  <c r="J12" i="9"/>
  <c r="J14" i="10"/>
  <c r="T14" i="12"/>
  <c r="U13" i="10"/>
  <c r="J15" i="14"/>
  <c r="G13" i="14"/>
  <c r="J13" i="9"/>
  <c r="U14" i="10"/>
  <c r="J16" i="9"/>
  <c r="U14" i="12"/>
  <c r="F15" i="12"/>
  <c r="J16" i="14"/>
  <c r="G14" i="12"/>
  <c r="U16" i="10"/>
  <c r="G16" i="9"/>
  <c r="E12" i="14"/>
  <c r="F15" i="14"/>
  <c r="K15" i="13"/>
  <c r="S13" i="9"/>
  <c r="L16" i="9"/>
  <c r="F16" i="10"/>
  <c r="G12" i="14"/>
  <c r="U12" i="10"/>
  <c r="J16" i="12"/>
  <c r="R12" i="10"/>
  <c r="E13" i="9"/>
  <c r="L13" i="9"/>
  <c r="K13" i="11"/>
  <c r="U14" i="9"/>
  <c r="D15" i="13"/>
  <c r="G12" i="10"/>
  <c r="S16" i="9"/>
  <c r="J14" i="14"/>
  <c r="R14" i="11"/>
  <c r="M15" i="12"/>
  <c r="K16" i="9"/>
  <c r="E13" i="13"/>
  <c r="J16" i="10"/>
  <c r="U15" i="10"/>
  <c r="F16" i="12"/>
  <c r="F13" i="12"/>
  <c r="M15" i="11"/>
  <c r="F16" i="13"/>
  <c r="M14" i="14"/>
  <c r="F15" i="13"/>
  <c r="K15" i="9"/>
  <c r="R15" i="12"/>
  <c r="D17" i="10" l="1"/>
  <c r="N12" i="10"/>
  <c r="J17" i="10"/>
  <c r="M17" i="10"/>
  <c r="N16" i="10"/>
  <c r="G17" i="10"/>
  <c r="O12" i="10"/>
  <c r="Y12" i="10" s="1"/>
  <c r="H12" i="10"/>
  <c r="X12" i="10" s="1"/>
  <c r="N14" i="10"/>
  <c r="H15" i="10"/>
  <c r="X15" i="10" s="1"/>
  <c r="R17" i="10"/>
  <c r="N13" i="10"/>
  <c r="K17" i="10"/>
  <c r="H13" i="10"/>
  <c r="X13" i="10" s="1"/>
  <c r="O13" i="10"/>
  <c r="Y13" i="10" s="1"/>
  <c r="H14" i="10"/>
  <c r="X14" i="10" s="1"/>
  <c r="O14" i="10"/>
  <c r="Y14" i="10" s="1"/>
  <c r="F17" i="10"/>
  <c r="O16" i="10"/>
  <c r="Y16" i="10" s="1"/>
  <c r="H16" i="10"/>
  <c r="X16" i="10" s="1"/>
  <c r="S17" i="10"/>
  <c r="N15" i="10"/>
  <c r="U17" i="10"/>
  <c r="O16" i="11"/>
  <c r="Y16" i="11" s="1"/>
  <c r="H16" i="11"/>
  <c r="X16" i="11" s="1"/>
  <c r="K17" i="11"/>
  <c r="F17" i="11"/>
  <c r="U17" i="11"/>
  <c r="D17" i="11"/>
  <c r="N16" i="11"/>
  <c r="M17" i="11"/>
  <c r="N15" i="11"/>
  <c r="H15" i="11"/>
  <c r="X15" i="11" s="1"/>
  <c r="O15" i="11"/>
  <c r="Y15" i="11" s="1"/>
  <c r="H14" i="11"/>
  <c r="X14" i="11" s="1"/>
  <c r="N14" i="11"/>
  <c r="O14" i="11"/>
  <c r="Y14" i="11" s="1"/>
  <c r="J17" i="11"/>
  <c r="N12" i="11"/>
  <c r="T17" i="10"/>
  <c r="O15" i="10"/>
  <c r="Y15" i="10" s="1"/>
  <c r="E17" i="10"/>
  <c r="L17" i="10"/>
  <c r="L17" i="11"/>
  <c r="R17" i="11"/>
  <c r="T17" i="11"/>
  <c r="S17" i="11"/>
  <c r="M17" i="9"/>
  <c r="H15" i="9"/>
  <c r="X15" i="9" s="1"/>
  <c r="O15" i="9"/>
  <c r="Y15" i="9" s="1"/>
  <c r="E17" i="9"/>
  <c r="F17" i="9"/>
  <c r="N14" i="9"/>
  <c r="O13" i="9"/>
  <c r="Y13" i="9" s="1"/>
  <c r="H13" i="9"/>
  <c r="X13" i="9" s="1"/>
  <c r="D17" i="9"/>
  <c r="N13" i="9"/>
  <c r="N15" i="9"/>
  <c r="G17" i="9"/>
  <c r="O12" i="9"/>
  <c r="Y12" i="9" s="1"/>
  <c r="H12" i="9"/>
  <c r="X12" i="9" s="1"/>
  <c r="H16" i="9"/>
  <c r="X16" i="9" s="1"/>
  <c r="O16" i="9"/>
  <c r="Y16" i="9" s="1"/>
  <c r="N16" i="9"/>
  <c r="H14" i="9"/>
  <c r="X14" i="9" s="1"/>
  <c r="O14" i="9"/>
  <c r="Y14" i="9" s="1"/>
  <c r="L17" i="9"/>
  <c r="T17" i="9"/>
  <c r="S17" i="9"/>
  <c r="K17" i="9"/>
  <c r="R17" i="9"/>
  <c r="U17" i="9"/>
  <c r="N12" i="9"/>
  <c r="J17" i="9"/>
  <c r="E17" i="11"/>
  <c r="G17" i="11"/>
  <c r="H13" i="11"/>
  <c r="X13" i="11" s="1"/>
  <c r="O13" i="11"/>
  <c r="Y13" i="11" s="1"/>
  <c r="N13" i="11"/>
  <c r="H15" i="12"/>
  <c r="X15" i="12" s="1"/>
  <c r="O15" i="12"/>
  <c r="Y15" i="12" s="1"/>
  <c r="S17" i="14"/>
  <c r="E17" i="14"/>
  <c r="S17" i="12"/>
  <c r="N15" i="13"/>
  <c r="D17" i="13"/>
  <c r="F17" i="12"/>
  <c r="O14" i="13"/>
  <c r="Y14" i="13" s="1"/>
  <c r="H14" i="13"/>
  <c r="X14" i="13" s="1"/>
  <c r="H16" i="13"/>
  <c r="X16" i="13" s="1"/>
  <c r="O16" i="13"/>
  <c r="Y16" i="13" s="1"/>
  <c r="O15" i="14"/>
  <c r="Y15" i="14" s="1"/>
  <c r="H15" i="14"/>
  <c r="X15" i="14" s="1"/>
  <c r="F17" i="14"/>
  <c r="F17" i="13"/>
  <c r="S17" i="13"/>
  <c r="N16" i="14"/>
  <c r="R17" i="13"/>
  <c r="G17" i="13"/>
  <c r="H12" i="13"/>
  <c r="X12" i="13" s="1"/>
  <c r="N15" i="14"/>
  <c r="E17" i="13"/>
  <c r="H12" i="12"/>
  <c r="X12" i="12" s="1"/>
  <c r="G17" i="12"/>
  <c r="H14" i="12"/>
  <c r="X14" i="12" s="1"/>
  <c r="O14" i="12"/>
  <c r="Y14" i="12" s="1"/>
  <c r="D17" i="14"/>
  <c r="O14" i="14"/>
  <c r="Y14" i="14" s="1"/>
  <c r="H14" i="14"/>
  <c r="X14" i="14" s="1"/>
  <c r="R17" i="14"/>
  <c r="N15" i="12"/>
  <c r="H13" i="13"/>
  <c r="X13" i="13" s="1"/>
  <c r="N14" i="13"/>
  <c r="N16" i="13"/>
  <c r="O15" i="13"/>
  <c r="Y15" i="13" s="1"/>
  <c r="H15" i="13"/>
  <c r="X15" i="13" s="1"/>
  <c r="O16" i="12"/>
  <c r="Y16" i="12" s="1"/>
  <c r="H16" i="12"/>
  <c r="X16" i="12" s="1"/>
  <c r="D17" i="12"/>
  <c r="N16" i="12"/>
  <c r="H16" i="14"/>
  <c r="X16" i="14" s="1"/>
  <c r="O16" i="14"/>
  <c r="Y16" i="14" s="1"/>
  <c r="H13" i="14"/>
  <c r="X13" i="14" s="1"/>
  <c r="R17" i="12"/>
  <c r="G17" i="14"/>
  <c r="H12" i="14"/>
  <c r="X12" i="14" s="1"/>
  <c r="N12" i="12"/>
  <c r="N14" i="14"/>
  <c r="E17" i="12"/>
  <c r="H13" i="12"/>
  <c r="X13" i="12" s="1"/>
  <c r="N14" i="12"/>
  <c r="K42" i="5"/>
  <c r="J43" i="6"/>
  <c r="G42" i="6"/>
  <c r="J45" i="5"/>
  <c r="M43" i="6"/>
  <c r="H43" i="6"/>
  <c r="R42" i="6"/>
  <c r="J47" i="5"/>
  <c r="K43" i="6"/>
  <c r="E43" i="6"/>
  <c r="H43" i="5"/>
  <c r="H46" i="5"/>
  <c r="E43" i="5"/>
  <c r="H45" i="5"/>
  <c r="L43" i="6"/>
  <c r="H42" i="5"/>
  <c r="Q43" i="6"/>
  <c r="E42" i="5"/>
  <c r="J43" i="5"/>
  <c r="E47" i="5"/>
  <c r="H44" i="5"/>
  <c r="J44" i="5"/>
  <c r="P42" i="6"/>
  <c r="G45" i="5"/>
  <c r="E45" i="5"/>
  <c r="P43" i="6"/>
  <c r="G44" i="5"/>
  <c r="K44" i="5"/>
  <c r="E42" i="6"/>
  <c r="G43" i="6"/>
  <c r="K46" i="5"/>
  <c r="Q42" i="6"/>
  <c r="H47" i="5"/>
  <c r="J42" i="5"/>
  <c r="G46" i="5"/>
  <c r="I44" i="5"/>
  <c r="H42" i="6"/>
  <c r="E46" i="5"/>
  <c r="E44" i="5"/>
  <c r="J46" i="5"/>
  <c r="I46" i="5"/>
  <c r="I47" i="5"/>
  <c r="G42" i="5"/>
  <c r="K47" i="5"/>
  <c r="K42" i="6"/>
  <c r="I42" i="5"/>
  <c r="I43" i="5"/>
  <c r="I42" i="6"/>
  <c r="J42" i="6"/>
  <c r="K45" i="5"/>
  <c r="I43" i="6"/>
  <c r="G43" i="5"/>
  <c r="O43" i="6"/>
  <c r="R43" i="6"/>
  <c r="K43" i="5"/>
  <c r="L42" i="6"/>
  <c r="O42" i="6"/>
  <c r="G47" i="5"/>
  <c r="M42" i="6"/>
  <c r="I45" i="5"/>
  <c r="F45" i="5" l="1"/>
  <c r="F44" i="5"/>
  <c r="F43" i="5"/>
  <c r="F47" i="5"/>
  <c r="F46" i="5"/>
  <c r="F43" i="6"/>
  <c r="H17" i="10"/>
  <c r="O17" i="11"/>
  <c r="Y17" i="11" s="1"/>
  <c r="N43" i="6"/>
  <c r="O17" i="10"/>
  <c r="Y17" i="10" s="1"/>
  <c r="O17" i="9"/>
  <c r="Y17" i="9" s="1"/>
  <c r="H17" i="9"/>
  <c r="X17" i="9" s="1"/>
  <c r="H17" i="11"/>
  <c r="J44" i="6"/>
  <c r="P44" i="6"/>
  <c r="O44" i="6"/>
  <c r="J52" i="5"/>
  <c r="E44" i="6"/>
  <c r="F42" i="6"/>
  <c r="F42" i="5"/>
  <c r="F52" i="5" s="1"/>
  <c r="E52" i="5"/>
  <c r="K44" i="6"/>
  <c r="N42" i="6"/>
  <c r="Q44" i="6"/>
  <c r="K52" i="5"/>
  <c r="R44" i="6"/>
  <c r="H44" i="6"/>
  <c r="H52" i="5"/>
  <c r="I52" i="5"/>
  <c r="I44" i="6"/>
  <c r="G52" i="5"/>
  <c r="G44" i="6"/>
  <c r="L44" i="6"/>
  <c r="M44" i="6"/>
  <c r="H17" i="13"/>
  <c r="H17" i="14"/>
  <c r="H17" i="12"/>
  <c r="T43" i="6"/>
  <c r="L47" i="5"/>
  <c r="T42" i="6"/>
  <c r="L46" i="5"/>
  <c r="L44" i="5"/>
  <c r="L42" i="5"/>
  <c r="L43" i="5"/>
  <c r="U43" i="6"/>
  <c r="U42" i="6"/>
  <c r="L45" i="5"/>
  <c r="X17" i="10" l="1"/>
  <c r="F44" i="6"/>
  <c r="X17" i="14"/>
  <c r="X17" i="13"/>
  <c r="X17" i="12"/>
  <c r="N44" i="6"/>
  <c r="N17" i="10"/>
  <c r="N17" i="11"/>
  <c r="X17" i="11"/>
  <c r="N17" i="9"/>
  <c r="U44" i="6"/>
  <c r="S44" i="6"/>
  <c r="L52" i="5"/>
  <c r="T44" i="6"/>
  <c r="J5" i="7"/>
  <c r="S42" i="6"/>
  <c r="S43" i="6"/>
  <c r="J5" i="8" l="1"/>
  <c r="K5" i="8"/>
  <c r="F5" i="7"/>
  <c r="K5" i="7" l="1"/>
  <c r="F5" i="8"/>
  <c r="O5" i="8" l="1"/>
  <c r="F20" i="8"/>
  <c r="L15" i="8"/>
  <c r="J15" i="7"/>
  <c r="K15" i="8"/>
  <c r="F14" i="8"/>
  <c r="J15" i="8" l="1"/>
  <c r="J9" i="7"/>
  <c r="M5" i="8"/>
  <c r="K9" i="8"/>
  <c r="J9" i="8" l="1"/>
  <c r="H5" i="7"/>
  <c r="H5" i="8" l="1"/>
  <c r="F15" i="8"/>
  <c r="F14" i="7"/>
  <c r="O15" i="8" l="1"/>
  <c r="I5" i="7"/>
  <c r="I5" i="8" l="1"/>
  <c r="J14" i="7"/>
  <c r="K14" i="8"/>
  <c r="L5" i="8"/>
  <c r="L20" i="8"/>
  <c r="K14" i="7" l="1"/>
  <c r="J14" i="8"/>
  <c r="O14" i="8" s="1"/>
  <c r="K20" i="8"/>
  <c r="F20" i="7"/>
  <c r="H23" i="7"/>
  <c r="H23" i="8" l="1"/>
  <c r="F9" i="7"/>
  <c r="K9" i="7" l="1"/>
  <c r="I9" i="7"/>
  <c r="I9" i="8" l="1"/>
  <c r="F15" i="7"/>
  <c r="K15" i="7" l="1"/>
  <c r="J28" i="7"/>
  <c r="L9" i="8"/>
  <c r="F28" i="7"/>
  <c r="F29" i="7"/>
  <c r="K28" i="7" l="1"/>
  <c r="J28" i="8"/>
  <c r="F9" i="8"/>
  <c r="H22" i="7"/>
  <c r="I39" i="7"/>
  <c r="J38" i="7"/>
  <c r="F38" i="7"/>
  <c r="H22" i="8" l="1"/>
  <c r="I39" i="8"/>
  <c r="K38" i="7"/>
  <c r="J38" i="8"/>
  <c r="O9" i="8"/>
  <c r="M20" i="8"/>
  <c r="J6" i="7"/>
  <c r="H30" i="7"/>
  <c r="F42" i="7"/>
  <c r="F6" i="7"/>
  <c r="L14" i="8"/>
  <c r="M15" i="8"/>
  <c r="H30" i="8" l="1"/>
  <c r="K6" i="7"/>
  <c r="J6" i="8"/>
  <c r="H8" i="7"/>
  <c r="H8" i="8" l="1"/>
  <c r="F17" i="8"/>
  <c r="J25" i="7"/>
  <c r="F21" i="8"/>
  <c r="F25" i="7"/>
  <c r="F25" i="8"/>
  <c r="J25" i="8" l="1"/>
  <c r="O25" i="8" s="1"/>
  <c r="K25" i="7"/>
  <c r="N20" i="8"/>
  <c r="P20" i="8" l="1"/>
  <c r="G5" i="7"/>
  <c r="L5" i="7" l="1"/>
  <c r="G5" i="8"/>
  <c r="R5" i="8" s="1"/>
  <c r="N5" i="8"/>
  <c r="P5" i="8" l="1"/>
  <c r="Q5" i="8"/>
  <c r="H18" i="7"/>
  <c r="F19" i="7"/>
  <c r="H18" i="8" l="1"/>
  <c r="F12" i="7"/>
  <c r="N14" i="8"/>
  <c r="J30" i="7"/>
  <c r="F30" i="7"/>
  <c r="J12" i="7"/>
  <c r="K12" i="7" l="1"/>
  <c r="K30" i="7"/>
  <c r="J12" i="8"/>
  <c r="J30" i="8"/>
  <c r="P14" i="8"/>
  <c r="F31" i="7"/>
  <c r="H33" i="7"/>
  <c r="J31" i="7"/>
  <c r="H33" i="8" l="1"/>
  <c r="K31" i="7"/>
  <c r="J31" i="8"/>
  <c r="I11" i="7"/>
  <c r="I16" i="7"/>
  <c r="I11" i="8" l="1"/>
  <c r="I16" i="8"/>
  <c r="F36" i="7"/>
  <c r="J36" i="7"/>
  <c r="J13" i="7"/>
  <c r="K36" i="7" l="1"/>
  <c r="J36" i="8"/>
  <c r="J13" i="8"/>
  <c r="F13" i="7"/>
  <c r="K13" i="7" l="1"/>
  <c r="J29" i="7"/>
  <c r="K29" i="7" l="1"/>
  <c r="J29" i="8"/>
  <c r="I37" i="7"/>
  <c r="F18" i="7"/>
  <c r="H37" i="7"/>
  <c r="H37" i="8" l="1"/>
  <c r="I37" i="8"/>
  <c r="J37" i="7"/>
  <c r="J33" i="7"/>
  <c r="H16" i="7"/>
  <c r="I36" i="7"/>
  <c r="F24" i="8"/>
  <c r="F40" i="7"/>
  <c r="N9" i="8"/>
  <c r="I13" i="7"/>
  <c r="F37" i="7"/>
  <c r="J40" i="7"/>
  <c r="F33" i="7"/>
  <c r="H16" i="8" l="1"/>
  <c r="K40" i="7"/>
  <c r="J40" i="8"/>
  <c r="J33" i="8"/>
  <c r="K37" i="7"/>
  <c r="I36" i="8"/>
  <c r="K33" i="7"/>
  <c r="J37" i="8"/>
  <c r="P9" i="8"/>
  <c r="I13" i="8"/>
  <c r="J11" i="7"/>
  <c r="J11" i="8" l="1"/>
  <c r="H13" i="7"/>
  <c r="F39" i="7"/>
  <c r="H13" i="8" l="1"/>
  <c r="F11" i="7"/>
  <c r="H36" i="7"/>
  <c r="K11" i="7" l="1"/>
  <c r="H36" i="8"/>
  <c r="F34" i="7"/>
  <c r="F16" i="7"/>
  <c r="I30" i="7"/>
  <c r="I31" i="7"/>
  <c r="I21" i="7"/>
  <c r="F12" i="8"/>
  <c r="E8" i="5" l="1"/>
  <c r="I31" i="8"/>
  <c r="I21" i="8"/>
  <c r="I30" i="8"/>
  <c r="O12" i="8"/>
  <c r="J16" i="7"/>
  <c r="H39" i="7"/>
  <c r="I8" i="5" l="1"/>
  <c r="F8" i="5" s="1"/>
  <c r="I8" i="6"/>
  <c r="H39" i="8"/>
  <c r="K16" i="7"/>
  <c r="J8" i="5" s="1"/>
  <c r="J16" i="8"/>
  <c r="F16" i="8"/>
  <c r="E8" i="6" l="1"/>
  <c r="F8" i="6" s="1"/>
  <c r="O16" i="8"/>
  <c r="O8" i="6" s="1"/>
  <c r="J22" i="7"/>
  <c r="J22" i="8" l="1"/>
  <c r="F22" i="8"/>
  <c r="F22" i="7"/>
  <c r="K22" i="7" l="1"/>
  <c r="O22" i="8"/>
  <c r="F36" i="8"/>
  <c r="O36" i="8" l="1"/>
  <c r="F17" i="7"/>
  <c r="H14" i="7"/>
  <c r="H14" i="8" l="1"/>
  <c r="E9" i="5"/>
  <c r="I7" i="7"/>
  <c r="I7" i="8" l="1"/>
  <c r="F11" i="8"/>
  <c r="H15" i="7"/>
  <c r="H17" i="7"/>
  <c r="H17" i="8" l="1"/>
  <c r="H15" i="8"/>
  <c r="O11" i="8"/>
  <c r="J42" i="7"/>
  <c r="K42" i="7" l="1"/>
  <c r="J42" i="8"/>
  <c r="F38" i="8"/>
  <c r="O38" i="8" l="1"/>
  <c r="J39" i="7"/>
  <c r="K39" i="7" l="1"/>
  <c r="J39" i="8"/>
  <c r="F39" i="8"/>
  <c r="O39" i="8" l="1"/>
  <c r="F29" i="8"/>
  <c r="O29" i="8" l="1"/>
  <c r="F27" i="8"/>
  <c r="H29" i="7"/>
  <c r="J27" i="7"/>
  <c r="I41" i="7"/>
  <c r="F27" i="7"/>
  <c r="I38" i="7"/>
  <c r="I22" i="7"/>
  <c r="J27" i="8" l="1"/>
  <c r="O27" i="8" s="1"/>
  <c r="K27" i="7"/>
  <c r="I22" i="8"/>
  <c r="I41" i="8"/>
  <c r="H29" i="8"/>
  <c r="I38" i="8"/>
  <c r="F35" i="7"/>
  <c r="I17" i="7"/>
  <c r="J35" i="7"/>
  <c r="F35" i="8"/>
  <c r="H31" i="7"/>
  <c r="K35" i="7" l="1"/>
  <c r="H31" i="8"/>
  <c r="J35" i="8"/>
  <c r="O35" i="8" s="1"/>
  <c r="I17" i="8"/>
  <c r="I35" i="7"/>
  <c r="M14" i="8"/>
  <c r="F6" i="8"/>
  <c r="I35" i="8" l="1"/>
  <c r="O6" i="8"/>
  <c r="H7" i="7"/>
  <c r="H7" i="8" l="1"/>
  <c r="F30" i="8"/>
  <c r="O30" i="8" l="1"/>
  <c r="F13" i="8"/>
  <c r="O13" i="8" l="1"/>
  <c r="H41" i="7"/>
  <c r="F42" i="8"/>
  <c r="F21" i="7"/>
  <c r="H41" i="8" l="1"/>
  <c r="O42" i="8"/>
  <c r="J17" i="7"/>
  <c r="K17" i="7" l="1"/>
  <c r="J17" i="8"/>
  <c r="O17" i="8" s="1"/>
  <c r="H38" i="7"/>
  <c r="H38" i="8" l="1"/>
  <c r="F7" i="7"/>
  <c r="H28" i="7"/>
  <c r="I15" i="7"/>
  <c r="H12" i="7"/>
  <c r="H12" i="8" l="1"/>
  <c r="H28" i="8"/>
  <c r="I15" i="8"/>
  <c r="F32" i="7"/>
  <c r="I28" i="7"/>
  <c r="J32" i="7"/>
  <c r="F32" i="8"/>
  <c r="K32" i="7" l="1"/>
  <c r="J32" i="8"/>
  <c r="O32" i="8" s="1"/>
  <c r="I28" i="8"/>
  <c r="J21" i="7"/>
  <c r="K21" i="7" l="1"/>
  <c r="J21" i="8"/>
  <c r="O21" i="8" s="1"/>
  <c r="H6" i="7"/>
  <c r="I25" i="7"/>
  <c r="I25" i="8" l="1"/>
  <c r="H6" i="8"/>
  <c r="F31" i="8"/>
  <c r="M9" i="8"/>
  <c r="O31" i="8" l="1"/>
  <c r="H11" i="7"/>
  <c r="H34" i="7"/>
  <c r="I26" i="7"/>
  <c r="I42" i="7"/>
  <c r="H42" i="7"/>
  <c r="H32" i="7"/>
  <c r="I19" i="7"/>
  <c r="H20" i="7"/>
  <c r="I42" i="8" l="1"/>
  <c r="I19" i="8"/>
  <c r="H32" i="8"/>
  <c r="H42" i="8"/>
  <c r="H20" i="8"/>
  <c r="H34" i="8"/>
  <c r="H11" i="8"/>
  <c r="I26" i="8"/>
  <c r="I6" i="7"/>
  <c r="I6" i="8" l="1"/>
  <c r="G14" i="7"/>
  <c r="G14" i="8" l="1"/>
  <c r="L14" i="7"/>
  <c r="I14" i="7"/>
  <c r="H8" i="6" l="1"/>
  <c r="I14" i="8"/>
  <c r="Q14" i="8"/>
  <c r="R14" i="8"/>
  <c r="H8" i="5"/>
  <c r="F26" i="7"/>
  <c r="F26" i="8"/>
  <c r="F41" i="7"/>
  <c r="H21" i="7"/>
  <c r="H25" i="7"/>
  <c r="J26" i="7"/>
  <c r="J26" i="8" l="1"/>
  <c r="O26" i="8" s="1"/>
  <c r="H21" i="8"/>
  <c r="K26" i="7"/>
  <c r="H25" i="8"/>
  <c r="F37" i="8"/>
  <c r="O37" i="8" l="1"/>
  <c r="J41" i="7"/>
  <c r="K41" i="7" l="1"/>
  <c r="J41" i="8"/>
  <c r="F41" i="8"/>
  <c r="O41" i="8" l="1"/>
  <c r="I34" i="7"/>
  <c r="G15" i="7"/>
  <c r="I34" i="8" l="1"/>
  <c r="L15" i="7"/>
  <c r="G15" i="8"/>
  <c r="Q15" i="8" s="1"/>
  <c r="N15" i="8"/>
  <c r="R15" i="8" l="1"/>
  <c r="P15" i="8"/>
  <c r="I12" i="7"/>
  <c r="I12" i="8" l="1"/>
  <c r="H35" i="7"/>
  <c r="F40" i="8"/>
  <c r="H35" i="8" l="1"/>
  <c r="O40" i="8"/>
  <c r="F33" i="8"/>
  <c r="O33" i="8" l="1"/>
  <c r="J19" i="7"/>
  <c r="K19" i="7" l="1"/>
  <c r="J19" i="8"/>
  <c r="I8" i="7"/>
  <c r="H6" i="5" l="1"/>
  <c r="H6" i="6"/>
  <c r="I8" i="8"/>
  <c r="F19" i="8"/>
  <c r="O19" i="8" l="1"/>
  <c r="J10" i="7"/>
  <c r="F23" i="7"/>
  <c r="H40" i="7"/>
  <c r="H40" i="8" l="1"/>
  <c r="I7" i="5"/>
  <c r="I7" i="6"/>
  <c r="J10" i="8"/>
  <c r="F10" i="7"/>
  <c r="E7" i="5" l="1"/>
  <c r="F7" i="5" s="1"/>
  <c r="K10" i="7"/>
  <c r="J7" i="5" s="1"/>
  <c r="F10" i="8"/>
  <c r="E7" i="6" l="1"/>
  <c r="O10" i="8"/>
  <c r="O7" i="6" s="1"/>
  <c r="H19" i="7"/>
  <c r="F7" i="6" l="1"/>
  <c r="H19" i="8"/>
  <c r="F8" i="7"/>
  <c r="E6" i="5" l="1"/>
  <c r="J24" i="7"/>
  <c r="J24" i="8" l="1"/>
  <c r="O24" i="8" s="1"/>
  <c r="F24" i="7"/>
  <c r="E10" i="5" l="1"/>
  <c r="F43" i="7"/>
  <c r="K24" i="7"/>
  <c r="J23" i="7"/>
  <c r="F23" i="8"/>
  <c r="K23" i="7" l="1"/>
  <c r="J23" i="8"/>
  <c r="O23" i="8" s="1"/>
  <c r="E11" i="5"/>
  <c r="J34" i="7"/>
  <c r="K34" i="7" l="1"/>
  <c r="J34" i="8"/>
  <c r="I32" i="7"/>
  <c r="F34" i="8"/>
  <c r="I32" i="8" l="1"/>
  <c r="O34" i="8"/>
  <c r="J7" i="7"/>
  <c r="K7" i="7" l="1"/>
  <c r="J7" i="8"/>
  <c r="I27" i="7"/>
  <c r="I27" i="8" l="1"/>
  <c r="H10" i="7"/>
  <c r="H24" i="7"/>
  <c r="H10" i="8" l="1"/>
  <c r="H24" i="8"/>
  <c r="F7" i="8"/>
  <c r="J18" i="7"/>
  <c r="O7" i="8" l="1"/>
  <c r="K18" i="7"/>
  <c r="J18" i="8"/>
  <c r="J8" i="7"/>
  <c r="K8" i="7" l="1"/>
  <c r="I6" i="6"/>
  <c r="I6" i="5"/>
  <c r="J8" i="8"/>
  <c r="I33" i="7"/>
  <c r="F6" i="5" l="1"/>
  <c r="J6" i="5"/>
  <c r="I33" i="8"/>
  <c r="H27" i="7"/>
  <c r="H27" i="8" l="1"/>
  <c r="F18" i="8"/>
  <c r="E9" i="6" l="1"/>
  <c r="O18" i="8"/>
  <c r="F28" i="8"/>
  <c r="O28" i="8" l="1"/>
  <c r="E10" i="6"/>
  <c r="I29" i="7"/>
  <c r="I29" i="8" l="1"/>
  <c r="H26" i="7"/>
  <c r="G9" i="7"/>
  <c r="H26" i="8" l="1"/>
  <c r="G9" i="8"/>
  <c r="H9" i="7"/>
  <c r="H43" i="7" l="1"/>
  <c r="L9" i="7"/>
  <c r="H9" i="8"/>
  <c r="H43" i="8" s="1"/>
  <c r="I20" i="7"/>
  <c r="R9" i="8" l="1"/>
  <c r="Q9" i="8"/>
  <c r="I20" i="8"/>
  <c r="I10" i="7"/>
  <c r="H7" i="5" l="1"/>
  <c r="H7" i="6"/>
  <c r="I10" i="8"/>
  <c r="I40" i="7"/>
  <c r="I40" i="8" l="1"/>
  <c r="F8" i="8"/>
  <c r="E6" i="6" l="1"/>
  <c r="O8" i="8"/>
  <c r="F43" i="8"/>
  <c r="I23" i="7"/>
  <c r="I23" i="8" l="1"/>
  <c r="O6" i="6"/>
  <c r="F6" i="6"/>
  <c r="E11" i="6"/>
  <c r="I18" i="7"/>
  <c r="H9" i="5" l="1"/>
  <c r="H9" i="6"/>
  <c r="I18" i="8"/>
  <c r="I24" i="7"/>
  <c r="H10" i="5" l="1"/>
  <c r="H11" i="5" s="1"/>
  <c r="H10" i="6"/>
  <c r="H11" i="6" s="1"/>
  <c r="I43" i="7"/>
  <c r="I24" i="8"/>
  <c r="I43" i="8" s="1"/>
  <c r="L35" i="8"/>
  <c r="M35" i="8"/>
  <c r="K35" i="8"/>
  <c r="G35" i="7"/>
  <c r="L35" i="7" l="1"/>
  <c r="G35" i="8"/>
  <c r="Q35" i="8" s="1"/>
  <c r="M42" i="8"/>
  <c r="N42" i="8"/>
  <c r="L42" i="8"/>
  <c r="N35" i="8"/>
  <c r="R35" i="8" l="1"/>
  <c r="P42" i="8"/>
  <c r="P35" i="8"/>
  <c r="G42" i="7"/>
  <c r="L42" i="7" l="1"/>
  <c r="G42" i="8"/>
  <c r="Q42" i="8" s="1"/>
  <c r="K36" i="8"/>
  <c r="N36" i="8"/>
  <c r="M36" i="8"/>
  <c r="K42" i="8"/>
  <c r="P36" i="8" l="1"/>
  <c r="R42" i="8"/>
  <c r="G36" i="7"/>
  <c r="L36" i="7" l="1"/>
  <c r="G36" i="8"/>
  <c r="Q36" i="8" s="1"/>
  <c r="L36" i="8"/>
  <c r="M30" i="8"/>
  <c r="L30" i="8"/>
  <c r="N30" i="8"/>
  <c r="R36" i="8" l="1"/>
  <c r="P30" i="8"/>
  <c r="G30" i="7"/>
  <c r="L30" i="7" l="1"/>
  <c r="G30" i="8"/>
  <c r="Q30" i="8" s="1"/>
  <c r="M31" i="8"/>
  <c r="L31" i="8"/>
  <c r="K30" i="8"/>
  <c r="K31" i="8"/>
  <c r="R30" i="8" l="1"/>
  <c r="G31" i="7"/>
  <c r="L31" i="7" l="1"/>
  <c r="G31" i="8"/>
  <c r="Q31" i="8" s="1"/>
  <c r="N31" i="8"/>
  <c r="K10" i="8"/>
  <c r="N10" i="8"/>
  <c r="L10" i="8"/>
  <c r="R31" i="8" l="1"/>
  <c r="P10" i="8"/>
  <c r="P31" i="8"/>
  <c r="G10" i="7"/>
  <c r="L10" i="7" l="1"/>
  <c r="G10" i="8"/>
  <c r="Q10" i="8" s="1"/>
  <c r="L7" i="8"/>
  <c r="N7" i="8"/>
  <c r="M7" i="8"/>
  <c r="M10" i="8"/>
  <c r="R10" i="8" l="1"/>
  <c r="P7" i="8"/>
  <c r="G7" i="7"/>
  <c r="L7" i="7" l="1"/>
  <c r="G7" i="8"/>
  <c r="Q7" i="8" s="1"/>
  <c r="K16" i="8"/>
  <c r="N16" i="8"/>
  <c r="K7" i="8"/>
  <c r="L16" i="8"/>
  <c r="K8" i="6" l="1"/>
  <c r="M8" i="6"/>
  <c r="J8" i="6"/>
  <c r="P16" i="8"/>
  <c r="P8" i="6" s="1"/>
  <c r="R7" i="8"/>
  <c r="G16" i="7"/>
  <c r="G8" i="5" l="1"/>
  <c r="G8" i="6"/>
  <c r="S8" i="6"/>
  <c r="L16" i="7"/>
  <c r="K8" i="5" s="1"/>
  <c r="L8" i="5" s="1"/>
  <c r="G16" i="8"/>
  <c r="Q16" i="8" s="1"/>
  <c r="Q8" i="6" s="1"/>
  <c r="T8" i="6" s="1"/>
  <c r="M32" i="8"/>
  <c r="N32" i="8"/>
  <c r="L32" i="8"/>
  <c r="M16" i="8"/>
  <c r="L8" i="6" l="1"/>
  <c r="N8" i="6" s="1"/>
  <c r="R16" i="8"/>
  <c r="R8" i="6" s="1"/>
  <c r="U8" i="6" s="1"/>
  <c r="P32" i="8"/>
  <c r="G32" i="7"/>
  <c r="L32" i="7" l="1"/>
  <c r="G32" i="8"/>
  <c r="Q32" i="8" s="1"/>
  <c r="L25" i="8"/>
  <c r="N25" i="8"/>
  <c r="K32" i="8"/>
  <c r="K25" i="8"/>
  <c r="P25" i="8" l="1"/>
  <c r="R32" i="8"/>
  <c r="G25" i="7"/>
  <c r="L25" i="7" l="1"/>
  <c r="G25" i="8"/>
  <c r="Q25" i="8" s="1"/>
  <c r="M27" i="8"/>
  <c r="N27" i="8"/>
  <c r="M25" i="8"/>
  <c r="K27" i="8"/>
  <c r="R25" i="8" l="1"/>
  <c r="P27" i="8"/>
  <c r="G27" i="7"/>
  <c r="L27" i="7" l="1"/>
  <c r="G27" i="8"/>
  <c r="Q27" i="8" s="1"/>
  <c r="M38" i="8"/>
  <c r="L38" i="8"/>
  <c r="L27" i="8"/>
  <c r="N38" i="8"/>
  <c r="R27" i="8" l="1"/>
  <c r="P38" i="8"/>
  <c r="G38" i="7"/>
  <c r="L38" i="7" l="1"/>
  <c r="G38" i="8"/>
  <c r="Q38" i="8" s="1"/>
  <c r="K41" i="8"/>
  <c r="N41" i="8"/>
  <c r="K38" i="8"/>
  <c r="M41" i="8"/>
  <c r="P41" i="8" l="1"/>
  <c r="R38" i="8"/>
  <c r="G41" i="7"/>
  <c r="L41" i="7" l="1"/>
  <c r="G41" i="8"/>
  <c r="Q41" i="8" s="1"/>
  <c r="N17" i="8"/>
  <c r="K17" i="8"/>
  <c r="L17" i="8"/>
  <c r="L41" i="8"/>
  <c r="R41" i="8" l="1"/>
  <c r="P17" i="8"/>
  <c r="G17" i="7"/>
  <c r="L17" i="7" l="1"/>
  <c r="G17" i="8"/>
  <c r="Q17" i="8" s="1"/>
  <c r="N24" i="8"/>
  <c r="M24" i="8"/>
  <c r="L24" i="8"/>
  <c r="M17" i="8"/>
  <c r="R17" i="8" l="1"/>
  <c r="P24" i="8"/>
  <c r="G24" i="7"/>
  <c r="L24" i="7" l="1"/>
  <c r="G24" i="8"/>
  <c r="Q24" i="8" s="1"/>
  <c r="K24" i="8"/>
  <c r="M37" i="8"/>
  <c r="K37" i="8"/>
  <c r="N37" i="8"/>
  <c r="P37" i="8" l="1"/>
  <c r="R24" i="8"/>
  <c r="G37" i="7"/>
  <c r="L37" i="7" l="1"/>
  <c r="G37" i="8"/>
  <c r="Q37" i="8" s="1"/>
  <c r="L12" i="8"/>
  <c r="M12" i="8"/>
  <c r="L37" i="8"/>
  <c r="N12" i="8"/>
  <c r="R37" i="8" l="1"/>
  <c r="P12" i="8"/>
  <c r="G12" i="7"/>
  <c r="L12" i="7" l="1"/>
  <c r="G12" i="8"/>
  <c r="Q12" i="8" s="1"/>
  <c r="M18" i="8"/>
  <c r="N18" i="8"/>
  <c r="K12" i="8"/>
  <c r="L18" i="8"/>
  <c r="P18" i="8" l="1"/>
  <c r="R12" i="8"/>
  <c r="G18" i="7"/>
  <c r="L18" i="7" l="1"/>
  <c r="G18" i="8"/>
  <c r="Q18" i="8" s="1"/>
  <c r="L11" i="8"/>
  <c r="K11" i="8"/>
  <c r="K18" i="8"/>
  <c r="M11" i="8"/>
  <c r="R18" i="8" l="1"/>
  <c r="G11" i="7"/>
  <c r="L11" i="7" l="1"/>
  <c r="G11" i="8"/>
  <c r="Q11" i="8" s="1"/>
  <c r="N11" i="8"/>
  <c r="M13" i="8"/>
  <c r="L13" i="8"/>
  <c r="N13" i="8"/>
  <c r="R11" i="8" l="1"/>
  <c r="K7" i="6"/>
  <c r="P13" i="8"/>
  <c r="L7" i="6"/>
  <c r="P11" i="8"/>
  <c r="M7" i="6"/>
  <c r="G13" i="7"/>
  <c r="P7" i="6" l="1"/>
  <c r="N7" i="6"/>
  <c r="G7" i="6"/>
  <c r="G7" i="5"/>
  <c r="L13" i="7"/>
  <c r="G13" i="8"/>
  <c r="Q13" i="8" s="1"/>
  <c r="L39" i="8"/>
  <c r="M39" i="8"/>
  <c r="K13" i="8"/>
  <c r="K39" i="8"/>
  <c r="J7" i="6" l="1"/>
  <c r="S7" i="6" s="1"/>
  <c r="R13" i="8"/>
  <c r="G39" i="7"/>
  <c r="L39" i="7" l="1"/>
  <c r="G39" i="8"/>
  <c r="Q39" i="8" s="1"/>
  <c r="L19" i="8"/>
  <c r="N39" i="8"/>
  <c r="M19" i="8"/>
  <c r="N19" i="8"/>
  <c r="R39" i="8" l="1"/>
  <c r="K9" i="6"/>
  <c r="L9" i="6"/>
  <c r="P19" i="8"/>
  <c r="M9" i="6"/>
  <c r="P39" i="8"/>
  <c r="G19" i="7"/>
  <c r="L19" i="7" l="1"/>
  <c r="N9" i="6"/>
  <c r="G19" i="8"/>
  <c r="Q19" i="8" s="1"/>
  <c r="N21" i="8"/>
  <c r="K19" i="8"/>
  <c r="M21" i="8"/>
  <c r="K21" i="8"/>
  <c r="P21" i="8" l="1"/>
  <c r="J9" i="6"/>
  <c r="R19" i="8"/>
  <c r="G21" i="7"/>
  <c r="L21" i="7" l="1"/>
  <c r="G21" i="8"/>
  <c r="Q21" i="8" s="1"/>
  <c r="L21" i="8"/>
  <c r="N29" i="8"/>
  <c r="L29" i="8"/>
  <c r="K29" i="8"/>
  <c r="R21" i="8" l="1"/>
  <c r="P29" i="8"/>
  <c r="G29" i="7"/>
  <c r="L29" i="7" l="1"/>
  <c r="G29" i="8"/>
  <c r="Q29" i="8" s="1"/>
  <c r="K28" i="8"/>
  <c r="M29" i="8"/>
  <c r="N28" i="8"/>
  <c r="L28" i="8"/>
  <c r="R29" i="8" l="1"/>
  <c r="P28" i="8"/>
  <c r="G28" i="7"/>
  <c r="L28" i="7" l="1"/>
  <c r="G28" i="8"/>
  <c r="Q28" i="8" s="1"/>
  <c r="K23" i="8"/>
  <c r="M23" i="8"/>
  <c r="M28" i="8"/>
  <c r="N23" i="8"/>
  <c r="R28" i="8" l="1"/>
  <c r="P23" i="8"/>
  <c r="G23" i="7"/>
  <c r="L23" i="7" l="1"/>
  <c r="G23" i="8"/>
  <c r="Q23" i="8" s="1"/>
  <c r="J20" i="7"/>
  <c r="L23" i="8"/>
  <c r="I9" i="5" l="1"/>
  <c r="F9" i="5" s="1"/>
  <c r="I9" i="6"/>
  <c r="R23" i="8"/>
  <c r="J20" i="8"/>
  <c r="K20" i="7"/>
  <c r="J43" i="7"/>
  <c r="I10" i="5"/>
  <c r="I10" i="6"/>
  <c r="G20" i="7"/>
  <c r="G9" i="5" l="1"/>
  <c r="G9" i="6"/>
  <c r="F9" i="6"/>
  <c r="S9" i="6"/>
  <c r="L20" i="7"/>
  <c r="I11" i="6"/>
  <c r="F10" i="6"/>
  <c r="F10" i="5"/>
  <c r="F11" i="5" s="1"/>
  <c r="I11" i="5"/>
  <c r="J10" i="5"/>
  <c r="K43" i="7"/>
  <c r="J9" i="5" s="1"/>
  <c r="O20" i="8"/>
  <c r="J43" i="8"/>
  <c r="G20" i="8"/>
  <c r="Q20" i="8" s="1"/>
  <c r="M26" i="8"/>
  <c r="L26" i="8"/>
  <c r="N26" i="8"/>
  <c r="F11" i="6" l="1"/>
  <c r="J11" i="5"/>
  <c r="P26" i="8"/>
  <c r="R20" i="8"/>
  <c r="O10" i="6"/>
  <c r="O43" i="8"/>
  <c r="O9" i="6" s="1"/>
  <c r="G26" i="7"/>
  <c r="O11" i="6" l="1"/>
  <c r="L26" i="7"/>
  <c r="G26" i="8"/>
  <c r="Q26" i="8" s="1"/>
  <c r="K8" i="8"/>
  <c r="N8" i="8"/>
  <c r="L8" i="8"/>
  <c r="K26" i="8"/>
  <c r="P8" i="8" l="1"/>
  <c r="R26" i="8"/>
  <c r="G8" i="7"/>
  <c r="L8" i="7" l="1"/>
  <c r="G8" i="8"/>
  <c r="Q8" i="8" s="1"/>
  <c r="M8" i="8"/>
  <c r="N40" i="8"/>
  <c r="M40" i="8"/>
  <c r="K40" i="8"/>
  <c r="P40" i="8" l="1"/>
  <c r="R8" i="8"/>
  <c r="G40" i="7"/>
  <c r="L40" i="7" l="1"/>
  <c r="G40" i="8"/>
  <c r="Q40" i="8" s="1"/>
  <c r="N6" i="8"/>
  <c r="M6" i="8"/>
  <c r="L40" i="8"/>
  <c r="K6" i="8"/>
  <c r="R40" i="8" l="1"/>
  <c r="L6" i="6"/>
  <c r="M6" i="6"/>
  <c r="P6" i="8"/>
  <c r="J6" i="6"/>
  <c r="G6" i="7"/>
  <c r="G6" i="5" l="1"/>
  <c r="G6" i="6"/>
  <c r="L6" i="7"/>
  <c r="S6" i="6"/>
  <c r="P6" i="6"/>
  <c r="G6" i="8"/>
  <c r="R6" i="8" s="1"/>
  <c r="L22" i="8"/>
  <c r="M22" i="8"/>
  <c r="K22" i="8"/>
  <c r="L6" i="8"/>
  <c r="K6" i="6" l="1"/>
  <c r="R6" i="6"/>
  <c r="Q6" i="8"/>
  <c r="K6" i="5"/>
  <c r="G22" i="7"/>
  <c r="L22" i="7" l="1"/>
  <c r="N6" i="6"/>
  <c r="U6" i="6"/>
  <c r="Q6" i="6"/>
  <c r="L6" i="5"/>
  <c r="G22" i="8"/>
  <c r="R22" i="8" s="1"/>
  <c r="K34" i="8"/>
  <c r="L34" i="8"/>
  <c r="N22" i="8"/>
  <c r="M34" i="8"/>
  <c r="P22" i="8" l="1"/>
  <c r="T6" i="6"/>
  <c r="Q22" i="8"/>
  <c r="G34" i="7"/>
  <c r="L34" i="7" l="1"/>
  <c r="G34" i="8"/>
  <c r="Q34" i="8" s="1"/>
  <c r="N34" i="8"/>
  <c r="M33" i="8"/>
  <c r="K33" i="8"/>
  <c r="N33" i="8"/>
  <c r="R34" i="8" l="1"/>
  <c r="P33" i="8"/>
  <c r="M10" i="6"/>
  <c r="N43" i="8"/>
  <c r="L10" i="6"/>
  <c r="L11" i="6" s="1"/>
  <c r="M43" i="8"/>
  <c r="J10" i="6"/>
  <c r="K43" i="8"/>
  <c r="P34" i="8"/>
  <c r="G33" i="7"/>
  <c r="G10" i="6" l="1"/>
  <c r="G11" i="6" s="1"/>
  <c r="G10" i="5"/>
  <c r="G11" i="5" s="1"/>
  <c r="G43" i="7"/>
  <c r="L33" i="7"/>
  <c r="S10" i="6"/>
  <c r="J11" i="6"/>
  <c r="M11" i="6"/>
  <c r="P43" i="8"/>
  <c r="G33" i="8"/>
  <c r="R33" i="8" s="1"/>
  <c r="L33" i="8"/>
  <c r="K10" i="6" l="1"/>
  <c r="L43" i="8"/>
  <c r="Q33" i="8"/>
  <c r="G43" i="8"/>
  <c r="R10" i="6"/>
  <c r="R43" i="8"/>
  <c r="P9" i="6"/>
  <c r="P10" i="6"/>
  <c r="S11" i="6"/>
  <c r="L43" i="7"/>
  <c r="K10" i="5"/>
  <c r="L10" i="5" s="1"/>
  <c r="K9" i="5" l="1"/>
  <c r="L9" i="5" s="1"/>
  <c r="K7" i="5"/>
  <c r="R9" i="6"/>
  <c r="U9" i="6" s="1"/>
  <c r="R7" i="6"/>
  <c r="U10" i="6"/>
  <c r="Q43" i="8"/>
  <c r="Q10" i="6"/>
  <c r="T10" i="6" s="1"/>
  <c r="P11" i="6"/>
  <c r="N10" i="6"/>
  <c r="N11" i="6" s="1"/>
  <c r="K11" i="6"/>
  <c r="Q9" i="6" l="1"/>
  <c r="T9" i="6" s="1"/>
  <c r="Q7" i="6"/>
  <c r="U7" i="6"/>
  <c r="R11" i="6"/>
  <c r="U11" i="6" s="1"/>
  <c r="L7" i="5"/>
  <c r="K11" i="5"/>
  <c r="L11" i="5" s="1"/>
  <c r="T7" i="6" l="1"/>
  <c r="Q11" i="6"/>
  <c r="T11" i="6" s="1"/>
  <c r="U25" i="12"/>
  <c r="U12" i="12"/>
  <c r="U13" i="12"/>
  <c r="U17" i="12" l="1"/>
  <c r="Q25" i="12"/>
  <c r="K25" i="12"/>
  <c r="L13" i="12"/>
  <c r="K13" i="12"/>
  <c r="J13" i="12"/>
  <c r="M13" i="12"/>
  <c r="M17" i="12" l="1"/>
  <c r="L17" i="12"/>
  <c r="K17" i="12"/>
  <c r="N13" i="12"/>
  <c r="J17" i="12"/>
  <c r="T25" i="12"/>
  <c r="T12" i="12"/>
  <c r="T13" i="12"/>
  <c r="O12" i="12" l="1"/>
  <c r="Y12" i="12" s="1"/>
  <c r="T17" i="12"/>
  <c r="O17" i="12" s="1"/>
  <c r="O13" i="12"/>
  <c r="Y13" i="12" s="1"/>
  <c r="N17" i="12" l="1"/>
  <c r="Y17" i="12"/>
  <c r="Q25" i="17"/>
  <c r="U25" i="17"/>
  <c r="K25" i="17"/>
  <c r="U12" i="17"/>
  <c r="M13" i="17"/>
  <c r="U13" i="17"/>
  <c r="J13" i="17"/>
  <c r="L13" i="17"/>
  <c r="K13" i="17"/>
  <c r="U17" i="17" l="1"/>
  <c r="N13" i="17"/>
  <c r="J17" i="17"/>
  <c r="M17" i="17"/>
  <c r="K17" i="17"/>
  <c r="T25" i="17"/>
  <c r="L17" i="17"/>
  <c r="T12" i="17"/>
  <c r="T13" i="17"/>
  <c r="O12" i="17" l="1"/>
  <c r="Y12" i="17" s="1"/>
  <c r="T17" i="17"/>
  <c r="O17" i="17" s="1"/>
  <c r="O13" i="17"/>
  <c r="Y13" i="17" s="1"/>
  <c r="N17" i="17" l="1"/>
  <c r="Y17" i="17"/>
  <c r="U25" i="18"/>
  <c r="U12" i="18"/>
  <c r="U13" i="18"/>
  <c r="U17" i="18" l="1"/>
  <c r="Q25" i="18"/>
  <c r="K25" i="18"/>
  <c r="L13" i="18"/>
  <c r="K13" i="18"/>
  <c r="M13" i="18"/>
  <c r="J13" i="18"/>
  <c r="L17" i="18" l="1"/>
  <c r="J17" i="18"/>
  <c r="N13" i="18"/>
  <c r="M17" i="18"/>
  <c r="T25" i="18"/>
  <c r="K17" i="18"/>
  <c r="T12" i="18"/>
  <c r="T13" i="18"/>
  <c r="O12" i="18" l="1"/>
  <c r="Y12" i="18" s="1"/>
  <c r="T17" i="18"/>
  <c r="O17" i="18" s="1"/>
  <c r="O13" i="18"/>
  <c r="Y13" i="18" s="1"/>
  <c r="Y17" i="18" l="1"/>
  <c r="N17" i="18"/>
  <c r="Q25" i="19"/>
  <c r="U25" i="19"/>
  <c r="K25" i="19"/>
  <c r="U12" i="19"/>
  <c r="M13" i="19"/>
  <c r="L13" i="19"/>
  <c r="J13" i="19"/>
  <c r="U13" i="19"/>
  <c r="K13" i="19"/>
  <c r="U17" i="19" l="1"/>
  <c r="L17" i="19"/>
  <c r="M17" i="19"/>
  <c r="J17" i="19"/>
  <c r="N13" i="19"/>
  <c r="T25" i="19"/>
  <c r="K17" i="19"/>
  <c r="T13" i="19"/>
  <c r="T12" i="19"/>
  <c r="O12" i="19" l="1"/>
  <c r="Y12" i="19" s="1"/>
  <c r="T17" i="19"/>
  <c r="O17" i="19" s="1"/>
  <c r="O13" i="19"/>
  <c r="Y13" i="19" s="1"/>
  <c r="Y17" i="19" l="1"/>
  <c r="N17" i="19"/>
  <c r="K25" i="16"/>
  <c r="M13" i="16"/>
  <c r="K13" i="16"/>
  <c r="J13" i="16"/>
  <c r="L13" i="16"/>
  <c r="M17" i="16" l="1"/>
  <c r="K17" i="16"/>
  <c r="L17" i="16"/>
  <c r="N13" i="16"/>
  <c r="J17" i="16"/>
  <c r="T25" i="16"/>
  <c r="T12" i="16"/>
  <c r="T13" i="16"/>
  <c r="T17" i="16" l="1"/>
  <c r="U25" i="16" l="1"/>
  <c r="Q25" i="16"/>
  <c r="U12" i="16"/>
  <c r="U13" i="16"/>
  <c r="O12" i="16" l="1"/>
  <c r="Y12" i="16" s="1"/>
  <c r="U17" i="16"/>
  <c r="O17" i="16" s="1"/>
  <c r="O13" i="16"/>
  <c r="Y13" i="16" s="1"/>
  <c r="Y17" i="16" l="1"/>
  <c r="N17" i="16"/>
  <c r="L13" i="14"/>
  <c r="U13" i="14"/>
  <c r="U13" i="13"/>
  <c r="J13" i="13"/>
  <c r="L13" i="13"/>
  <c r="K13" i="14"/>
  <c r="M13" i="13"/>
  <c r="J13" i="14"/>
  <c r="K13" i="13"/>
  <c r="T13" i="14"/>
  <c r="T13" i="13"/>
  <c r="M13" i="14"/>
  <c r="O13" i="14" l="1"/>
  <c r="Y13" i="14" s="1"/>
  <c r="N13" i="14"/>
  <c r="O13" i="13"/>
  <c r="Y13" i="13" s="1"/>
  <c r="N13" i="13"/>
  <c r="N12" i="14"/>
  <c r="J17" i="14"/>
  <c r="M17" i="14"/>
  <c r="Q25" i="14"/>
  <c r="Q25" i="13"/>
  <c r="M17" i="13"/>
  <c r="N17" i="13"/>
  <c r="Y17" i="13"/>
  <c r="L17" i="14"/>
  <c r="O17" i="13"/>
  <c r="U17" i="13"/>
  <c r="J17" i="13"/>
  <c r="N12" i="13"/>
  <c r="L17" i="13"/>
  <c r="N17" i="14"/>
  <c r="T17" i="14"/>
  <c r="O17" i="14"/>
  <c r="Y17" i="14"/>
  <c r="K17" i="14"/>
  <c r="K17" i="13"/>
  <c r="O12" i="14"/>
  <c r="Y12" i="14"/>
  <c r="U17" i="14"/>
  <c r="M12" i="14"/>
  <c r="J12" i="14"/>
  <c r="K12" i="14"/>
  <c r="L12" i="14"/>
  <c r="O12" i="13"/>
  <c r="Y12" i="13"/>
  <c r="K12" i="13"/>
  <c r="J12" i="13"/>
  <c r="M12" i="13"/>
  <c r="L12" i="13"/>
  <c r="T17" i="13"/>
  <c r="K25" i="14"/>
  <c r="T25" i="14"/>
  <c r="T12" i="14"/>
  <c r="J25" i="14"/>
  <c r="U25" i="14"/>
  <c r="U12" i="14"/>
  <c r="U25" i="13"/>
  <c r="U12" i="13"/>
  <c r="J25" i="13"/>
  <c r="K25" i="13"/>
  <c r="T25" i="13"/>
  <c r="T12" i="13"/>
</calcChain>
</file>

<file path=xl/sharedStrings.xml><?xml version="1.0" encoding="utf-8"?>
<sst xmlns="http://schemas.openxmlformats.org/spreadsheetml/2006/main" count="2682" uniqueCount="448">
  <si>
    <t>TCP/UDP Small Service 제한 설정</t>
  </si>
  <si>
    <t>DDoS 공격 방어 설정 또는 DDoS 장비 사용</t>
  </si>
  <si>
    <t>NTP 사용 시 신뢰할 수 있는 서버로 설정</t>
  </si>
  <si>
    <t>SNMP Community String 권한 설정 (RW 권한 삭제 권고)</t>
  </si>
  <si>
    <t>line con, line vty에 password 설정됨 (Password : patch3)</t>
  </si>
  <si>
    <t>1) 영역별 보안수준</t>
  </si>
  <si>
    <t>위협(Threats)</t>
  </si>
  <si>
    <t>이행 진단 통계</t>
  </si>
  <si>
    <t>전체점수
(이행후)</t>
  </si>
  <si>
    <t>1) 시스템 현황</t>
  </si>
  <si>
    <t>3. 점검결과 점수</t>
  </si>
  <si>
    <t>취약점 진단항목</t>
  </si>
  <si>
    <t>개선방안 및 보호대책</t>
  </si>
  <si>
    <t>전체점수
(이행전)</t>
  </si>
  <si>
    <t>점수(Hidden)</t>
  </si>
  <si>
    <t>1. 분류 Code</t>
  </si>
  <si>
    <t>평가점수
(이행전)</t>
  </si>
  <si>
    <t>2) 장비별 보안수준</t>
  </si>
  <si>
    <t>8. 위험도 평가표</t>
  </si>
  <si>
    <t>전체점수(이행 후)</t>
  </si>
  <si>
    <t>OS 종류 및 버전</t>
  </si>
  <si>
    <t>영역별 수준 그래프</t>
  </si>
  <si>
    <t>평가점수
(이행후)</t>
  </si>
  <si>
    <t>평가점수 (이행 후)</t>
  </si>
  <si>
    <t>평가점수 (이행 전)</t>
  </si>
  <si>
    <t>② 상세 진단 현황</t>
  </si>
  <si>
    <t>① 부분별 진단 결과</t>
  </si>
  <si>
    <t>전체점수(이행 전)</t>
  </si>
  <si>
    <t>전체 보안 수준</t>
  </si>
  <si>
    <t>HostName</t>
  </si>
  <si>
    <t>전채 보안 수준</t>
  </si>
  <si>
    <t>2) 진단 결과</t>
  </si>
  <si>
    <t>IP Address</t>
  </si>
  <si>
    <t>로깅 버퍼 크기 설정</t>
  </si>
  <si>
    <t>웹 서비스 차단</t>
  </si>
  <si>
    <t>SNMP ACL 설정</t>
  </si>
  <si>
    <t>TFTP 서비스 차단</t>
  </si>
  <si>
    <t>CDP 서비스 차단</t>
  </si>
  <si>
    <t>SNMP 서비스 확인</t>
  </si>
  <si>
    <t>7. 위험도 점수 범위</t>
  </si>
  <si>
    <t>■ Check List</t>
  </si>
  <si>
    <t>8_1. 위험도 평가표</t>
  </si>
  <si>
    <t>보안수준 
(이행 전)</t>
  </si>
  <si>
    <t>5. 자산등급 점수 범위</t>
  </si>
  <si>
    <t>6. 위협도 점수 범위</t>
  </si>
  <si>
    <t>본진단 결과 (이행 전)</t>
  </si>
  <si>
    <t>Y=0(보호대책 있음)</t>
  </si>
  <si>
    <t>보안수준 
(이행 후)</t>
  </si>
  <si>
    <t>N=1(보호대책 없음)</t>
  </si>
  <si>
    <t>8_2. 위험평가 방법론</t>
  </si>
  <si>
    <t>HIDDEN 필드입니다</t>
  </si>
  <si>
    <t>■ 취약점 진단 항목별 통계</t>
  </si>
  <si>
    <t>Finger 서비스 차단</t>
  </si>
  <si>
    <t>정책에 따른 로깅 설정</t>
  </si>
  <si>
    <t>VTY 접근(ACL) 설정</t>
  </si>
  <si>
    <t>identd 서비스 차단</t>
  </si>
  <si>
    <t>Bootp 서비스 차단</t>
  </si>
  <si>
    <t>Proxy ARP 차단</t>
  </si>
  <si>
    <t>N/A</t>
  </si>
  <si>
    <t>구분</t>
  </si>
  <si>
    <t>IP</t>
  </si>
  <si>
    <t>비고</t>
  </si>
  <si>
    <t>담당자</t>
  </si>
  <si>
    <t>수준</t>
  </si>
  <si>
    <t>위험도</t>
  </si>
  <si>
    <t>결과</t>
  </si>
  <si>
    <t>모델명</t>
  </si>
  <si>
    <t>중요도</t>
  </si>
  <si>
    <t>N</t>
  </si>
  <si>
    <t>V'</t>
  </si>
  <si>
    <t>계</t>
  </si>
  <si>
    <t>M</t>
  </si>
  <si>
    <t>등급</t>
  </si>
  <si>
    <t>무결성</t>
  </si>
  <si>
    <t>기밀성</t>
  </si>
  <si>
    <t>Y</t>
  </si>
  <si>
    <t>NW</t>
  </si>
  <si>
    <t>취약</t>
  </si>
  <si>
    <t>미조치</t>
  </si>
  <si>
    <t>분류</t>
  </si>
  <si>
    <t>버전</t>
  </si>
  <si>
    <t>부서</t>
  </si>
  <si>
    <t>L</t>
  </si>
  <si>
    <t>H</t>
  </si>
  <si>
    <t>전체</t>
  </si>
  <si>
    <t>자산</t>
  </si>
  <si>
    <t>양호</t>
  </si>
  <si>
    <t>최고</t>
  </si>
  <si>
    <t>DoA</t>
  </si>
  <si>
    <t>평가</t>
  </si>
  <si>
    <t>No.</t>
  </si>
  <si>
    <t>점수</t>
  </si>
  <si>
    <t>-</t>
  </si>
  <si>
    <t>이행율</t>
  </si>
  <si>
    <t>R/A</t>
  </si>
  <si>
    <t>최저</t>
  </si>
  <si>
    <t>P</t>
  </si>
  <si>
    <t>가용성</t>
  </si>
  <si>
    <t>조치</t>
  </si>
  <si>
    <t>N-16</t>
  </si>
  <si>
    <t>N-31</t>
  </si>
  <si>
    <t>N-25</t>
  </si>
  <si>
    <t>N-24</t>
  </si>
  <si>
    <t>N-15</t>
  </si>
  <si>
    <t>N-32</t>
  </si>
  <si>
    <t>N-22</t>
  </si>
  <si>
    <t>N-17</t>
  </si>
  <si>
    <t>N-18</t>
  </si>
  <si>
    <t>호스트명</t>
  </si>
  <si>
    <t>N-13</t>
  </si>
  <si>
    <t>N-11</t>
  </si>
  <si>
    <t>N-10</t>
  </si>
  <si>
    <t>N-36</t>
  </si>
  <si>
    <t>N-19</t>
  </si>
  <si>
    <t>N-21</t>
  </si>
  <si>
    <t>진단 항목</t>
  </si>
  <si>
    <t>이행여부</t>
  </si>
  <si>
    <t>N-27</t>
  </si>
  <si>
    <t>N-28</t>
  </si>
  <si>
    <t>기능 관리</t>
  </si>
  <si>
    <t>pad 차단</t>
  </si>
  <si>
    <t>N-26</t>
  </si>
  <si>
    <t>N-37</t>
  </si>
  <si>
    <t>N-38</t>
  </si>
  <si>
    <t>계정 관리</t>
  </si>
  <si>
    <t>평가이행전</t>
  </si>
  <si>
    <t>전체점수</t>
  </si>
  <si>
    <t>패치 관리</t>
  </si>
  <si>
    <t>설치위치</t>
  </si>
  <si>
    <t>Y(즉시조치)</t>
  </si>
  <si>
    <t>N-30</t>
  </si>
  <si>
    <t>접근 관리</t>
  </si>
  <si>
    <t>N-20</t>
  </si>
  <si>
    <t>N-34</t>
  </si>
  <si>
    <t>N-29</t>
  </si>
  <si>
    <t>CISCO</t>
  </si>
  <si>
    <t>OS/SW</t>
  </si>
  <si>
    <t>N-12</t>
  </si>
  <si>
    <t>자산 평가</t>
  </si>
  <si>
    <t>결과 점수</t>
  </si>
  <si>
    <t>N-23</t>
  </si>
  <si>
    <t>Network</t>
  </si>
  <si>
    <t>N-14</t>
  </si>
  <si>
    <t>N-33</t>
  </si>
  <si>
    <t>N-35</t>
  </si>
  <si>
    <t>중요도 점수</t>
  </si>
  <si>
    <t>4. DoA</t>
  </si>
  <si>
    <t>점수 범위</t>
  </si>
  <si>
    <t>평가이행후</t>
  </si>
  <si>
    <t>전체이행후</t>
  </si>
  <si>
    <t>위험수용</t>
  </si>
  <si>
    <t>보안수준</t>
  </si>
  <si>
    <t>평가점수</t>
  </si>
  <si>
    <t>자산명/용도</t>
  </si>
  <si>
    <t>Code</t>
  </si>
  <si>
    <t>운영자산 명</t>
  </si>
  <si>
    <t>진단결과</t>
  </si>
  <si>
    <t>이행 결과</t>
  </si>
  <si>
    <t>취약점 진단</t>
  </si>
  <si>
    <t>전체이행전</t>
  </si>
  <si>
    <t>설치 위치</t>
  </si>
  <si>
    <t>■ 자산목록</t>
  </si>
  <si>
    <t>진단 통계</t>
  </si>
  <si>
    <t>조치 현황</t>
  </si>
  <si>
    <t>위험 등급</t>
  </si>
  <si>
    <t>보호대책</t>
  </si>
  <si>
    <t>장비 구분</t>
  </si>
  <si>
    <t>제조업체</t>
  </si>
  <si>
    <t>진단항목</t>
  </si>
  <si>
    <t>진단 결과</t>
  </si>
  <si>
    <t>위험평가</t>
  </si>
  <si>
    <t>로그 관리</t>
  </si>
  <si>
    <t>중요도점수</t>
  </si>
  <si>
    <t>점검 결과</t>
  </si>
  <si>
    <t>전체항목</t>
  </si>
  <si>
    <t>해당없음</t>
  </si>
  <si>
    <t>자산등급</t>
  </si>
  <si>
    <t>※ 자산 평가</t>
  </si>
  <si>
    <t>즉시조치</t>
  </si>
  <si>
    <t>현황 및 문제점</t>
  </si>
  <si>
    <t>전체점수(이행전)</t>
  </si>
  <si>
    <t>잔여취약점
(미조치+위험수용)</t>
  </si>
  <si>
    <t xml:space="preserve">취약점(Vulnerability) </t>
  </si>
  <si>
    <t>Session Timeout 설정</t>
  </si>
  <si>
    <t>■ 영역별/장비별 보안수준 통계</t>
  </si>
  <si>
    <t>Spoofing 방지 필터링 적용</t>
  </si>
  <si>
    <t>불필요한 보조 입출력 포트 사용 금지</t>
  </si>
  <si>
    <t>네트워크 장비 접속 시 경고 메시지 설정</t>
  </si>
  <si>
    <t>Directed-broadcast 차단</t>
  </si>
  <si>
    <t>2. 중요도, 자산등급, 위협도 점수</t>
  </si>
  <si>
    <t>Syslog 등을 이용하여 로그 저장 설정</t>
  </si>
  <si>
    <t>TCP/UDP small 서비스 차단</t>
  </si>
  <si>
    <t>VTY 접속 시 안전한 프로토콜 사용</t>
  </si>
  <si>
    <t>불필요한 포트 및 인터페이스 사용 제한 또는 비활성화</t>
  </si>
  <si>
    <t>line con, line vty에 password 설정됨 (Password : patch2)</t>
  </si>
  <si>
    <t>라우터</t>
    <phoneticPr fontId="26" type="noConversion"/>
  </si>
  <si>
    <t>headquarter</t>
    <phoneticPr fontId="26" type="noConversion"/>
  </si>
  <si>
    <t>branch</t>
    <phoneticPr fontId="26" type="noConversion"/>
  </si>
  <si>
    <t>100.100.100.1</t>
    <phoneticPr fontId="26" type="noConversion"/>
  </si>
  <si>
    <t>100.100.100.17</t>
    <phoneticPr fontId="26" type="noConversion"/>
  </si>
  <si>
    <t>2621XM</t>
    <phoneticPr fontId="26" type="noConversion"/>
  </si>
  <si>
    <t>WS-C3560-24PS-E</t>
    <phoneticPr fontId="26" type="noConversion"/>
  </si>
  <si>
    <t>Cisco IOS Software, C3560 Software (C3560-ADVIPSERVICESK9-M)</t>
  </si>
  <si>
    <t>Version 12.2(37)SE1</t>
  </si>
  <si>
    <t>Version 12.2(28)</t>
  </si>
  <si>
    <t>Cisco 2621</t>
  </si>
  <si>
    <t>본사</t>
    <phoneticPr fontId="26" type="noConversion"/>
  </si>
  <si>
    <t>지사</t>
    <phoneticPr fontId="26" type="noConversion"/>
  </si>
  <si>
    <t>해당 서비스 지원안함</t>
    <phoneticPr fontId="26" type="noConversion"/>
  </si>
  <si>
    <t>해당 서비스 지원안함, 기본값 ip tcp keepalive-time 7200000 으로 취약한 상태 아님</t>
    <phoneticPr fontId="26" type="noConversion"/>
  </si>
  <si>
    <t>IOS 이미지가 Web UI 기능을 포함하지 않음 패킷에선 지원</t>
    <phoneticPr fontId="26" type="noConversion"/>
  </si>
  <si>
    <t>지원안함, Cisco IOS 기본값(Default) = 차단(Disabled)</t>
    <phoneticPr fontId="26" type="noConversion"/>
  </si>
  <si>
    <t>지원 안함, 실제 Cisco IOS 기본값 = BOOTP Server OFF (차단)</t>
    <phoneticPr fontId="26" type="noConversion"/>
  </si>
  <si>
    <t>지원안함, 기본값 차단된 상태, Cisco는 Smurf 공격 때문에 오래 전부터 기본값을 차단으로 변경했음.</t>
    <phoneticPr fontId="26" type="noConversion"/>
  </si>
  <si>
    <t>지원하지 않음, Cisco 라우터는 기본값(Default) 이 `no ip source-route`, 소스 라우팅 차단(Disable) 상태입니다.</t>
    <phoneticPr fontId="26" type="noConversion"/>
  </si>
  <si>
    <t>지원 안함</t>
    <phoneticPr fontId="26" type="noConversion"/>
  </si>
  <si>
    <t>스위치 포트 보안, SPAN 설정 미적용</t>
    <phoneticPr fontId="26" type="noConversion"/>
  </si>
  <si>
    <t>인터뷰</t>
  </si>
  <si>
    <t>라우터 장비, 점검대상 아님</t>
    <phoneticPr fontId="26" type="noConversion"/>
  </si>
  <si>
    <t>설정값이 없으므로 취약
패스워드 복잡성 설정 없음</t>
    <phoneticPr fontId="26" type="noConversion"/>
  </si>
  <si>
    <t>설정값이 없으므로 취약
콘솔/VTY 패스워드 설정 없음</t>
    <phoneticPr fontId="26" type="noConversion"/>
  </si>
  <si>
    <t>설정값이 없으므로 취약
service password-encryption 설정 없음</t>
    <phoneticPr fontId="26" type="noConversion"/>
  </si>
  <si>
    <t>privilege 권한 모든 사용자이므로 취약
privilege 레벨 15, 사용자 권한 미제한</t>
    <phoneticPr fontId="26" type="noConversion"/>
  </si>
  <si>
    <t>설정값이 없으므로 취약
access-class 설정 없음</t>
    <phoneticPr fontId="26" type="noConversion"/>
  </si>
  <si>
    <t>설정값이 없으므로 취약
exec-timeout 설정 없음</t>
    <phoneticPr fontId="26" type="noConversion"/>
  </si>
  <si>
    <t>설정값이 없으므로 취약
transport input ssh 미설정</t>
    <phoneticPr fontId="26" type="noConversion"/>
  </si>
  <si>
    <t>설정값이 없으므로 취약
AUX 포트에 설정 없음</t>
    <phoneticPr fontId="26" type="noConversion"/>
  </si>
  <si>
    <t>설정값이 없으므로 취약
banner exec 설정 없음</t>
    <phoneticPr fontId="26" type="noConversion"/>
  </si>
  <si>
    <t>보안 패치 담당자와 상의해야하므로 인터뷰
최신 보안 패치 미적용(현재 12.2(37) 버전)</t>
    <phoneticPr fontId="26" type="noConversion"/>
  </si>
  <si>
    <t>설정값이 없으므로 취약
logging host 설정 없음</t>
    <phoneticPr fontId="26" type="noConversion"/>
  </si>
  <si>
    <t>설정값이 없으므로 취약
logging buffered 설정 없음</t>
    <phoneticPr fontId="26" type="noConversion"/>
  </si>
  <si>
    <t>설정값이 없으므로 취약
logging trap, logging facility 등 미설정</t>
    <phoneticPr fontId="26" type="noConversion"/>
  </si>
  <si>
    <t>ntp sever 미사용이므로 양호
ntp server 미사용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</si>
  <si>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</si>
  <si>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</si>
  <si>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미사용 상태</t>
    <phoneticPr fontId="26" type="noConversion"/>
  </si>
  <si>
    <t>SNMP 미사용이므로 양호
SNMP 미사용 상태</t>
    <phoneticPr fontId="26" type="noConversion"/>
  </si>
  <si>
    <t>해당 서비스 지원안함</t>
    <phoneticPr fontId="26" type="noConversion"/>
  </si>
  <si>
    <r>
      <t>설정값이 없으므로 취약
service timestamps log datetime msec</t>
    </r>
    <r>
      <rPr>
        <sz val="11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>설정 없음</t>
    </r>
    <phoneticPr fontId="26" type="noConversion"/>
  </si>
  <si>
    <t>설정값이 없으므로 취약
스푸핑 방지 필터링 적용 안함(ACL 미적용 상태)</t>
    <phoneticPr fontId="26" type="noConversion"/>
  </si>
  <si>
    <t>설정값이 없으므로 취약
경계 라우터 DDoS 대응장비 미적용, ACL 미적용, Rate limting 미적용, TCP Intercept 미적용</t>
    <phoneticPr fontId="26" type="noConversion"/>
  </si>
  <si>
    <t>설정값이 없으므로 취약
미사용 포트 대부분 shutdown 설정 안됨</t>
    <phoneticPr fontId="26" type="noConversion"/>
  </si>
  <si>
    <t>설정값이 없으므로 취약
cdp 서비스 차단하지 않음</t>
    <phoneticPr fontId="26" type="noConversion"/>
  </si>
  <si>
    <t>설정값이 없으므로 취약
no ip domain-lookup 설정 없음</t>
    <phoneticPr fontId="26" type="noConversion"/>
  </si>
  <si>
    <t>설정값이 없으므로 취약
스위치 포트 보안, SPAN 설정 미적용</t>
    <phoneticPr fontId="26" type="noConversion"/>
  </si>
  <si>
    <t>설정값이 없으므로 취약
cdp 서비스 차단하지 않음</t>
    <phoneticPr fontId="26" type="noConversion"/>
  </si>
  <si>
    <t>본사 사내망</t>
    <phoneticPr fontId="26" type="noConversion"/>
  </si>
  <si>
    <t>홍길동</t>
    <phoneticPr fontId="26" type="noConversion"/>
  </si>
  <si>
    <t>본사 사내망</t>
    <phoneticPr fontId="26" type="noConversion"/>
  </si>
  <si>
    <t>지사 사내망</t>
    <phoneticPr fontId="26" type="noConversion"/>
  </si>
  <si>
    <t>지사 사내망</t>
    <phoneticPr fontId="26" type="noConversion"/>
  </si>
  <si>
    <t>L3 스위치</t>
    <phoneticPr fontId="26" type="noConversion"/>
  </si>
  <si>
    <t>L3 스위치</t>
    <phoneticPr fontId="26" type="noConversion"/>
  </si>
  <si>
    <t>L3 스위치</t>
    <phoneticPr fontId="26" type="noConversion"/>
  </si>
  <si>
    <t>L3 스위치</t>
    <phoneticPr fontId="26" type="noConversion"/>
  </si>
  <si>
    <t>홍길동</t>
    <phoneticPr fontId="26" type="noConversion"/>
  </si>
  <si>
    <t>김철수</t>
    <phoneticPr fontId="26" type="noConversion"/>
  </si>
  <si>
    <t>김철수</t>
    <phoneticPr fontId="26" type="noConversion"/>
  </si>
  <si>
    <t>10.0.24.9</t>
  </si>
  <si>
    <t>WS-C3560-24PS-E</t>
  </si>
  <si>
    <t>10.0.24.13</t>
  </si>
  <si>
    <t>10.0.53.9</t>
  </si>
  <si>
    <t>10.0.53.13</t>
  </si>
  <si>
    <t>전산팀</t>
    <phoneticPr fontId="26" type="noConversion"/>
  </si>
  <si>
    <t>HQ_L4_1</t>
    <phoneticPr fontId="26" type="noConversion"/>
  </si>
  <si>
    <t>HQ_L4_2</t>
    <phoneticPr fontId="26" type="noConversion"/>
  </si>
  <si>
    <t>BR_L4_1</t>
    <phoneticPr fontId="26" type="noConversion"/>
  </si>
  <si>
    <t>BR_L4_2</t>
    <phoneticPr fontId="26" type="noConversion"/>
  </si>
  <si>
    <t>L4 스위치</t>
    <phoneticPr fontId="26" type="noConversion"/>
  </si>
  <si>
    <t>관리자 모드 비밀번호 및 line 인터페이스(console, vty, aux) 비밀번호 설정되어있음</t>
    <phoneticPr fontId="26" type="noConversion"/>
  </si>
  <si>
    <t>enable secret 설정 사용 중임
username secret 설정 사용 중임
Password-Encryption 서비스 사용 중임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</si>
  <si>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</si>
  <si>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</si>
  <si>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</si>
  <si>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</si>
  <si>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</si>
  <si>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</si>
  <si>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버퍼 크기 설정되어있음</t>
    <phoneticPr fontId="26" type="noConversion"/>
  </si>
  <si>
    <t>ntp 서버 ip 주소 설정되어있음</t>
    <phoneticPr fontId="26" type="noConversion"/>
  </si>
  <si>
    <t>SNMP 미사용이므로 양호
SNMP 사용 안함, 비활성화</t>
  </si>
  <si>
    <t>SNMP 미사용이므로 양호
SNMP 미사용 상태</t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</si>
  <si>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</si>
  <si>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</si>
  <si>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</si>
  <si>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cdp 서비스 차단되어있음</t>
    <phoneticPr fontId="26" type="noConversion"/>
  </si>
  <si>
    <t>domain lookup 비활성화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</si>
  <si>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</si>
  <si>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비밀번호 복잡성 규칙에 맞게 설정함
gns에서 확인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</si>
  <si>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</si>
  <si>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</si>
  <si>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로그 시간 기록 설정 및 시간대 설정 되어있음 
gns에서 확인</t>
    <phoneticPr fontId="26" type="noConversion"/>
  </si>
  <si>
    <t>관리자 모드 비밀번호 및 line 인터페이스(console, vty, aux) 비밀번호 설정되어있음</t>
    <phoneticPr fontId="26" type="noConversion"/>
  </si>
  <si>
    <t>관리자 모드 비밀번호 및 line 인터페이스(console, vty, aux) 비밀번호 설정되어있음</t>
    <phoneticPr fontId="26" type="noConversion"/>
  </si>
  <si>
    <t>비밀번호 복잡성 규칙에 맞게 설정함
gns에서 확인</t>
    <phoneticPr fontId="26" type="noConversion"/>
  </si>
  <si>
    <t>enable secret 설정 사용 중임
username secret 설정 사용 중임
Password-Encryption 서비스 사용 중임</t>
    <phoneticPr fontId="26" type="noConversion"/>
  </si>
  <si>
    <t>enable secret 설정 사용 중임
username secret 설정 사용 중임
Password-Encryption 서비스 사용 중임</t>
    <phoneticPr fontId="26" type="noConversion"/>
  </si>
  <si>
    <t>사용자별로 권한 레벨 다르게 설정됨
gns에서 확인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</si>
  <si>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</si>
  <si>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</si>
  <si>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line 인터페이스(console, vty, aux)에 session timeout 설정 적용됨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</si>
  <si>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</si>
  <si>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</si>
  <si>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</si>
  <si>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</si>
  <si>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</si>
  <si>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</si>
  <si>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</si>
  <si>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</si>
  <si>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</si>
  <si>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gns에서 확인</t>
    <phoneticPr fontId="26" type="noConversion"/>
  </si>
  <si>
    <t>버퍼 크기 설정되어있음</t>
    <phoneticPr fontId="26" type="noConversion"/>
  </si>
  <si>
    <t>버퍼 크기 설정되어있음</t>
    <phoneticPr fontId="26" type="noConversion"/>
  </si>
  <si>
    <t>gns에서 확인</t>
    <phoneticPr fontId="26" type="noConversion"/>
  </si>
  <si>
    <t>gns에서 확인</t>
    <phoneticPr fontId="26" type="noConversion"/>
  </si>
  <si>
    <t>ntp 서버 ip 주소 설정되어있음</t>
    <phoneticPr fontId="26" type="noConversion"/>
  </si>
  <si>
    <t>ntp 서버 ip 주소 설정되어있음</t>
    <phoneticPr fontId="26" type="noConversion"/>
  </si>
  <si>
    <t>로그 시간 기록 설정 및 시간대 설정 되어있음 
gns에서 확인</t>
    <phoneticPr fontId="26" type="noConversion"/>
  </si>
  <si>
    <t>로그 시간 기록 설정 및 시간대 설정 되어있음 
gns에서 확인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</si>
  <si>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</si>
  <si>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</si>
  <si>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</si>
  <si>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</si>
  <si>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SNMP 미사용이므로 양호
SNMP 사용 안함, 비활성화</t>
    <phoneticPr fontId="26" type="noConversion"/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</si>
  <si>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</si>
  <si>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</si>
  <si>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</si>
  <si>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</si>
  <si>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</si>
  <si>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</si>
  <si>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domain lookup 비활성화 되어있음</t>
    <phoneticPr fontId="26" type="noConversion"/>
  </si>
  <si>
    <t>cdp 서비스 차단되어있음</t>
    <phoneticPr fontId="26" type="noConversion"/>
  </si>
  <si>
    <t>cdp 서비스 차단되어있음</t>
    <phoneticPr fontId="26" type="noConversion"/>
  </si>
  <si>
    <t>신규</t>
    <phoneticPr fontId="26" type="noConversion"/>
  </si>
  <si>
    <t>제거</t>
    <phoneticPr fontId="26" type="noConversion"/>
  </si>
  <si>
    <t>management 이전</t>
    <phoneticPr fontId="26" type="noConversion"/>
  </si>
  <si>
    <t>sales 이전</t>
    <phoneticPr fontId="26" type="noConversion"/>
  </si>
  <si>
    <t>HQ_L3_1</t>
    <phoneticPr fontId="26" type="noConversion"/>
  </si>
  <si>
    <t>HQ_L3_2</t>
    <phoneticPr fontId="26" type="noConversion"/>
  </si>
  <si>
    <t>BR_L3_1</t>
    <phoneticPr fontId="26" type="noConversion"/>
  </si>
  <si>
    <t>BR_L3_2</t>
    <phoneticPr fontId="26" type="noConversion"/>
  </si>
  <si>
    <t>production 이전</t>
    <phoneticPr fontId="26" type="noConversion"/>
  </si>
  <si>
    <t>10.0.3.18</t>
    <phoneticPr fontId="26" type="noConversion"/>
  </si>
  <si>
    <t>10.0.3.22</t>
    <phoneticPr fontId="26" type="noConversion"/>
  </si>
  <si>
    <t>10.0.35.18</t>
    <phoneticPr fontId="26" type="noConversion"/>
  </si>
  <si>
    <t>10.0.35.22</t>
    <phoneticPr fontId="26" type="noConversion"/>
  </si>
  <si>
    <t>conetents</t>
    <phoneticPr fontId="26" type="noConversion"/>
  </si>
  <si>
    <t>production 호스트명 변경,
10.0.24.1 IP 변경</t>
    <phoneticPr fontId="26" type="noConversion"/>
  </si>
  <si>
    <t>management 호스트명 변경, 10.0.24.5 IP 변경</t>
    <phoneticPr fontId="26" type="noConversion"/>
  </si>
  <si>
    <t>conetents 호스트명 변경, 10.0.53.1 IP 변경</t>
    <phoneticPr fontId="26" type="noConversion"/>
  </si>
  <si>
    <t>sales 호스트명 변경, 10.0.53.5 IP 변경</t>
    <phoneticPr fontId="26" type="noConversion"/>
  </si>
  <si>
    <t>비밀번호 복잡성 규칙에 맞게 설정함</t>
    <phoneticPr fontId="26" type="noConversion"/>
  </si>
  <si>
    <t>사용자별로 권한 레벨 다르게 설정됨
팀장 15
부팀장 14</t>
    <phoneticPr fontId="26" type="noConversion"/>
  </si>
  <si>
    <t>전산팀 관리자 pc만 VTY 콘솔에 접속 허용하도록 ACL 설정 및 vty 인터페이스에 적용됨</t>
    <phoneticPr fontId="26" type="noConversion"/>
  </si>
  <si>
    <t>설정 완료상태이므로 양호
내부 서버의 로그서버를 통해 로그 관리 진행</t>
    <phoneticPr fontId="26" type="noConversion"/>
  </si>
  <si>
    <t>설정 완료상태이므로 양호
TCP Keepalive 서비스 설정</t>
    <phoneticPr fontId="26" type="noConversion"/>
  </si>
  <si>
    <t>설정 완료상태이므로 양호
Finger 서비스 차단</t>
    <phoneticPr fontId="26" type="noConversion"/>
  </si>
  <si>
    <t>설정 완료상태이므로 양호
불필요한 웹 서비스 차단</t>
    <phoneticPr fontId="26" type="noConversion"/>
  </si>
  <si>
    <t>설정 완료상태이므로 양호
TCP/UDP Small 서비스 차단</t>
    <phoneticPr fontId="26" type="noConversion"/>
  </si>
  <si>
    <t>설정 완료상태이므로 양호
Bootp 서비스 차단</t>
    <phoneticPr fontId="26" type="noConversion"/>
  </si>
  <si>
    <t>설정 완료상태이므로 양호
Source 라우팅 차단 완료</t>
    <phoneticPr fontId="26" type="noConversion"/>
  </si>
  <si>
    <t>설정 완료상태이므로 양호
identd 서비스 차단</t>
    <phoneticPr fontId="26" type="noConversion"/>
  </si>
  <si>
    <t>설정 완료상태이므로 양호
pad 서비스 차단</t>
    <phoneticPr fontId="26" type="noConversion"/>
  </si>
  <si>
    <t>설정 완료상태이므로 양호
mask-rely 서비스 차단</t>
    <phoneticPr fontId="26" type="noConversion"/>
  </si>
  <si>
    <t xml:space="preserve">로그 시간 기록 설정 및 시간대 설정 되어있음 </t>
    <phoneticPr fontId="26" type="noConversion"/>
  </si>
  <si>
    <t>설정 완료상태이므로 양호
내부 서버의 로그서버를 통해 로그 관리 진행</t>
    <phoneticPr fontId="26" type="noConversion"/>
  </si>
  <si>
    <t>설정 완료상태이므로 양호
내부 서버의 로그서버를 통해 로그 관리 진행</t>
    <phoneticPr fontId="26" type="noConversion"/>
  </si>
  <si>
    <t>사용하지 않는 포트 administratively down 상태로 되어있음</t>
    <phoneticPr fontId="26" type="noConversion"/>
  </si>
  <si>
    <t>사용하지 않는 포트 administratively down 상태로 되어있음</t>
    <phoneticPr fontId="26" type="noConversion"/>
  </si>
  <si>
    <t>설정 완료상태이므로 양호
TCP Keepalive 서비스 설정</t>
    <phoneticPr fontId="26" type="noConversion"/>
  </si>
  <si>
    <t>설정 완료상태이므로 양호
TCP Keepalive 서비스 설정</t>
    <phoneticPr fontId="26" type="noConversion"/>
  </si>
  <si>
    <t>설정 완료 상태이므로 양호
Source 라우팅 차단</t>
    <phoneticPr fontId="26" type="noConversion"/>
  </si>
  <si>
    <t>설정 완료상태이므로 양호
identd 서비스 차단</t>
    <phoneticPr fontId="26" type="noConversion"/>
  </si>
  <si>
    <t>pad 서비스 차단
설정 완료상태이므로 양호</t>
    <phoneticPr fontId="26" type="noConversion"/>
  </si>
  <si>
    <t>설정 완료상태이므로 양호
mask-rely 서비스 차단</t>
    <phoneticPr fontId="26" type="noConversion"/>
  </si>
  <si>
    <t>설정 완료 상태이므로 양호
domain lookup 비활성화 되어있음</t>
    <phoneticPr fontId="26" type="noConversion"/>
  </si>
  <si>
    <t>설정 완료 상태이므로 양호
Bootp 서비스 차단</t>
    <phoneticPr fontId="26" type="noConversion"/>
  </si>
  <si>
    <t xml:space="preserve">설정 완료상태이므로 양호
Finger 서비스 차단 </t>
    <phoneticPr fontId="26" type="noConversion"/>
  </si>
  <si>
    <t>설정 완료상태이므로 양호
TCP/UDP Small 서비스 차단</t>
    <phoneticPr fontId="26" type="noConversion"/>
  </si>
  <si>
    <t>설정 완료상태이므로 양호
불필요한 웹 서비스 차단</t>
    <phoneticPr fontId="26" type="noConversion"/>
  </si>
  <si>
    <t>설정 완료상태이므로 양호
directed-broadcast 차단</t>
    <phoneticPr fontId="26" type="noConversion"/>
  </si>
  <si>
    <t>설정 완료상태이므로 양호
Proxy ARP 차단 완료</t>
    <phoneticPr fontId="26" type="noConversion"/>
  </si>
  <si>
    <t>설정 완료 상태이므로 양호
ICMP unreachable과 Redirect 차단</t>
    <phoneticPr fontId="26" type="noConversion"/>
  </si>
  <si>
    <t>tftp 관련 설정 없음, tftp 서버로 동작하지 않는 중임</t>
    <phoneticPr fontId="26" type="noConversion"/>
  </si>
  <si>
    <t>tftp 관련 설정 없음이므로 양호
tftp 서버로 동작하지 않는 중임</t>
    <phoneticPr fontId="26" type="noConversion"/>
  </si>
  <si>
    <t>설정 완료상태이므로 양호
directed-broadcast 차단</t>
    <phoneticPr fontId="26" type="noConversion"/>
  </si>
  <si>
    <t>설정 완료상태이므로 양호
directed-broadcast 차단</t>
    <phoneticPr fontId="26" type="noConversion"/>
  </si>
  <si>
    <t>설정 완료상태이므로 양호
Proxy ARP 차단 완료</t>
    <phoneticPr fontId="26" type="noConversion"/>
  </si>
  <si>
    <t>설정 완료상태이므로 양호
Proxy ARP 차단 완료</t>
    <phoneticPr fontId="26" type="noConversion"/>
  </si>
  <si>
    <t>설정 완료 상태이므로 양호
ICMP unreachable과 Redirect 차단</t>
    <phoneticPr fontId="26" type="noConversion"/>
  </si>
  <si>
    <t>설정 완료 상태이므로 양호
ICMP unreachable과 Redirect 차단</t>
    <phoneticPr fontId="26" type="noConversion"/>
  </si>
  <si>
    <t>N-01</t>
  </si>
  <si>
    <t>비밀번호 설정</t>
  </si>
  <si>
    <t>기본 비밀번호를 관리기관의 비밀번호 작성규칙을 준용하여 변경</t>
  </si>
  <si>
    <t>N-02</t>
  </si>
  <si>
    <t>비밀번호 복잡성 설정</t>
  </si>
  <si>
    <t>관리기관의 비밀번호 작성규칙에 맞게 비밀번호 복잡성 정책 및 비밀번호 설정</t>
  </si>
  <si>
    <t>N-03</t>
  </si>
  <si>
    <t>암호화된 비밀번호 사용</t>
  </si>
  <si>
    <t>비밀번호 암호화 설정 적용</t>
  </si>
  <si>
    <t>N-04</t>
  </si>
  <si>
    <t>계정 잠금 임계값 설정</t>
  </si>
  <si>
    <t>로그인 실패 임계값을 5회 이하로 설정</t>
  </si>
  <si>
    <t>N-05</t>
  </si>
  <si>
    <t>사용자·명령어별 권한 설정</t>
  </si>
  <si>
    <t>업무에 맞게 계정별 권한 차등(관리자 권한 최소화) 부여 ※ 한 명의 관리자가 네트워크 장비를 관리할 경우는 해당하지 않음</t>
  </si>
  <si>
    <t>N-06</t>
  </si>
  <si>
    <t>가상 터미널(VTY)에 특정 IP주소만 접근할 수 있도록 설정</t>
  </si>
  <si>
    <t>N-07</t>
  </si>
  <si>
    <t>Session Timeout 설정 (10분 이하 권고)</t>
  </si>
  <si>
    <t>N-08</t>
  </si>
  <si>
    <t>암호화 프로토콜만 VTY에 접근할 수 있도록 설정</t>
  </si>
  <si>
    <t>N-09</t>
  </si>
  <si>
    <t>로그인 시 경고 메시지 설정</t>
  </si>
  <si>
    <t>원격로그 서버 사용</t>
  </si>
  <si>
    <t>주기적 보안 패치 및 벤더 권고사항 적용</t>
  </si>
  <si>
    <t>장비별 제공하는 최신 취약점 정보를 파악 후 최신 패치 및 업그레이드를 수행</t>
  </si>
  <si>
    <t>로그에 대한 정보를 확인하여 장비 성능을 고려한 최대 버퍼 크기를 설정</t>
  </si>
  <si>
    <t>로그 기록 정책을 수립하고 정책에 따른 로깅 설정</t>
  </si>
  <si>
    <t>NTP 및 시각 동기화 설정</t>
  </si>
  <si>
    <t>Timestamp 로그 설정</t>
  </si>
  <si>
    <t>로그에 시간 정보가 기록될 수 있도록 timestamp 로그 설정</t>
  </si>
  <si>
    <t>SNMP Community String 복잡성 설정</t>
  </si>
  <si>
    <t>public, private 외 복잡성 기준에 맞는 Community String을 설정 ※ SNMP Community String 복잡성 기준 : 영어 대·소문자, 숫자, 특수문자 중 3종류 이상을 조합하여 8자리 이상으로 구성</t>
  </si>
  <si>
    <t>SNMP 접근에 대한 ACL(Access List) 설정</t>
  </si>
  <si>
    <t>SNMP Community 권한 설정</t>
  </si>
  <si>
    <t>네트워크 장비의 불필요한 TFTP 서비스를 비활성화 설정</t>
  </si>
  <si>
    <t>경계 라우터 또는 보안 장비에서 스푸핑 방지 필터링 적용</t>
  </si>
  <si>
    <t>DDoS 공격 방어 설정 점검</t>
  </si>
  <si>
    <t>사용하지 않는 인터페이스 비활성화</t>
  </si>
  <si>
    <t>네트워크 장비에서 사용하지 않는 모든 인터페이스 비활성화 설정</t>
  </si>
  <si>
    <t>TCP Keepalive 서비스 설정</t>
  </si>
  <si>
    <t>네트워크 장비에서 TCP Keepalive 서비스를 사용하도록 설정</t>
  </si>
  <si>
    <t>장비별 Finger 서비스 제한 설정</t>
  </si>
  <si>
    <t>HTTP 서비스 차단 또는 HTTP 서버를 관리하는 관리자 접속 IP 설정</t>
  </si>
  <si>
    <t>장비별 BOOTP 서비스 제한 설정</t>
  </si>
  <si>
    <t>Ÿ 장비별 CDP 서비스 제한 설정 Ÿ CDP는 Cisco 전용 프로토콜이지만 일부 다른 벤더도 지원하며, CDP와 유사한 IEEE 표준인 LLDP(Link Layer Discovery Protocol, IEEE 802.1AB)도 불필요할 경우 비활성화</t>
  </si>
  <si>
    <t>장치별로 Directed Broadcasts 제한 설정</t>
  </si>
  <si>
    <t>Source Routing 차단</t>
  </si>
  <si>
    <t>각 인터페이스에서 ip-source-route 차단 설정</t>
  </si>
  <si>
    <t>각 인터페이스에서 Proxy ARP 비활성화 설정</t>
  </si>
  <si>
    <t>ICMP unreachable, redirect 차단</t>
  </si>
  <si>
    <t>각 인터페이스에서 ICMP unreachables, ICMP redirects 비활성화</t>
  </si>
  <si>
    <t>idnetd 서비스 비활성화</t>
  </si>
  <si>
    <t>Domain Lookup 차단</t>
  </si>
  <si>
    <t>Domain Lookup 비활성화</t>
  </si>
  <si>
    <t>PAD 서비스 비활성화</t>
  </si>
  <si>
    <t>mask-reply 차단</t>
  </si>
  <si>
    <t>각 인터페이스에서 mask-reply 비활성화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</si>
</sst>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30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u/>
      <sz val="8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1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5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0"/>
  </cellStyleXfs>
  <cellXfs count="306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 wrapText="1"/>
    </xf>
    <xf numFmtId="0" fontId="17" fillId="6" borderId="1" xfId="4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11" fillId="6" borderId="1" xfId="0" applyFont="1" applyFill="1" applyBorder="1" applyAlignment="1" applyProtection="1">
      <alignment horizontal="center" vertical="center" wrapText="1"/>
      <protection locked="0"/>
    </xf>
    <xf numFmtId="0" fontId="11" fillId="6" borderId="1" xfId="0" applyFont="1" applyFill="1" applyBorder="1" applyAlignment="1">
      <alignment horizontal="center" vertical="center" wrapText="1" shrinkToFi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0" fontId="24" fillId="9" borderId="23" xfId="2" applyFont="1" applyFill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8" fillId="14" borderId="1" xfId="4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1" fillId="15" borderId="1" xfId="0" applyFont="1" applyFill="1" applyBorder="1" applyAlignment="1">
      <alignment horizontal="center" vertical="center" wrapText="1" shrinkToFit="1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shrinkToFit="1"/>
    </xf>
    <xf numFmtId="0" fontId="10" fillId="15" borderId="1" xfId="0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center" vertical="center"/>
    </xf>
    <xf numFmtId="0" fontId="11" fillId="15" borderId="1" xfId="0" applyFont="1" applyFill="1" applyBorder="1" applyAlignment="1" applyProtection="1">
      <alignment horizontal="center" vertical="center" wrapText="1"/>
      <protection locked="0"/>
    </xf>
    <xf numFmtId="0" fontId="11" fillId="14" borderId="1" xfId="0" applyFont="1" applyFill="1" applyBorder="1" applyAlignment="1" applyProtection="1">
      <alignment horizontal="center" vertical="center" wrapText="1"/>
      <protection locked="0"/>
    </xf>
    <xf numFmtId="0" fontId="11" fillId="14" borderId="1" xfId="0" applyFont="1" applyFill="1" applyBorder="1" applyAlignment="1">
      <alignment horizontal="center" vertical="center" wrapText="1" shrinkToFi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shrinkToFit="1"/>
    </xf>
    <xf numFmtId="0" fontId="10" fillId="14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51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53" xfId="2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2" xfId="0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 wrapText="1"/>
    </xf>
    <xf numFmtId="0" fontId="13" fillId="9" borderId="60" xfId="0" applyFont="1" applyFill="1" applyBorder="1" applyAlignment="1">
      <alignment horizontal="center" vertical="center" wrapText="1"/>
    </xf>
    <xf numFmtId="0" fontId="13" fillId="9" borderId="61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90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/>
    </xf>
    <xf numFmtId="0" fontId="15" fillId="9" borderId="64" xfId="0" applyFont="1" applyFill="1" applyBorder="1" applyAlignment="1">
      <alignment horizontal="center" vertical="center"/>
    </xf>
    <xf numFmtId="0" fontId="15" fillId="9" borderId="5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4" fillId="10" borderId="70" xfId="0" applyFont="1" applyFill="1" applyBorder="1" applyAlignment="1">
      <alignment horizontal="center" vertical="center" wrapText="1"/>
    </xf>
    <xf numFmtId="0" fontId="14" fillId="10" borderId="72" xfId="0" applyFont="1" applyFill="1" applyBorder="1" applyAlignment="1">
      <alignment horizontal="center" vertical="center" wrapText="1"/>
    </xf>
    <xf numFmtId="0" fontId="7" fillId="11" borderId="73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1" xfId="0" applyFont="1" applyFill="1" applyBorder="1" applyAlignment="1">
      <alignment horizontal="center" vertical="center" wrapText="1"/>
    </xf>
    <xf numFmtId="0" fontId="15" fillId="9" borderId="42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53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/>
    </xf>
    <xf numFmtId="0" fontId="15" fillId="9" borderId="86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88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78" xfId="0" applyFont="1" applyFill="1" applyBorder="1" applyAlignment="1">
      <alignment horizontal="center" vertical="center"/>
    </xf>
    <xf numFmtId="0" fontId="15" fillId="10" borderId="73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79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0" fillId="7" borderId="82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3" xfId="0" applyFont="1" applyFill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5" fillId="9" borderId="62" xfId="0" applyFont="1" applyFill="1" applyBorder="1" applyAlignment="1" applyProtection="1">
      <alignment horizontal="center" vertical="center" wrapText="1"/>
      <protection locked="0"/>
    </xf>
    <xf numFmtId="0" fontId="15" fillId="9" borderId="64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77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5" fillId="9" borderId="55" xfId="0" applyFont="1" applyFill="1" applyBorder="1" applyAlignment="1" applyProtection="1">
      <alignment horizontal="center" vertical="center" wrapText="1"/>
      <protection locked="0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54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>
      <alignment horizontal="left" vertical="center" wrapText="1"/>
    </xf>
    <xf numFmtId="0" fontId="11" fillId="2" borderId="47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</cellXfs>
  <cellStyles count="6">
    <cellStyle name="Normal" xfId="5"/>
    <cellStyle name="백분율" xfId="1" builtinId="5"/>
    <cellStyle name="표준" xfId="0" builtinId="0"/>
    <cellStyle name="표준 4 2" xfId="3"/>
    <cellStyle name="표준_정보통신부_취약점진단결과_우체국금융_서버_0708_v0.7" xfId="4"/>
    <cellStyle name="하이퍼링크" xfId="2" builtinId="8"/>
  </cellStyles>
  <dxfs count="311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199-44DC-AACE-CC6F14D81B9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199-44DC-AACE-CC6F14D81B9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199-44DC-AACE-CC6F14D81B9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199-44DC-AACE-CC6F14D81B9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199-44DC-AACE-CC6F14D81B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3199-44DC-AACE-CC6F14D81B9C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3199-44DC-AACE-CC6F14D81B9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0.4</c:v>
                </c:pt>
                <c:pt idx="1">
                  <c:v>0.34285714285714286</c:v>
                </c:pt>
                <c:pt idx="2">
                  <c:v>0.4</c:v>
                </c:pt>
                <c:pt idx="3">
                  <c:v>0.37142857142857144</c:v>
                </c:pt>
                <c:pt idx="4">
                  <c:v>0.51293103448275867</c:v>
                </c:pt>
                <c:pt idx="5">
                  <c:v>0.45023696682464454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99-44DC-AACE-CC6F14D8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</a:t>
            </a:r>
            <a:r>
              <a:rPr lang="ko-KR" alt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보안수준</a:t>
            </a:r>
            <a:endParaRPr lang="ko-KR" altLang="en-US"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D43-4539-B9E6-A4CA5C4490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D43-4539-B9E6-A4CA5C4490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D43-4539-B9E6-A4CA5C44903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D43-4539-B9E6-A4CA5C44903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D43-4539-B9E6-A4CA5C44903C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43-4539-B9E6-A4CA5C44903C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D43-4539-B9E6-A4CA5C44903C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2</c:v>
                </c:pt>
                <c:pt idx="1">
                  <c:v>1.7142857142857142</c:v>
                </c:pt>
                <c:pt idx="2">
                  <c:v>2</c:v>
                </c:pt>
                <c:pt idx="3">
                  <c:v>1.8571428571428572</c:v>
                </c:pt>
                <c:pt idx="4">
                  <c:v>4.958333333333333</c:v>
                </c:pt>
                <c:pt idx="5">
                  <c:v>3.064516129032258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3-4539-B9E6-A4CA5C44903C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3</c:v>
                </c:pt>
                <c:pt idx="1">
                  <c:v>2.5714285714285716</c:v>
                </c:pt>
                <c:pt idx="2">
                  <c:v>3</c:v>
                </c:pt>
                <c:pt idx="3">
                  <c:v>2.4285714285714284</c:v>
                </c:pt>
                <c:pt idx="4">
                  <c:v>3</c:v>
                </c:pt>
                <c:pt idx="5">
                  <c:v>2.8888888888888888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43-4539-B9E6-A4CA5C44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HQ_L3_1!$D$10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HQ_L3_1!$A$12:$A$16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HQ_L3_1!$H$12:$H$16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0.17307692307692307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7-4F0D-9897-B2766F5C934D}"/>
            </c:ext>
          </c:extLst>
        </c:ser>
        <c:ser>
          <c:idx val="1"/>
          <c:order val="1"/>
          <c:tx>
            <c:strRef>
              <c:f>HQ_L3_1!$J$10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HQ_L3_1!$A$12:$A$16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HQ_L3_1!$O$12:$O$16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7-4F0D-9897-B2766F5C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HQ_L3_2!$D$10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HQ_L3_2!$A$12:$A$16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HQ_L3_2!$H$12:$H$16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0.17307692307692307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396-872E-DD94B9013C62}"/>
            </c:ext>
          </c:extLst>
        </c:ser>
        <c:ser>
          <c:idx val="1"/>
          <c:order val="1"/>
          <c:tx>
            <c:strRef>
              <c:f>HQ_L3_2!$J$10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HQ_L3_2!$A$12:$A$16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HQ_L3_2!$O$12:$O$16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B-4396-872E-DD94B901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BR_L3_1!$D$10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BR_L3_1!$A$12:$A$16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BR_L3_1!$H$12:$H$16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0.17307692307692307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E-4940-AB8C-E10D33911B5C}"/>
            </c:ext>
          </c:extLst>
        </c:ser>
        <c:ser>
          <c:idx val="1"/>
          <c:order val="1"/>
          <c:tx>
            <c:strRef>
              <c:f>BR_L3_1!$J$10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BR_L3_1!$A$12:$A$16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BR_L3_1!$O$12:$O$16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E-4940-AB8C-E10D3391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BR_L3_2!$D$10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BR_L3_2!$A$12:$A$16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BR_L3_2!$H$12:$H$16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0.17307692307692307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4-4165-9018-BF266953D680}"/>
            </c:ext>
          </c:extLst>
        </c:ser>
        <c:ser>
          <c:idx val="1"/>
          <c:order val="1"/>
          <c:tx>
            <c:strRef>
              <c:f>BR_L3_2!$J$10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BR_L3_2!$A$12:$A$16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BR_L3_2!$O$12:$O$16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4-4165-9018-BF266953D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headquarter!$D$10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headquarter!$A$12:$A$16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headquarter!$H$12:$H$16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6-4D53-BDA6-C8E1F3977222}"/>
            </c:ext>
          </c:extLst>
        </c:ser>
        <c:ser>
          <c:idx val="1"/>
          <c:order val="1"/>
          <c:tx>
            <c:strRef>
              <c:f>headquarter!$J$10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headquarter!$A$12:$A$16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headquarter!$O$12:$O$16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0.40425531914893614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6-4D53-BDA6-C8E1F3977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branch!$D$10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branch!$A$12:$A$16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branch!$H$12:$H$16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116-BEBC-8E854BD87EBC}"/>
            </c:ext>
          </c:extLst>
        </c:ser>
        <c:ser>
          <c:idx val="1"/>
          <c:order val="1"/>
          <c:tx>
            <c:strRef>
              <c:f>branch!$J$10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branch!$A$12:$A$16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branch!$O$12:$O$16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0.40425531914893614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B-4116-BEBC-8E854BD87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HQ_L4_1!$D$10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HQ_L4_1!$A$12:$A$16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HQ_L4_1!$H$12:$H$16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14C-9551-89F6D98551EE}"/>
            </c:ext>
          </c:extLst>
        </c:ser>
        <c:ser>
          <c:idx val="1"/>
          <c:order val="1"/>
          <c:tx>
            <c:strRef>
              <c:f>HQ_L4_1!$J$10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HQ_L4_1!$A$12:$A$16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HQ_L4_1!$O$12:$O$16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C-414C-9551-89F6D9855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HQ_L4_2!$D$10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HQ_L4_2!$A$12:$A$16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HQ_L4_2!$H$12:$H$16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5-4EE3-BA73-9878AE4658EC}"/>
            </c:ext>
          </c:extLst>
        </c:ser>
        <c:ser>
          <c:idx val="1"/>
          <c:order val="1"/>
          <c:tx>
            <c:strRef>
              <c:f>HQ_L4_2!$J$10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HQ_L4_2!$A$12:$A$16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HQ_L4_2!$O$12:$O$16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5-4EE3-BA73-9878AE46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BR_L4_1!$D$10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BR_L4_1!$A$12:$A$16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BR_L4_1!$H$12:$H$16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9FE-B9FC-E6832A62159D}"/>
            </c:ext>
          </c:extLst>
        </c:ser>
        <c:ser>
          <c:idx val="1"/>
          <c:order val="1"/>
          <c:tx>
            <c:strRef>
              <c:f>BR_L4_1!$J$10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BR_L4_1!$A$12:$A$16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BR_L4_1!$O$12:$O$16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A-49FE-B9FC-E6832A621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BR_L4_2!$D$10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BR_L4_2!$A$12:$A$16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BR_L4_2!$H$12:$H$16</c:f>
              <c:numCache>
                <c:formatCode>0.0%</c:formatCode>
                <c:ptCount val="5"/>
                <c:pt idx="0">
                  <c:v>1</c:v>
                </c:pt>
                <c:pt idx="1">
                  <c:v>0.8571428571428571</c:v>
                </c:pt>
                <c:pt idx="2">
                  <c:v>1</c:v>
                </c:pt>
                <c:pt idx="3">
                  <c:v>0.7142857142857143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4-4845-8538-B12961758B53}"/>
            </c:ext>
          </c:extLst>
        </c:ser>
        <c:ser>
          <c:idx val="1"/>
          <c:order val="1"/>
          <c:tx>
            <c:strRef>
              <c:f>BR_L4_2!$J$10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BR_L4_2!$A$12:$A$16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BR_L4_2!$O$12:$O$16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4-4845-8538-B1296175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7534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네트워크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(Cisco)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2961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2866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11</xdr:col>
      <xdr:colOff>409575</xdr:colOff>
      <xdr:row>35</xdr:row>
      <xdr:rowOff>57150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20</xdr:col>
      <xdr:colOff>619125</xdr:colOff>
      <xdr:row>35</xdr:row>
      <xdr:rowOff>85724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C0DCEF2-43ED-4030-BECD-D13A8D62C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6AC54E-8ACA-44CE-BFF2-7F16895C4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9E90A24-82DB-4091-85CF-B42E8467A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FA21EA7-31BE-49E9-9BE9-3473EA68F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tabSelected="1" view="pageBreakPreview" zoomScale="85" zoomScaleNormal="100" zoomScaleSheetLayoutView="85" workbookViewId="0"/>
  </sheetViews>
  <sheetFormatPr defaultColWidth="8.77734375" defaultRowHeight="16.5"/>
  <cols>
    <col min="1" max="1" width="3.6640625" style="68" customWidth="1"/>
    <col min="2" max="5" width="11.6640625" style="68" customWidth="1"/>
    <col min="6" max="6" width="12.44140625" style="68" bestFit="1" customWidth="1"/>
    <col min="7" max="10" width="11.6640625" style="68" customWidth="1"/>
    <col min="11" max="11" width="3.6640625" style="67" customWidth="1"/>
    <col min="12" max="16384" width="8.77734375" style="67"/>
  </cols>
  <sheetData>
    <row r="1" spans="1:11" ht="30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6"/>
    </row>
    <row r="2" spans="1:11" ht="30" customHeight="1">
      <c r="A2" s="65"/>
      <c r="B2" s="171"/>
      <c r="C2" s="171"/>
      <c r="D2" s="171"/>
      <c r="E2" s="65"/>
      <c r="F2" s="65"/>
      <c r="G2" s="65"/>
      <c r="H2" s="65"/>
      <c r="I2" s="65"/>
      <c r="J2" s="65"/>
      <c r="K2" s="65"/>
    </row>
    <row r="3" spans="1:11" ht="30" customHeight="1">
      <c r="A3" s="65"/>
      <c r="B3" s="171"/>
      <c r="C3" s="171"/>
      <c r="D3" s="171"/>
      <c r="E3" s="65"/>
      <c r="F3" s="65"/>
      <c r="G3" s="65"/>
      <c r="H3" s="65"/>
      <c r="I3" s="65"/>
      <c r="J3" s="65"/>
      <c r="K3" s="65"/>
    </row>
    <row r="4" spans="1:11" ht="30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ht="30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30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30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1" ht="30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30" customHeight="1">
      <c r="A9" s="65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ht="30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6"/>
    </row>
    <row r="11" spans="1:11" ht="30" customHeight="1">
      <c r="A11" s="65"/>
      <c r="B11" s="65"/>
      <c r="C11" s="65"/>
      <c r="D11" s="65"/>
      <c r="E11" s="65"/>
      <c r="F11" s="135">
        <v>46219</v>
      </c>
      <c r="G11" s="65"/>
      <c r="H11" s="65"/>
      <c r="I11" s="65"/>
      <c r="J11" s="65"/>
      <c r="K11" s="66"/>
    </row>
    <row r="12" spans="1:11" ht="30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1" ht="30" customHeight="1">
      <c r="A13" s="65"/>
      <c r="B13" s="65"/>
      <c r="C13" s="65"/>
      <c r="D13" s="65"/>
      <c r="E13" s="65"/>
      <c r="F13" s="65"/>
      <c r="G13" s="65"/>
      <c r="H13"/>
      <c r="I13" s="65"/>
      <c r="J13" s="65"/>
      <c r="K13" s="66"/>
    </row>
    <row r="14" spans="1:11" ht="30" customHeight="1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</row>
    <row r="15" spans="1:11" ht="30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ht="16.350000000000001" customHeight="1"/>
  </sheetData>
  <mergeCells count="2">
    <mergeCell ref="B2:D3"/>
    <mergeCell ref="A14:K14"/>
  </mergeCells>
  <phoneticPr fontId="26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S18"/>
  <sheetViews>
    <sheetView showGridLines="0" view="pageBreakPreview" zoomScale="85" zoomScaleNormal="150" zoomScaleSheetLayoutView="85" workbookViewId="0"/>
  </sheetViews>
  <sheetFormatPr defaultColWidth="8.77734375" defaultRowHeight="11.25"/>
  <cols>
    <col min="1" max="1" width="3.77734375" style="17" customWidth="1"/>
    <col min="2" max="2" width="14.77734375" style="20" customWidth="1"/>
    <col min="3" max="3" width="15.6640625" style="20" customWidth="1"/>
    <col min="4" max="4" width="6.21875" style="20" bestFit="1" customWidth="1"/>
    <col min="5" max="5" width="6.109375" style="20" customWidth="1"/>
    <col min="6" max="6" width="11.77734375" style="20" customWidth="1"/>
    <col min="7" max="7" width="21.77734375" style="20" bestFit="1" customWidth="1"/>
    <col min="8" max="8" width="14.33203125" style="20" customWidth="1"/>
    <col min="9" max="9" width="8" style="20" bestFit="1" customWidth="1"/>
    <col min="10" max="10" width="7.44140625" style="17" bestFit="1" customWidth="1"/>
    <col min="11" max="11" width="6.109375" style="17" customWidth="1"/>
    <col min="12" max="12" width="9.6640625" style="17" customWidth="1"/>
    <col min="13" max="13" width="16.77734375" style="17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9" ht="16.5">
      <c r="A1" s="16" t="s">
        <v>161</v>
      </c>
    </row>
    <row r="3" spans="1:19" ht="11.25" customHeight="1">
      <c r="A3" s="173" t="s">
        <v>90</v>
      </c>
      <c r="B3" s="175" t="s">
        <v>108</v>
      </c>
      <c r="C3" s="175" t="s">
        <v>60</v>
      </c>
      <c r="D3" s="175" t="s">
        <v>167</v>
      </c>
      <c r="E3" s="175" t="s">
        <v>59</v>
      </c>
      <c r="F3" s="175" t="s">
        <v>66</v>
      </c>
      <c r="G3" s="175" t="s">
        <v>136</v>
      </c>
      <c r="H3" s="175" t="s">
        <v>80</v>
      </c>
      <c r="I3" s="175" t="s">
        <v>153</v>
      </c>
      <c r="J3" s="175" t="s">
        <v>128</v>
      </c>
      <c r="K3" s="175" t="s">
        <v>81</v>
      </c>
      <c r="L3" s="175" t="s">
        <v>62</v>
      </c>
      <c r="M3" s="175" t="s">
        <v>61</v>
      </c>
      <c r="N3" s="177" t="s">
        <v>138</v>
      </c>
      <c r="O3" s="178"/>
      <c r="P3" s="178"/>
      <c r="Q3" s="179"/>
      <c r="R3" s="29"/>
    </row>
    <row r="4" spans="1:19" ht="12" thickBot="1">
      <c r="A4" s="174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69" t="s">
        <v>74</v>
      </c>
      <c r="O4" s="69" t="s">
        <v>73</v>
      </c>
      <c r="P4" s="69" t="s">
        <v>97</v>
      </c>
      <c r="Q4" s="70" t="s">
        <v>72</v>
      </c>
      <c r="R4" s="29" t="s">
        <v>14</v>
      </c>
    </row>
    <row r="5" spans="1:19" ht="22.5">
      <c r="A5" s="166">
        <v>1</v>
      </c>
      <c r="B5" s="167" t="s">
        <v>336</v>
      </c>
      <c r="C5" s="167" t="s">
        <v>341</v>
      </c>
      <c r="D5" s="167" t="s">
        <v>135</v>
      </c>
      <c r="E5" s="167" t="s">
        <v>92</v>
      </c>
      <c r="F5" s="167" t="s">
        <v>201</v>
      </c>
      <c r="G5" s="168" t="s">
        <v>202</v>
      </c>
      <c r="H5" s="167" t="s">
        <v>203</v>
      </c>
      <c r="I5" s="167" t="s">
        <v>251</v>
      </c>
      <c r="J5" s="167" t="s">
        <v>246</v>
      </c>
      <c r="K5" s="167" t="s">
        <v>263</v>
      </c>
      <c r="L5" s="167" t="s">
        <v>247</v>
      </c>
      <c r="M5" s="168" t="s">
        <v>346</v>
      </c>
      <c r="N5" s="169"/>
      <c r="O5" s="169"/>
      <c r="P5" s="169"/>
      <c r="Q5" s="170" t="str">
        <f>IF(R5&gt;=7,"H",IF(R5&gt;=5,"M","L"))</f>
        <v>L</v>
      </c>
      <c r="R5" s="29">
        <f>SUM(N5:P5)</f>
        <v>0</v>
      </c>
      <c r="S5" s="17" t="s">
        <v>340</v>
      </c>
    </row>
    <row r="6" spans="1:19" ht="22.5">
      <c r="A6" s="166">
        <v>2</v>
      </c>
      <c r="B6" s="167" t="s">
        <v>337</v>
      </c>
      <c r="C6" s="168" t="s">
        <v>342</v>
      </c>
      <c r="D6" s="167" t="s">
        <v>135</v>
      </c>
      <c r="E6" s="168" t="s">
        <v>92</v>
      </c>
      <c r="F6" s="167" t="s">
        <v>201</v>
      </c>
      <c r="G6" s="168" t="s">
        <v>202</v>
      </c>
      <c r="H6" s="168" t="s">
        <v>203</v>
      </c>
      <c r="I6" s="168" t="s">
        <v>252</v>
      </c>
      <c r="J6" s="168" t="s">
        <v>248</v>
      </c>
      <c r="K6" s="167" t="s">
        <v>263</v>
      </c>
      <c r="L6" s="167" t="s">
        <v>247</v>
      </c>
      <c r="M6" s="168" t="s">
        <v>347</v>
      </c>
      <c r="N6" s="169"/>
      <c r="O6" s="169"/>
      <c r="P6" s="169"/>
      <c r="Q6" s="170" t="str">
        <f t="shared" ref="Q6:Q10" si="0">IF(R6&gt;=7,"H",IF(R6&gt;=5,"M","L"))</f>
        <v>L</v>
      </c>
      <c r="R6" s="29">
        <f t="shared" ref="R6:R10" si="1">SUM(N6:P6)</f>
        <v>0</v>
      </c>
      <c r="S6" s="17" t="s">
        <v>334</v>
      </c>
    </row>
    <row r="7" spans="1:19" ht="22.5">
      <c r="A7" s="166">
        <v>3</v>
      </c>
      <c r="B7" s="167" t="s">
        <v>338</v>
      </c>
      <c r="C7" s="168" t="s">
        <v>343</v>
      </c>
      <c r="D7" s="167" t="s">
        <v>135</v>
      </c>
      <c r="E7" s="168" t="s">
        <v>92</v>
      </c>
      <c r="F7" s="167" t="s">
        <v>201</v>
      </c>
      <c r="G7" s="168" t="s">
        <v>202</v>
      </c>
      <c r="H7" s="168" t="s">
        <v>203</v>
      </c>
      <c r="I7" s="168" t="s">
        <v>253</v>
      </c>
      <c r="J7" s="168" t="s">
        <v>249</v>
      </c>
      <c r="K7" s="167" t="s">
        <v>263</v>
      </c>
      <c r="L7" s="167" t="s">
        <v>257</v>
      </c>
      <c r="M7" s="168" t="s">
        <v>348</v>
      </c>
      <c r="N7" s="169"/>
      <c r="O7" s="169"/>
      <c r="P7" s="169"/>
      <c r="Q7" s="170" t="str">
        <f t="shared" si="0"/>
        <v>L</v>
      </c>
      <c r="R7" s="29">
        <f t="shared" si="1"/>
        <v>0</v>
      </c>
      <c r="S7" s="17" t="s">
        <v>345</v>
      </c>
    </row>
    <row r="8" spans="1:19" ht="22.5">
      <c r="A8" s="166">
        <v>4</v>
      </c>
      <c r="B8" s="167" t="s">
        <v>339</v>
      </c>
      <c r="C8" s="168" t="s">
        <v>344</v>
      </c>
      <c r="D8" s="167" t="s">
        <v>135</v>
      </c>
      <c r="E8" s="168" t="s">
        <v>92</v>
      </c>
      <c r="F8" s="167" t="s">
        <v>201</v>
      </c>
      <c r="G8" s="168" t="s">
        <v>202</v>
      </c>
      <c r="H8" s="168" t="s">
        <v>203</v>
      </c>
      <c r="I8" s="168" t="s">
        <v>254</v>
      </c>
      <c r="J8" s="168" t="s">
        <v>250</v>
      </c>
      <c r="K8" s="167" t="s">
        <v>263</v>
      </c>
      <c r="L8" s="167" t="s">
        <v>256</v>
      </c>
      <c r="M8" s="168" t="s">
        <v>349</v>
      </c>
      <c r="N8" s="169"/>
      <c r="O8" s="169"/>
      <c r="P8" s="169"/>
      <c r="Q8" s="170" t="str">
        <f t="shared" si="0"/>
        <v>L</v>
      </c>
      <c r="R8" s="29">
        <f t="shared" si="1"/>
        <v>0</v>
      </c>
      <c r="S8" s="17" t="s">
        <v>335</v>
      </c>
    </row>
    <row r="9" spans="1:19">
      <c r="A9" s="165">
        <v>5</v>
      </c>
      <c r="B9" s="160" t="s">
        <v>196</v>
      </c>
      <c r="C9" s="161" t="s">
        <v>198</v>
      </c>
      <c r="D9" s="160" t="s">
        <v>135</v>
      </c>
      <c r="E9" s="161" t="s">
        <v>92</v>
      </c>
      <c r="F9" s="161" t="s">
        <v>200</v>
      </c>
      <c r="G9" s="161" t="s">
        <v>205</v>
      </c>
      <c r="H9" s="161" t="s">
        <v>204</v>
      </c>
      <c r="I9" s="161" t="s">
        <v>195</v>
      </c>
      <c r="J9" s="161" t="s">
        <v>246</v>
      </c>
      <c r="K9" s="160" t="s">
        <v>206</v>
      </c>
      <c r="L9" s="160" t="s">
        <v>255</v>
      </c>
      <c r="M9" s="161" t="s">
        <v>333</v>
      </c>
      <c r="N9" s="162"/>
      <c r="O9" s="162"/>
      <c r="P9" s="162"/>
      <c r="Q9" s="163" t="str">
        <f t="shared" si="0"/>
        <v>L</v>
      </c>
      <c r="R9" s="29">
        <f t="shared" si="1"/>
        <v>0</v>
      </c>
    </row>
    <row r="10" spans="1:19">
      <c r="A10" s="165">
        <v>6</v>
      </c>
      <c r="B10" s="160" t="s">
        <v>197</v>
      </c>
      <c r="C10" s="161" t="s">
        <v>199</v>
      </c>
      <c r="D10" s="160" t="s">
        <v>135</v>
      </c>
      <c r="E10" s="161" t="s">
        <v>92</v>
      </c>
      <c r="F10" s="161" t="s">
        <v>200</v>
      </c>
      <c r="G10" s="161" t="s">
        <v>205</v>
      </c>
      <c r="H10" s="161" t="s">
        <v>204</v>
      </c>
      <c r="I10" s="161" t="s">
        <v>195</v>
      </c>
      <c r="J10" s="161" t="s">
        <v>249</v>
      </c>
      <c r="K10" s="160" t="s">
        <v>207</v>
      </c>
      <c r="L10" s="160" t="s">
        <v>256</v>
      </c>
      <c r="M10" s="161" t="s">
        <v>333</v>
      </c>
      <c r="N10" s="162"/>
      <c r="O10" s="162"/>
      <c r="P10" s="162"/>
      <c r="Q10" s="163" t="str">
        <f t="shared" si="0"/>
        <v>L</v>
      </c>
      <c r="R10" s="29">
        <f t="shared" si="1"/>
        <v>0</v>
      </c>
    </row>
    <row r="11" spans="1:19" ht="22.5">
      <c r="A11" s="145">
        <v>7</v>
      </c>
      <c r="B11" s="146" t="s">
        <v>264</v>
      </c>
      <c r="C11" s="146" t="s">
        <v>258</v>
      </c>
      <c r="D11" s="146" t="s">
        <v>135</v>
      </c>
      <c r="E11" s="146" t="s">
        <v>92</v>
      </c>
      <c r="F11" s="146" t="s">
        <v>259</v>
      </c>
      <c r="G11" s="147" t="s">
        <v>202</v>
      </c>
      <c r="H11" s="146" t="s">
        <v>203</v>
      </c>
      <c r="I11" s="146" t="s">
        <v>268</v>
      </c>
      <c r="J11" s="146" t="s">
        <v>246</v>
      </c>
      <c r="K11" s="146" t="s">
        <v>263</v>
      </c>
      <c r="L11" s="146" t="s">
        <v>247</v>
      </c>
      <c r="M11" s="147" t="s">
        <v>332</v>
      </c>
      <c r="N11" s="148"/>
      <c r="O11" s="148"/>
      <c r="P11" s="148"/>
      <c r="Q11" s="149" t="str">
        <f>IF(R11&gt;=7,"H",IF(R11&gt;=5,"M","L"))</f>
        <v>L</v>
      </c>
      <c r="R11" s="29">
        <f>SUM(N11:P11)</f>
        <v>0</v>
      </c>
    </row>
    <row r="12" spans="1:19" ht="22.5">
      <c r="A12" s="145">
        <v>8</v>
      </c>
      <c r="B12" s="146" t="s">
        <v>265</v>
      </c>
      <c r="C12" s="147" t="s">
        <v>260</v>
      </c>
      <c r="D12" s="146" t="s">
        <v>135</v>
      </c>
      <c r="E12" s="147" t="s">
        <v>92</v>
      </c>
      <c r="F12" s="146" t="s">
        <v>259</v>
      </c>
      <c r="G12" s="147" t="s">
        <v>202</v>
      </c>
      <c r="H12" s="147" t="s">
        <v>203</v>
      </c>
      <c r="I12" s="146" t="s">
        <v>268</v>
      </c>
      <c r="J12" s="147" t="s">
        <v>246</v>
      </c>
      <c r="K12" s="146" t="s">
        <v>263</v>
      </c>
      <c r="L12" s="146" t="s">
        <v>247</v>
      </c>
      <c r="M12" s="147" t="s">
        <v>332</v>
      </c>
      <c r="N12" s="148"/>
      <c r="O12" s="148"/>
      <c r="P12" s="148"/>
      <c r="Q12" s="149" t="str">
        <f t="shared" ref="Q12:Q14" si="2">IF(R12&gt;=7,"H",IF(R12&gt;=5,"M","L"))</f>
        <v>L</v>
      </c>
      <c r="R12" s="29">
        <f t="shared" ref="R12:R14" si="3">SUM(N12:P12)</f>
        <v>0</v>
      </c>
    </row>
    <row r="13" spans="1:19" ht="22.5">
      <c r="A13" s="145">
        <v>9</v>
      </c>
      <c r="B13" s="146" t="s">
        <v>266</v>
      </c>
      <c r="C13" s="147" t="s">
        <v>261</v>
      </c>
      <c r="D13" s="146" t="s">
        <v>135</v>
      </c>
      <c r="E13" s="147" t="s">
        <v>92</v>
      </c>
      <c r="F13" s="146" t="s">
        <v>259</v>
      </c>
      <c r="G13" s="147" t="s">
        <v>202</v>
      </c>
      <c r="H13" s="147" t="s">
        <v>203</v>
      </c>
      <c r="I13" s="146" t="s">
        <v>268</v>
      </c>
      <c r="J13" s="147" t="s">
        <v>249</v>
      </c>
      <c r="K13" s="146" t="s">
        <v>263</v>
      </c>
      <c r="L13" s="146" t="s">
        <v>256</v>
      </c>
      <c r="M13" s="147" t="s">
        <v>332</v>
      </c>
      <c r="N13" s="148"/>
      <c r="O13" s="148"/>
      <c r="P13" s="148"/>
      <c r="Q13" s="149" t="str">
        <f t="shared" si="2"/>
        <v>L</v>
      </c>
      <c r="R13" s="29">
        <f t="shared" si="3"/>
        <v>0</v>
      </c>
    </row>
    <row r="14" spans="1:19" ht="22.5">
      <c r="A14" s="145">
        <v>10</v>
      </c>
      <c r="B14" s="146" t="s">
        <v>267</v>
      </c>
      <c r="C14" s="147" t="s">
        <v>262</v>
      </c>
      <c r="D14" s="146" t="s">
        <v>135</v>
      </c>
      <c r="E14" s="147" t="s">
        <v>92</v>
      </c>
      <c r="F14" s="146" t="s">
        <v>259</v>
      </c>
      <c r="G14" s="147" t="s">
        <v>202</v>
      </c>
      <c r="H14" s="147" t="s">
        <v>203</v>
      </c>
      <c r="I14" s="146" t="s">
        <v>268</v>
      </c>
      <c r="J14" s="147" t="s">
        <v>249</v>
      </c>
      <c r="K14" s="146" t="s">
        <v>263</v>
      </c>
      <c r="L14" s="146" t="s">
        <v>256</v>
      </c>
      <c r="M14" s="147" t="s">
        <v>332</v>
      </c>
      <c r="N14" s="148"/>
      <c r="O14" s="148"/>
      <c r="P14" s="148"/>
      <c r="Q14" s="149" t="str">
        <f t="shared" si="2"/>
        <v>L</v>
      </c>
      <c r="R14" s="29">
        <f t="shared" si="3"/>
        <v>0</v>
      </c>
    </row>
    <row r="18" spans="5:5">
      <c r="E18" s="164"/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51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="85" zoomScaleNormal="85" zoomScaleSheetLayoutView="100" workbookViewId="0"/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15</v>
      </c>
    </row>
    <row r="3" spans="2:8">
      <c r="B3" s="28" t="s">
        <v>154</v>
      </c>
    </row>
    <row r="4" spans="2:8">
      <c r="B4" s="11" t="s">
        <v>76</v>
      </c>
    </row>
    <row r="6" spans="2:8">
      <c r="B6" s="9" t="s">
        <v>189</v>
      </c>
      <c r="C6" s="9"/>
    </row>
    <row r="7" spans="2:8">
      <c r="B7" s="28" t="s">
        <v>67</v>
      </c>
      <c r="C7" s="28" t="s">
        <v>91</v>
      </c>
    </row>
    <row r="8" spans="2:8">
      <c r="B8" s="11" t="s">
        <v>83</v>
      </c>
      <c r="C8" s="11">
        <v>3</v>
      </c>
    </row>
    <row r="9" spans="2:8">
      <c r="B9" s="11" t="s">
        <v>71</v>
      </c>
      <c r="C9" s="11">
        <v>2</v>
      </c>
    </row>
    <row r="10" spans="2:8">
      <c r="B10" s="11" t="s">
        <v>82</v>
      </c>
      <c r="C10" s="11">
        <v>1</v>
      </c>
    </row>
    <row r="11" spans="2:8">
      <c r="B11" s="12"/>
      <c r="C11" s="12"/>
    </row>
    <row r="12" spans="2:8">
      <c r="B12" s="9" t="s">
        <v>10</v>
      </c>
      <c r="C12" s="9"/>
    </row>
    <row r="13" spans="2:8">
      <c r="B13" s="180" t="s">
        <v>173</v>
      </c>
      <c r="C13" s="180" t="s">
        <v>91</v>
      </c>
      <c r="D13" s="180"/>
    </row>
    <row r="14" spans="2:8">
      <c r="B14" s="180"/>
      <c r="C14" s="28" t="s">
        <v>158</v>
      </c>
      <c r="D14" s="28" t="s">
        <v>170</v>
      </c>
    </row>
    <row r="15" spans="2:8">
      <c r="B15" s="11" t="s">
        <v>75</v>
      </c>
      <c r="C15" s="11">
        <v>1</v>
      </c>
      <c r="D15" s="11">
        <v>0</v>
      </c>
    </row>
    <row r="16" spans="2:8">
      <c r="B16" s="11" t="s">
        <v>68</v>
      </c>
      <c r="C16" s="11">
        <v>0</v>
      </c>
      <c r="D16" s="11">
        <v>3</v>
      </c>
      <c r="F16" s="11" t="s">
        <v>96</v>
      </c>
      <c r="G16" s="11">
        <v>0.5</v>
      </c>
      <c r="H16" s="11">
        <v>0.5</v>
      </c>
    </row>
    <row r="17" spans="2:6">
      <c r="B17" s="11" t="s">
        <v>58</v>
      </c>
      <c r="C17" s="11">
        <v>0</v>
      </c>
      <c r="D17" s="11">
        <v>0</v>
      </c>
    </row>
    <row r="18" spans="2:6">
      <c r="B18" s="11" t="s">
        <v>94</v>
      </c>
      <c r="C18" s="11">
        <v>0</v>
      </c>
      <c r="D18" s="11">
        <v>0</v>
      </c>
    </row>
    <row r="19" spans="2:6">
      <c r="B19" s="11" t="s">
        <v>129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146</v>
      </c>
    </row>
    <row r="22" spans="2:6">
      <c r="B22" s="28" t="s">
        <v>88</v>
      </c>
    </row>
    <row r="23" spans="2:6">
      <c r="B23" s="11">
        <v>21</v>
      </c>
    </row>
    <row r="25" spans="2:6">
      <c r="B25" s="9" t="s">
        <v>43</v>
      </c>
      <c r="F25" s="9" t="s">
        <v>49</v>
      </c>
    </row>
    <row r="26" spans="2:6">
      <c r="B26" s="181" t="s">
        <v>164</v>
      </c>
      <c r="C26" s="183" t="s">
        <v>147</v>
      </c>
      <c r="D26" s="184"/>
    </row>
    <row r="27" spans="2:6">
      <c r="B27" s="182"/>
      <c r="C27" s="28" t="s">
        <v>95</v>
      </c>
      <c r="D27" s="28" t="s">
        <v>87</v>
      </c>
    </row>
    <row r="28" spans="2:6">
      <c r="B28" s="11" t="s">
        <v>83</v>
      </c>
      <c r="C28" s="11">
        <v>7</v>
      </c>
      <c r="D28" s="11">
        <v>9</v>
      </c>
    </row>
    <row r="29" spans="2:6">
      <c r="B29" s="11" t="s">
        <v>71</v>
      </c>
      <c r="C29" s="11">
        <v>5</v>
      </c>
      <c r="D29" s="11">
        <v>6</v>
      </c>
    </row>
    <row r="30" spans="2:6">
      <c r="B30" s="11" t="s">
        <v>82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44</v>
      </c>
    </row>
    <row r="33" spans="2:21">
      <c r="B33" s="181" t="s">
        <v>164</v>
      </c>
      <c r="C33" s="183" t="s">
        <v>147</v>
      </c>
      <c r="D33" s="184"/>
    </row>
    <row r="34" spans="2:21">
      <c r="B34" s="182"/>
      <c r="C34" s="28" t="s">
        <v>95</v>
      </c>
      <c r="D34" s="28" t="s">
        <v>87</v>
      </c>
    </row>
    <row r="35" spans="2:21">
      <c r="B35" s="11" t="s">
        <v>83</v>
      </c>
      <c r="C35" s="11">
        <v>5</v>
      </c>
      <c r="D35" s="11">
        <v>6</v>
      </c>
    </row>
    <row r="36" spans="2:21">
      <c r="B36" s="11" t="s">
        <v>71</v>
      </c>
      <c r="C36" s="11">
        <v>4</v>
      </c>
      <c r="D36" s="11">
        <v>4</v>
      </c>
    </row>
    <row r="37" spans="2:21">
      <c r="B37" s="11" t="s">
        <v>82</v>
      </c>
      <c r="C37" s="11">
        <v>2</v>
      </c>
      <c r="D37" s="11">
        <v>3</v>
      </c>
    </row>
    <row r="39" spans="2:21">
      <c r="B39" s="9" t="s">
        <v>39</v>
      </c>
    </row>
    <row r="40" spans="2:21">
      <c r="B40" s="181" t="s">
        <v>164</v>
      </c>
      <c r="C40" s="183" t="s">
        <v>147</v>
      </c>
      <c r="D40" s="184"/>
    </row>
    <row r="41" spans="2:21">
      <c r="B41" s="182"/>
      <c r="C41" s="28" t="s">
        <v>95</v>
      </c>
      <c r="D41" s="28" t="s">
        <v>87</v>
      </c>
    </row>
    <row r="42" spans="2:21">
      <c r="B42" s="11" t="s">
        <v>83</v>
      </c>
      <c r="C42" s="11">
        <f>$B$23</f>
        <v>21</v>
      </c>
      <c r="D42" s="11">
        <v>30</v>
      </c>
    </row>
    <row r="43" spans="2:21">
      <c r="B43" s="11" t="s">
        <v>71</v>
      </c>
      <c r="C43" s="11">
        <v>11</v>
      </c>
      <c r="D43" s="11">
        <f>$C$42-1</f>
        <v>20</v>
      </c>
    </row>
    <row r="44" spans="2:21">
      <c r="B44" s="11" t="s">
        <v>82</v>
      </c>
      <c r="C44" s="11">
        <v>1</v>
      </c>
      <c r="D44" s="11">
        <f>$C$43-1</f>
        <v>10</v>
      </c>
    </row>
    <row r="46" spans="2:21">
      <c r="B46" s="9" t="s">
        <v>18</v>
      </c>
    </row>
    <row r="47" spans="2:21">
      <c r="B47" s="9" t="s">
        <v>41</v>
      </c>
    </row>
    <row r="48" spans="2:21">
      <c r="B48" s="187" t="s">
        <v>69</v>
      </c>
      <c r="C48" s="34" t="s">
        <v>165</v>
      </c>
      <c r="D48" s="183" t="s">
        <v>46</v>
      </c>
      <c r="E48" s="185"/>
      <c r="F48" s="185"/>
      <c r="G48" s="185"/>
      <c r="H48" s="185"/>
      <c r="I48" s="185"/>
      <c r="J48" s="185"/>
      <c r="K48" s="185"/>
      <c r="L48" s="184"/>
      <c r="M48" s="180" t="s">
        <v>48</v>
      </c>
      <c r="N48" s="180"/>
      <c r="O48" s="180"/>
      <c r="P48" s="180"/>
      <c r="Q48" s="180"/>
      <c r="R48" s="180"/>
      <c r="S48" s="180"/>
      <c r="T48" s="180"/>
      <c r="U48" s="180"/>
    </row>
    <row r="49" spans="2:21">
      <c r="B49" s="187"/>
      <c r="C49" s="34" t="s">
        <v>182</v>
      </c>
      <c r="D49" s="183" t="s">
        <v>82</v>
      </c>
      <c r="E49" s="185"/>
      <c r="F49" s="184"/>
      <c r="G49" s="183" t="s">
        <v>71</v>
      </c>
      <c r="H49" s="185"/>
      <c r="I49" s="184"/>
      <c r="J49" s="183" t="s">
        <v>83</v>
      </c>
      <c r="K49" s="185"/>
      <c r="L49" s="184"/>
      <c r="M49" s="183" t="s">
        <v>82</v>
      </c>
      <c r="N49" s="185"/>
      <c r="O49" s="184"/>
      <c r="P49" s="183" t="s">
        <v>71</v>
      </c>
      <c r="Q49" s="185"/>
      <c r="R49" s="184"/>
      <c r="S49" s="183" t="s">
        <v>83</v>
      </c>
      <c r="T49" s="185"/>
      <c r="U49" s="184"/>
    </row>
    <row r="50" spans="2:21">
      <c r="B50" s="183" t="s">
        <v>6</v>
      </c>
      <c r="C50" s="184"/>
      <c r="D50" s="28" t="s">
        <v>82</v>
      </c>
      <c r="E50" s="28" t="s">
        <v>71</v>
      </c>
      <c r="F50" s="28" t="s">
        <v>83</v>
      </c>
      <c r="G50" s="28" t="s">
        <v>82</v>
      </c>
      <c r="H50" s="28" t="s">
        <v>71</v>
      </c>
      <c r="I50" s="28" t="s">
        <v>83</v>
      </c>
      <c r="J50" s="28" t="s">
        <v>82</v>
      </c>
      <c r="K50" s="28" t="s">
        <v>71</v>
      </c>
      <c r="L50" s="28" t="s">
        <v>83</v>
      </c>
      <c r="M50" s="28" t="s">
        <v>82</v>
      </c>
      <c r="N50" s="28" t="s">
        <v>71</v>
      </c>
      <c r="O50" s="28" t="s">
        <v>83</v>
      </c>
      <c r="P50" s="28" t="s">
        <v>82</v>
      </c>
      <c r="Q50" s="28" t="s">
        <v>71</v>
      </c>
      <c r="R50" s="28" t="s">
        <v>83</v>
      </c>
      <c r="S50" s="28" t="s">
        <v>82</v>
      </c>
      <c r="T50" s="28" t="s">
        <v>71</v>
      </c>
      <c r="U50" s="28" t="s">
        <v>83</v>
      </c>
    </row>
    <row r="51" spans="2:21">
      <c r="B51" s="181" t="s">
        <v>85</v>
      </c>
      <c r="C51" s="28" t="s">
        <v>82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86"/>
      <c r="C52" s="28" t="s">
        <v>71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82"/>
      <c r="C53" s="28" t="s">
        <v>83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6" type="noConversion"/>
  <conditionalFormatting sqref="D51:U53">
    <cfRule type="expression" dxfId="310" priority="1">
      <formula>IF(D51&gt;=$C$42,1,0)</formula>
    </cfRule>
    <cfRule type="expression" dxfId="309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42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2" width="8.33203125" style="12" customWidth="1"/>
    <col min="3" max="3" width="27.109375" style="12" bestFit="1" customWidth="1"/>
    <col min="4" max="5" width="7.77734375" style="10" customWidth="1"/>
    <col min="6" max="6" width="53.44140625" style="12" customWidth="1"/>
    <col min="7" max="16384" width="8.77734375" style="12"/>
  </cols>
  <sheetData>
    <row r="1" spans="1:6" s="33" customFormat="1" ht="16.5">
      <c r="A1" s="16" t="s">
        <v>40</v>
      </c>
      <c r="C1" s="12"/>
      <c r="D1" s="10"/>
      <c r="E1" s="10"/>
    </row>
    <row r="2" spans="1:6">
      <c r="B2" s="15"/>
    </row>
    <row r="3" spans="1:6" ht="13.35" customHeight="1">
      <c r="A3" s="188" t="s">
        <v>11</v>
      </c>
      <c r="B3" s="189"/>
      <c r="C3" s="189"/>
      <c r="D3" s="189"/>
      <c r="E3" s="190"/>
      <c r="F3" s="58" t="s">
        <v>12</v>
      </c>
    </row>
    <row r="4" spans="1:6">
      <c r="A4" s="191" t="s">
        <v>79</v>
      </c>
      <c r="B4" s="192"/>
      <c r="C4" s="72" t="s">
        <v>168</v>
      </c>
      <c r="D4" s="73" t="s">
        <v>67</v>
      </c>
      <c r="E4" s="71" t="s">
        <v>64</v>
      </c>
      <c r="F4" s="58" t="s">
        <v>141</v>
      </c>
    </row>
    <row r="5" spans="1:6" ht="13.35" customHeight="1">
      <c r="A5" s="63" t="s">
        <v>124</v>
      </c>
      <c r="B5" s="51" t="s">
        <v>390</v>
      </c>
      <c r="C5" s="27" t="s">
        <v>391</v>
      </c>
      <c r="D5" s="29" t="s">
        <v>83</v>
      </c>
      <c r="E5" s="54">
        <v>3</v>
      </c>
      <c r="F5" s="64" t="s">
        <v>392</v>
      </c>
    </row>
    <row r="6" spans="1:6" ht="13.35" customHeight="1">
      <c r="A6" s="63" t="s">
        <v>124</v>
      </c>
      <c r="B6" s="51" t="s">
        <v>393</v>
      </c>
      <c r="C6" s="27" t="s">
        <v>394</v>
      </c>
      <c r="D6" s="29" t="s">
        <v>83</v>
      </c>
      <c r="E6" s="54">
        <v>3</v>
      </c>
      <c r="F6" s="64" t="s">
        <v>395</v>
      </c>
    </row>
    <row r="7" spans="1:6" ht="13.35" customHeight="1">
      <c r="A7" s="63" t="s">
        <v>124</v>
      </c>
      <c r="B7" s="51" t="s">
        <v>396</v>
      </c>
      <c r="C7" s="27" t="s">
        <v>397</v>
      </c>
      <c r="D7" s="29" t="s">
        <v>83</v>
      </c>
      <c r="E7" s="54">
        <v>3</v>
      </c>
      <c r="F7" s="64" t="s">
        <v>398</v>
      </c>
    </row>
    <row r="8" spans="1:6" ht="13.35" customHeight="1">
      <c r="A8" s="63" t="s">
        <v>124</v>
      </c>
      <c r="B8" s="51" t="s">
        <v>399</v>
      </c>
      <c r="C8" s="27" t="s">
        <v>400</v>
      </c>
      <c r="D8" s="29" t="s">
        <v>83</v>
      </c>
      <c r="E8" s="54">
        <v>3</v>
      </c>
      <c r="F8" s="64" t="s">
        <v>401</v>
      </c>
    </row>
    <row r="9" spans="1:6" ht="13.35" customHeight="1">
      <c r="A9" s="63" t="s">
        <v>124</v>
      </c>
      <c r="B9" s="51" t="s">
        <v>402</v>
      </c>
      <c r="C9" s="27" t="s">
        <v>403</v>
      </c>
      <c r="D9" s="29" t="s">
        <v>71</v>
      </c>
      <c r="E9" s="54">
        <v>2</v>
      </c>
      <c r="F9" s="64" t="s">
        <v>404</v>
      </c>
    </row>
    <row r="10" spans="1:6" ht="13.35" customHeight="1">
      <c r="A10" s="63" t="s">
        <v>131</v>
      </c>
      <c r="B10" s="51" t="s">
        <v>405</v>
      </c>
      <c r="C10" s="27" t="s">
        <v>54</v>
      </c>
      <c r="D10" s="29" t="s">
        <v>83</v>
      </c>
      <c r="E10" s="54">
        <v>3</v>
      </c>
      <c r="F10" s="64" t="s">
        <v>406</v>
      </c>
    </row>
    <row r="11" spans="1:6" ht="13.35" customHeight="1">
      <c r="A11" s="63" t="s">
        <v>131</v>
      </c>
      <c r="B11" s="51" t="s">
        <v>407</v>
      </c>
      <c r="C11" s="27" t="s">
        <v>183</v>
      </c>
      <c r="D11" s="29" t="s">
        <v>83</v>
      </c>
      <c r="E11" s="54">
        <v>3</v>
      </c>
      <c r="F11" s="64" t="s">
        <v>408</v>
      </c>
    </row>
    <row r="12" spans="1:6" ht="13.35" customHeight="1">
      <c r="A12" s="63" t="s">
        <v>131</v>
      </c>
      <c r="B12" s="51" t="s">
        <v>409</v>
      </c>
      <c r="C12" s="27" t="s">
        <v>192</v>
      </c>
      <c r="D12" s="29" t="s">
        <v>71</v>
      </c>
      <c r="E12" s="54">
        <v>2</v>
      </c>
      <c r="F12" s="64" t="s">
        <v>410</v>
      </c>
    </row>
    <row r="13" spans="1:6" ht="13.35" customHeight="1">
      <c r="A13" s="63" t="s">
        <v>131</v>
      </c>
      <c r="B13" s="51" t="s">
        <v>411</v>
      </c>
      <c r="C13" s="27" t="s">
        <v>186</v>
      </c>
      <c r="D13" s="29" t="s">
        <v>71</v>
      </c>
      <c r="E13" s="54">
        <v>2</v>
      </c>
      <c r="F13" s="64" t="s">
        <v>193</v>
      </c>
    </row>
    <row r="14" spans="1:6" ht="13.35" customHeight="1">
      <c r="A14" s="63" t="s">
        <v>131</v>
      </c>
      <c r="B14" s="51" t="s">
        <v>111</v>
      </c>
      <c r="C14" s="27" t="s">
        <v>412</v>
      </c>
      <c r="D14" s="29" t="s">
        <v>71</v>
      </c>
      <c r="E14" s="54">
        <v>2</v>
      </c>
      <c r="F14" s="64" t="s">
        <v>187</v>
      </c>
    </row>
    <row r="15" spans="1:6" ht="13.35" customHeight="1">
      <c r="A15" s="63" t="s">
        <v>131</v>
      </c>
      <c r="B15" s="51" t="s">
        <v>110</v>
      </c>
      <c r="C15" s="27" t="s">
        <v>413</v>
      </c>
      <c r="D15" s="29" t="s">
        <v>71</v>
      </c>
      <c r="E15" s="54">
        <v>2</v>
      </c>
      <c r="F15" s="64" t="s">
        <v>190</v>
      </c>
    </row>
    <row r="16" spans="1:6" ht="13.35" customHeight="1">
      <c r="A16" s="63" t="s">
        <v>127</v>
      </c>
      <c r="B16" s="51" t="s">
        <v>137</v>
      </c>
      <c r="C16" s="27" t="s">
        <v>414</v>
      </c>
      <c r="D16" s="29" t="s">
        <v>83</v>
      </c>
      <c r="E16" s="54">
        <v>3</v>
      </c>
      <c r="F16" s="64" t="s">
        <v>415</v>
      </c>
    </row>
    <row r="17" spans="1:6" ht="13.35" customHeight="1">
      <c r="A17" s="63" t="s">
        <v>171</v>
      </c>
      <c r="B17" s="51" t="s">
        <v>109</v>
      </c>
      <c r="C17" s="27" t="s">
        <v>33</v>
      </c>
      <c r="D17" s="29" t="s">
        <v>71</v>
      </c>
      <c r="E17" s="54">
        <v>2</v>
      </c>
      <c r="F17" s="64" t="s">
        <v>416</v>
      </c>
    </row>
    <row r="18" spans="1:6" ht="13.35" customHeight="1">
      <c r="A18" s="63" t="s">
        <v>171</v>
      </c>
      <c r="B18" s="51" t="s">
        <v>142</v>
      </c>
      <c r="C18" s="27" t="s">
        <v>53</v>
      </c>
      <c r="D18" s="29" t="s">
        <v>71</v>
      </c>
      <c r="E18" s="54">
        <v>2</v>
      </c>
      <c r="F18" s="64" t="s">
        <v>417</v>
      </c>
    </row>
    <row r="19" spans="1:6" ht="13.35" customHeight="1">
      <c r="A19" s="63" t="s">
        <v>171</v>
      </c>
      <c r="B19" s="51" t="s">
        <v>103</v>
      </c>
      <c r="C19" s="27" t="s">
        <v>418</v>
      </c>
      <c r="D19" s="29" t="s">
        <v>71</v>
      </c>
      <c r="E19" s="54">
        <v>2</v>
      </c>
      <c r="F19" s="64" t="s">
        <v>2</v>
      </c>
    </row>
    <row r="20" spans="1:6" ht="13.35" customHeight="1">
      <c r="A20" s="63" t="s">
        <v>171</v>
      </c>
      <c r="B20" s="51" t="s">
        <v>99</v>
      </c>
      <c r="C20" s="27" t="s">
        <v>419</v>
      </c>
      <c r="D20" s="29" t="s">
        <v>82</v>
      </c>
      <c r="E20" s="54">
        <v>1</v>
      </c>
      <c r="F20" s="64" t="s">
        <v>420</v>
      </c>
    </row>
    <row r="21" spans="1:6" ht="13.35" customHeight="1">
      <c r="A21" s="63" t="s">
        <v>119</v>
      </c>
      <c r="B21" s="51" t="s">
        <v>106</v>
      </c>
      <c r="C21" s="27" t="s">
        <v>38</v>
      </c>
      <c r="D21" s="29" t="s">
        <v>83</v>
      </c>
      <c r="E21" s="54">
        <v>3</v>
      </c>
      <c r="F21" s="64" t="s">
        <v>415</v>
      </c>
    </row>
    <row r="22" spans="1:6" ht="13.35" customHeight="1">
      <c r="A22" s="63" t="s">
        <v>119</v>
      </c>
      <c r="B22" s="51" t="s">
        <v>107</v>
      </c>
      <c r="C22" s="27" t="s">
        <v>421</v>
      </c>
      <c r="D22" s="29" t="s">
        <v>83</v>
      </c>
      <c r="E22" s="54">
        <v>3</v>
      </c>
      <c r="F22" s="64" t="s">
        <v>422</v>
      </c>
    </row>
    <row r="23" spans="1:6" ht="13.35" customHeight="1">
      <c r="A23" s="63" t="s">
        <v>119</v>
      </c>
      <c r="B23" s="51" t="s">
        <v>113</v>
      </c>
      <c r="C23" s="27" t="s">
        <v>35</v>
      </c>
      <c r="D23" s="29" t="s">
        <v>83</v>
      </c>
      <c r="E23" s="54">
        <v>3</v>
      </c>
      <c r="F23" s="64" t="s">
        <v>423</v>
      </c>
    </row>
    <row r="24" spans="1:6" ht="13.35" customHeight="1">
      <c r="A24" s="63" t="s">
        <v>119</v>
      </c>
      <c r="B24" s="51" t="s">
        <v>132</v>
      </c>
      <c r="C24" s="27" t="s">
        <v>424</v>
      </c>
      <c r="D24" s="29" t="s">
        <v>83</v>
      </c>
      <c r="E24" s="54">
        <v>3</v>
      </c>
      <c r="F24" s="64" t="s">
        <v>3</v>
      </c>
    </row>
    <row r="25" spans="1:6" s="36" customFormat="1" ht="13.35" customHeight="1">
      <c r="A25" s="63" t="s">
        <v>119</v>
      </c>
      <c r="B25" s="51" t="s">
        <v>114</v>
      </c>
      <c r="C25" s="27" t="s">
        <v>36</v>
      </c>
      <c r="D25" s="29" t="s">
        <v>83</v>
      </c>
      <c r="E25" s="54">
        <v>3</v>
      </c>
      <c r="F25" s="64" t="s">
        <v>425</v>
      </c>
    </row>
    <row r="26" spans="1:6" s="36" customFormat="1" ht="13.35" customHeight="1">
      <c r="A26" s="63" t="s">
        <v>119</v>
      </c>
      <c r="B26" s="51" t="s">
        <v>105</v>
      </c>
      <c r="C26" s="27" t="s">
        <v>185</v>
      </c>
      <c r="D26" s="29" t="s">
        <v>83</v>
      </c>
      <c r="E26" s="54">
        <v>3</v>
      </c>
      <c r="F26" s="64" t="s">
        <v>426</v>
      </c>
    </row>
    <row r="27" spans="1:6" ht="13.35" customHeight="1">
      <c r="A27" s="63" t="s">
        <v>119</v>
      </c>
      <c r="B27" s="51" t="s">
        <v>140</v>
      </c>
      <c r="C27" s="27" t="s">
        <v>1</v>
      </c>
      <c r="D27" s="29" t="s">
        <v>83</v>
      </c>
      <c r="E27" s="54">
        <v>3</v>
      </c>
      <c r="F27" s="64" t="s">
        <v>427</v>
      </c>
    </row>
    <row r="28" spans="1:6" ht="13.35" customHeight="1">
      <c r="A28" s="63" t="s">
        <v>119</v>
      </c>
      <c r="B28" s="51" t="s">
        <v>102</v>
      </c>
      <c r="C28" s="27" t="s">
        <v>428</v>
      </c>
      <c r="D28" s="29" t="s">
        <v>83</v>
      </c>
      <c r="E28" s="54">
        <v>3</v>
      </c>
      <c r="F28" s="64" t="s">
        <v>429</v>
      </c>
    </row>
    <row r="29" spans="1:6" ht="13.35" customHeight="1">
      <c r="A29" s="63" t="s">
        <v>119</v>
      </c>
      <c r="B29" s="51" t="s">
        <v>101</v>
      </c>
      <c r="C29" s="27" t="s">
        <v>430</v>
      </c>
      <c r="D29" s="29" t="s">
        <v>71</v>
      </c>
      <c r="E29" s="54">
        <v>2</v>
      </c>
      <c r="F29" s="64" t="s">
        <v>431</v>
      </c>
    </row>
    <row r="30" spans="1:6" ht="13.35" customHeight="1">
      <c r="A30" s="63" t="s">
        <v>119</v>
      </c>
      <c r="B30" s="51" t="s">
        <v>121</v>
      </c>
      <c r="C30" s="27" t="s">
        <v>52</v>
      </c>
      <c r="D30" s="29" t="s">
        <v>71</v>
      </c>
      <c r="E30" s="54">
        <v>2</v>
      </c>
      <c r="F30" s="64" t="s">
        <v>432</v>
      </c>
    </row>
    <row r="31" spans="1:6" ht="13.35" customHeight="1">
      <c r="A31" s="63" t="s">
        <v>119</v>
      </c>
      <c r="B31" s="51" t="s">
        <v>117</v>
      </c>
      <c r="C31" s="27" t="s">
        <v>34</v>
      </c>
      <c r="D31" s="29" t="s">
        <v>71</v>
      </c>
      <c r="E31" s="54">
        <v>2</v>
      </c>
      <c r="F31" s="64" t="s">
        <v>433</v>
      </c>
    </row>
    <row r="32" spans="1:6" ht="13.35" customHeight="1">
      <c r="A32" s="63" t="s">
        <v>119</v>
      </c>
      <c r="B32" s="51" t="s">
        <v>118</v>
      </c>
      <c r="C32" s="27" t="s">
        <v>191</v>
      </c>
      <c r="D32" s="29" t="s">
        <v>71</v>
      </c>
      <c r="E32" s="54">
        <v>2</v>
      </c>
      <c r="F32" s="64" t="s">
        <v>0</v>
      </c>
    </row>
    <row r="33" spans="1:6" ht="13.35" customHeight="1">
      <c r="A33" s="63" t="s">
        <v>119</v>
      </c>
      <c r="B33" s="51" t="s">
        <v>134</v>
      </c>
      <c r="C33" s="27" t="s">
        <v>56</v>
      </c>
      <c r="D33" s="29" t="s">
        <v>71</v>
      </c>
      <c r="E33" s="54">
        <v>2</v>
      </c>
      <c r="F33" s="64" t="s">
        <v>434</v>
      </c>
    </row>
    <row r="34" spans="1:6" ht="13.35" customHeight="1">
      <c r="A34" s="63" t="s">
        <v>119</v>
      </c>
      <c r="B34" s="51" t="s">
        <v>130</v>
      </c>
      <c r="C34" s="27" t="s">
        <v>37</v>
      </c>
      <c r="D34" s="29" t="s">
        <v>71</v>
      </c>
      <c r="E34" s="54">
        <v>2</v>
      </c>
      <c r="F34" s="64" t="s">
        <v>435</v>
      </c>
    </row>
    <row r="35" spans="1:6" ht="13.35" customHeight="1">
      <c r="A35" s="63" t="s">
        <v>119</v>
      </c>
      <c r="B35" s="51" t="s">
        <v>100</v>
      </c>
      <c r="C35" s="27" t="s">
        <v>188</v>
      </c>
      <c r="D35" s="29" t="s">
        <v>71</v>
      </c>
      <c r="E35" s="54">
        <v>2</v>
      </c>
      <c r="F35" s="64" t="s">
        <v>436</v>
      </c>
    </row>
    <row r="36" spans="1:6" s="36" customFormat="1" ht="13.35" customHeight="1">
      <c r="A36" s="63" t="s">
        <v>119</v>
      </c>
      <c r="B36" s="51" t="s">
        <v>104</v>
      </c>
      <c r="C36" s="27" t="s">
        <v>437</v>
      </c>
      <c r="D36" s="29" t="s">
        <v>71</v>
      </c>
      <c r="E36" s="54">
        <v>2</v>
      </c>
      <c r="F36" s="64" t="s">
        <v>438</v>
      </c>
    </row>
    <row r="37" spans="1:6" s="36" customFormat="1" ht="13.35" customHeight="1">
      <c r="A37" s="63" t="s">
        <v>119</v>
      </c>
      <c r="B37" s="51" t="s">
        <v>143</v>
      </c>
      <c r="C37" s="27" t="s">
        <v>57</v>
      </c>
      <c r="D37" s="29" t="s">
        <v>71</v>
      </c>
      <c r="E37" s="54">
        <v>2</v>
      </c>
      <c r="F37" s="64" t="s">
        <v>439</v>
      </c>
    </row>
    <row r="38" spans="1:6" s="36" customFormat="1" ht="13.35" customHeight="1">
      <c r="A38" s="63" t="s">
        <v>119</v>
      </c>
      <c r="B38" s="51" t="s">
        <v>133</v>
      </c>
      <c r="C38" s="27" t="s">
        <v>440</v>
      </c>
      <c r="D38" s="29" t="s">
        <v>71</v>
      </c>
      <c r="E38" s="54">
        <v>2</v>
      </c>
      <c r="F38" s="64" t="s">
        <v>441</v>
      </c>
    </row>
    <row r="39" spans="1:6" s="36" customFormat="1" ht="13.35" customHeight="1">
      <c r="A39" s="63" t="s">
        <v>119</v>
      </c>
      <c r="B39" s="51" t="s">
        <v>144</v>
      </c>
      <c r="C39" s="27" t="s">
        <v>55</v>
      </c>
      <c r="D39" s="29" t="s">
        <v>71</v>
      </c>
      <c r="E39" s="54">
        <v>2</v>
      </c>
      <c r="F39" s="64" t="s">
        <v>442</v>
      </c>
    </row>
    <row r="40" spans="1:6" ht="13.35" customHeight="1">
      <c r="A40" s="63" t="s">
        <v>119</v>
      </c>
      <c r="B40" s="51" t="s">
        <v>112</v>
      </c>
      <c r="C40" s="27" t="s">
        <v>443</v>
      </c>
      <c r="D40" s="29" t="s">
        <v>71</v>
      </c>
      <c r="E40" s="54">
        <v>2</v>
      </c>
      <c r="F40" s="64" t="s">
        <v>444</v>
      </c>
    </row>
    <row r="41" spans="1:6" ht="13.35" customHeight="1">
      <c r="A41" s="63" t="s">
        <v>119</v>
      </c>
      <c r="B41" s="51" t="s">
        <v>122</v>
      </c>
      <c r="C41" s="27" t="s">
        <v>120</v>
      </c>
      <c r="D41" s="29" t="s">
        <v>71</v>
      </c>
      <c r="E41" s="54">
        <v>2</v>
      </c>
      <c r="F41" s="64" t="s">
        <v>445</v>
      </c>
    </row>
    <row r="42" spans="1:6" ht="13.35" customHeight="1">
      <c r="A42" s="63" t="s">
        <v>119</v>
      </c>
      <c r="B42" s="51" t="s">
        <v>123</v>
      </c>
      <c r="C42" s="27" t="s">
        <v>446</v>
      </c>
      <c r="D42" s="29" t="s">
        <v>71</v>
      </c>
      <c r="E42" s="54">
        <v>2</v>
      </c>
      <c r="F42" s="64" t="s">
        <v>447</v>
      </c>
    </row>
  </sheetData>
  <mergeCells count="2">
    <mergeCell ref="A3:E3"/>
    <mergeCell ref="A4:B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6"/>
  <sheetViews>
    <sheetView showGridLines="0" view="pageBreakPreview" zoomScale="85" zoomScaleNormal="100" zoomScaleSheet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184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5</v>
      </c>
    </row>
    <row r="4" spans="1:12">
      <c r="A4" s="196" t="s">
        <v>79</v>
      </c>
      <c r="B4" s="197"/>
      <c r="C4" s="197"/>
      <c r="D4" s="198"/>
      <c r="E4" s="202" t="s">
        <v>169</v>
      </c>
      <c r="F4" s="202"/>
      <c r="G4" s="202"/>
      <c r="H4" s="202"/>
      <c r="I4" s="202"/>
      <c r="J4" s="202" t="s">
        <v>172</v>
      </c>
      <c r="K4" s="202"/>
      <c r="L4" s="203"/>
    </row>
    <row r="5" spans="1:12">
      <c r="A5" s="199"/>
      <c r="B5" s="200"/>
      <c r="C5" s="200"/>
      <c r="D5" s="201"/>
      <c r="E5" s="71" t="s">
        <v>174</v>
      </c>
      <c r="F5" s="71" t="s">
        <v>168</v>
      </c>
      <c r="G5" s="71" t="s">
        <v>86</v>
      </c>
      <c r="H5" s="71" t="s">
        <v>77</v>
      </c>
      <c r="I5" s="71" t="s">
        <v>175</v>
      </c>
      <c r="J5" s="71" t="s">
        <v>126</v>
      </c>
      <c r="K5" s="71" t="s">
        <v>152</v>
      </c>
      <c r="L5" s="74" t="s">
        <v>151</v>
      </c>
    </row>
    <row r="6" spans="1:12">
      <c r="A6" s="204" t="s">
        <v>124</v>
      </c>
      <c r="B6" s="205"/>
      <c r="C6" s="205"/>
      <c r="D6" s="206"/>
      <c r="E6" s="11">
        <f ca="1">SUMIF('취약점 진단 항목별 통계'!$A:$A,$A6&amp;"*",'취약점 진단 항목별 통계'!$F:$F)</f>
        <v>50</v>
      </c>
      <c r="F6" s="11">
        <f ca="1">E6-I6</f>
        <v>50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20</v>
      </c>
      <c r="H6" s="11">
        <f ca="1">SUMIF('취약점 진단 항목별 통계'!$A:$A,$A6&amp;"*",'취약점 진단 항목별 통계'!$I:$I)</f>
        <v>30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56</v>
      </c>
      <c r="L6" s="75">
        <f ca="1">IF($I6=$E6,"N/A",(K6/J6))</f>
        <v>0.4</v>
      </c>
    </row>
    <row r="7" spans="1:12">
      <c r="A7" s="204" t="s">
        <v>131</v>
      </c>
      <c r="B7" s="205"/>
      <c r="C7" s="205"/>
      <c r="D7" s="206"/>
      <c r="E7" s="11">
        <f ca="1">SUMIF('취약점 진단 항목별 통계'!$A:$A,$A7&amp;"*",'취약점 진단 항목별 통계'!$F:$F)</f>
        <v>60</v>
      </c>
      <c r="F7" s="11">
        <f t="shared" ref="F7:F10" ca="1" si="0">E7-I7</f>
        <v>60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20</v>
      </c>
      <c r="H7" s="11">
        <f ca="1">SUMIF('취약점 진단 항목별 통계'!$A:$A,$A7&amp;"*",'취약점 진단 항목별 통계'!$I:$I)</f>
        <v>30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140</v>
      </c>
      <c r="K7" s="11">
        <f ca="1">SUMIF('취약점 진단 항목별 통계'!$A:$A,$A7&amp;"*",'취약점 진단 항목별 통계'!$L:$L)</f>
        <v>48</v>
      </c>
      <c r="L7" s="75">
        <f t="shared" ref="L7:L10" ca="1" si="1">IF($I7=$E7,"N/A",(K7/J7))</f>
        <v>0.34285714285714286</v>
      </c>
    </row>
    <row r="8" spans="1:12">
      <c r="A8" s="204" t="s">
        <v>127</v>
      </c>
      <c r="B8" s="205"/>
      <c r="C8" s="205"/>
      <c r="D8" s="206"/>
      <c r="E8" s="11">
        <f ca="1">SUMIF('취약점 진단 항목별 통계'!$A:$A,$A8&amp;"*",'취약점 진단 항목별 통계'!$F:$F)</f>
        <v>10</v>
      </c>
      <c r="F8" s="11">
        <f t="shared" ca="1" si="0"/>
        <v>10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6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30</v>
      </c>
      <c r="K8" s="11">
        <f ca="1">SUMIF('취약점 진단 항목별 통계'!$A:$A,$A8&amp;"*",'취약점 진단 항목별 통계'!$L:$L)</f>
        <v>12</v>
      </c>
      <c r="L8" s="75">
        <f t="shared" ca="1" si="1"/>
        <v>0.4</v>
      </c>
    </row>
    <row r="9" spans="1:12">
      <c r="A9" s="204" t="s">
        <v>171</v>
      </c>
      <c r="B9" s="205"/>
      <c r="C9" s="205"/>
      <c r="D9" s="206"/>
      <c r="E9" s="11">
        <f ca="1">SUMIF('취약점 진단 항목별 통계'!$A:$A,$A9&amp;"*",'취약점 진단 항목별 통계'!$F:$F)</f>
        <v>40</v>
      </c>
      <c r="F9" s="11">
        <f t="shared" ca="1" si="0"/>
        <v>40</v>
      </c>
      <c r="G9" s="11">
        <f ca="1">SUMIF('취약점 진단 항목별 통계'!$A:$A,$A9&amp;"*",'취약점 진단 항목별 통계'!$G:$G)+SUMIF('취약점 진단 항목별 통계'!$A:$A,$A9&amp;"*",'취약점 진단 항목별 통계'!$H:$H)</f>
        <v>18</v>
      </c>
      <c r="H9" s="11">
        <f ca="1">SUMIF('취약점 진단 항목별 통계'!$A:$A,$A9&amp;"*",'취약점 진단 항목별 통계'!$I:$I)</f>
        <v>12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70</v>
      </c>
      <c r="K9" s="11">
        <f ca="1">SUMIF('취약점 진단 항목별 통계'!$A:$A,$A9&amp;"*",'취약점 진단 항목별 통계'!$L:$L)</f>
        <v>26</v>
      </c>
      <c r="L9" s="75">
        <f t="shared" ca="1" si="1"/>
        <v>0.37142857142857144</v>
      </c>
    </row>
    <row r="10" spans="1:12">
      <c r="A10" s="204" t="s">
        <v>119</v>
      </c>
      <c r="B10" s="205"/>
      <c r="C10" s="205"/>
      <c r="D10" s="206"/>
      <c r="E10" s="11">
        <f ca="1">SUMIF('취약점 진단 항목별 통계'!$A:$A,$A10&amp;"*",'취약점 진단 항목별 통계'!$F:$F)</f>
        <v>220</v>
      </c>
      <c r="F10" s="11">
        <f t="shared" ca="1" si="0"/>
        <v>194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98</v>
      </c>
      <c r="H10" s="11">
        <f ca="1">SUMIF('취약점 진단 항목별 통계'!$A:$A,$A10&amp;"*",'취약점 진단 항목별 통계'!$I:$I)</f>
        <v>86</v>
      </c>
      <c r="I10" s="11">
        <f ca="1">SUMIF('취약점 진단 항목별 통계'!$A:$A,$A10&amp;"*",'취약점 진단 항목별 통계'!$J:$J)</f>
        <v>26</v>
      </c>
      <c r="J10" s="11">
        <f ca="1">SUMIF('취약점 진단 항목별 통계'!$A:$A,$A10&amp;"*",'취약점 진단 항목별 통계'!$K:$K)</f>
        <v>464</v>
      </c>
      <c r="K10" s="11">
        <f ca="1">SUMIF('취약점 진단 항목별 통계'!$A:$A,$A10&amp;"*",'취약점 진단 항목별 통계'!$L:$L)</f>
        <v>238</v>
      </c>
      <c r="L10" s="75">
        <f t="shared" ca="1" si="1"/>
        <v>0.51293103448275867</v>
      </c>
    </row>
    <row r="11" spans="1:12">
      <c r="A11" s="207" t="s">
        <v>70</v>
      </c>
      <c r="B11" s="208"/>
      <c r="C11" s="208"/>
      <c r="D11" s="209"/>
      <c r="E11" s="76">
        <f t="shared" ref="E11:J11" ca="1" si="2">SUM(E6:E10)</f>
        <v>380</v>
      </c>
      <c r="F11" s="76">
        <f t="shared" ca="1" si="2"/>
        <v>354</v>
      </c>
      <c r="G11" s="76">
        <f t="shared" ca="1" si="2"/>
        <v>160</v>
      </c>
      <c r="H11" s="76">
        <f t="shared" ca="1" si="2"/>
        <v>164</v>
      </c>
      <c r="I11" s="76">
        <f t="shared" ca="1" si="2"/>
        <v>26</v>
      </c>
      <c r="J11" s="76">
        <f t="shared" ca="1" si="2"/>
        <v>844</v>
      </c>
      <c r="K11" s="76">
        <f ca="1">SUM(K6:K10)</f>
        <v>380</v>
      </c>
      <c r="L11" s="77">
        <f ca="1">IFERROR(K11/J11,0)</f>
        <v>0.45023696682464454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17</v>
      </c>
      <c r="L39" s="6"/>
    </row>
    <row r="40" spans="1:12" ht="14.25" thickBot="1">
      <c r="A40" s="196" t="s">
        <v>166</v>
      </c>
      <c r="B40" s="197"/>
      <c r="C40" s="197"/>
      <c r="D40" s="198"/>
      <c r="E40" s="202" t="s">
        <v>169</v>
      </c>
      <c r="F40" s="202"/>
      <c r="G40" s="202"/>
      <c r="H40" s="202"/>
      <c r="I40" s="202"/>
      <c r="J40" s="202" t="s">
        <v>172</v>
      </c>
      <c r="K40" s="202"/>
      <c r="L40" s="203"/>
    </row>
    <row r="41" spans="1:12" ht="14.25" thickBot="1">
      <c r="A41" s="199"/>
      <c r="B41" s="200"/>
      <c r="C41" s="210"/>
      <c r="D41" s="211"/>
      <c r="E41" s="71" t="s">
        <v>174</v>
      </c>
      <c r="F41" s="71" t="s">
        <v>168</v>
      </c>
      <c r="G41" s="71" t="s">
        <v>86</v>
      </c>
      <c r="H41" s="71" t="s">
        <v>77</v>
      </c>
      <c r="I41" s="71" t="s">
        <v>175</v>
      </c>
      <c r="J41" s="71" t="s">
        <v>126</v>
      </c>
      <c r="K41" s="71" t="s">
        <v>152</v>
      </c>
      <c r="L41" s="74" t="s">
        <v>151</v>
      </c>
    </row>
    <row r="42" spans="1:12" ht="13.5" customHeight="1">
      <c r="A42" s="194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HQ_L3_1</v>
      </c>
      <c r="B42" s="195"/>
      <c r="C42" s="193" t="str">
        <f ca="1">IFERROR(VLOOKUP($A42,자산목록!$B$1:$M$834,8,FALSE),"-")</f>
        <v>L3 스위치</v>
      </c>
      <c r="D42" s="193"/>
      <c r="E42" s="32">
        <f ca="1">IFERROR(INDIRECT(ADDRESS(17,4,1,TRUE,$A42)),0)</f>
        <v>38</v>
      </c>
      <c r="F42" s="32">
        <f ca="1">E42-I42</f>
        <v>38</v>
      </c>
      <c r="G42" s="32">
        <f ca="1">IFERROR(INDIRECT(ADDRESS(17,5,1,TRUE,$A42)),0)</f>
        <v>4</v>
      </c>
      <c r="H42" s="32">
        <f ca="1">IFERROR(INDIRECT(ADDRESS(17,6,1,TRUE,$A42)),0)</f>
        <v>32</v>
      </c>
      <c r="I42" s="32">
        <f ca="1">IFERROR(INDIRECT(ADDRESS(17,7,1,TRUE,$A42)),0)</f>
        <v>0</v>
      </c>
      <c r="J42" s="32">
        <f ca="1">IFERROR(INDIRECT(ADDRESS(17,18,1,TRUE,$A42)),0)</f>
        <v>90</v>
      </c>
      <c r="K42" s="32">
        <f ca="1">IFERROR(INDIRECT(ADDRESS(17,19,1,TRUE,$A42)),0)</f>
        <v>10</v>
      </c>
      <c r="L42" s="78">
        <f ca="1">IFERROR(INDIRECT(ADDRESS(17,8,1,TRUE,$A42)),0)</f>
        <v>0.1111111111111111</v>
      </c>
    </row>
    <row r="43" spans="1:12" ht="13.5" customHeight="1">
      <c r="A43" s="194" t="str">
        <f t="shared" ref="A43:A51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HQ_L3_2</v>
      </c>
      <c r="B43" s="195"/>
      <c r="C43" s="193" t="str">
        <f ca="1">IFERROR(VLOOKUP($A43,자산목록!$B$1:$M$834,8,FALSE),"-")</f>
        <v>L3 스위치</v>
      </c>
      <c r="D43" s="193"/>
      <c r="E43" s="32">
        <f t="shared" ref="E43:E51" ca="1" si="4">IFERROR(INDIRECT(ADDRESS(17,4,1,TRUE,$A43)),0)</f>
        <v>38</v>
      </c>
      <c r="F43" s="32">
        <f t="shared" ref="F43:F51" ca="1" si="5">E43-I43</f>
        <v>38</v>
      </c>
      <c r="G43" s="32">
        <f t="shared" ref="G43:G51" ca="1" si="6">IFERROR(INDIRECT(ADDRESS(17,5,1,TRUE,$A43)),0)</f>
        <v>4</v>
      </c>
      <c r="H43" s="32">
        <f t="shared" ref="H43:H51" ca="1" si="7">IFERROR(INDIRECT(ADDRESS(17,6,1,TRUE,$A43)),0)</f>
        <v>32</v>
      </c>
      <c r="I43" s="32">
        <f t="shared" ref="I43:I51" ca="1" si="8">IFERROR(INDIRECT(ADDRESS(17,7,1,TRUE,$A43)),0)</f>
        <v>0</v>
      </c>
      <c r="J43" s="32">
        <f t="shared" ref="J43:J51" ca="1" si="9">IFERROR(INDIRECT(ADDRESS(17,18,1,TRUE,$A43)),0)</f>
        <v>90</v>
      </c>
      <c r="K43" s="32">
        <f t="shared" ref="K43:K51" ca="1" si="10">IFERROR(INDIRECT(ADDRESS(17,19,1,TRUE,$A43)),0)</f>
        <v>10</v>
      </c>
      <c r="L43" s="78">
        <f t="shared" ref="L43:L51" ca="1" si="11">IFERROR(INDIRECT(ADDRESS(17,8,1,TRUE,$A43)),0)</f>
        <v>0.1111111111111111</v>
      </c>
    </row>
    <row r="44" spans="1:12" ht="13.5" customHeight="1">
      <c r="A44" s="194" t="str">
        <f t="shared" ca="1" si="3"/>
        <v>BR_L3_1</v>
      </c>
      <c r="B44" s="195"/>
      <c r="C44" s="193" t="str">
        <f ca="1">IFERROR(VLOOKUP($A44,자산목록!$B$1:$M$834,8,FALSE),"-")</f>
        <v>L3 스위치</v>
      </c>
      <c r="D44" s="193"/>
      <c r="E44" s="32">
        <f t="shared" ca="1" si="4"/>
        <v>38</v>
      </c>
      <c r="F44" s="32">
        <f t="shared" ca="1" si="5"/>
        <v>38</v>
      </c>
      <c r="G44" s="32">
        <f t="shared" ca="1" si="6"/>
        <v>4</v>
      </c>
      <c r="H44" s="32">
        <f t="shared" ca="1" si="7"/>
        <v>32</v>
      </c>
      <c r="I44" s="32">
        <f t="shared" ca="1" si="8"/>
        <v>0</v>
      </c>
      <c r="J44" s="32">
        <f t="shared" ca="1" si="9"/>
        <v>90</v>
      </c>
      <c r="K44" s="32">
        <f t="shared" ca="1" si="10"/>
        <v>10</v>
      </c>
      <c r="L44" s="78">
        <f t="shared" ca="1" si="11"/>
        <v>0.1111111111111111</v>
      </c>
    </row>
    <row r="45" spans="1:12" ht="13.5" customHeight="1">
      <c r="A45" s="194" t="str">
        <f t="shared" ca="1" si="3"/>
        <v>BR_L3_2</v>
      </c>
      <c r="B45" s="195"/>
      <c r="C45" s="193" t="str">
        <f ca="1">IFERROR(VLOOKUP($A45,자산목록!$B$1:$M$834,8,FALSE),"-")</f>
        <v>L3 스위치</v>
      </c>
      <c r="D45" s="193"/>
      <c r="E45" s="32">
        <f t="shared" ca="1" si="4"/>
        <v>38</v>
      </c>
      <c r="F45" s="32">
        <f t="shared" ca="1" si="5"/>
        <v>38</v>
      </c>
      <c r="G45" s="32">
        <f t="shared" ca="1" si="6"/>
        <v>4</v>
      </c>
      <c r="H45" s="32">
        <f t="shared" ca="1" si="7"/>
        <v>32</v>
      </c>
      <c r="I45" s="32">
        <f t="shared" ca="1" si="8"/>
        <v>0</v>
      </c>
      <c r="J45" s="32">
        <f t="shared" ca="1" si="9"/>
        <v>90</v>
      </c>
      <c r="K45" s="32">
        <f t="shared" ca="1" si="10"/>
        <v>10</v>
      </c>
      <c r="L45" s="78">
        <f t="shared" ca="1" si="11"/>
        <v>0.1111111111111111</v>
      </c>
    </row>
    <row r="46" spans="1:12" ht="13.5" customHeight="1">
      <c r="A46" s="194" t="str">
        <f t="shared" ca="1" si="3"/>
        <v>headquarter</v>
      </c>
      <c r="B46" s="195"/>
      <c r="C46" s="193" t="str">
        <f ca="1">IFERROR(VLOOKUP($A46,자산목록!$B$1:$M$834,8,FALSE),"-")</f>
        <v>라우터</v>
      </c>
      <c r="D46" s="193"/>
      <c r="E46" s="32">
        <f t="shared" ca="1" si="4"/>
        <v>38</v>
      </c>
      <c r="F46" s="32">
        <f t="shared" ca="1" si="5"/>
        <v>25</v>
      </c>
      <c r="G46" s="32">
        <f t="shared" ca="1" si="6"/>
        <v>4</v>
      </c>
      <c r="H46" s="32">
        <f t="shared" ca="1" si="7"/>
        <v>18</v>
      </c>
      <c r="I46" s="32">
        <f t="shared" ca="1" si="8"/>
        <v>13</v>
      </c>
      <c r="J46" s="32">
        <f t="shared" ca="1" si="9"/>
        <v>62</v>
      </c>
      <c r="K46" s="32">
        <f t="shared" ca="1" si="10"/>
        <v>10</v>
      </c>
      <c r="L46" s="78">
        <f t="shared" ca="1" si="11"/>
        <v>0.16129032258064516</v>
      </c>
    </row>
    <row r="47" spans="1:12" ht="13.5" customHeight="1">
      <c r="A47" s="194" t="str">
        <f t="shared" ca="1" si="3"/>
        <v>branch</v>
      </c>
      <c r="B47" s="195"/>
      <c r="C47" s="193" t="str">
        <f ca="1">IFERROR(VLOOKUP($A47,자산목록!$B$1:$M$834,8,FALSE),"-")</f>
        <v>라우터</v>
      </c>
      <c r="D47" s="193"/>
      <c r="E47" s="32">
        <f t="shared" ca="1" si="4"/>
        <v>38</v>
      </c>
      <c r="F47" s="32">
        <f t="shared" ca="1" si="5"/>
        <v>25</v>
      </c>
      <c r="G47" s="32">
        <f t="shared" ca="1" si="6"/>
        <v>4</v>
      </c>
      <c r="H47" s="32">
        <f t="shared" ca="1" si="7"/>
        <v>18</v>
      </c>
      <c r="I47" s="32">
        <f t="shared" ca="1" si="8"/>
        <v>13</v>
      </c>
      <c r="J47" s="32">
        <f t="shared" ca="1" si="9"/>
        <v>62</v>
      </c>
      <c r="K47" s="32">
        <f t="shared" ca="1" si="10"/>
        <v>10</v>
      </c>
      <c r="L47" s="78">
        <f t="shared" ca="1" si="11"/>
        <v>0.16129032258064516</v>
      </c>
    </row>
    <row r="48" spans="1:12" ht="13.5" customHeight="1">
      <c r="A48" s="194" t="str">
        <f t="shared" ca="1" si="3"/>
        <v>HQ_L4_1</v>
      </c>
      <c r="B48" s="195"/>
      <c r="C48" s="193" t="str">
        <f ca="1">IFERROR(VLOOKUP($A48,자산목록!$B$1:$M$834,8,FALSE),"-")</f>
        <v>L4 스위치</v>
      </c>
      <c r="D48" s="193"/>
      <c r="E48" s="32">
        <f t="shared" ca="1" si="4"/>
        <v>38</v>
      </c>
      <c r="F48" s="32">
        <f t="shared" ca="1" si="5"/>
        <v>38</v>
      </c>
      <c r="G48" s="32">
        <f t="shared" ca="1" si="6"/>
        <v>34</v>
      </c>
      <c r="H48" s="32">
        <f t="shared" ca="1" si="7"/>
        <v>0</v>
      </c>
      <c r="I48" s="32">
        <f t="shared" ca="1" si="8"/>
        <v>0</v>
      </c>
      <c r="J48" s="32">
        <f t="shared" ca="1" si="9"/>
        <v>90</v>
      </c>
      <c r="K48" s="32">
        <f t="shared" ca="1" si="10"/>
        <v>80</v>
      </c>
      <c r="L48" s="78">
        <f t="shared" ca="1" si="11"/>
        <v>0.88888888888888884</v>
      </c>
    </row>
    <row r="49" spans="1:12" ht="13.5" customHeight="1">
      <c r="A49" s="194" t="str">
        <f t="shared" ca="1" si="3"/>
        <v>HQ_L4_2</v>
      </c>
      <c r="B49" s="195"/>
      <c r="C49" s="193" t="str">
        <f ca="1">IFERROR(VLOOKUP($A49,자산목록!$B$1:$M$834,8,FALSE),"-")</f>
        <v>L4 스위치</v>
      </c>
      <c r="D49" s="193"/>
      <c r="E49" s="32">
        <f t="shared" ca="1" si="4"/>
        <v>38</v>
      </c>
      <c r="F49" s="32">
        <f t="shared" ca="1" si="5"/>
        <v>38</v>
      </c>
      <c r="G49" s="32">
        <f t="shared" ca="1" si="6"/>
        <v>34</v>
      </c>
      <c r="H49" s="32">
        <f t="shared" ca="1" si="7"/>
        <v>0</v>
      </c>
      <c r="I49" s="32">
        <f t="shared" ca="1" si="8"/>
        <v>0</v>
      </c>
      <c r="J49" s="32">
        <f t="shared" ca="1" si="9"/>
        <v>90</v>
      </c>
      <c r="K49" s="32">
        <f t="shared" ca="1" si="10"/>
        <v>80</v>
      </c>
      <c r="L49" s="78">
        <f t="shared" ca="1" si="11"/>
        <v>0.88888888888888884</v>
      </c>
    </row>
    <row r="50" spans="1:12" ht="13.5" customHeight="1">
      <c r="A50" s="194" t="str">
        <f t="shared" ca="1" si="3"/>
        <v>BR_L4_1</v>
      </c>
      <c r="B50" s="195"/>
      <c r="C50" s="193" t="str">
        <f ca="1">IFERROR(VLOOKUP($A50,자산목록!$B$1:$M$834,8,FALSE),"-")</f>
        <v>L4 스위치</v>
      </c>
      <c r="D50" s="193"/>
      <c r="E50" s="32">
        <f t="shared" ca="1" si="4"/>
        <v>38</v>
      </c>
      <c r="F50" s="32">
        <f t="shared" ca="1" si="5"/>
        <v>38</v>
      </c>
      <c r="G50" s="32">
        <f t="shared" ca="1" si="6"/>
        <v>34</v>
      </c>
      <c r="H50" s="32">
        <f t="shared" ca="1" si="7"/>
        <v>0</v>
      </c>
      <c r="I50" s="32">
        <f t="shared" ca="1" si="8"/>
        <v>0</v>
      </c>
      <c r="J50" s="32">
        <f t="shared" ca="1" si="9"/>
        <v>90</v>
      </c>
      <c r="K50" s="32">
        <f t="shared" ca="1" si="10"/>
        <v>80</v>
      </c>
      <c r="L50" s="78">
        <f t="shared" ca="1" si="11"/>
        <v>0.88888888888888884</v>
      </c>
    </row>
    <row r="51" spans="1:12" ht="13.5" customHeight="1">
      <c r="A51" s="194" t="str">
        <f t="shared" ca="1" si="3"/>
        <v>BR_L4_2</v>
      </c>
      <c r="B51" s="195"/>
      <c r="C51" s="193" t="str">
        <f ca="1">IFERROR(VLOOKUP($A51,자산목록!$B$1:$M$834,8,FALSE),"-")</f>
        <v>L4 스위치</v>
      </c>
      <c r="D51" s="193"/>
      <c r="E51" s="32">
        <f t="shared" ca="1" si="4"/>
        <v>38</v>
      </c>
      <c r="F51" s="32">
        <f t="shared" ca="1" si="5"/>
        <v>38</v>
      </c>
      <c r="G51" s="32">
        <f t="shared" ca="1" si="6"/>
        <v>34</v>
      </c>
      <c r="H51" s="32">
        <f t="shared" ca="1" si="7"/>
        <v>0</v>
      </c>
      <c r="I51" s="32">
        <f t="shared" ca="1" si="8"/>
        <v>0</v>
      </c>
      <c r="J51" s="32">
        <f t="shared" ca="1" si="9"/>
        <v>90</v>
      </c>
      <c r="K51" s="32">
        <f t="shared" ca="1" si="10"/>
        <v>80</v>
      </c>
      <c r="L51" s="78">
        <f t="shared" ca="1" si="11"/>
        <v>0.88888888888888884</v>
      </c>
    </row>
    <row r="52" spans="1:12" ht="14.25" thickBot="1">
      <c r="A52" s="212" t="s">
        <v>70</v>
      </c>
      <c r="B52" s="213"/>
      <c r="C52" s="213"/>
      <c r="D52" s="213"/>
      <c r="E52" s="80">
        <f t="shared" ref="E52:K52" ca="1" si="12">SUM(E42:E42)</f>
        <v>38</v>
      </c>
      <c r="F52" s="80">
        <f t="shared" ca="1" si="12"/>
        <v>38</v>
      </c>
      <c r="G52" s="80">
        <f t="shared" ca="1" si="12"/>
        <v>4</v>
      </c>
      <c r="H52" s="80">
        <f t="shared" ca="1" si="12"/>
        <v>32</v>
      </c>
      <c r="I52" s="80">
        <f t="shared" ca="1" si="12"/>
        <v>0</v>
      </c>
      <c r="J52" s="80">
        <f t="shared" ca="1" si="12"/>
        <v>90</v>
      </c>
      <c r="K52" s="80">
        <f t="shared" ca="1" si="12"/>
        <v>10</v>
      </c>
      <c r="L52" s="81">
        <f ca="1">IFERROR(K52/J52,0)</f>
        <v>0.1111111111111111</v>
      </c>
    </row>
    <row r="53" spans="1:12">
      <c r="A53" s="2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  <row r="64" spans="1:12">
      <c r="A64" s="6"/>
    </row>
    <row r="65" spans="1:1">
      <c r="A65" s="6"/>
    </row>
    <row r="66" spans="1:1">
      <c r="A66" s="6"/>
    </row>
  </sheetData>
  <mergeCells count="33">
    <mergeCell ref="A52:D52"/>
    <mergeCell ref="E40:I40"/>
    <mergeCell ref="J40:L40"/>
    <mergeCell ref="A42:B42"/>
    <mergeCell ref="C42:D42"/>
    <mergeCell ref="A47:B47"/>
    <mergeCell ref="C47:D47"/>
    <mergeCell ref="A43:B43"/>
    <mergeCell ref="A44:B44"/>
    <mergeCell ref="A45:B45"/>
    <mergeCell ref="A46:B46"/>
    <mergeCell ref="C43:D43"/>
    <mergeCell ref="C44:D44"/>
    <mergeCell ref="C45:D45"/>
    <mergeCell ref="C46:D46"/>
    <mergeCell ref="A48:B48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  <mergeCell ref="C48:D48"/>
    <mergeCell ref="A49:B49"/>
    <mergeCell ref="A50:B50"/>
    <mergeCell ref="A51:B51"/>
    <mergeCell ref="C50:D50"/>
    <mergeCell ref="C49:D49"/>
    <mergeCell ref="C51:D51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V43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6.21875" style="20" bestFit="1" customWidth="1"/>
    <col min="15" max="16" width="8.77734375" style="17"/>
    <col min="17" max="18" width="0" style="17" hidden="1" customWidth="1"/>
    <col min="19" max="16384" width="8.77734375" style="17"/>
  </cols>
  <sheetData>
    <row r="1" spans="1:22" s="19" customFormat="1" ht="16.5">
      <c r="A1" s="16" t="s">
        <v>51</v>
      </c>
      <c r="F1" s="18"/>
      <c r="G1" s="18"/>
      <c r="J1" s="24"/>
      <c r="L1" s="14"/>
      <c r="M1" s="14"/>
      <c r="N1" s="14"/>
    </row>
    <row r="2" spans="1:22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22" s="20" customFormat="1" ht="16.350000000000001" customHeight="1" thickBot="1">
      <c r="A3" s="214" t="str">
        <f>ChkList!A4</f>
        <v>분류</v>
      </c>
      <c r="B3" s="215"/>
      <c r="C3" s="218" t="str">
        <f>ChkList!C4</f>
        <v>진단항목</v>
      </c>
      <c r="D3" s="220" t="str">
        <f>ChkList!D4</f>
        <v>중요도</v>
      </c>
      <c r="E3" s="221"/>
      <c r="F3" s="224" t="s">
        <v>162</v>
      </c>
      <c r="G3" s="225"/>
      <c r="H3" s="225"/>
      <c r="I3" s="225"/>
      <c r="J3" s="225"/>
      <c r="K3" s="220" t="s">
        <v>145</v>
      </c>
      <c r="L3" s="226"/>
      <c r="M3" s="106" t="s">
        <v>156</v>
      </c>
      <c r="N3" s="106" t="s">
        <v>156</v>
      </c>
      <c r="O3" s="106" t="s">
        <v>156</v>
      </c>
      <c r="P3" s="106" t="s">
        <v>156</v>
      </c>
      <c r="Q3" s="106" t="s">
        <v>156</v>
      </c>
      <c r="R3" s="106" t="s">
        <v>156</v>
      </c>
      <c r="S3" s="106" t="s">
        <v>156</v>
      </c>
      <c r="T3" s="106" t="s">
        <v>156</v>
      </c>
      <c r="U3" s="106" t="s">
        <v>156</v>
      </c>
      <c r="V3" s="106" t="s">
        <v>156</v>
      </c>
    </row>
    <row r="4" spans="1:22" s="143" customFormat="1">
      <c r="A4" s="216"/>
      <c r="B4" s="217"/>
      <c r="C4" s="219"/>
      <c r="D4" s="222"/>
      <c r="E4" s="223"/>
      <c r="F4" s="139" t="s">
        <v>84</v>
      </c>
      <c r="G4" s="140" t="s">
        <v>86</v>
      </c>
      <c r="H4" s="141" t="s">
        <v>178</v>
      </c>
      <c r="I4" s="142" t="s">
        <v>77</v>
      </c>
      <c r="J4" s="142" t="s">
        <v>58</v>
      </c>
      <c r="K4" s="142" t="s">
        <v>84</v>
      </c>
      <c r="L4" s="142" t="s">
        <v>89</v>
      </c>
      <c r="M4" s="151" t="str">
        <f t="shared" ref="M4:V4" ca="1" si="0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HQ_L3_1</v>
      </c>
      <c r="N4" s="151" t="str">
        <f t="shared" ca="1" si="0"/>
        <v>HQ_L3_2</v>
      </c>
      <c r="O4" s="151" t="str">
        <f t="shared" ca="1" si="0"/>
        <v>BR_L3_1</v>
      </c>
      <c r="P4" s="151" t="str">
        <f t="shared" ca="1" si="0"/>
        <v>BR_L3_2</v>
      </c>
      <c r="Q4" s="151" t="str">
        <f t="shared" ca="1" si="0"/>
        <v>headquarter</v>
      </c>
      <c r="R4" s="151" t="str">
        <f t="shared" ca="1" si="0"/>
        <v>branch</v>
      </c>
      <c r="S4" s="151" t="str">
        <f t="shared" ca="1" si="0"/>
        <v>HQ_L4_1</v>
      </c>
      <c r="T4" s="151" t="str">
        <f t="shared" ca="1" si="0"/>
        <v>HQ_L4_2</v>
      </c>
      <c r="U4" s="151" t="str">
        <f t="shared" ca="1" si="0"/>
        <v>BR_L4_1</v>
      </c>
      <c r="V4" s="151" t="str">
        <f t="shared" ca="1" si="0"/>
        <v>BR_L4_2</v>
      </c>
    </row>
    <row r="5" spans="1:22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10</v>
      </c>
      <c r="G5" s="23">
        <f ca="1">COUNTIF($M5:INDIRECT(ADDRESS(ROW(),MATCH("",$4:$4,-1),1,1)),"조치완료(Y)")+COUNTIF($M5:INDIRECT(ADDRESS(ROW(),MATCH("",$4:$4,-1),1,1)),"Y")</f>
        <v>4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6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30</v>
      </c>
      <c r="L5" s="35">
        <f ca="1">VLOOKUP($D5,'parm(hidden)'!$B$8:$C$10,2,FALSE)*($G5+$H5)</f>
        <v>12</v>
      </c>
      <c r="M5" s="152" t="str">
        <f t="shared" ref="M5:V5" ca="1" si="1">HYPERLINK("["&amp;MID(CELL("filename"),SEARCH("[",CELL("filename"))+1,SEARCH("]",CELL("filename"))-SEARCH("[",CELL("filename"))-1)&amp;"]"&amp;ADDRESS(ROW()+16,8,1,TRUE,M$4),INDIRECT(ADDRESS(ROW()+16,8,1,TRUE,M$4)))</f>
        <v>N</v>
      </c>
      <c r="N5" s="152" t="str">
        <f t="shared" ca="1" si="1"/>
        <v>N</v>
      </c>
      <c r="O5" s="152" t="str">
        <f t="shared" ca="1" si="1"/>
        <v>N</v>
      </c>
      <c r="P5" s="152" t="str">
        <f t="shared" ca="1" si="1"/>
        <v>N</v>
      </c>
      <c r="Q5" s="152" t="str">
        <f t="shared" ca="1" si="1"/>
        <v>N</v>
      </c>
      <c r="R5" s="152" t="str">
        <f t="shared" ca="1" si="1"/>
        <v>N</v>
      </c>
      <c r="S5" s="152" t="str">
        <f t="shared" ca="1" si="1"/>
        <v>Y</v>
      </c>
      <c r="T5" s="152" t="str">
        <f t="shared" ca="1" si="1"/>
        <v>Y</v>
      </c>
      <c r="U5" s="152" t="str">
        <f t="shared" ca="1" si="1"/>
        <v>Y</v>
      </c>
      <c r="V5" s="152" t="str">
        <f t="shared" ca="1" si="1"/>
        <v>Y</v>
      </c>
    </row>
    <row r="6" spans="1:22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COUNTA($M6:INDIRECT(ADDRESS(ROW(),MATCH("",$4:$4,-1),1,1)))</f>
        <v>10</v>
      </c>
      <c r="G6" s="23">
        <f ca="1">COUNTIF($M6:INDIRECT(ADDRESS(ROW(),MATCH("",$4:$4,-1),1,1)),"조치완료(Y)")+COUNTIF($M6:INDIRECT(ADDRESS(ROW(),MATCH("",$4:$4,-1),1,1)),"Y")</f>
        <v>4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6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30</v>
      </c>
      <c r="L6" s="35">
        <f ca="1">VLOOKUP($D6,'parm(hidden)'!$B$8:$C$10,2,FALSE)*($G6+$H6)</f>
        <v>12</v>
      </c>
      <c r="M6" s="152" t="str">
        <f t="shared" ref="M6:V42" ca="1" si="2">HYPERLINK("["&amp;MID(CELL("filename"),SEARCH("[",CELL("filename"))+1,SEARCH("]",CELL("filename"))-SEARCH("[",CELL("filename"))-1)&amp;"]"&amp;ADDRESS(ROW()+16,8,1,TRUE,M$4),INDIRECT(ADDRESS(ROW()+16,8,1,TRUE,M$4)))</f>
        <v>N</v>
      </c>
      <c r="N6" s="152" t="str">
        <f t="shared" ca="1" si="2"/>
        <v>N</v>
      </c>
      <c r="O6" s="152" t="str">
        <f t="shared" ca="1" si="2"/>
        <v>N</v>
      </c>
      <c r="P6" s="152" t="str">
        <f t="shared" ca="1" si="2"/>
        <v>N</v>
      </c>
      <c r="Q6" s="152" t="str">
        <f t="shared" ca="1" si="2"/>
        <v>N</v>
      </c>
      <c r="R6" s="152" t="str">
        <f t="shared" ca="1" si="2"/>
        <v>N</v>
      </c>
      <c r="S6" s="152" t="str">
        <f t="shared" ca="1" si="2"/>
        <v>Y</v>
      </c>
      <c r="T6" s="152" t="str">
        <f t="shared" ca="1" si="2"/>
        <v>Y</v>
      </c>
      <c r="U6" s="152" t="str">
        <f t="shared" ca="1" si="2"/>
        <v>Y</v>
      </c>
      <c r="V6" s="152" t="str">
        <f t="shared" ca="1" si="2"/>
        <v>Y</v>
      </c>
    </row>
    <row r="7" spans="1:22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COUNTA($M7:INDIRECT(ADDRESS(ROW(),MATCH("",$4:$4,-1),1,1)))</f>
        <v>10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6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30</v>
      </c>
      <c r="L7" s="35">
        <f ca="1">VLOOKUP($D7,'parm(hidden)'!$B$8:$C$10,2,FALSE)*($G7+$H7)</f>
        <v>12</v>
      </c>
      <c r="M7" s="152" t="str">
        <f t="shared" ca="1" si="2"/>
        <v>N</v>
      </c>
      <c r="N7" s="152" t="str">
        <f t="shared" ca="1" si="2"/>
        <v>N</v>
      </c>
      <c r="O7" s="152" t="str">
        <f t="shared" ca="1" si="2"/>
        <v>N</v>
      </c>
      <c r="P7" s="152" t="str">
        <f t="shared" ca="1" si="2"/>
        <v>N</v>
      </c>
      <c r="Q7" s="152" t="str">
        <f t="shared" ca="1" si="2"/>
        <v>N</v>
      </c>
      <c r="R7" s="152" t="str">
        <f t="shared" ca="1" si="2"/>
        <v>N</v>
      </c>
      <c r="S7" s="152" t="str">
        <f t="shared" ca="1" si="2"/>
        <v>Y</v>
      </c>
      <c r="T7" s="152" t="str">
        <f t="shared" ca="1" si="2"/>
        <v>Y</v>
      </c>
      <c r="U7" s="152" t="str">
        <f t="shared" ca="1" si="2"/>
        <v>Y</v>
      </c>
      <c r="V7" s="152" t="str">
        <f t="shared" ca="1" si="2"/>
        <v>Y</v>
      </c>
    </row>
    <row r="8" spans="1:22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COUNTA($M8:INDIRECT(ADDRESS(ROW(),MATCH("",$4:$4,-1),1,1)))</f>
        <v>10</v>
      </c>
      <c r="G8" s="23">
        <f ca="1">COUNTIF($M8:INDIRECT(ADDRESS(ROW(),MATCH("",$4:$4,-1),1,1)),"조치완료(Y)")+COUNTIF($M8:INDIRECT(ADDRESS(ROW(),MATCH("",$4:$4,-1),1,1)),"Y")</f>
        <v>4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6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30</v>
      </c>
      <c r="L8" s="35">
        <f ca="1">VLOOKUP($D8,'parm(hidden)'!$B$8:$C$10,2,FALSE)*($G8+$H8)</f>
        <v>12</v>
      </c>
      <c r="M8" s="152" t="str">
        <f t="shared" ca="1" si="2"/>
        <v>N</v>
      </c>
      <c r="N8" s="152" t="str">
        <f t="shared" ca="1" si="2"/>
        <v>N</v>
      </c>
      <c r="O8" s="152" t="str">
        <f t="shared" ca="1" si="2"/>
        <v>N</v>
      </c>
      <c r="P8" s="152" t="str">
        <f t="shared" ca="1" si="2"/>
        <v>N</v>
      </c>
      <c r="Q8" s="152" t="str">
        <f t="shared" ca="1" si="2"/>
        <v>N</v>
      </c>
      <c r="R8" s="152" t="str">
        <f t="shared" ca="1" si="2"/>
        <v>N</v>
      </c>
      <c r="S8" s="152" t="str">
        <f t="shared" ca="1" si="2"/>
        <v>Y</v>
      </c>
      <c r="T8" s="152" t="str">
        <f t="shared" ca="1" si="2"/>
        <v>Y</v>
      </c>
      <c r="U8" s="152" t="str">
        <f t="shared" ca="1" si="2"/>
        <v>Y</v>
      </c>
      <c r="V8" s="152" t="str">
        <f t="shared" ca="1" si="2"/>
        <v>Y</v>
      </c>
    </row>
    <row r="9" spans="1:22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COUNTA($M9:INDIRECT(ADDRESS(ROW(),MATCH("",$4:$4,-1),1,1)))</f>
        <v>10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6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20</v>
      </c>
      <c r="L9" s="35">
        <f ca="1">VLOOKUP($D9,'parm(hidden)'!$B$8:$C$10,2,FALSE)*($G9+$H9)</f>
        <v>8</v>
      </c>
      <c r="M9" s="152" t="str">
        <f t="shared" ca="1" si="2"/>
        <v>N</v>
      </c>
      <c r="N9" s="152" t="str">
        <f t="shared" ca="1" si="2"/>
        <v>N</v>
      </c>
      <c r="O9" s="152" t="str">
        <f t="shared" ca="1" si="2"/>
        <v>N</v>
      </c>
      <c r="P9" s="152" t="str">
        <f t="shared" ca="1" si="2"/>
        <v>N</v>
      </c>
      <c r="Q9" s="152" t="str">
        <f t="shared" ca="1" si="2"/>
        <v>N</v>
      </c>
      <c r="R9" s="152" t="str">
        <f t="shared" ca="1" si="2"/>
        <v>N</v>
      </c>
      <c r="S9" s="152" t="str">
        <f t="shared" ca="1" si="2"/>
        <v>Y</v>
      </c>
      <c r="T9" s="152" t="str">
        <f t="shared" ca="1" si="2"/>
        <v>Y</v>
      </c>
      <c r="U9" s="152" t="str">
        <f t="shared" ca="1" si="2"/>
        <v>Y</v>
      </c>
      <c r="V9" s="152" t="str">
        <f t="shared" ca="1" si="2"/>
        <v>Y</v>
      </c>
    </row>
    <row r="10" spans="1:22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COUNTA($M10:INDIRECT(ADDRESS(ROW(),MATCH("",$4:$4,-1),1,1)))</f>
        <v>10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6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30</v>
      </c>
      <c r="L10" s="35">
        <f ca="1">VLOOKUP($D10,'parm(hidden)'!$B$8:$C$10,2,FALSE)*($G10+$H10)</f>
        <v>12</v>
      </c>
      <c r="M10" s="152" t="str">
        <f t="shared" ca="1" si="2"/>
        <v>N</v>
      </c>
      <c r="N10" s="152" t="str">
        <f t="shared" ca="1" si="2"/>
        <v>N</v>
      </c>
      <c r="O10" s="152" t="str">
        <f t="shared" ca="1" si="2"/>
        <v>N</v>
      </c>
      <c r="P10" s="152" t="str">
        <f t="shared" ca="1" si="2"/>
        <v>N</v>
      </c>
      <c r="Q10" s="152" t="str">
        <f t="shared" ca="1" si="2"/>
        <v>N</v>
      </c>
      <c r="R10" s="152" t="str">
        <f t="shared" ca="1" si="2"/>
        <v>N</v>
      </c>
      <c r="S10" s="152" t="str">
        <f t="shared" ca="1" si="2"/>
        <v>Y</v>
      </c>
      <c r="T10" s="152" t="str">
        <f t="shared" ca="1" si="2"/>
        <v>Y</v>
      </c>
      <c r="U10" s="152" t="str">
        <f t="shared" ca="1" si="2"/>
        <v>Y</v>
      </c>
      <c r="V10" s="152" t="str">
        <f t="shared" ca="1" si="2"/>
        <v>Y</v>
      </c>
    </row>
    <row r="11" spans="1:22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COUNTA($M11:INDIRECT(ADDRESS(ROW(),MATCH("",$4:$4,-1),1,1)))</f>
        <v>10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6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30</v>
      </c>
      <c r="L11" s="35">
        <f ca="1">VLOOKUP($D11,'parm(hidden)'!$B$8:$C$10,2,FALSE)*($G11+$H11)</f>
        <v>12</v>
      </c>
      <c r="M11" s="152" t="str">
        <f t="shared" ca="1" si="2"/>
        <v>N</v>
      </c>
      <c r="N11" s="156" t="str">
        <f t="shared" ca="1" si="2"/>
        <v>N</v>
      </c>
      <c r="O11" s="157" t="str">
        <f ca="1">HYPERLINK("["&amp;MID(CELL("filename"),SEARCH("[",CELL("filename"))+1,SEARCH("]",CELL("filename"))-SEARCH("[",CELL("filename"))-1)&amp;"]"&amp;ADDRESS(ROW()+16,8,1,TRUE,O$4),INDIRECT(ADDRESS(ROW()+16,8,1,TRUE,O$4)))</f>
        <v>N</v>
      </c>
      <c r="P11" s="156" t="str">
        <f t="shared" ca="1" si="2"/>
        <v>N</v>
      </c>
      <c r="Q11" s="152" t="str">
        <f t="shared" ca="1" si="2"/>
        <v>N</v>
      </c>
      <c r="R11" s="157" t="str">
        <f ca="1">HYPERLINK("["&amp;MID(CELL("filename"),SEARCH("[",CELL("filename"))+1,SEARCH("]",CELL("filename"))-SEARCH("[",CELL("filename"))-1)&amp;"]"&amp;ADDRESS(ROW()+16,8,1,TRUE,R$4),INDIRECT(ADDRESS(ROW()+16,8,1,TRUE,R$4)))</f>
        <v>N</v>
      </c>
      <c r="S11" s="152" t="str">
        <f t="shared" ca="1" si="2"/>
        <v>Y</v>
      </c>
      <c r="T11" s="156" t="str">
        <f t="shared" ca="1" si="2"/>
        <v>Y</v>
      </c>
      <c r="U11" s="157" t="str">
        <f ca="1">HYPERLINK("["&amp;MID(CELL("filename"),SEARCH("[",CELL("filename"))+1,SEARCH("]",CELL("filename"))-SEARCH("[",CELL("filename"))-1)&amp;"]"&amp;ADDRESS(ROW()+16,8,1,TRUE,U$4),INDIRECT(ADDRESS(ROW()+16,8,1,TRUE,U$4)))</f>
        <v>Y</v>
      </c>
      <c r="V11" s="156" t="str">
        <f t="shared" ca="1" si="2"/>
        <v>Y</v>
      </c>
    </row>
    <row r="12" spans="1:22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COUNTA($M12:INDIRECT(ADDRESS(ROW(),MATCH("",$4:$4,-1),1,1)))</f>
        <v>10</v>
      </c>
      <c r="G12" s="23">
        <f ca="1">COUNTIF($M12:INDIRECT(ADDRESS(ROW(),MATCH("",$4:$4,-1),1,1)),"조치완료(Y)")+COUNTIF($M12:INDIRECT(ADDRESS(ROW(),MATCH("",$4:$4,-1),1,1)),"Y")</f>
        <v>4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6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20</v>
      </c>
      <c r="L12" s="35">
        <f ca="1">VLOOKUP($D12,'parm(hidden)'!$B$8:$C$10,2,FALSE)*($G12+$H12)</f>
        <v>8</v>
      </c>
      <c r="M12" s="152" t="str">
        <f t="shared" ca="1" si="2"/>
        <v>N</v>
      </c>
      <c r="N12" s="152" t="str">
        <f t="shared" ca="1" si="2"/>
        <v>N</v>
      </c>
      <c r="O12" s="152" t="str">
        <f t="shared" ca="1" si="2"/>
        <v>N</v>
      </c>
      <c r="P12" s="152" t="str">
        <f t="shared" ca="1" si="2"/>
        <v>N</v>
      </c>
      <c r="Q12" s="152" t="str">
        <f t="shared" ca="1" si="2"/>
        <v>N</v>
      </c>
      <c r="R12" s="152" t="str">
        <f t="shared" ca="1" si="2"/>
        <v>N</v>
      </c>
      <c r="S12" s="152" t="str">
        <f t="shared" ca="1" si="2"/>
        <v>Y</v>
      </c>
      <c r="T12" s="152" t="str">
        <f t="shared" ca="1" si="2"/>
        <v>Y</v>
      </c>
      <c r="U12" s="152" t="str">
        <f t="shared" ca="1" si="2"/>
        <v>Y</v>
      </c>
      <c r="V12" s="152" t="str">
        <f t="shared" ca="1" si="2"/>
        <v>Y</v>
      </c>
    </row>
    <row r="13" spans="1:22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COUNTA($M13:INDIRECT(ADDRESS(ROW(),MATCH("",$4:$4,-1),1,1)))</f>
        <v>10</v>
      </c>
      <c r="G13" s="23">
        <f ca="1">COUNTIF($M13:INDIRECT(ADDRESS(ROW(),MATCH("",$4:$4,-1),1,1)),"조치완료(Y)")+COUNTIF($M13:INDIRECT(ADDRESS(ROW(),MATCH("",$4:$4,-1),1,1)),"Y")</f>
        <v>4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6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20</v>
      </c>
      <c r="L13" s="35">
        <f ca="1">VLOOKUP($D13,'parm(hidden)'!$B$8:$C$10,2,FALSE)*($G13+$H13)</f>
        <v>8</v>
      </c>
      <c r="M13" s="152" t="str">
        <f t="shared" ca="1" si="2"/>
        <v>N</v>
      </c>
      <c r="N13" s="152" t="str">
        <f t="shared" ca="1" si="2"/>
        <v>N</v>
      </c>
      <c r="O13" s="152" t="str">
        <f t="shared" ca="1" si="2"/>
        <v>N</v>
      </c>
      <c r="P13" s="152" t="str">
        <f t="shared" ca="1" si="2"/>
        <v>N</v>
      </c>
      <c r="Q13" s="152" t="str">
        <f t="shared" ca="1" si="2"/>
        <v>N</v>
      </c>
      <c r="R13" s="152" t="str">
        <f t="shared" ca="1" si="2"/>
        <v>N</v>
      </c>
      <c r="S13" s="152" t="str">
        <f t="shared" ca="1" si="2"/>
        <v>Y</v>
      </c>
      <c r="T13" s="152" t="str">
        <f t="shared" ca="1" si="2"/>
        <v>Y</v>
      </c>
      <c r="U13" s="152" t="str">
        <f t="shared" ca="1" si="2"/>
        <v>Y</v>
      </c>
      <c r="V13" s="152" t="str">
        <f t="shared" ca="1" si="2"/>
        <v>Y</v>
      </c>
    </row>
    <row r="14" spans="1:22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COUNTA($M14:INDIRECT(ADDRESS(ROW(),MATCH("",$4:$4,-1),1,1)))</f>
        <v>10</v>
      </c>
      <c r="G14" s="23">
        <f ca="1">COUNTIF($M14:INDIRECT(ADDRESS(ROW(),MATCH("",$4:$4,-1),1,1)),"조치완료(Y)")+COUNTIF($M14:INDIRECT(ADDRESS(ROW(),MATCH("",$4:$4,-1),1,1)),"Y")</f>
        <v>0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20</v>
      </c>
      <c r="L14" s="35">
        <f ca="1">VLOOKUP($D14,'parm(hidden)'!$B$8:$C$10,2,FALSE)*($G14+$H14)</f>
        <v>0</v>
      </c>
      <c r="M14" s="152" t="str">
        <f t="shared" ca="1" si="2"/>
        <v>인터뷰</v>
      </c>
      <c r="N14" s="152" t="str">
        <f t="shared" ca="1" si="2"/>
        <v>인터뷰</v>
      </c>
      <c r="O14" s="152" t="str">
        <f t="shared" ca="1" si="2"/>
        <v>인터뷰</v>
      </c>
      <c r="P14" s="152" t="str">
        <f t="shared" ca="1" si="2"/>
        <v>인터뷰</v>
      </c>
      <c r="Q14" s="152" t="str">
        <f t="shared" ca="1" si="2"/>
        <v>인터뷰</v>
      </c>
      <c r="R14" s="152" t="str">
        <f t="shared" ca="1" si="2"/>
        <v>인터뷰</v>
      </c>
      <c r="S14" s="152" t="str">
        <f t="shared" ca="1" si="2"/>
        <v>인터뷰</v>
      </c>
      <c r="T14" s="152" t="str">
        <f t="shared" ca="1" si="2"/>
        <v>인터뷰</v>
      </c>
      <c r="U14" s="152" t="str">
        <f t="shared" ca="1" si="2"/>
        <v>인터뷰</v>
      </c>
      <c r="V14" s="152" t="str">
        <f t="shared" ca="1" si="2"/>
        <v>인터뷰</v>
      </c>
    </row>
    <row r="15" spans="1:22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COUNTA($M15:INDIRECT(ADDRESS(ROW(),MATCH("",$4:$4,-1),1,1)))</f>
        <v>10</v>
      </c>
      <c r="G15" s="23">
        <f ca="1">COUNTIF($M15:INDIRECT(ADDRESS(ROW(),MATCH("",$4:$4,-1),1,1)),"조치완료(Y)")+COUNTIF($M15:INDIRECT(ADDRESS(ROW(),MATCH("",$4:$4,-1),1,1)),"Y")</f>
        <v>4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6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20</v>
      </c>
      <c r="L15" s="35">
        <f ca="1">VLOOKUP($D15,'parm(hidden)'!$B$8:$C$10,2,FALSE)*($G15+$H15)</f>
        <v>8</v>
      </c>
      <c r="M15" s="152" t="str">
        <f t="shared" ca="1" si="2"/>
        <v>N</v>
      </c>
      <c r="N15" s="152" t="str">
        <f t="shared" ca="1" si="2"/>
        <v>N</v>
      </c>
      <c r="O15" s="152" t="str">
        <f t="shared" ca="1" si="2"/>
        <v>N</v>
      </c>
      <c r="P15" s="152" t="str">
        <f t="shared" ca="1" si="2"/>
        <v>N</v>
      </c>
      <c r="Q15" s="152" t="str">
        <f t="shared" ca="1" si="2"/>
        <v>N</v>
      </c>
      <c r="R15" s="152" t="str">
        <f t="shared" ca="1" si="2"/>
        <v>N</v>
      </c>
      <c r="S15" s="152" t="str">
        <f t="shared" ref="S15:V42" ca="1" si="3">HYPERLINK("["&amp;MID(CELL("filename"),SEARCH("[",CELL("filename"))+1,SEARCH("]",CELL("filename"))-SEARCH("[",CELL("filename"))-1)&amp;"]"&amp;ADDRESS(ROW()+16,8,1,TRUE,S$4),INDIRECT(ADDRESS(ROW()+16,8,1,TRUE,S$4)))</f>
        <v>Y</v>
      </c>
      <c r="T15" s="152" t="str">
        <f t="shared" ca="1" si="3"/>
        <v>Y</v>
      </c>
      <c r="U15" s="152" t="str">
        <f t="shared" ca="1" si="3"/>
        <v>Y</v>
      </c>
      <c r="V15" s="152" t="str">
        <f t="shared" ca="1" si="3"/>
        <v>Y</v>
      </c>
    </row>
    <row r="16" spans="1:22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COUNTA($M16:INDIRECT(ADDRESS(ROW(),MATCH("",$4:$4,-1),1,1)))</f>
        <v>10</v>
      </c>
      <c r="G16" s="23">
        <f ca="1">COUNTIF($M16:INDIRECT(ADDRESS(ROW(),MATCH("",$4:$4,-1),1,1)),"조치완료(Y)")+COUNTIF($M16:INDIRECT(ADDRESS(ROW(),MATCH("",$4:$4,-1),1,1)),"Y")</f>
        <v>4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6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30</v>
      </c>
      <c r="L16" s="35">
        <f ca="1">VLOOKUP($D16,'parm(hidden)'!$B$8:$C$10,2,FALSE)*($G16+$H16)</f>
        <v>12</v>
      </c>
      <c r="M16" s="152" t="str">
        <f t="shared" ca="1" si="2"/>
        <v>N</v>
      </c>
      <c r="N16" s="152" t="str">
        <f t="shared" ca="1" si="2"/>
        <v>N</v>
      </c>
      <c r="O16" s="152" t="str">
        <f t="shared" ca="1" si="2"/>
        <v>N</v>
      </c>
      <c r="P16" s="152" t="str">
        <f t="shared" ca="1" si="2"/>
        <v>N</v>
      </c>
      <c r="Q16" s="152" t="str">
        <f t="shared" ca="1" si="2"/>
        <v>N</v>
      </c>
      <c r="R16" s="152" t="str">
        <f t="shared" ca="1" si="2"/>
        <v>N</v>
      </c>
      <c r="S16" s="152" t="str">
        <f t="shared" ca="1" si="3"/>
        <v>Y</v>
      </c>
      <c r="T16" s="152" t="str">
        <f t="shared" ca="1" si="3"/>
        <v>Y</v>
      </c>
      <c r="U16" s="152" t="str">
        <f t="shared" ca="1" si="3"/>
        <v>Y</v>
      </c>
      <c r="V16" s="152" t="str">
        <f t="shared" ca="1" si="3"/>
        <v>Y</v>
      </c>
    </row>
    <row r="17" spans="1:22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COUNTA($M17:INDIRECT(ADDRESS(ROW(),MATCH("",$4:$4,-1),1,1)))</f>
        <v>10</v>
      </c>
      <c r="G17" s="23">
        <f ca="1">COUNTIF($M17:INDIRECT(ADDRESS(ROW(),MATCH("",$4:$4,-1),1,1)),"조치완료(Y)")+COUNTIF($M17:INDIRECT(ADDRESS(ROW(),MATCH("",$4:$4,-1),1,1)),"Y")</f>
        <v>0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20</v>
      </c>
      <c r="L17" s="35">
        <f ca="1">VLOOKUP($D17,'parm(hidden)'!$B$8:$C$10,2,FALSE)*($G17+$H17)</f>
        <v>0</v>
      </c>
      <c r="M17" s="152" t="str">
        <f t="shared" ca="1" si="2"/>
        <v>인터뷰</v>
      </c>
      <c r="N17" s="152" t="str">
        <f t="shared" ca="1" si="2"/>
        <v>인터뷰</v>
      </c>
      <c r="O17" s="152" t="str">
        <f t="shared" ca="1" si="2"/>
        <v>인터뷰</v>
      </c>
      <c r="P17" s="152" t="str">
        <f t="shared" ca="1" si="2"/>
        <v>인터뷰</v>
      </c>
      <c r="Q17" s="152" t="str">
        <f t="shared" ca="1" si="2"/>
        <v>인터뷰</v>
      </c>
      <c r="R17" s="152" t="str">
        <f t="shared" ca="1" si="2"/>
        <v>인터뷰</v>
      </c>
      <c r="S17" s="152" t="str">
        <f t="shared" ca="1" si="3"/>
        <v>인터뷰</v>
      </c>
      <c r="T17" s="152" t="str">
        <f t="shared" ca="1" si="3"/>
        <v>인터뷰</v>
      </c>
      <c r="U17" s="152" t="str">
        <f t="shared" ca="1" si="3"/>
        <v>인터뷰</v>
      </c>
      <c r="V17" s="152" t="str">
        <f t="shared" ca="1" si="3"/>
        <v>인터뷰</v>
      </c>
    </row>
    <row r="18" spans="1:22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COUNTA($M18:INDIRECT(ADDRESS(ROW(),MATCH("",$4:$4,-1),1,1)))</f>
        <v>10</v>
      </c>
      <c r="G18" s="23">
        <f ca="1">COUNTIF($M18:INDIRECT(ADDRESS(ROW(),MATCH("",$4:$4,-1),1,1)),"조치완료(Y)")+COUNTIF($M18:INDIRECT(ADDRESS(ROW(),MATCH("",$4:$4,-1),1,1)),"Y")</f>
        <v>4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6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20</v>
      </c>
      <c r="L18" s="35">
        <f ca="1">VLOOKUP($D18,'parm(hidden)'!$B$8:$C$10,2,FALSE)*($G18+$H18)</f>
        <v>8</v>
      </c>
      <c r="M18" s="152" t="str">
        <f t="shared" ca="1" si="2"/>
        <v>N</v>
      </c>
      <c r="N18" s="152" t="str">
        <f t="shared" ca="1" si="2"/>
        <v>N</v>
      </c>
      <c r="O18" s="152" t="str">
        <f t="shared" ca="1" si="2"/>
        <v>N</v>
      </c>
      <c r="P18" s="152" t="str">
        <f t="shared" ca="1" si="2"/>
        <v>N</v>
      </c>
      <c r="Q18" s="152" t="str">
        <f t="shared" ca="1" si="2"/>
        <v>N</v>
      </c>
      <c r="R18" s="152" t="str">
        <f t="shared" ca="1" si="2"/>
        <v>N</v>
      </c>
      <c r="S18" s="152" t="str">
        <f t="shared" ca="1" si="3"/>
        <v>Y</v>
      </c>
      <c r="T18" s="152" t="str">
        <f t="shared" ca="1" si="3"/>
        <v>Y</v>
      </c>
      <c r="U18" s="152" t="str">
        <f t="shared" ca="1" si="3"/>
        <v>Y</v>
      </c>
      <c r="V18" s="152" t="str">
        <f t="shared" ca="1" si="3"/>
        <v>Y</v>
      </c>
    </row>
    <row r="19" spans="1:22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COUNTA($M19:INDIRECT(ADDRESS(ROW(),MATCH("",$4:$4,-1),1,1)))</f>
        <v>10</v>
      </c>
      <c r="G19" s="23">
        <f ca="1">COUNTIF($M19:INDIRECT(ADDRESS(ROW(),MATCH("",$4:$4,-1),1,1)),"조치완료(Y)")+COUNTIF($M19:INDIRECT(ADDRESS(ROW(),MATCH("",$4:$4,-1),1,1)),"Y")</f>
        <v>4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6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20</v>
      </c>
      <c r="L19" s="35">
        <f ca="1">VLOOKUP($D19,'parm(hidden)'!$B$8:$C$10,2,FALSE)*($G19+$H19)</f>
        <v>8</v>
      </c>
      <c r="M19" s="152" t="str">
        <f t="shared" ca="1" si="2"/>
        <v>N</v>
      </c>
      <c r="N19" s="152" t="str">
        <f t="shared" ca="1" si="2"/>
        <v>N</v>
      </c>
      <c r="O19" s="152" t="str">
        <f t="shared" ca="1" si="2"/>
        <v>N</v>
      </c>
      <c r="P19" s="152" t="str">
        <f t="shared" ca="1" si="2"/>
        <v>N</v>
      </c>
      <c r="Q19" s="152" t="str">
        <f t="shared" ca="1" si="2"/>
        <v>N</v>
      </c>
      <c r="R19" s="152" t="str">
        <f t="shared" ca="1" si="2"/>
        <v>N</v>
      </c>
      <c r="S19" s="152" t="str">
        <f t="shared" ca="1" si="3"/>
        <v>Y</v>
      </c>
      <c r="T19" s="152" t="str">
        <f t="shared" ca="1" si="3"/>
        <v>Y</v>
      </c>
      <c r="U19" s="152" t="str">
        <f t="shared" ca="1" si="3"/>
        <v>Y</v>
      </c>
      <c r="V19" s="152" t="str">
        <f t="shared" ca="1" si="3"/>
        <v>Y</v>
      </c>
    </row>
    <row r="20" spans="1:22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COUNTA($M20:INDIRECT(ADDRESS(ROW(),MATCH("",$4:$4,-1),1,1)))</f>
        <v>10</v>
      </c>
      <c r="G20" s="23">
        <f ca="1">COUNTIF($M20:INDIRECT(ADDRESS(ROW(),MATCH("",$4:$4,-1),1,1)),"조치완료(Y)")+COUNTIF($M20:INDIRECT(ADDRESS(ROW(),MATCH("",$4:$4,-1),1,1)),"Y")</f>
        <v>10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10</v>
      </c>
      <c r="L20" s="35">
        <f ca="1">VLOOKUP($D20,'parm(hidden)'!$B$8:$C$10,2,FALSE)*($G20+$H20)</f>
        <v>10</v>
      </c>
      <c r="M20" s="152" t="str">
        <f t="shared" ca="1" si="2"/>
        <v>Y</v>
      </c>
      <c r="N20" s="152" t="str">
        <f t="shared" ca="1" si="2"/>
        <v>Y</v>
      </c>
      <c r="O20" s="152" t="str">
        <f t="shared" ca="1" si="2"/>
        <v>Y</v>
      </c>
      <c r="P20" s="152" t="str">
        <f t="shared" ca="1" si="2"/>
        <v>Y</v>
      </c>
      <c r="Q20" s="152" t="str">
        <f t="shared" ca="1" si="2"/>
        <v>Y</v>
      </c>
      <c r="R20" s="152" t="str">
        <f t="shared" ca="1" si="2"/>
        <v>Y</v>
      </c>
      <c r="S20" s="152" t="str">
        <f t="shared" ca="1" si="3"/>
        <v>Y</v>
      </c>
      <c r="T20" s="152" t="str">
        <f t="shared" ca="1" si="3"/>
        <v>Y</v>
      </c>
      <c r="U20" s="152" t="str">
        <f t="shared" ca="1" si="3"/>
        <v>Y</v>
      </c>
      <c r="V20" s="152" t="str">
        <f t="shared" ca="1" si="3"/>
        <v>Y</v>
      </c>
    </row>
    <row r="21" spans="1:22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COUNTA($M21:INDIRECT(ADDRESS(ROW(),MATCH("",$4:$4,-1),1,1)))</f>
        <v>10</v>
      </c>
      <c r="G21" s="23">
        <f ca="1">COUNTIF($M21:INDIRECT(ADDRESS(ROW(),MATCH("",$4:$4,-1),1,1)),"조치완료(Y)")+COUNTIF($M21:INDIRECT(ADDRESS(ROW(),MATCH("",$4:$4,-1),1,1)),"Y")</f>
        <v>10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30</v>
      </c>
      <c r="L21" s="35">
        <f ca="1">VLOOKUP($D21,'parm(hidden)'!$B$8:$C$10,2,FALSE)*($G21+$H21)</f>
        <v>30</v>
      </c>
      <c r="M21" s="152" t="str">
        <f t="shared" ca="1" si="2"/>
        <v>Y</v>
      </c>
      <c r="N21" s="152" t="str">
        <f t="shared" ca="1" si="2"/>
        <v>Y</v>
      </c>
      <c r="O21" s="152" t="str">
        <f t="shared" ca="1" si="2"/>
        <v>Y</v>
      </c>
      <c r="P21" s="152" t="str">
        <f t="shared" ca="1" si="2"/>
        <v>Y</v>
      </c>
      <c r="Q21" s="152" t="str">
        <f t="shared" ca="1" si="2"/>
        <v>Y</v>
      </c>
      <c r="R21" s="152" t="str">
        <f t="shared" ca="1" si="2"/>
        <v>Y</v>
      </c>
      <c r="S21" s="152" t="str">
        <f t="shared" ca="1" si="3"/>
        <v>Y</v>
      </c>
      <c r="T21" s="152" t="str">
        <f t="shared" ca="1" si="3"/>
        <v>Y</v>
      </c>
      <c r="U21" s="152" t="str">
        <f t="shared" ca="1" si="3"/>
        <v>Y</v>
      </c>
      <c r="V21" s="152" t="str">
        <f t="shared" ca="1" si="3"/>
        <v>Y</v>
      </c>
    </row>
    <row r="22" spans="1:22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COUNTA($M22:INDIRECT(ADDRESS(ROW(),MATCH("",$4:$4,-1),1,1)))</f>
        <v>10</v>
      </c>
      <c r="G22" s="23">
        <f ca="1">COUNTIF($M22:INDIRECT(ADDRESS(ROW(),MATCH("",$4:$4,-1),1,1)),"조치완료(Y)")+COUNTIF($M22:INDIRECT(ADDRESS(ROW(),MATCH("",$4:$4,-1),1,1)),"Y")</f>
        <v>10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30</v>
      </c>
      <c r="L22" s="35">
        <f ca="1">VLOOKUP($D22,'parm(hidden)'!$B$8:$C$10,2,FALSE)*($G22+$H22)</f>
        <v>30</v>
      </c>
      <c r="M22" s="152" t="str">
        <f t="shared" ca="1" si="2"/>
        <v>Y</v>
      </c>
      <c r="N22" s="152" t="str">
        <f t="shared" ca="1" si="2"/>
        <v>Y</v>
      </c>
      <c r="O22" s="152" t="str">
        <f t="shared" ca="1" si="2"/>
        <v>Y</v>
      </c>
      <c r="P22" s="152" t="str">
        <f t="shared" ca="1" si="2"/>
        <v>Y</v>
      </c>
      <c r="Q22" s="152" t="str">
        <f t="shared" ca="1" si="2"/>
        <v>Y</v>
      </c>
      <c r="R22" s="152" t="str">
        <f t="shared" ca="1" si="2"/>
        <v>Y</v>
      </c>
      <c r="S22" s="152" t="str">
        <f t="shared" ca="1" si="3"/>
        <v>Y</v>
      </c>
      <c r="T22" s="152" t="str">
        <f t="shared" ca="1" si="3"/>
        <v>Y</v>
      </c>
      <c r="U22" s="152" t="str">
        <f t="shared" ca="1" si="3"/>
        <v>Y</v>
      </c>
      <c r="V22" s="152" t="str">
        <f t="shared" ca="1" si="3"/>
        <v>Y</v>
      </c>
    </row>
    <row r="23" spans="1:22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COUNTA($M23:INDIRECT(ADDRESS(ROW(),MATCH("",$4:$4,-1),1,1)))</f>
        <v>10</v>
      </c>
      <c r="G23" s="23">
        <f ca="1">COUNTIF($M23:INDIRECT(ADDRESS(ROW(),MATCH("",$4:$4,-1),1,1)),"조치완료(Y)")+COUNTIF($M23:INDIRECT(ADDRESS(ROW(),MATCH("",$4:$4,-1),1,1)),"Y")</f>
        <v>10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30</v>
      </c>
      <c r="L23" s="35">
        <f ca="1">VLOOKUP($D23,'parm(hidden)'!$B$8:$C$10,2,FALSE)*($G23+$H23)</f>
        <v>30</v>
      </c>
      <c r="M23" s="152" t="str">
        <f t="shared" ca="1" si="2"/>
        <v>Y</v>
      </c>
      <c r="N23" s="152" t="str">
        <f t="shared" ca="1" si="2"/>
        <v>Y</v>
      </c>
      <c r="O23" s="152" t="str">
        <f t="shared" ca="1" si="2"/>
        <v>Y</v>
      </c>
      <c r="P23" s="152" t="str">
        <f t="shared" ca="1" si="2"/>
        <v>Y</v>
      </c>
      <c r="Q23" s="152" t="str">
        <f t="shared" ca="1" si="2"/>
        <v>Y</v>
      </c>
      <c r="R23" s="152" t="str">
        <f t="shared" ca="1" si="2"/>
        <v>Y</v>
      </c>
      <c r="S23" s="152" t="str">
        <f t="shared" ca="1" si="3"/>
        <v>Y</v>
      </c>
      <c r="T23" s="152" t="str">
        <f t="shared" ca="1" si="3"/>
        <v>Y</v>
      </c>
      <c r="U23" s="152" t="str">
        <f t="shared" ca="1" si="3"/>
        <v>Y</v>
      </c>
      <c r="V23" s="152" t="str">
        <f t="shared" ca="1" si="3"/>
        <v>Y</v>
      </c>
    </row>
    <row r="24" spans="1:22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COUNTA($M24:INDIRECT(ADDRESS(ROW(),MATCH("",$4:$4,-1),1,1)))</f>
        <v>10</v>
      </c>
      <c r="G24" s="23">
        <f ca="1">COUNTIF($M24:INDIRECT(ADDRESS(ROW(),MATCH("",$4:$4,-1),1,1)),"조치완료(Y)")+COUNTIF($M24:INDIRECT(ADDRESS(ROW(),MATCH("",$4:$4,-1),1,1)),"Y")</f>
        <v>4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4</v>
      </c>
      <c r="J24" s="23">
        <f ca="1">COUNTIF($M24:INDIRECT(ADDRESS(ROW(),MATCH("",$4:$4,-1),1,1)),"N/A")+COUNTIF($M24:INDIRECT(ADDRESS(ROW(),MATCH("",$4:$4,-1),1,1)),"조치완료(N/A)")</f>
        <v>2</v>
      </c>
      <c r="K24" s="23">
        <f ca="1">VLOOKUP($D24,'parm(hidden)'!$B$8:$C$10,2,FALSE)*($F24-$J24)</f>
        <v>24</v>
      </c>
      <c r="L24" s="35">
        <f ca="1">VLOOKUP($D24,'parm(hidden)'!$B$8:$C$10,2,FALSE)*($G24+$H24)</f>
        <v>12</v>
      </c>
      <c r="M24" s="152" t="str">
        <f t="shared" ca="1" si="2"/>
        <v>N</v>
      </c>
      <c r="N24" s="152" t="str">
        <f t="shared" ca="1" si="2"/>
        <v>N</v>
      </c>
      <c r="O24" s="152" t="str">
        <f t="shared" ca="1" si="2"/>
        <v>N</v>
      </c>
      <c r="P24" s="152" t="str">
        <f t="shared" ca="1" si="2"/>
        <v>N</v>
      </c>
      <c r="Q24" s="152" t="str">
        <f t="shared" ca="1" si="2"/>
        <v>N/A</v>
      </c>
      <c r="R24" s="152" t="str">
        <f t="shared" ca="1" si="2"/>
        <v>N/A</v>
      </c>
      <c r="S24" s="152" t="str">
        <f t="shared" ca="1" si="3"/>
        <v>Y</v>
      </c>
      <c r="T24" s="152" t="str">
        <f t="shared" ca="1" si="3"/>
        <v>Y</v>
      </c>
      <c r="U24" s="152" t="str">
        <f t="shared" ca="1" si="3"/>
        <v>Y</v>
      </c>
      <c r="V24" s="152" t="str">
        <f t="shared" ca="1" si="3"/>
        <v>Y</v>
      </c>
    </row>
    <row r="25" spans="1:22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COUNTA($M25:INDIRECT(ADDRESS(ROW(),MATCH("",$4:$4,-1),1,1)))</f>
        <v>10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6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30</v>
      </c>
      <c r="L25" s="35">
        <f ca="1">VLOOKUP($D25,'parm(hidden)'!$B$8:$C$10,2,FALSE)*($G25+$H25)</f>
        <v>0</v>
      </c>
      <c r="M25" s="152" t="str">
        <f t="shared" ca="1" si="2"/>
        <v>N</v>
      </c>
      <c r="N25" s="152" t="str">
        <f t="shared" ca="1" si="2"/>
        <v>N</v>
      </c>
      <c r="O25" s="152" t="str">
        <f t="shared" ca="1" si="2"/>
        <v>N</v>
      </c>
      <c r="P25" s="152" t="str">
        <f t="shared" ca="1" si="2"/>
        <v>N</v>
      </c>
      <c r="Q25" s="152" t="str">
        <f t="shared" ca="1" si="2"/>
        <v>N</v>
      </c>
      <c r="R25" s="152" t="str">
        <f t="shared" ca="1" si="2"/>
        <v>N</v>
      </c>
      <c r="S25" s="152" t="str">
        <f t="shared" ca="1" si="3"/>
        <v>인터뷰</v>
      </c>
      <c r="T25" s="152" t="str">
        <f t="shared" ca="1" si="3"/>
        <v>인터뷰</v>
      </c>
      <c r="U25" s="152" t="str">
        <f t="shared" ca="1" si="3"/>
        <v>인터뷰</v>
      </c>
      <c r="V25" s="152" t="str">
        <f t="shared" ca="1" si="3"/>
        <v>인터뷰</v>
      </c>
    </row>
    <row r="26" spans="1:22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COUNTA($M26:INDIRECT(ADDRESS(ROW(),MATCH("",$4:$4,-1),1,1)))</f>
        <v>10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6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30</v>
      </c>
      <c r="L26" s="35">
        <f ca="1">VLOOKUP($D26,'parm(hidden)'!$B$8:$C$10,2,FALSE)*($G26+$H26)</f>
        <v>0</v>
      </c>
      <c r="M26" s="152" t="str">
        <f t="shared" ca="1" si="2"/>
        <v>N</v>
      </c>
      <c r="N26" s="152" t="str">
        <f t="shared" ca="1" si="2"/>
        <v>N</v>
      </c>
      <c r="O26" s="152" t="str">
        <f t="shared" ca="1" si="2"/>
        <v>N</v>
      </c>
      <c r="P26" s="152" t="str">
        <f t="shared" ca="1" si="2"/>
        <v>N</v>
      </c>
      <c r="Q26" s="152" t="str">
        <f t="shared" ca="1" si="2"/>
        <v>N</v>
      </c>
      <c r="R26" s="152" t="str">
        <f t="shared" ca="1" si="2"/>
        <v>N</v>
      </c>
      <c r="S26" s="152" t="str">
        <f t="shared" ca="1" si="3"/>
        <v>인터뷰</v>
      </c>
      <c r="T26" s="152" t="str">
        <f t="shared" ca="1" si="3"/>
        <v>인터뷰</v>
      </c>
      <c r="U26" s="152" t="str">
        <f t="shared" ca="1" si="3"/>
        <v>인터뷰</v>
      </c>
      <c r="V26" s="152" t="str">
        <f t="shared" ca="1" si="3"/>
        <v>인터뷰</v>
      </c>
    </row>
    <row r="27" spans="1:22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COUNTA($M27:INDIRECT(ADDRESS(ROW(),MATCH("",$4:$4,-1),1,1)))</f>
        <v>10</v>
      </c>
      <c r="G27" s="23">
        <f ca="1">COUNTIF($M27:INDIRECT(ADDRESS(ROW(),MATCH("",$4:$4,-1),1,1)),"조치완료(Y)")+COUNTIF($M27:INDIRECT(ADDRESS(ROW(),MATCH("",$4:$4,-1),1,1)),"Y")</f>
        <v>4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6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30</v>
      </c>
      <c r="L27" s="35">
        <f ca="1">VLOOKUP($D27,'parm(hidden)'!$B$8:$C$10,2,FALSE)*($G27+$H27)</f>
        <v>12</v>
      </c>
      <c r="M27" s="152" t="str">
        <f t="shared" ca="1" si="2"/>
        <v>N</v>
      </c>
      <c r="N27" s="152" t="str">
        <f t="shared" ca="1" si="2"/>
        <v>N</v>
      </c>
      <c r="O27" s="152" t="str">
        <f t="shared" ca="1" si="2"/>
        <v>N</v>
      </c>
      <c r="P27" s="152" t="str">
        <f t="shared" ca="1" si="2"/>
        <v>N</v>
      </c>
      <c r="Q27" s="152" t="str">
        <f t="shared" ca="1" si="2"/>
        <v>N</v>
      </c>
      <c r="R27" s="152" t="str">
        <f t="shared" ca="1" si="2"/>
        <v>N</v>
      </c>
      <c r="S27" s="152" t="str">
        <f t="shared" ca="1" si="3"/>
        <v>Y</v>
      </c>
      <c r="T27" s="152" t="str">
        <f t="shared" ca="1" si="3"/>
        <v>Y</v>
      </c>
      <c r="U27" s="152" t="str">
        <f t="shared" ca="1" si="3"/>
        <v>Y</v>
      </c>
      <c r="V27" s="152" t="str">
        <f t="shared" ca="1" si="3"/>
        <v>Y</v>
      </c>
    </row>
    <row r="28" spans="1:22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COUNTA($M28:INDIRECT(ADDRESS(ROW(),MATCH("",$4:$4,-1),1,1)))</f>
        <v>10</v>
      </c>
      <c r="G28" s="23">
        <f ca="1">COUNTIF($M28:INDIRECT(ADDRESS(ROW(),MATCH("",$4:$4,-1),1,1)),"조치완료(Y)")+COUNTIF($M28:INDIRECT(ADDRESS(ROW(),MATCH("",$4:$4,-1),1,1)),"Y")</f>
        <v>4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4</v>
      </c>
      <c r="J28" s="23">
        <f ca="1">COUNTIF($M28:INDIRECT(ADDRESS(ROW(),MATCH("",$4:$4,-1),1,1)),"N/A")+COUNTIF($M28:INDIRECT(ADDRESS(ROW(),MATCH("",$4:$4,-1),1,1)),"조치완료(N/A)")</f>
        <v>2</v>
      </c>
      <c r="K28" s="23">
        <f ca="1">VLOOKUP($D28,'parm(hidden)'!$B$8:$C$10,2,FALSE)*($F28-$J28)</f>
        <v>24</v>
      </c>
      <c r="L28" s="35">
        <f ca="1">VLOOKUP($D28,'parm(hidden)'!$B$8:$C$10,2,FALSE)*($G28+$H28)</f>
        <v>12</v>
      </c>
      <c r="M28" s="152" t="str">
        <f t="shared" ca="1" si="2"/>
        <v>N</v>
      </c>
      <c r="N28" s="152" t="str">
        <f t="shared" ca="1" si="2"/>
        <v>N</v>
      </c>
      <c r="O28" s="152" t="str">
        <f t="shared" ca="1" si="2"/>
        <v>N</v>
      </c>
      <c r="P28" s="152" t="str">
        <f t="shared" ca="1" si="2"/>
        <v>N</v>
      </c>
      <c r="Q28" s="152" t="str">
        <f t="shared" ca="1" si="2"/>
        <v>N/A</v>
      </c>
      <c r="R28" s="152" t="str">
        <f t="shared" ca="1" si="2"/>
        <v>N/A</v>
      </c>
      <c r="S28" s="152" t="str">
        <f t="shared" ca="1" si="3"/>
        <v>Y</v>
      </c>
      <c r="T28" s="152" t="str">
        <f t="shared" ca="1" si="3"/>
        <v>Y</v>
      </c>
      <c r="U28" s="152" t="str">
        <f t="shared" ca="1" si="3"/>
        <v>Y</v>
      </c>
      <c r="V28" s="152" t="str">
        <f t="shared" ca="1" si="3"/>
        <v>Y</v>
      </c>
    </row>
    <row r="29" spans="1:22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COUNTA($M29:INDIRECT(ADDRESS(ROW(),MATCH("",$4:$4,-1),1,1)))</f>
        <v>10</v>
      </c>
      <c r="G29" s="23">
        <f ca="1">COUNTIF($M29:INDIRECT(ADDRESS(ROW(),MATCH("",$4:$4,-1),1,1)),"조치완료(Y)")+COUNTIF($M29:INDIRECT(ADDRESS(ROW(),MATCH("",$4:$4,-1),1,1)),"Y")</f>
        <v>4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4</v>
      </c>
      <c r="J29" s="23">
        <f ca="1">COUNTIF($M29:INDIRECT(ADDRESS(ROW(),MATCH("",$4:$4,-1),1,1)),"N/A")+COUNTIF($M29:INDIRECT(ADDRESS(ROW(),MATCH("",$4:$4,-1),1,1)),"조치완료(N/A)")</f>
        <v>2</v>
      </c>
      <c r="K29" s="23">
        <f ca="1">VLOOKUP($D29,'parm(hidden)'!$B$8:$C$10,2,FALSE)*($F29-$J29)</f>
        <v>16</v>
      </c>
      <c r="L29" s="35">
        <f ca="1">VLOOKUP($D29,'parm(hidden)'!$B$8:$C$10,2,FALSE)*($G29+$H29)</f>
        <v>8</v>
      </c>
      <c r="M29" s="152" t="str">
        <f t="shared" ca="1" si="2"/>
        <v>N</v>
      </c>
      <c r="N29" s="152" t="str">
        <f t="shared" ca="1" si="2"/>
        <v>N</v>
      </c>
      <c r="O29" s="152" t="str">
        <f t="shared" ca="1" si="2"/>
        <v>N</v>
      </c>
      <c r="P29" s="152" t="str">
        <f t="shared" ca="1" si="2"/>
        <v>N</v>
      </c>
      <c r="Q29" s="152" t="str">
        <f t="shared" ca="1" si="2"/>
        <v>N/A</v>
      </c>
      <c r="R29" s="152" t="str">
        <f t="shared" ca="1" si="2"/>
        <v>N/A</v>
      </c>
      <c r="S29" s="152" t="str">
        <f t="shared" ca="1" si="3"/>
        <v>Y</v>
      </c>
      <c r="T29" s="152" t="str">
        <f t="shared" ca="1" si="3"/>
        <v>Y</v>
      </c>
      <c r="U29" s="152" t="str">
        <f t="shared" ca="1" si="3"/>
        <v>Y</v>
      </c>
      <c r="V29" s="152" t="str">
        <f t="shared" ca="1" si="3"/>
        <v>Y</v>
      </c>
    </row>
    <row r="30" spans="1:22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COUNTA($M30:INDIRECT(ADDRESS(ROW(),MATCH("",$4:$4,-1),1,1)))</f>
        <v>10</v>
      </c>
      <c r="G30" s="23">
        <f ca="1">COUNTIF($M30:INDIRECT(ADDRESS(ROW(),MATCH("",$4:$4,-1),1,1)),"조치완료(Y)")+COUNTIF($M30:INDIRECT(ADDRESS(ROW(),MATCH("",$4:$4,-1),1,1)),"Y")</f>
        <v>4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4</v>
      </c>
      <c r="J30" s="23">
        <f ca="1">COUNTIF($M30:INDIRECT(ADDRESS(ROW(),MATCH("",$4:$4,-1),1,1)),"N/A")+COUNTIF($M30:INDIRECT(ADDRESS(ROW(),MATCH("",$4:$4,-1),1,1)),"조치완료(N/A)")</f>
        <v>2</v>
      </c>
      <c r="K30" s="23">
        <f ca="1">VLOOKUP($D30,'parm(hidden)'!$B$8:$C$10,2,FALSE)*($F30-$J30)</f>
        <v>16</v>
      </c>
      <c r="L30" s="35">
        <f ca="1">VLOOKUP($D30,'parm(hidden)'!$B$8:$C$10,2,FALSE)*($G30+$H30)</f>
        <v>8</v>
      </c>
      <c r="M30" s="152" t="str">
        <f t="shared" ca="1" si="2"/>
        <v>N</v>
      </c>
      <c r="N30" s="152" t="str">
        <f t="shared" ca="1" si="2"/>
        <v>N</v>
      </c>
      <c r="O30" s="152" t="str">
        <f t="shared" ca="1" si="2"/>
        <v>N</v>
      </c>
      <c r="P30" s="152" t="str">
        <f t="shared" ca="1" si="2"/>
        <v>N</v>
      </c>
      <c r="Q30" s="152" t="str">
        <f t="shared" ca="1" si="2"/>
        <v>N/A</v>
      </c>
      <c r="R30" s="152" t="str">
        <f t="shared" ca="1" si="2"/>
        <v>N/A</v>
      </c>
      <c r="S30" s="152" t="str">
        <f t="shared" ca="1" si="3"/>
        <v>Y</v>
      </c>
      <c r="T30" s="152" t="str">
        <f t="shared" ca="1" si="3"/>
        <v>Y</v>
      </c>
      <c r="U30" s="152" t="str">
        <f t="shared" ca="1" si="3"/>
        <v>Y</v>
      </c>
      <c r="V30" s="152" t="str">
        <f t="shared" ca="1" si="3"/>
        <v>Y</v>
      </c>
    </row>
    <row r="31" spans="1:22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COUNTA($M31:INDIRECT(ADDRESS(ROW(),MATCH("",$4:$4,-1),1,1)))</f>
        <v>10</v>
      </c>
      <c r="G31" s="23">
        <f ca="1">COUNTIF($M31:INDIRECT(ADDRESS(ROW(),MATCH("",$4:$4,-1),1,1)),"조치완료(Y)")+COUNTIF($M31:INDIRECT(ADDRESS(ROW(),MATCH("",$4:$4,-1),1,1)),"Y")</f>
        <v>4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4</v>
      </c>
      <c r="J31" s="23">
        <f ca="1">COUNTIF($M31:INDIRECT(ADDRESS(ROW(),MATCH("",$4:$4,-1),1,1)),"N/A")+COUNTIF($M31:INDIRECT(ADDRESS(ROW(),MATCH("",$4:$4,-1),1,1)),"조치완료(N/A)")</f>
        <v>2</v>
      </c>
      <c r="K31" s="23">
        <f ca="1">VLOOKUP($D31,'parm(hidden)'!$B$8:$C$10,2,FALSE)*($F31-$J31)</f>
        <v>16</v>
      </c>
      <c r="L31" s="35">
        <f ca="1">VLOOKUP($D31,'parm(hidden)'!$B$8:$C$10,2,FALSE)*($G31+$H31)</f>
        <v>8</v>
      </c>
      <c r="M31" s="152" t="str">
        <f t="shared" ca="1" si="2"/>
        <v>N</v>
      </c>
      <c r="N31" s="152" t="str">
        <f t="shared" ca="1" si="2"/>
        <v>N</v>
      </c>
      <c r="O31" s="152" t="str">
        <f t="shared" ca="1" si="2"/>
        <v>N</v>
      </c>
      <c r="P31" s="152" t="str">
        <f t="shared" ca="1" si="2"/>
        <v>N</v>
      </c>
      <c r="Q31" s="152" t="str">
        <f t="shared" ca="1" si="2"/>
        <v>N/A</v>
      </c>
      <c r="R31" s="152" t="str">
        <f t="shared" ca="1" si="2"/>
        <v>N/A</v>
      </c>
      <c r="S31" s="152" t="str">
        <f t="shared" ca="1" si="3"/>
        <v>Y</v>
      </c>
      <c r="T31" s="152" t="str">
        <f t="shared" ca="1" si="3"/>
        <v>Y</v>
      </c>
      <c r="U31" s="152" t="str">
        <f t="shared" ca="1" si="3"/>
        <v>Y</v>
      </c>
      <c r="V31" s="152" t="str">
        <f t="shared" ca="1" si="3"/>
        <v>Y</v>
      </c>
    </row>
    <row r="32" spans="1:22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COUNTA($M32:INDIRECT(ADDRESS(ROW(),MATCH("",$4:$4,-1),1,1)))</f>
        <v>10</v>
      </c>
      <c r="G32" s="23">
        <f ca="1">COUNTIF($M32:INDIRECT(ADDRESS(ROW(),MATCH("",$4:$4,-1),1,1)),"조치완료(Y)")+COUNTIF($M32:INDIRECT(ADDRESS(ROW(),MATCH("",$4:$4,-1),1,1)),"Y")</f>
        <v>4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4</v>
      </c>
      <c r="J32" s="23">
        <f ca="1">COUNTIF($M32:INDIRECT(ADDRESS(ROW(),MATCH("",$4:$4,-1),1,1)),"N/A")+COUNTIF($M32:INDIRECT(ADDRESS(ROW(),MATCH("",$4:$4,-1),1,1)),"조치완료(N/A)")</f>
        <v>2</v>
      </c>
      <c r="K32" s="23">
        <f ca="1">VLOOKUP($D32,'parm(hidden)'!$B$8:$C$10,2,FALSE)*($F32-$J32)</f>
        <v>16</v>
      </c>
      <c r="L32" s="35">
        <f ca="1">VLOOKUP($D32,'parm(hidden)'!$B$8:$C$10,2,FALSE)*($G32+$H32)</f>
        <v>8</v>
      </c>
      <c r="M32" s="152" t="str">
        <f t="shared" ca="1" si="2"/>
        <v>N</v>
      </c>
      <c r="N32" s="152" t="str">
        <f t="shared" ca="1" si="2"/>
        <v>N</v>
      </c>
      <c r="O32" s="152" t="str">
        <f t="shared" ca="1" si="2"/>
        <v>N</v>
      </c>
      <c r="P32" s="152" t="str">
        <f t="shared" ca="1" si="2"/>
        <v>N</v>
      </c>
      <c r="Q32" s="152" t="str">
        <f t="shared" ca="1" si="2"/>
        <v>N/A</v>
      </c>
      <c r="R32" s="152" t="str">
        <f t="shared" ca="1" si="2"/>
        <v>N/A</v>
      </c>
      <c r="S32" s="152" t="str">
        <f t="shared" ca="1" si="3"/>
        <v>Y</v>
      </c>
      <c r="T32" s="152" t="str">
        <f t="shared" ca="1" si="3"/>
        <v>Y</v>
      </c>
      <c r="U32" s="152" t="str">
        <f t="shared" ca="1" si="3"/>
        <v>Y</v>
      </c>
      <c r="V32" s="152" t="str">
        <f t="shared" ca="1" si="3"/>
        <v>Y</v>
      </c>
    </row>
    <row r="33" spans="1:22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COUNTA($M33:INDIRECT(ADDRESS(ROW(),MATCH("",$4:$4,-1),1,1)))</f>
        <v>10</v>
      </c>
      <c r="G33" s="23">
        <f ca="1">COUNTIF($M33:INDIRECT(ADDRESS(ROW(),MATCH("",$4:$4,-1),1,1)),"조치완료(Y)")+COUNTIF($M33:INDIRECT(ADDRESS(ROW(),MATCH("",$4:$4,-1),1,1)),"Y")</f>
        <v>4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6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20</v>
      </c>
      <c r="L33" s="35">
        <f ca="1">VLOOKUP($D33,'parm(hidden)'!$B$8:$C$10,2,FALSE)*($G33+$H33)</f>
        <v>8</v>
      </c>
      <c r="M33" s="152" t="str">
        <f t="shared" ca="1" si="2"/>
        <v>N</v>
      </c>
      <c r="N33" s="152" t="str">
        <f t="shared" ca="1" si="2"/>
        <v>N</v>
      </c>
      <c r="O33" s="152" t="str">
        <f t="shared" ca="1" si="2"/>
        <v>N</v>
      </c>
      <c r="P33" s="152" t="str">
        <f t="shared" ca="1" si="2"/>
        <v>N</v>
      </c>
      <c r="Q33" s="152" t="str">
        <f t="shared" ca="1" si="2"/>
        <v>N</v>
      </c>
      <c r="R33" s="152" t="str">
        <f t="shared" ca="1" si="2"/>
        <v>N</v>
      </c>
      <c r="S33" s="152" t="str">
        <f t="shared" ca="1" si="3"/>
        <v>Y</v>
      </c>
      <c r="T33" s="152" t="str">
        <f t="shared" ca="1" si="3"/>
        <v>Y</v>
      </c>
      <c r="U33" s="152" t="str">
        <f t="shared" ca="1" si="3"/>
        <v>Y</v>
      </c>
      <c r="V33" s="152" t="str">
        <f t="shared" ca="1" si="3"/>
        <v>Y</v>
      </c>
    </row>
    <row r="34" spans="1:22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COUNTA($M34:INDIRECT(ADDRESS(ROW(),MATCH("",$4:$4,-1),1,1)))</f>
        <v>10</v>
      </c>
      <c r="G34" s="23">
        <f ca="1">COUNTIF($M34:INDIRECT(ADDRESS(ROW(),MATCH("",$4:$4,-1),1,1)),"조치완료(Y)")+COUNTIF($M34:INDIRECT(ADDRESS(ROW(),MATCH("",$4:$4,-1),1,1)),"Y")</f>
        <v>4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4</v>
      </c>
      <c r="J34" s="23">
        <f ca="1">COUNTIF($M34:INDIRECT(ADDRESS(ROW(),MATCH("",$4:$4,-1),1,1)),"N/A")+COUNTIF($M34:INDIRECT(ADDRESS(ROW(),MATCH("",$4:$4,-1),1,1)),"조치완료(N/A)")</f>
        <v>2</v>
      </c>
      <c r="K34" s="23">
        <f ca="1">VLOOKUP($D34,'parm(hidden)'!$B$8:$C$10,2,FALSE)*($F34-$J34)</f>
        <v>16</v>
      </c>
      <c r="L34" s="35">
        <f ca="1">VLOOKUP($D34,'parm(hidden)'!$B$8:$C$10,2,FALSE)*($G34+$H34)</f>
        <v>8</v>
      </c>
      <c r="M34" s="152" t="str">
        <f t="shared" ca="1" si="2"/>
        <v>N</v>
      </c>
      <c r="N34" s="152" t="str">
        <f t="shared" ca="1" si="2"/>
        <v>N</v>
      </c>
      <c r="O34" s="152" t="str">
        <f t="shared" ca="1" si="2"/>
        <v>N</v>
      </c>
      <c r="P34" s="152" t="str">
        <f t="shared" ca="1" si="2"/>
        <v>N</v>
      </c>
      <c r="Q34" s="152" t="str">
        <f t="shared" ca="1" si="2"/>
        <v>N/A</v>
      </c>
      <c r="R34" s="152" t="str">
        <f t="shared" ca="1" si="2"/>
        <v>N/A</v>
      </c>
      <c r="S34" s="152" t="str">
        <f t="shared" ca="1" si="3"/>
        <v>Y</v>
      </c>
      <c r="T34" s="152" t="str">
        <f t="shared" ca="1" si="3"/>
        <v>Y</v>
      </c>
      <c r="U34" s="152" t="str">
        <f t="shared" ca="1" si="3"/>
        <v>Y</v>
      </c>
      <c r="V34" s="152" t="str">
        <f t="shared" ca="1" si="3"/>
        <v>Y</v>
      </c>
    </row>
    <row r="35" spans="1:22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COUNTA($M35:INDIRECT(ADDRESS(ROW(),MATCH("",$4:$4,-1),1,1)))</f>
        <v>10</v>
      </c>
      <c r="G35" s="23">
        <f ca="1">COUNTIF($M35:INDIRECT(ADDRESS(ROW(),MATCH("",$4:$4,-1),1,1)),"조치완료(Y)")+COUNTIF($M35:INDIRECT(ADDRESS(ROW(),MATCH("",$4:$4,-1),1,1)),"Y")</f>
        <v>4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4</v>
      </c>
      <c r="J35" s="23">
        <f ca="1">COUNTIF($M35:INDIRECT(ADDRESS(ROW(),MATCH("",$4:$4,-1),1,1)),"N/A")+COUNTIF($M35:INDIRECT(ADDRESS(ROW(),MATCH("",$4:$4,-1),1,1)),"조치완료(N/A)")</f>
        <v>2</v>
      </c>
      <c r="K35" s="23">
        <f ca="1">VLOOKUP($D35,'parm(hidden)'!$B$8:$C$10,2,FALSE)*($F35-$J35)</f>
        <v>16</v>
      </c>
      <c r="L35" s="35">
        <f ca="1">VLOOKUP($D35,'parm(hidden)'!$B$8:$C$10,2,FALSE)*($G35+$H35)</f>
        <v>8</v>
      </c>
      <c r="M35" s="152" t="str">
        <f t="shared" ca="1" si="2"/>
        <v>N</v>
      </c>
      <c r="N35" s="152" t="str">
        <f t="shared" ca="1" si="2"/>
        <v>N</v>
      </c>
      <c r="O35" s="152" t="str">
        <f t="shared" ca="1" si="2"/>
        <v>N</v>
      </c>
      <c r="P35" s="152" t="str">
        <f t="shared" ca="1" si="2"/>
        <v>N</v>
      </c>
      <c r="Q35" s="152" t="str">
        <f t="shared" ca="1" si="2"/>
        <v>N/A</v>
      </c>
      <c r="R35" s="152" t="str">
        <f t="shared" ca="1" si="2"/>
        <v>N/A</v>
      </c>
      <c r="S35" s="152" t="str">
        <f t="shared" ca="1" si="3"/>
        <v>Y</v>
      </c>
      <c r="T35" s="152" t="str">
        <f t="shared" ca="1" si="3"/>
        <v>Y</v>
      </c>
      <c r="U35" s="152" t="str">
        <f t="shared" ca="1" si="3"/>
        <v>Y</v>
      </c>
      <c r="V35" s="152" t="str">
        <f t="shared" ca="1" si="3"/>
        <v>Y</v>
      </c>
    </row>
    <row r="36" spans="1:22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COUNTA($M36:INDIRECT(ADDRESS(ROW(),MATCH("",$4:$4,-1),1,1)))</f>
        <v>10</v>
      </c>
      <c r="G36" s="23">
        <f ca="1">COUNTIF($M36:INDIRECT(ADDRESS(ROW(),MATCH("",$4:$4,-1),1,1)),"조치완료(Y)")+COUNTIF($M36:INDIRECT(ADDRESS(ROW(),MATCH("",$4:$4,-1),1,1)),"Y")</f>
        <v>4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4</v>
      </c>
      <c r="J36" s="23">
        <f ca="1">COUNTIF($M36:INDIRECT(ADDRESS(ROW(),MATCH("",$4:$4,-1),1,1)),"N/A")+COUNTIF($M36:INDIRECT(ADDRESS(ROW(),MATCH("",$4:$4,-1),1,1)),"조치완료(N/A)")</f>
        <v>2</v>
      </c>
      <c r="K36" s="23">
        <f ca="1">VLOOKUP($D36,'parm(hidden)'!$B$8:$C$10,2,FALSE)*($F36-$J36)</f>
        <v>16</v>
      </c>
      <c r="L36" s="35">
        <f ca="1">VLOOKUP($D36,'parm(hidden)'!$B$8:$C$10,2,FALSE)*($G36+$H36)</f>
        <v>8</v>
      </c>
      <c r="M36" s="152" t="str">
        <f t="shared" ca="1" si="2"/>
        <v>N</v>
      </c>
      <c r="N36" s="152" t="str">
        <f t="shared" ca="1" si="2"/>
        <v>N</v>
      </c>
      <c r="O36" s="152" t="str">
        <f t="shared" ca="1" si="2"/>
        <v>N</v>
      </c>
      <c r="P36" s="152" t="str">
        <f t="shared" ca="1" si="2"/>
        <v>N</v>
      </c>
      <c r="Q36" s="152" t="str">
        <f t="shared" ca="1" si="2"/>
        <v>N/A</v>
      </c>
      <c r="R36" s="152" t="str">
        <f t="shared" ca="1" si="2"/>
        <v>N/A</v>
      </c>
      <c r="S36" s="152" t="str">
        <f t="shared" ca="1" si="3"/>
        <v>Y</v>
      </c>
      <c r="T36" s="152" t="str">
        <f t="shared" ca="1" si="3"/>
        <v>Y</v>
      </c>
      <c r="U36" s="152" t="str">
        <f t="shared" ca="1" si="3"/>
        <v>Y</v>
      </c>
      <c r="V36" s="152" t="str">
        <f t="shared" ca="1" si="3"/>
        <v>Y</v>
      </c>
    </row>
    <row r="37" spans="1:22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COUNTA($M37:INDIRECT(ADDRESS(ROW(),MATCH("",$4:$4,-1),1,1)))</f>
        <v>10</v>
      </c>
      <c r="G37" s="23">
        <f ca="1">COUNTIF($M37:INDIRECT(ADDRESS(ROW(),MATCH("",$4:$4,-1),1,1)),"조치완료(Y)")+COUNTIF($M37:INDIRECT(ADDRESS(ROW(),MATCH("",$4:$4,-1),1,1)),"Y")</f>
        <v>4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4</v>
      </c>
      <c r="J37" s="23">
        <f ca="1">COUNTIF($M37:INDIRECT(ADDRESS(ROW(),MATCH("",$4:$4,-1),1,1)),"N/A")+COUNTIF($M37:INDIRECT(ADDRESS(ROW(),MATCH("",$4:$4,-1),1,1)),"조치완료(N/A)")</f>
        <v>2</v>
      </c>
      <c r="K37" s="23">
        <f ca="1">VLOOKUP($D37,'parm(hidden)'!$B$8:$C$10,2,FALSE)*($F37-$J37)</f>
        <v>16</v>
      </c>
      <c r="L37" s="35">
        <f ca="1">VLOOKUP($D37,'parm(hidden)'!$B$8:$C$10,2,FALSE)*($G37+$H37)</f>
        <v>8</v>
      </c>
      <c r="M37" s="152" t="str">
        <f t="shared" ca="1" si="2"/>
        <v>N</v>
      </c>
      <c r="N37" s="152" t="str">
        <f t="shared" ca="1" si="2"/>
        <v>N</v>
      </c>
      <c r="O37" s="152" t="str">
        <f t="shared" ca="1" si="2"/>
        <v>N</v>
      </c>
      <c r="P37" s="152" t="str">
        <f t="shared" ca="1" si="2"/>
        <v>N</v>
      </c>
      <c r="Q37" s="152" t="str">
        <f t="shared" ca="1" si="2"/>
        <v>N/A</v>
      </c>
      <c r="R37" s="152" t="str">
        <f t="shared" ca="1" si="2"/>
        <v>N/A</v>
      </c>
      <c r="S37" s="152" t="str">
        <f t="shared" ca="1" si="3"/>
        <v>Y</v>
      </c>
      <c r="T37" s="152" t="str">
        <f t="shared" ca="1" si="3"/>
        <v>Y</v>
      </c>
      <c r="U37" s="152" t="str">
        <f t="shared" ca="1" si="3"/>
        <v>Y</v>
      </c>
      <c r="V37" s="152" t="str">
        <f t="shared" ca="1" si="3"/>
        <v>Y</v>
      </c>
    </row>
    <row r="38" spans="1:22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COUNTA($M38:INDIRECT(ADDRESS(ROW(),MATCH("",$4:$4,-1),1,1)))</f>
        <v>10</v>
      </c>
      <c r="G38" s="23">
        <f ca="1">COUNTIF($M38:INDIRECT(ADDRESS(ROW(),MATCH("",$4:$4,-1),1,1)),"조치완료(Y)")+COUNTIF($M38:INDIRECT(ADDRESS(ROW(),MATCH("",$4:$4,-1),1,1)),"Y")</f>
        <v>4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4</v>
      </c>
      <c r="J38" s="23">
        <f ca="1">COUNTIF($M38:INDIRECT(ADDRESS(ROW(),MATCH("",$4:$4,-1),1,1)),"N/A")+COUNTIF($M38:INDIRECT(ADDRESS(ROW(),MATCH("",$4:$4,-1),1,1)),"조치완료(N/A)")</f>
        <v>2</v>
      </c>
      <c r="K38" s="23">
        <f ca="1">VLOOKUP($D38,'parm(hidden)'!$B$8:$C$10,2,FALSE)*($F38-$J38)</f>
        <v>16</v>
      </c>
      <c r="L38" s="35">
        <f ca="1">VLOOKUP($D38,'parm(hidden)'!$B$8:$C$10,2,FALSE)*($G38+$H38)</f>
        <v>8</v>
      </c>
      <c r="M38" s="152" t="str">
        <f t="shared" ca="1" si="2"/>
        <v>N</v>
      </c>
      <c r="N38" s="152" t="str">
        <f t="shared" ca="1" si="2"/>
        <v>N</v>
      </c>
      <c r="O38" s="152" t="str">
        <f t="shared" ca="1" si="2"/>
        <v>N</v>
      </c>
      <c r="P38" s="152" t="str">
        <f t="shared" ca="1" si="2"/>
        <v>N</v>
      </c>
      <c r="Q38" s="152" t="str">
        <f t="shared" ca="1" si="2"/>
        <v>N/A</v>
      </c>
      <c r="R38" s="152" t="str">
        <f t="shared" ca="1" si="2"/>
        <v>N/A</v>
      </c>
      <c r="S38" s="152" t="str">
        <f t="shared" ca="1" si="3"/>
        <v>Y</v>
      </c>
      <c r="T38" s="152" t="str">
        <f t="shared" ca="1" si="3"/>
        <v>Y</v>
      </c>
      <c r="U38" s="152" t="str">
        <f t="shared" ca="1" si="3"/>
        <v>Y</v>
      </c>
      <c r="V38" s="152" t="str">
        <f t="shared" ca="1" si="3"/>
        <v>Y</v>
      </c>
    </row>
    <row r="39" spans="1:22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COUNTA($M39:INDIRECT(ADDRESS(ROW(),MATCH("",$4:$4,-1),1,1)))</f>
        <v>10</v>
      </c>
      <c r="G39" s="23">
        <f ca="1">COUNTIF($M39:INDIRECT(ADDRESS(ROW(),MATCH("",$4:$4,-1),1,1)),"조치완료(Y)")+COUNTIF($M39:INDIRECT(ADDRESS(ROW(),MATCH("",$4:$4,-1),1,1)),"Y")</f>
        <v>4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6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20</v>
      </c>
      <c r="L39" s="35">
        <f ca="1">VLOOKUP($D39,'parm(hidden)'!$B$8:$C$10,2,FALSE)*($G39+$H39)</f>
        <v>8</v>
      </c>
      <c r="M39" s="152" t="str">
        <f t="shared" ca="1" si="2"/>
        <v>N</v>
      </c>
      <c r="N39" s="152" t="str">
        <f t="shared" ca="1" si="2"/>
        <v>N</v>
      </c>
      <c r="O39" s="152" t="str">
        <f t="shared" ca="1" si="2"/>
        <v>N</v>
      </c>
      <c r="P39" s="152" t="str">
        <f t="shared" ca="1" si="2"/>
        <v>N</v>
      </c>
      <c r="Q39" s="152" t="str">
        <f t="shared" ca="1" si="2"/>
        <v>N</v>
      </c>
      <c r="R39" s="152" t="str">
        <f t="shared" ca="1" si="2"/>
        <v>N</v>
      </c>
      <c r="S39" s="152" t="str">
        <f t="shared" ca="1" si="3"/>
        <v>Y</v>
      </c>
      <c r="T39" s="152" t="str">
        <f t="shared" ca="1" si="3"/>
        <v>Y</v>
      </c>
      <c r="U39" s="152" t="str">
        <f t="shared" ca="1" si="3"/>
        <v>Y</v>
      </c>
      <c r="V39" s="152" t="str">
        <f t="shared" ca="1" si="3"/>
        <v>Y</v>
      </c>
    </row>
    <row r="40" spans="1:22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COUNTA($M40:INDIRECT(ADDRESS(ROW(),MATCH("",$4:$4,-1),1,1)))</f>
        <v>10</v>
      </c>
      <c r="G40" s="23">
        <f ca="1">COUNTIF($M40:INDIRECT(ADDRESS(ROW(),MATCH("",$4:$4,-1),1,1)),"조치완료(Y)")+COUNTIF($M40:INDIRECT(ADDRESS(ROW(),MATCH("",$4:$4,-1),1,1)),"Y")</f>
        <v>4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4</v>
      </c>
      <c r="J40" s="23">
        <f ca="1">COUNTIF($M40:INDIRECT(ADDRESS(ROW(),MATCH("",$4:$4,-1),1,1)),"N/A")+COUNTIF($M40:INDIRECT(ADDRESS(ROW(),MATCH("",$4:$4,-1),1,1)),"조치완료(N/A)")</f>
        <v>2</v>
      </c>
      <c r="K40" s="23">
        <f ca="1">VLOOKUP($D40,'parm(hidden)'!$B$8:$C$10,2,FALSE)*($F40-$J40)</f>
        <v>16</v>
      </c>
      <c r="L40" s="35">
        <f ca="1">VLOOKUP($D40,'parm(hidden)'!$B$8:$C$10,2,FALSE)*($G40+$H40)</f>
        <v>8</v>
      </c>
      <c r="M40" s="152" t="str">
        <f t="shared" ca="1" si="2"/>
        <v>N</v>
      </c>
      <c r="N40" s="152" t="str">
        <f t="shared" ca="1" si="2"/>
        <v>N</v>
      </c>
      <c r="O40" s="152" t="str">
        <f t="shared" ca="1" si="2"/>
        <v>N</v>
      </c>
      <c r="P40" s="152" t="str">
        <f t="shared" ca="1" si="2"/>
        <v>N</v>
      </c>
      <c r="Q40" s="152" t="str">
        <f t="shared" ca="1" si="2"/>
        <v>N/A</v>
      </c>
      <c r="R40" s="152" t="str">
        <f t="shared" ca="1" si="2"/>
        <v>N/A</v>
      </c>
      <c r="S40" s="152" t="str">
        <f t="shared" ca="1" si="3"/>
        <v>Y</v>
      </c>
      <c r="T40" s="152" t="str">
        <f t="shared" ca="1" si="3"/>
        <v>Y</v>
      </c>
      <c r="U40" s="152" t="str">
        <f t="shared" ca="1" si="3"/>
        <v>Y</v>
      </c>
      <c r="V40" s="152" t="str">
        <f t="shared" ca="1" si="3"/>
        <v>Y</v>
      </c>
    </row>
    <row r="41" spans="1:22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COUNTA($M41:INDIRECT(ADDRESS(ROW(),MATCH("",$4:$4,-1),1,1)))</f>
        <v>10</v>
      </c>
      <c r="G41" s="23">
        <f ca="1">COUNTIF($M41:INDIRECT(ADDRESS(ROW(),MATCH("",$4:$4,-1),1,1)),"조치완료(Y)")+COUNTIF($M41:INDIRECT(ADDRESS(ROW(),MATCH("",$4:$4,-1),1,1)),"Y")</f>
        <v>4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4</v>
      </c>
      <c r="J41" s="23">
        <f ca="1">COUNTIF($M41:INDIRECT(ADDRESS(ROW(),MATCH("",$4:$4,-1),1,1)),"N/A")+COUNTIF($M41:INDIRECT(ADDRESS(ROW(),MATCH("",$4:$4,-1),1,1)),"조치완료(N/A)")</f>
        <v>2</v>
      </c>
      <c r="K41" s="23">
        <f ca="1">VLOOKUP($D41,'parm(hidden)'!$B$8:$C$10,2,FALSE)*($F41-$J41)</f>
        <v>16</v>
      </c>
      <c r="L41" s="35">
        <f ca="1">VLOOKUP($D41,'parm(hidden)'!$B$8:$C$10,2,FALSE)*($G41+$H41)</f>
        <v>8</v>
      </c>
      <c r="M41" s="152" t="str">
        <f t="shared" ca="1" si="2"/>
        <v>N</v>
      </c>
      <c r="N41" s="152" t="str">
        <f t="shared" ca="1" si="2"/>
        <v>N</v>
      </c>
      <c r="O41" s="152" t="str">
        <f t="shared" ca="1" si="2"/>
        <v>N</v>
      </c>
      <c r="P41" s="152" t="str">
        <f t="shared" ca="1" si="2"/>
        <v>N</v>
      </c>
      <c r="Q41" s="152" t="str">
        <f t="shared" ca="1" si="2"/>
        <v>N/A</v>
      </c>
      <c r="R41" s="152" t="str">
        <f t="shared" ca="1" si="2"/>
        <v>N/A</v>
      </c>
      <c r="S41" s="152" t="str">
        <f t="shared" ca="1" si="3"/>
        <v>Y</v>
      </c>
      <c r="T41" s="152" t="str">
        <f t="shared" ca="1" si="3"/>
        <v>Y</v>
      </c>
      <c r="U41" s="152" t="str">
        <f t="shared" ca="1" si="3"/>
        <v>Y</v>
      </c>
      <c r="V41" s="152" t="str">
        <f t="shared" ca="1" si="3"/>
        <v>Y</v>
      </c>
    </row>
    <row r="42" spans="1:22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COUNTA($M42:INDIRECT(ADDRESS(ROW(),MATCH("",$4:$4,-1),1,1)))</f>
        <v>10</v>
      </c>
      <c r="G42" s="23">
        <f ca="1">COUNTIF($M42:INDIRECT(ADDRESS(ROW(),MATCH("",$4:$4,-1),1,1)),"조치완료(Y)")+COUNTIF($M42:INDIRECT(ADDRESS(ROW(),MATCH("",$4:$4,-1),1,1)),"Y")</f>
        <v>4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4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20</v>
      </c>
      <c r="L42" s="35">
        <f ca="1">VLOOKUP($D42,'parm(hidden)'!$B$8:$C$10,2,FALSE)*($G42+$H42)</f>
        <v>8</v>
      </c>
      <c r="M42" s="152" t="str">
        <f t="shared" ca="1" si="2"/>
        <v>N</v>
      </c>
      <c r="N42" s="152" t="str">
        <f t="shared" ca="1" si="2"/>
        <v>N</v>
      </c>
      <c r="O42" s="152" t="str">
        <f t="shared" ca="1" si="2"/>
        <v>N</v>
      </c>
      <c r="P42" s="152" t="str">
        <f t="shared" ca="1" si="2"/>
        <v>N</v>
      </c>
      <c r="Q42" s="152" t="str">
        <f t="shared" ca="1" si="2"/>
        <v>인터뷰</v>
      </c>
      <c r="R42" s="152" t="str">
        <f t="shared" ca="1" si="2"/>
        <v>인터뷰</v>
      </c>
      <c r="S42" s="152" t="str">
        <f t="shared" ca="1" si="3"/>
        <v>Y</v>
      </c>
      <c r="T42" s="152" t="str">
        <f t="shared" ca="1" si="3"/>
        <v>Y</v>
      </c>
      <c r="U42" s="152" t="str">
        <f t="shared" ca="1" si="3"/>
        <v>Y</v>
      </c>
      <c r="V42" s="152" t="str">
        <f t="shared" ca="1" si="3"/>
        <v>Y</v>
      </c>
    </row>
    <row r="43" spans="1:22" ht="12" thickBot="1">
      <c r="A43" s="79"/>
      <c r="B43" s="108"/>
      <c r="C43" s="109"/>
      <c r="D43" s="109"/>
      <c r="E43" s="109"/>
      <c r="F43" s="110">
        <f t="shared" ref="F43:L43" ca="1" si="4">SUM(F5:F42)</f>
        <v>380</v>
      </c>
      <c r="G43" s="110">
        <f t="shared" ca="1" si="4"/>
        <v>160</v>
      </c>
      <c r="H43" s="110">
        <f t="shared" ca="1" si="4"/>
        <v>0</v>
      </c>
      <c r="I43" s="110">
        <f t="shared" ca="1" si="4"/>
        <v>164</v>
      </c>
      <c r="J43" s="110">
        <f t="shared" ca="1" si="4"/>
        <v>26</v>
      </c>
      <c r="K43" s="110">
        <f t="shared" ca="1" si="4"/>
        <v>844</v>
      </c>
      <c r="L43" s="110">
        <f t="shared" ca="1" si="4"/>
        <v>380</v>
      </c>
      <c r="M43" s="110">
        <f t="shared" ref="M43:V43" ca="1" si="5">COUNTIFS(M$5:M$42,"&lt;&gt;",M$5:M$42,"&lt;&gt;0")</f>
        <v>38</v>
      </c>
      <c r="N43" s="110">
        <f t="shared" ca="1" si="5"/>
        <v>38</v>
      </c>
      <c r="O43" s="110">
        <f t="shared" ca="1" si="5"/>
        <v>38</v>
      </c>
      <c r="P43" s="110">
        <f t="shared" ca="1" si="5"/>
        <v>38</v>
      </c>
      <c r="Q43" s="110">
        <f t="shared" ca="1" si="5"/>
        <v>38</v>
      </c>
      <c r="R43" s="110">
        <f t="shared" ca="1" si="5"/>
        <v>38</v>
      </c>
      <c r="S43" s="110">
        <f t="shared" ca="1" si="5"/>
        <v>38</v>
      </c>
      <c r="T43" s="110">
        <f t="shared" ca="1" si="5"/>
        <v>38</v>
      </c>
      <c r="U43" s="110">
        <f t="shared" ca="1" si="5"/>
        <v>38</v>
      </c>
      <c r="V43" s="110">
        <f t="shared" ca="1" si="5"/>
        <v>38</v>
      </c>
    </row>
  </sheetData>
  <mergeCells count="5">
    <mergeCell ref="A3:B4"/>
    <mergeCell ref="C3:C4"/>
    <mergeCell ref="D3:E4"/>
    <mergeCell ref="F3:J3"/>
    <mergeCell ref="K3:L3"/>
  </mergeCells>
  <phoneticPr fontId="26" type="noConversion"/>
  <conditionalFormatting sqref="M3:V3">
    <cfRule type="cellIs" dxfId="308" priority="1" operator="equal">
      <formula>"Y"</formula>
    </cfRule>
    <cfRule type="cellIs" dxfId="307" priority="2" stopIfTrue="1" operator="equal">
      <formula>"인터뷰"</formula>
    </cfRule>
  </conditionalFormatting>
  <conditionalFormatting sqref="M5:V42">
    <cfRule type="cellIs" dxfId="306" priority="3" operator="equal">
      <formula>"N"</formula>
    </cfRule>
    <cfRule type="cellIs" dxfId="305" priority="4" operator="equal">
      <formula>"기존 취약점"</formula>
    </cfRule>
    <cfRule type="cellIs" dxfId="304" priority="5" stopIfTrue="1" operator="equal">
      <formula>"인터뷰"</formula>
    </cfRule>
    <cfRule type="cellIs" dxfId="303" priority="6" stopIfTrue="1" operator="equal">
      <formula>"N/A"</formula>
    </cfRule>
    <cfRule type="cellIs" dxfId="302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85" zoomScaleNormal="100" zoomScaleSheet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184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5</v>
      </c>
    </row>
    <row r="4" spans="1:25">
      <c r="A4" s="196" t="s">
        <v>79</v>
      </c>
      <c r="B4" s="197"/>
      <c r="C4" s="197"/>
      <c r="D4" s="198"/>
      <c r="E4" s="227" t="s">
        <v>169</v>
      </c>
      <c r="F4" s="227"/>
      <c r="G4" s="227"/>
      <c r="H4" s="227"/>
      <c r="I4" s="228"/>
      <c r="J4" s="229" t="s">
        <v>157</v>
      </c>
      <c r="K4" s="230"/>
      <c r="L4" s="230"/>
      <c r="M4" s="230"/>
      <c r="N4" s="231"/>
      <c r="O4" s="232" t="s">
        <v>172</v>
      </c>
      <c r="P4" s="232"/>
      <c r="Q4" s="232"/>
      <c r="R4" s="232"/>
      <c r="S4" s="232"/>
      <c r="T4" s="232"/>
      <c r="U4" s="233"/>
    </row>
    <row r="5" spans="1:25" ht="24">
      <c r="A5" s="199"/>
      <c r="B5" s="200"/>
      <c r="C5" s="200"/>
      <c r="D5" s="201"/>
      <c r="E5" s="82" t="s">
        <v>174</v>
      </c>
      <c r="F5" s="83" t="s">
        <v>168</v>
      </c>
      <c r="G5" s="84" t="s">
        <v>86</v>
      </c>
      <c r="H5" s="83" t="s">
        <v>77</v>
      </c>
      <c r="I5" s="83" t="s">
        <v>175</v>
      </c>
      <c r="J5" s="85" t="s">
        <v>98</v>
      </c>
      <c r="K5" s="86" t="s">
        <v>78</v>
      </c>
      <c r="L5" s="87" t="s">
        <v>150</v>
      </c>
      <c r="M5" s="87" t="s">
        <v>175</v>
      </c>
      <c r="N5" s="87" t="s">
        <v>181</v>
      </c>
      <c r="O5" s="88" t="s">
        <v>13</v>
      </c>
      <c r="P5" s="89" t="s">
        <v>8</v>
      </c>
      <c r="Q5" s="90" t="s">
        <v>16</v>
      </c>
      <c r="R5" s="90" t="s">
        <v>22</v>
      </c>
      <c r="S5" s="88" t="s">
        <v>93</v>
      </c>
      <c r="T5" s="89" t="s">
        <v>42</v>
      </c>
      <c r="U5" s="91" t="s">
        <v>47</v>
      </c>
    </row>
    <row r="6" spans="1:25">
      <c r="A6" s="204" t="s">
        <v>124</v>
      </c>
      <c r="B6" s="205"/>
      <c r="C6" s="205"/>
      <c r="D6" s="206"/>
      <c r="E6" s="11">
        <f ca="1">SUMIF('취약점 진단 항목별 통계 (이행)'!$A:$A,$A6&amp;"*",'취약점 진단 항목별 통계 (이행)'!$F:$F)</f>
        <v>10</v>
      </c>
      <c r="F6" s="11">
        <f ca="1">E6-I6</f>
        <v>10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20</v>
      </c>
      <c r="H6" s="11">
        <f ca="1">SUMIF('취약점 진단 항목별 통계'!$A:$A,$A6&amp;"*",'취약점 진단 항목별 통계'!$I:$I)</f>
        <v>30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10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28</v>
      </c>
      <c r="P6" s="11">
        <f ca="1">SUMIF('취약점 진단 항목별 통계 (이행)'!$A:$A,$A6&amp;"*",'취약점 진단 항목별 통계 (이행)'!$P:$P)</f>
        <v>28</v>
      </c>
      <c r="Q6" s="11">
        <f ca="1">SUMIF('취약점 진단 항목별 통계 (이행)'!$A:$A,$A6&amp;"*",'취약점 진단 항목별 통계 (이행)'!$Q:$Q)</f>
        <v>56</v>
      </c>
      <c r="R6" s="11">
        <f ca="1">SUMIF('취약점 진단 항목별 통계 (이행)'!$A:$A,$A6&amp;"*",'취약점 진단 항목별 통계 (이행)'!$R:$R)</f>
        <v>84</v>
      </c>
      <c r="S6" s="26">
        <f ca="1">IFERROR($J6/($H6-(M6-I6)),"N/A")</f>
        <v>0.33333333333333331</v>
      </c>
      <c r="T6" s="26">
        <f ca="1">IF($I6=$E6,"N/A",(Q6/O6))</f>
        <v>2</v>
      </c>
      <c r="U6" s="75">
        <f ca="1">IF(OR($I6=$E6,$E6=$M6),"N/A",($R6/$P6))</f>
        <v>3</v>
      </c>
      <c r="V6" s="2"/>
      <c r="W6" s="1"/>
    </row>
    <row r="7" spans="1:25">
      <c r="A7" s="204" t="s">
        <v>131</v>
      </c>
      <c r="B7" s="205"/>
      <c r="C7" s="205"/>
      <c r="D7" s="206"/>
      <c r="E7" s="11">
        <f ca="1">SUMIF('취약점 진단 항목별 통계 (이행)'!$A:$A,$A7&amp;"*",'취약점 진단 항목별 통계 (이행)'!$F:$F)</f>
        <v>12</v>
      </c>
      <c r="F7" s="11">
        <f t="shared" ref="F7:F10" ca="1" si="0">E7-I7</f>
        <v>12</v>
      </c>
      <c r="G7" s="11">
        <f ca="1">SUMIF('취약점 진단 항목별 통계'!$A:$A,$A7&amp;"*",'취약점 진단 항목별 통계'!$G:$G)+SUMIF('취약점 진단 항목별 통계'!$A:$A,$A7&amp;"*",'취약점 진단 항목별 통계'!$H:$H)</f>
        <v>20</v>
      </c>
      <c r="H7" s="11">
        <f ca="1">SUMIF('취약점 진단 항목별 통계'!$A:$A,$A7&amp;"*",'취약점 진단 항목별 통계'!$I:$I)</f>
        <v>30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10</v>
      </c>
      <c r="K7" s="11">
        <f ca="1">SUMIF('취약점 진단 항목별 통계 (이행)'!$A:$A,$A7&amp;"*",'취약점 진단 항목별 통계 (이행)'!$L:$L)</f>
        <v>2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1">
        <f t="shared" ref="N7:N10" ca="1" si="1">K7+L7</f>
        <v>2</v>
      </c>
      <c r="O7" s="11">
        <f ca="1">SUMIF('취약점 진단 항목별 통계 (이행)'!$A:$A,$A7&amp;"*",'취약점 진단 항목별 통계 (이행)'!$O:$O)</f>
        <v>28</v>
      </c>
      <c r="P7" s="11">
        <f ca="1">SUMIF('취약점 진단 항목별 통계 (이행)'!$A:$A,$A7&amp;"*",'취약점 진단 항목별 통계 (이행)'!$P:$P)</f>
        <v>28</v>
      </c>
      <c r="Q7" s="11">
        <f ca="1">SUMIF('취약점 진단 항목별 통계 (이행)'!$A:$A,$A7&amp;"*",'취약점 진단 항목별 통계 (이행)'!$Q:$Q)</f>
        <v>48</v>
      </c>
      <c r="R7" s="11">
        <f ca="1">SUMIF('취약점 진단 항목별 통계 (이행)'!$A:$A,$A7&amp;"*",'취약점 진단 항목별 통계 (이행)'!$R:$R)</f>
        <v>72</v>
      </c>
      <c r="S7" s="26">
        <f t="shared" ref="S7:S10" ca="1" si="2">IFERROR($J7/($H7-(M7-I7)),"N/A")</f>
        <v>0.33333333333333331</v>
      </c>
      <c r="T7" s="26">
        <f t="shared" ref="T7:T10" ca="1" si="3">IF($I7=$E7,"N/A",(Q7/O7))</f>
        <v>1.7142857142857142</v>
      </c>
      <c r="U7" s="75">
        <f t="shared" ref="U7:U10" ca="1" si="4">IF(OR($I7=$E7,$E7=$M7),"N/A",($R7/$P7))</f>
        <v>2.5714285714285716</v>
      </c>
      <c r="V7" s="2"/>
      <c r="W7" s="1"/>
    </row>
    <row r="8" spans="1:25">
      <c r="A8" s="204" t="s">
        <v>127</v>
      </c>
      <c r="B8" s="205"/>
      <c r="C8" s="205"/>
      <c r="D8" s="206"/>
      <c r="E8" s="11">
        <f ca="1">SUMIF('취약점 진단 항목별 통계 (이행)'!$A:$A,$A8&amp;"*",'취약점 진단 항목별 통계 (이행)'!$F:$F)</f>
        <v>2</v>
      </c>
      <c r="F8" s="11">
        <f t="shared" ca="1" si="0"/>
        <v>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6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2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6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12</v>
      </c>
      <c r="R8" s="11">
        <f ca="1">SUMIF('취약점 진단 항목별 통계 (이행)'!$A:$A,$A8&amp;"*",'취약점 진단 항목별 통계 (이행)'!$R:$R)</f>
        <v>18</v>
      </c>
      <c r="S8" s="26">
        <f t="shared" ca="1" si="2"/>
        <v>0.33333333333333331</v>
      </c>
      <c r="T8" s="26">
        <f t="shared" ca="1" si="3"/>
        <v>2</v>
      </c>
      <c r="U8" s="75">
        <f t="shared" ca="1" si="4"/>
        <v>3</v>
      </c>
      <c r="V8" s="6"/>
      <c r="W8" s="6"/>
    </row>
    <row r="9" spans="1:25">
      <c r="A9" s="204" t="s">
        <v>171</v>
      </c>
      <c r="B9" s="205"/>
      <c r="C9" s="205"/>
      <c r="D9" s="206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18</v>
      </c>
      <c r="H9" s="11">
        <f ca="1">SUMIF('취약점 진단 항목별 통계'!$A:$A,$A9&amp;"*",'취약점 진단 항목별 통계'!$I:$I)</f>
        <v>12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4</v>
      </c>
      <c r="K9" s="11">
        <f ca="1">SUMIF('취약점 진단 항목별 통계 (이행)'!$A:$A,$A9&amp;"*",'취약점 진단 항목별 통계 (이행)'!$L:$L)</f>
        <v>2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1">
        <f t="shared" ca="1" si="1"/>
        <v>2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14</v>
      </c>
      <c r="Q9" s="11">
        <f ca="1">SUMIF('취약점 진단 항목별 통계 (이행)'!$A:$A,$A9&amp;"*",'취약점 진단 항목별 통계 (이행)'!$Q:$Q)</f>
        <v>26</v>
      </c>
      <c r="R9" s="11">
        <f ca="1">SUMIF('취약점 진단 항목별 통계 (이행)'!$A:$A,$A9&amp;"*",'취약점 진단 항목별 통계 (이행)'!$R:$R)</f>
        <v>34</v>
      </c>
      <c r="S9" s="26">
        <f t="shared" ca="1" si="2"/>
        <v>0.33333333333333331</v>
      </c>
      <c r="T9" s="26">
        <f t="shared" ca="1" si="3"/>
        <v>1.8571428571428572</v>
      </c>
      <c r="U9" s="75">
        <f t="shared" ca="1" si="4"/>
        <v>2.4285714285714284</v>
      </c>
      <c r="V9" s="6"/>
      <c r="W9" s="6"/>
    </row>
    <row r="10" spans="1:25">
      <c r="A10" s="204" t="s">
        <v>119</v>
      </c>
      <c r="B10" s="205"/>
      <c r="C10" s="205"/>
      <c r="D10" s="206"/>
      <c r="E10" s="11">
        <f ca="1">SUMIF('취약점 진단 항목별 통계 (이행)'!$A:$A,$A10&amp;"*",'취약점 진단 항목별 통계 (이행)'!$F:$F)</f>
        <v>44</v>
      </c>
      <c r="F10" s="11">
        <f t="shared" ca="1" si="0"/>
        <v>18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98</v>
      </c>
      <c r="H10" s="11">
        <f ca="1">SUMIF('취약점 진단 항목별 통계'!$A:$A,$A10&amp;"*",'취약점 진단 항목별 통계'!$I:$I)</f>
        <v>86</v>
      </c>
      <c r="I10" s="11">
        <f ca="1">SUMIF('취약점 진단 항목별 통계'!$A:$A,$A10&amp;"*",'취약점 진단 항목별 통계'!$J:$J)</f>
        <v>26</v>
      </c>
      <c r="J10" s="11">
        <f ca="1">SUMIF('취약점 진단 항목별 통계 (이행)'!$A:$A,$A10&amp;"*",'취약점 진단 항목별 통계 (이행)'!$K:$K)</f>
        <v>34</v>
      </c>
      <c r="K10" s="11">
        <f ca="1">SUMIF('취약점 진단 항목별 통계 (이행)'!$A:$A,$A10&amp;"*",'취약점 진단 항목별 통계 (이행)'!$L:$L)</f>
        <v>4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0</v>
      </c>
      <c r="N10" s="31">
        <f t="shared" ca="1" si="1"/>
        <v>4</v>
      </c>
      <c r="O10" s="11">
        <f ca="1">SUMIF('취약점 진단 항목별 통계 (이행)'!$A:$A,$A10&amp;"*",'취약점 진단 항목별 통계 (이행)'!$O:$O)</f>
        <v>48</v>
      </c>
      <c r="P10" s="11">
        <f ca="1">SUMIF('취약점 진단 항목별 통계 (이행)'!$A:$A,$A10&amp;"*",'취약점 진단 항목별 통계 (이행)'!$P:$P)</f>
        <v>104</v>
      </c>
      <c r="Q10" s="11">
        <f ca="1">SUMIF('취약점 진단 항목별 통계 (이행)'!$A:$A,$A10&amp;"*",'취약점 진단 항목별 통계 (이행)'!$Q:$Q)</f>
        <v>238</v>
      </c>
      <c r="R10" s="11">
        <f ca="1">SUMIF('취약점 진단 항목별 통계 (이행)'!$A:$A,$A10&amp;"*",'취약점 진단 항목별 통계 (이행)'!$R:$R)</f>
        <v>312</v>
      </c>
      <c r="S10" s="26">
        <f t="shared" ca="1" si="2"/>
        <v>0.30357142857142855</v>
      </c>
      <c r="T10" s="26">
        <f t="shared" ca="1" si="3"/>
        <v>4.958333333333333</v>
      </c>
      <c r="U10" s="75">
        <f t="shared" ca="1" si="4"/>
        <v>3</v>
      </c>
      <c r="V10" s="6"/>
      <c r="W10" s="6"/>
    </row>
    <row r="11" spans="1:25">
      <c r="A11" s="207" t="s">
        <v>70</v>
      </c>
      <c r="B11" s="208"/>
      <c r="C11" s="208"/>
      <c r="D11" s="209"/>
      <c r="E11" s="92">
        <f t="shared" ref="E11:R11" ca="1" si="5">SUM(E6:E10)</f>
        <v>76</v>
      </c>
      <c r="F11" s="92">
        <f t="shared" ca="1" si="5"/>
        <v>50</v>
      </c>
      <c r="G11" s="92">
        <f t="shared" ca="1" si="5"/>
        <v>160</v>
      </c>
      <c r="H11" s="92">
        <f t="shared" ca="1" si="5"/>
        <v>164</v>
      </c>
      <c r="I11" s="92">
        <f t="shared" ca="1" si="5"/>
        <v>26</v>
      </c>
      <c r="J11" s="92">
        <f t="shared" ca="1" si="5"/>
        <v>60</v>
      </c>
      <c r="K11" s="92">
        <f t="shared" ca="1" si="5"/>
        <v>8</v>
      </c>
      <c r="L11" s="92">
        <f t="shared" ca="1" si="5"/>
        <v>0</v>
      </c>
      <c r="M11" s="92">
        <f t="shared" ca="1" si="5"/>
        <v>0</v>
      </c>
      <c r="N11" s="92">
        <f t="shared" ca="1" si="5"/>
        <v>8</v>
      </c>
      <c r="O11" s="92">
        <f t="shared" ca="1" si="5"/>
        <v>124</v>
      </c>
      <c r="P11" s="92">
        <f t="shared" ca="1" si="5"/>
        <v>180</v>
      </c>
      <c r="Q11" s="92">
        <f t="shared" ca="1" si="5"/>
        <v>380</v>
      </c>
      <c r="R11" s="92">
        <f t="shared" ca="1" si="5"/>
        <v>520</v>
      </c>
      <c r="S11" s="93">
        <f ca="1">IFERROR($J11/($H11-(M11-I11)),"N/A")</f>
        <v>0.31578947368421051</v>
      </c>
      <c r="T11" s="93">
        <f ca="1">IF($I11=$E11,"N/A",(Q11/O11))</f>
        <v>3.064516129032258</v>
      </c>
      <c r="U11" s="77">
        <f ca="1">IF(OR($I11=$E11,$E11=$M11),"N/A",($R11/$P11))</f>
        <v>2.8888888888888888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17</v>
      </c>
      <c r="R39" s="6"/>
      <c r="S39" s="6"/>
      <c r="T39" s="6"/>
      <c r="U39" s="6"/>
      <c r="V39" s="6"/>
      <c r="W39" s="6"/>
    </row>
    <row r="40" spans="1:23">
      <c r="A40" s="240" t="s">
        <v>166</v>
      </c>
      <c r="B40" s="241"/>
      <c r="C40" s="241"/>
      <c r="D40" s="242"/>
      <c r="E40" s="246" t="s">
        <v>169</v>
      </c>
      <c r="F40" s="247"/>
      <c r="G40" s="247"/>
      <c r="H40" s="247"/>
      <c r="I40" s="248"/>
      <c r="J40" s="234" t="s">
        <v>157</v>
      </c>
      <c r="K40" s="235"/>
      <c r="L40" s="235"/>
      <c r="M40" s="235"/>
      <c r="N40" s="235"/>
      <c r="O40" s="236" t="s">
        <v>172</v>
      </c>
      <c r="P40" s="237"/>
      <c r="Q40" s="237"/>
      <c r="R40" s="237"/>
      <c r="S40" s="237"/>
      <c r="T40" s="237"/>
      <c r="U40" s="238"/>
      <c r="V40" s="6"/>
      <c r="W40" s="6"/>
    </row>
    <row r="41" spans="1:23" ht="22.5">
      <c r="A41" s="243"/>
      <c r="B41" s="244"/>
      <c r="C41" s="244"/>
      <c r="D41" s="245"/>
      <c r="E41" s="94" t="s">
        <v>174</v>
      </c>
      <c r="F41" s="95" t="s">
        <v>168</v>
      </c>
      <c r="G41" s="96" t="s">
        <v>86</v>
      </c>
      <c r="H41" s="97" t="s">
        <v>77</v>
      </c>
      <c r="I41" s="98" t="s">
        <v>175</v>
      </c>
      <c r="J41" s="97" t="s">
        <v>98</v>
      </c>
      <c r="K41" s="98" t="s">
        <v>78</v>
      </c>
      <c r="L41" s="97" t="s">
        <v>150</v>
      </c>
      <c r="M41" s="97" t="s">
        <v>175</v>
      </c>
      <c r="N41" s="97" t="s">
        <v>181</v>
      </c>
      <c r="O41" s="97" t="s">
        <v>13</v>
      </c>
      <c r="P41" s="97" t="s">
        <v>8</v>
      </c>
      <c r="Q41" s="97" t="s">
        <v>16</v>
      </c>
      <c r="R41" s="97" t="s">
        <v>22</v>
      </c>
      <c r="S41" s="98" t="s">
        <v>93</v>
      </c>
      <c r="T41" s="97" t="s">
        <v>42</v>
      </c>
      <c r="U41" s="99" t="s">
        <v>47</v>
      </c>
      <c r="V41" s="6"/>
      <c r="W41" s="6"/>
    </row>
    <row r="42" spans="1:23" ht="13.5" customHeight="1">
      <c r="A42" s="23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HQ_L3_1</v>
      </c>
      <c r="B42" s="195"/>
      <c r="C42" s="193" t="str">
        <f ca="1">IFERROR(VLOOKUP($A42,자산목록!$B$1:$M$834,8,FALSE),"-")</f>
        <v>L3 스위치</v>
      </c>
      <c r="D42" s="193"/>
      <c r="E42" s="32">
        <f ca="1">IFERROR(INDIRECT(ADDRESS(17,4,1,TRUE,$A42)),0)</f>
        <v>38</v>
      </c>
      <c r="F42" s="29">
        <f ca="1">E42-I42</f>
        <v>38</v>
      </c>
      <c r="G42" s="32">
        <f ca="1">IFERROR(INDIRECT(ADDRESS(17,5,1,TRUE,$A42)),0)</f>
        <v>4</v>
      </c>
      <c r="H42" s="32">
        <f ca="1">IFERROR(INDIRECT(ADDRESS(17,6,1,TRUE,$A42)),0)</f>
        <v>32</v>
      </c>
      <c r="I42" s="32">
        <f ca="1">IFERROR(INDIRECT(ADDRESS(17,7,1,TRUE,$A42)),0)</f>
        <v>0</v>
      </c>
      <c r="J42" s="32">
        <f ca="1">IFERROR(INDIRECT(ADDRESS(17,10,1,TRUE,$A42)),0)</f>
        <v>30</v>
      </c>
      <c r="K42" s="53">
        <f ca="1">IFERROR(INDIRECT(ADDRESS(17,11,1,TRUE,$A42)),0)</f>
        <v>4</v>
      </c>
      <c r="L42" s="32">
        <f ca="1">IFERROR(INDIRECT(ADDRESS(17,12,1,TRUE,$A42)),0)</f>
        <v>0</v>
      </c>
      <c r="M42" s="32">
        <f ca="1">IFERROR(INDIRECT(ADDRESS(17,13,1,TRUE,$A42)),0)</f>
        <v>0</v>
      </c>
      <c r="N42" s="32">
        <f ca="1">K42+L42</f>
        <v>4</v>
      </c>
      <c r="O42" s="32">
        <f ca="1">IFERROR(INDIRECT(ADDRESS(17,18,1,TRUE,$A42)),0)</f>
        <v>90</v>
      </c>
      <c r="P42" s="32">
        <f ca="1">IFERROR(INDIRECT(ADDRESS(17,21,1,TRUE,$A42)),0)</f>
        <v>90</v>
      </c>
      <c r="Q42" s="32">
        <f ca="1">IFERROR(INDIRECT(ADDRESS(17,19,1,TRUE,$A42)),0)</f>
        <v>10</v>
      </c>
      <c r="R42" s="53">
        <f ca="1">IFERROR(INDIRECT(ADDRESS(17,20,1,TRUE,$A42)),0)</f>
        <v>80</v>
      </c>
      <c r="S42" s="55">
        <f ca="1">IFERROR(INDIRECT(ADDRESS(17,14,1,TRUE,$A42)),0)</f>
        <v>0.9375</v>
      </c>
      <c r="T42" s="55">
        <f ca="1">IFERROR(INDIRECT(ADDRESS(17,8,1,TRUE,$A42)),0)</f>
        <v>0.1111111111111111</v>
      </c>
      <c r="U42" s="100">
        <f ca="1">IFERROR(INDIRECT(ADDRESS(17,15,1,TRUE,$A42)),0)</f>
        <v>0.88888888888888884</v>
      </c>
      <c r="V42" s="7"/>
    </row>
    <row r="43" spans="1:23" ht="13.5" customHeight="1">
      <c r="A43" s="23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HQ_L3_2</v>
      </c>
      <c r="B43" s="195"/>
      <c r="C43" s="193" t="str">
        <f ca="1">IFERROR(VLOOKUP($A43,자산목록!$B$1:$M$834,8,FALSE),"-")</f>
        <v>L3 스위치</v>
      </c>
      <c r="D43" s="193"/>
      <c r="E43" s="32">
        <f ca="1">IFERROR(INDIRECT(ADDRESS(17,4,1,TRUE,$A43)),0)</f>
        <v>38</v>
      </c>
      <c r="F43" s="29">
        <f ca="1">E43-I43</f>
        <v>38</v>
      </c>
      <c r="G43" s="32">
        <f ca="1">IFERROR(INDIRECT(ADDRESS(17,5,1,TRUE,$A43)),0)</f>
        <v>4</v>
      </c>
      <c r="H43" s="32">
        <f ca="1">IFERROR(INDIRECT(ADDRESS(17,6,1,TRUE,$A43)),0)</f>
        <v>32</v>
      </c>
      <c r="I43" s="32">
        <f ca="1">IFERROR(INDIRECT(ADDRESS(17,7,1,TRUE,$A43)),0)</f>
        <v>0</v>
      </c>
      <c r="J43" s="32">
        <f ca="1">IFERROR(INDIRECT(ADDRESS(17,10,1,TRUE,$A43)),0)</f>
        <v>30</v>
      </c>
      <c r="K43" s="53">
        <f ca="1">IFERROR(INDIRECT(ADDRESS(17,11,1,TRUE,$A43)),0)</f>
        <v>4</v>
      </c>
      <c r="L43" s="32">
        <f ca="1">IFERROR(INDIRECT(ADDRESS(17,12,1,TRUE,$A43)),0)</f>
        <v>0</v>
      </c>
      <c r="M43" s="32">
        <f ca="1">IFERROR(INDIRECT(ADDRESS(17,13,1,TRUE,$A43)),0)</f>
        <v>0</v>
      </c>
      <c r="N43" s="32">
        <f ca="1">K43+L43</f>
        <v>4</v>
      </c>
      <c r="O43" s="32">
        <f ca="1">IFERROR(INDIRECT(ADDRESS(17,18,1,TRUE,$A43)),0)</f>
        <v>90</v>
      </c>
      <c r="P43" s="32">
        <f ca="1">IFERROR(INDIRECT(ADDRESS(17,21,1,TRUE,$A43)),0)</f>
        <v>90</v>
      </c>
      <c r="Q43" s="32">
        <f ca="1">IFERROR(INDIRECT(ADDRESS(17,19,1,TRUE,$A43)),0)</f>
        <v>10</v>
      </c>
      <c r="R43" s="53">
        <f ca="1">IFERROR(INDIRECT(ADDRESS(17,20,1,TRUE,$A43)),0)</f>
        <v>80</v>
      </c>
      <c r="S43" s="55">
        <f ca="1">IFERROR(INDIRECT(ADDRESS(17,14,1,TRUE,$A43)),0)</f>
        <v>0.9375</v>
      </c>
      <c r="T43" s="55">
        <f ca="1">IFERROR(INDIRECT(ADDRESS(17,8,1,TRUE,$A43)),0)</f>
        <v>0.1111111111111111</v>
      </c>
      <c r="U43" s="100">
        <f ca="1">IFERROR(INDIRECT(ADDRESS(17,15,1,TRUE,$A43)),0)</f>
        <v>0.88888888888888884</v>
      </c>
      <c r="V43" s="7"/>
    </row>
    <row r="44" spans="1:23">
      <c r="A44" s="212" t="s">
        <v>70</v>
      </c>
      <c r="B44" s="213"/>
      <c r="C44" s="213"/>
      <c r="D44" s="213"/>
      <c r="E44" s="80">
        <f t="shared" ref="E44:R44" ca="1" si="6">SUM(E42:E43)</f>
        <v>76</v>
      </c>
      <c r="F44" s="80">
        <f t="shared" ca="1" si="6"/>
        <v>76</v>
      </c>
      <c r="G44" s="80">
        <f t="shared" ca="1" si="6"/>
        <v>8</v>
      </c>
      <c r="H44" s="80">
        <f t="shared" ca="1" si="6"/>
        <v>64</v>
      </c>
      <c r="I44" s="80">
        <f t="shared" ca="1" si="6"/>
        <v>0</v>
      </c>
      <c r="J44" s="80">
        <f t="shared" ca="1" si="6"/>
        <v>60</v>
      </c>
      <c r="K44" s="80">
        <f t="shared" ca="1" si="6"/>
        <v>8</v>
      </c>
      <c r="L44" s="80">
        <f t="shared" ca="1" si="6"/>
        <v>0</v>
      </c>
      <c r="M44" s="80">
        <f t="shared" ca="1" si="6"/>
        <v>0</v>
      </c>
      <c r="N44" s="80">
        <f t="shared" ca="1" si="6"/>
        <v>8</v>
      </c>
      <c r="O44" s="80">
        <f t="shared" ca="1" si="6"/>
        <v>180</v>
      </c>
      <c r="P44" s="80">
        <f t="shared" ca="1" si="6"/>
        <v>180</v>
      </c>
      <c r="Q44" s="80">
        <f t="shared" ca="1" si="6"/>
        <v>20</v>
      </c>
      <c r="R44" s="80">
        <f t="shared" ca="1" si="6"/>
        <v>160</v>
      </c>
      <c r="S44" s="101">
        <f ca="1">IFERROR($J44/($H44-(M44-I44)),"N/A")</f>
        <v>0.9375</v>
      </c>
      <c r="T44" s="101">
        <f ca="1">IF($I44=$E44,"N/A",(Q44/O44))</f>
        <v>0.1111111111111111</v>
      </c>
      <c r="U44" s="81">
        <f ca="1">IF(OR($I44=$E44,$E44=$M44),"N/A",($R44/$P44))</f>
        <v>0.88888888888888884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43"/>
  <sheetViews>
    <sheetView showGridLines="0" view="pageBreakPreview" zoomScale="85" zoomScaleNormal="85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0" width="9.77734375" style="20" customWidth="1"/>
    <col min="21" max="16384" width="8.77734375" style="17"/>
  </cols>
  <sheetData>
    <row r="1" spans="1:20" s="19" customFormat="1" ht="16.5">
      <c r="A1" s="16" t="s">
        <v>51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14" t="str">
        <f>ChkList!A4</f>
        <v>분류</v>
      </c>
      <c r="B3" s="215"/>
      <c r="C3" s="249" t="str">
        <f>ChkList!C4</f>
        <v>진단항목</v>
      </c>
      <c r="D3" s="220" t="str">
        <f>ChkList!D4</f>
        <v>중요도</v>
      </c>
      <c r="E3" s="226"/>
      <c r="F3" s="224" t="s">
        <v>162</v>
      </c>
      <c r="G3" s="225"/>
      <c r="H3" s="225"/>
      <c r="I3" s="225"/>
      <c r="J3" s="225"/>
      <c r="K3" s="224" t="s">
        <v>7</v>
      </c>
      <c r="L3" s="225"/>
      <c r="M3" s="225"/>
      <c r="N3" s="225"/>
      <c r="O3" s="224" t="s">
        <v>145</v>
      </c>
      <c r="P3" s="225"/>
      <c r="Q3" s="225"/>
      <c r="R3" s="225"/>
      <c r="S3" s="106" t="s">
        <v>156</v>
      </c>
      <c r="T3" s="113" t="s">
        <v>156</v>
      </c>
    </row>
    <row r="4" spans="1:20" s="20" customFormat="1" ht="15.6" customHeight="1">
      <c r="A4" s="216"/>
      <c r="B4" s="217"/>
      <c r="C4" s="250"/>
      <c r="D4" s="222"/>
      <c r="E4" s="251"/>
      <c r="F4" s="102" t="s">
        <v>84</v>
      </c>
      <c r="G4" s="105" t="s">
        <v>86</v>
      </c>
      <c r="H4" s="104" t="s">
        <v>178</v>
      </c>
      <c r="I4" s="105" t="s">
        <v>77</v>
      </c>
      <c r="J4" s="105" t="s">
        <v>58</v>
      </c>
      <c r="K4" s="104" t="s">
        <v>98</v>
      </c>
      <c r="L4" s="112" t="s">
        <v>78</v>
      </c>
      <c r="M4" s="105" t="s">
        <v>150</v>
      </c>
      <c r="N4" s="105" t="s">
        <v>58</v>
      </c>
      <c r="O4" s="103" t="s">
        <v>159</v>
      </c>
      <c r="P4" s="105" t="s">
        <v>149</v>
      </c>
      <c r="Q4" s="105" t="s">
        <v>125</v>
      </c>
      <c r="R4" s="105" t="s">
        <v>148</v>
      </c>
      <c r="S4" s="153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HQ_L3_1</v>
      </c>
      <c r="T4" s="154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HQ_L3_2</v>
      </c>
    </row>
    <row r="5" spans="1:20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4</v>
      </c>
      <c r="H5" s="23">
        <f ca="1">'취약점 진단 항목별 통계'!H5</f>
        <v>0</v>
      </c>
      <c r="I5" s="23">
        <f ca="1">'취약점 진단 항목별 통계'!I5</f>
        <v>6</v>
      </c>
      <c r="J5" s="23">
        <f ca="1">'취약점 진단 항목별 통계'!J5</f>
        <v>0</v>
      </c>
      <c r="K5" s="23">
        <f ca="1">COUNTIF($S5:INDIRECT(ADDRESS(ROW(),MATCH("",$4:$4,-1),1,1)),"조치")</f>
        <v>2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12</v>
      </c>
      <c r="R5" s="23">
        <f ca="1">VLOOKUP($D5,'parm(hidden)'!$B$8:$C$10,2,FALSE)*($G5+$H5+$K5)</f>
        <v>18</v>
      </c>
      <c r="S5" s="152" t="str">
        <f ca="1">HYPERLINK("["&amp;MID(CELL("filename"),SEARCH("[",CELL("filename"))+1,SEARCH("]",CELL("filename"))-SEARCH("[",CELL("filename"))-1)&amp;"]"&amp;ADDRESS(ROW()+16,11,1,TRUE,S$4),INDIRECT(ADDRESS(ROW()+16,11,1,TRUE,S$4)))</f>
        <v>조치</v>
      </c>
      <c r="T5" s="155" t="str">
        <f ca="1">HYPERLINK("["&amp;MID(CELL("filename"),SEARCH("[",CELL("filename"))+1,SEARCH("]",CELL("filename"))-SEARCH("[",CELL("filename"))-1)&amp;"]"&amp;ADDRESS(ROW()+16,11,1,TRUE,T$4),INDIRECT(ADDRESS(ROW()+16,11,1,TRUE,T$4)))</f>
        <v>조치</v>
      </c>
    </row>
    <row r="6" spans="1:20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4</v>
      </c>
      <c r="H6" s="23">
        <f ca="1">'취약점 진단 항목별 통계'!H6</f>
        <v>0</v>
      </c>
      <c r="I6" s="23">
        <f ca="1">'취약점 진단 항목별 통계'!I6</f>
        <v>6</v>
      </c>
      <c r="J6" s="23">
        <f ca="1">'취약점 진단 항목별 통계'!J6</f>
        <v>0</v>
      </c>
      <c r="K6" s="23">
        <f ca="1">COUNTIF($S6:INDIRECT(ADDRESS(ROW(),MATCH("",$4:$4,-1),1,1)),"조치")</f>
        <v>2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12</v>
      </c>
      <c r="R6" s="23">
        <f ca="1">VLOOKUP($D6,'parm(hidden)'!$B$8:$C$10,2,FALSE)*($G6+$H6+$K6)</f>
        <v>18</v>
      </c>
      <c r="S6" s="152" t="str">
        <f t="shared" ref="S6:T42" ca="1" si="0">HYPERLINK("["&amp;MID(CELL("filename"),SEARCH("[",CELL("filename"))+1,SEARCH("]",CELL("filename"))-SEARCH("[",CELL("filename"))-1)&amp;"]"&amp;ADDRESS(ROW()+16,11,1,TRUE,S$4),INDIRECT(ADDRESS(ROW()+16,11,1,TRUE,S$4)))</f>
        <v>조치</v>
      </c>
      <c r="T6" s="155" t="str">
        <f t="shared" ca="1" si="0"/>
        <v>조치</v>
      </c>
    </row>
    <row r="7" spans="1:20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6</v>
      </c>
      <c r="J7" s="23">
        <f ca="1">'취약점 진단 항목별 통계'!J7</f>
        <v>0</v>
      </c>
      <c r="K7" s="23">
        <f ca="1">COUNTIF($S7:INDIRECT(ADDRESS(ROW(),MATCH("",$4:$4,-1),1,1)),"조치")</f>
        <v>2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18</v>
      </c>
      <c r="S7" s="152" t="str">
        <f t="shared" ca="1" si="0"/>
        <v>조치</v>
      </c>
      <c r="T7" s="155" t="str">
        <f t="shared" ca="1" si="0"/>
        <v>조치</v>
      </c>
    </row>
    <row r="8" spans="1:20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4</v>
      </c>
      <c r="H8" s="23">
        <f ca="1">'취약점 진단 항목별 통계'!H8</f>
        <v>0</v>
      </c>
      <c r="I8" s="23">
        <f ca="1">'취약점 진단 항목별 통계'!I8</f>
        <v>6</v>
      </c>
      <c r="J8" s="23">
        <f ca="1">'취약점 진단 항목별 통계'!J8</f>
        <v>0</v>
      </c>
      <c r="K8" s="23">
        <f ca="1">COUNTIF($S8:INDIRECT(ADDRESS(ROW(),MATCH("",$4:$4,-1),1,1)),"조치")</f>
        <v>2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12</v>
      </c>
      <c r="R8" s="23">
        <f ca="1">VLOOKUP($D8,'parm(hidden)'!$B$8:$C$10,2,FALSE)*($G8+$H8+$K8)</f>
        <v>18</v>
      </c>
      <c r="S8" s="152" t="str">
        <f t="shared" ca="1" si="0"/>
        <v>조치</v>
      </c>
      <c r="T8" s="155" t="str">
        <f t="shared" ca="1" si="0"/>
        <v>조치</v>
      </c>
    </row>
    <row r="9" spans="1:20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6</v>
      </c>
      <c r="J9" s="23">
        <f ca="1">'취약점 진단 항목별 통계'!J9</f>
        <v>0</v>
      </c>
      <c r="K9" s="23">
        <f ca="1">COUNTIF($S9:INDIRECT(ADDRESS(ROW(),MATCH("",$4:$4,-1),1,1)),"조치")</f>
        <v>2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4</v>
      </c>
      <c r="P9" s="23">
        <f ca="1">VLOOKUP($D9,'parm(hidden)'!$B$8:$C$10,2,FALSE)*($F9-$N9)</f>
        <v>4</v>
      </c>
      <c r="Q9" s="35">
        <f ca="1">VLOOKUP($D9,'parm(hidden)'!$B$8:$C$10,2,FALSE)*($G9+$H9)</f>
        <v>8</v>
      </c>
      <c r="R9" s="23">
        <f ca="1">VLOOKUP($D9,'parm(hidden)'!$B$8:$C$10,2,FALSE)*($G9+$H9+$K9)</f>
        <v>12</v>
      </c>
      <c r="S9" s="152" t="str">
        <f t="shared" ca="1" si="0"/>
        <v>조치</v>
      </c>
      <c r="T9" s="155" t="str">
        <f t="shared" ca="1" si="0"/>
        <v>조치</v>
      </c>
    </row>
    <row r="10" spans="1:20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6</v>
      </c>
      <c r="J10" s="23">
        <f ca="1">'취약점 진단 항목별 통계'!J10</f>
        <v>0</v>
      </c>
      <c r="K10" s="23">
        <f ca="1">COUNTIF($S10:INDIRECT(ADDRESS(ROW(),MATCH("",$4:$4,-1),1,1)),"조치")</f>
        <v>2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18</v>
      </c>
      <c r="S10" s="152" t="str">
        <f t="shared" ca="1" si="0"/>
        <v>조치</v>
      </c>
      <c r="T10" s="155" t="str">
        <f t="shared" ca="1" si="0"/>
        <v>조치</v>
      </c>
    </row>
    <row r="11" spans="1:20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6</v>
      </c>
      <c r="J11" s="23">
        <f ca="1">'취약점 진단 항목별 통계'!J11</f>
        <v>0</v>
      </c>
      <c r="K11" s="23">
        <f ca="1">COUNTIF($S11:INDIRECT(ADDRESS(ROW(),MATCH("",$4:$4,-1),1,1)),"조치")</f>
        <v>2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6</v>
      </c>
      <c r="P11" s="23">
        <f ca="1">VLOOKUP($D11,'parm(hidden)'!$B$8:$C$10,2,FALSE)*($F11-$N11)</f>
        <v>6</v>
      </c>
      <c r="Q11" s="35">
        <f ca="1">VLOOKUP($D11,'parm(hidden)'!$B$8:$C$10,2,FALSE)*($G11+$H11)</f>
        <v>12</v>
      </c>
      <c r="R11" s="23">
        <f ca="1">VLOOKUP($D11,'parm(hidden)'!$B$8:$C$10,2,FALSE)*($G11+$H11+$K11)</f>
        <v>18</v>
      </c>
      <c r="S11" s="152" t="str">
        <f t="shared" ca="1" si="0"/>
        <v>조치</v>
      </c>
      <c r="T11" s="155" t="str">
        <f t="shared" ca="1" si="0"/>
        <v>조치</v>
      </c>
    </row>
    <row r="12" spans="1:20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4</v>
      </c>
      <c r="H12" s="23">
        <f ca="1">'취약점 진단 항목별 통계'!H12</f>
        <v>0</v>
      </c>
      <c r="I12" s="23">
        <f ca="1">'취약점 진단 항목별 통계'!I12</f>
        <v>6</v>
      </c>
      <c r="J12" s="23">
        <f ca="1">'취약점 진단 항목별 통계'!J12</f>
        <v>0</v>
      </c>
      <c r="K12" s="23">
        <f ca="1">COUNTIF($S12:INDIRECT(ADDRESS(ROW(),MATCH("",$4:$4,-1),1,1)),"조치")</f>
        <v>2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8</v>
      </c>
      <c r="R12" s="23">
        <f ca="1">VLOOKUP($D12,'parm(hidden)'!$B$8:$C$10,2,FALSE)*($G12+$H12+$K12)</f>
        <v>12</v>
      </c>
      <c r="S12" s="152" t="str">
        <f t="shared" ca="1" si="0"/>
        <v>조치</v>
      </c>
      <c r="T12" s="155" t="str">
        <f t="shared" ca="1" si="0"/>
        <v>조치</v>
      </c>
    </row>
    <row r="13" spans="1:20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COUNTA($S13:INDIRECT(ADDRESS(ROW(),MATCH("",$4:$4,-1),1,1)))</f>
        <v>2</v>
      </c>
      <c r="G13" s="23">
        <f ca="1">'취약점 진단 항목별 통계'!G13</f>
        <v>4</v>
      </c>
      <c r="H13" s="23">
        <f ca="1">'취약점 진단 항목별 통계'!H13</f>
        <v>0</v>
      </c>
      <c r="I13" s="23">
        <f ca="1">'취약점 진단 항목별 통계'!I13</f>
        <v>6</v>
      </c>
      <c r="J13" s="23">
        <f ca="1">'취약점 진단 항목별 통계'!J13</f>
        <v>0</v>
      </c>
      <c r="K13" s="23">
        <f ca="1">COUNTIF($S13:INDIRECT(ADDRESS(ROW(),MATCH("",$4:$4,-1),1,1)),"조치")</f>
        <v>2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4</v>
      </c>
      <c r="P13" s="23">
        <f ca="1">VLOOKUP($D13,'parm(hidden)'!$B$8:$C$10,2,FALSE)*($F13-$N13)</f>
        <v>4</v>
      </c>
      <c r="Q13" s="35">
        <f ca="1">VLOOKUP($D13,'parm(hidden)'!$B$8:$C$10,2,FALSE)*($G13+$H13)</f>
        <v>8</v>
      </c>
      <c r="R13" s="23">
        <f ca="1">VLOOKUP($D13,'parm(hidden)'!$B$8:$C$10,2,FALSE)*($G13+$H13+$K13)</f>
        <v>12</v>
      </c>
      <c r="S13" s="152" t="str">
        <f t="shared" ca="1" si="0"/>
        <v>조치</v>
      </c>
      <c r="T13" s="155" t="str">
        <f t="shared" ca="1" si="0"/>
        <v>조치</v>
      </c>
    </row>
    <row r="14" spans="1:20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0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2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0</v>
      </c>
      <c r="R14" s="23">
        <f ca="1">VLOOKUP($D14,'parm(hidden)'!$B$8:$C$10,2,FALSE)*($G14+$H14+$K14)</f>
        <v>0</v>
      </c>
      <c r="S14" s="152" t="str">
        <f t="shared" ca="1" si="0"/>
        <v>미조치</v>
      </c>
      <c r="T14" s="155" t="str">
        <f t="shared" ca="1" si="0"/>
        <v>미조치</v>
      </c>
    </row>
    <row r="15" spans="1:20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COUNTA($S15:INDIRECT(ADDRESS(ROW(),MATCH("",$4:$4,-1),1,1)))</f>
        <v>2</v>
      </c>
      <c r="G15" s="23">
        <f ca="1">'취약점 진단 항목별 통계'!G15</f>
        <v>4</v>
      </c>
      <c r="H15" s="23">
        <f ca="1">'취약점 진단 항목별 통계'!H15</f>
        <v>0</v>
      </c>
      <c r="I15" s="23">
        <f ca="1">'취약점 진단 항목별 통계'!I15</f>
        <v>6</v>
      </c>
      <c r="J15" s="23">
        <f ca="1">'취약점 진단 항목별 통계'!J15</f>
        <v>0</v>
      </c>
      <c r="K15" s="23">
        <f ca="1">COUNTIF($S15:INDIRECT(ADDRESS(ROW(),MATCH("",$4:$4,-1),1,1)),"조치")</f>
        <v>2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4</v>
      </c>
      <c r="P15" s="23">
        <f ca="1">VLOOKUP($D15,'parm(hidden)'!$B$8:$C$10,2,FALSE)*($F15-$N15)</f>
        <v>4</v>
      </c>
      <c r="Q15" s="35">
        <f ca="1">VLOOKUP($D15,'parm(hidden)'!$B$8:$C$10,2,FALSE)*($G15+$H15)</f>
        <v>8</v>
      </c>
      <c r="R15" s="23">
        <f ca="1">VLOOKUP($D15,'parm(hidden)'!$B$8:$C$10,2,FALSE)*($G15+$H15+$K15)</f>
        <v>12</v>
      </c>
      <c r="S15" s="152" t="str">
        <f t="shared" ca="1" si="0"/>
        <v>조치</v>
      </c>
      <c r="T15" s="155" t="str">
        <f t="shared" ca="1" si="0"/>
        <v>조치</v>
      </c>
    </row>
    <row r="16" spans="1:20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COUNTA($S16:INDIRECT(ADDRESS(ROW(),MATCH("",$4:$4,-1),1,1)))</f>
        <v>2</v>
      </c>
      <c r="G16" s="23">
        <f ca="1">'취약점 진단 항목별 통계'!G16</f>
        <v>4</v>
      </c>
      <c r="H16" s="23">
        <f ca="1">'취약점 진단 항목별 통계'!H16</f>
        <v>0</v>
      </c>
      <c r="I16" s="23">
        <f ca="1">'취약점 진단 항목별 통계'!I16</f>
        <v>6</v>
      </c>
      <c r="J16" s="23">
        <f ca="1">'취약점 진단 항목별 통계'!J16</f>
        <v>0</v>
      </c>
      <c r="K16" s="23">
        <f ca="1">COUNTIF($S16:INDIRECT(ADDRESS(ROW(),MATCH("",$4:$4,-1),1,1)),"조치")</f>
        <v>2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6</v>
      </c>
      <c r="P16" s="23">
        <f ca="1">VLOOKUP($D16,'parm(hidden)'!$B$8:$C$10,2,FALSE)*($F16-$N16)</f>
        <v>6</v>
      </c>
      <c r="Q16" s="35">
        <f ca="1">VLOOKUP($D16,'parm(hidden)'!$B$8:$C$10,2,FALSE)*($G16+$H16)</f>
        <v>12</v>
      </c>
      <c r="R16" s="23">
        <f ca="1">VLOOKUP($D16,'parm(hidden)'!$B$8:$C$10,2,FALSE)*($G16+$H16+$K16)</f>
        <v>18</v>
      </c>
      <c r="S16" s="152" t="str">
        <f t="shared" ca="1" si="0"/>
        <v>조치</v>
      </c>
      <c r="T16" s="155" t="str">
        <f t="shared" ca="1" si="0"/>
        <v>조치</v>
      </c>
    </row>
    <row r="17" spans="1:20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COUNTA($S17:INDIRECT(ADDRESS(ROW(),MATCH("",$4:$4,-1),1,1)))</f>
        <v>2</v>
      </c>
      <c r="G17" s="23">
        <f ca="1">'취약점 진단 항목별 통계'!G17</f>
        <v>0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2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0</v>
      </c>
      <c r="R17" s="23">
        <f ca="1">VLOOKUP($D17,'parm(hidden)'!$B$8:$C$10,2,FALSE)*($G17+$H17+$K17)</f>
        <v>0</v>
      </c>
      <c r="S17" s="152" t="str">
        <f t="shared" ca="1" si="0"/>
        <v>미조치</v>
      </c>
      <c r="T17" s="155" t="str">
        <f t="shared" ca="1" si="0"/>
        <v>미조치</v>
      </c>
    </row>
    <row r="18" spans="1:20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COUNTA($S18:INDIRECT(ADDRESS(ROW(),MATCH("",$4:$4,-1),1,1)))</f>
        <v>2</v>
      </c>
      <c r="G18" s="23">
        <f ca="1">'취약점 진단 항목별 통계'!G18</f>
        <v>4</v>
      </c>
      <c r="H18" s="23">
        <f ca="1">'취약점 진단 항목별 통계'!H18</f>
        <v>0</v>
      </c>
      <c r="I18" s="23">
        <f ca="1">'취약점 진단 항목별 통계'!I18</f>
        <v>6</v>
      </c>
      <c r="J18" s="23">
        <f ca="1">'취약점 진단 항목별 통계'!J18</f>
        <v>0</v>
      </c>
      <c r="K18" s="23">
        <f ca="1">COUNTIF($S18:INDIRECT(ADDRESS(ROW(),MATCH("",$4:$4,-1),1,1)),"조치")</f>
        <v>2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8</v>
      </c>
      <c r="R18" s="23">
        <f ca="1">VLOOKUP($D18,'parm(hidden)'!$B$8:$C$10,2,FALSE)*($G18+$H18+$K18)</f>
        <v>12</v>
      </c>
      <c r="S18" s="152" t="str">
        <f t="shared" ca="1" si="0"/>
        <v>조치</v>
      </c>
      <c r="T18" s="155" t="str">
        <f t="shared" ca="1" si="0"/>
        <v>조치</v>
      </c>
    </row>
    <row r="19" spans="1:20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COUNTA($S19:INDIRECT(ADDRESS(ROW(),MATCH("",$4:$4,-1),1,1)))</f>
        <v>2</v>
      </c>
      <c r="G19" s="23">
        <f ca="1">'취약점 진단 항목별 통계'!G19</f>
        <v>4</v>
      </c>
      <c r="H19" s="23">
        <f ca="1">'취약점 진단 항목별 통계'!H19</f>
        <v>0</v>
      </c>
      <c r="I19" s="23">
        <f ca="1">'취약점 진단 항목별 통계'!I19</f>
        <v>6</v>
      </c>
      <c r="J19" s="23">
        <f ca="1">'취약점 진단 항목별 통계'!J19</f>
        <v>0</v>
      </c>
      <c r="K19" s="23">
        <f ca="1">COUNTIF($S19:INDIRECT(ADDRESS(ROW(),MATCH("",$4:$4,-1),1,1)),"조치")</f>
        <v>2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12</v>
      </c>
      <c r="S19" s="152" t="str">
        <f t="shared" ca="1" si="0"/>
        <v>조치</v>
      </c>
      <c r="T19" s="155" t="str">
        <f t="shared" ca="1" si="0"/>
        <v>조치</v>
      </c>
    </row>
    <row r="20" spans="1:20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COUNTA($S20:INDIRECT(ADDRESS(ROW(),MATCH("",$4:$4,-1),1,1)))</f>
        <v>2</v>
      </c>
      <c r="G20" s="23">
        <f ca="1">'취약점 진단 항목별 통계'!G20</f>
        <v>10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2</v>
      </c>
      <c r="P20" s="23">
        <f ca="1">VLOOKUP($D20,'parm(hidden)'!$B$8:$C$10,2,FALSE)*($F20-$N20)</f>
        <v>2</v>
      </c>
      <c r="Q20" s="35">
        <f ca="1">VLOOKUP($D20,'parm(hidden)'!$B$8:$C$10,2,FALSE)*($G20+$H20)</f>
        <v>10</v>
      </c>
      <c r="R20" s="23">
        <f ca="1">VLOOKUP($D20,'parm(hidden)'!$B$8:$C$10,2,FALSE)*($G20+$H20+$K20)</f>
        <v>10</v>
      </c>
      <c r="S20" s="152" t="str">
        <f t="shared" ca="1" si="0"/>
        <v>Y</v>
      </c>
      <c r="T20" s="155" t="str">
        <f t="shared" ca="1" si="0"/>
        <v>Y</v>
      </c>
    </row>
    <row r="21" spans="1:20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COUNTA($S21:INDIRECT(ADDRESS(ROW(),MATCH("",$4:$4,-1),1,1)))</f>
        <v>2</v>
      </c>
      <c r="G21" s="23">
        <f ca="1">'취약점 진단 항목별 통계'!G21</f>
        <v>10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30</v>
      </c>
      <c r="R21" s="23">
        <f ca="1">VLOOKUP($D21,'parm(hidden)'!$B$8:$C$10,2,FALSE)*($G21+$H21+$K21)</f>
        <v>30</v>
      </c>
      <c r="S21" s="152" t="str">
        <f t="shared" ca="1" si="0"/>
        <v>Y</v>
      </c>
      <c r="T21" s="155" t="str">
        <f t="shared" ca="1" si="0"/>
        <v>Y</v>
      </c>
    </row>
    <row r="22" spans="1:20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COUNTA($S22:INDIRECT(ADDRESS(ROW(),MATCH("",$4:$4,-1),1,1)))</f>
        <v>2</v>
      </c>
      <c r="G22" s="23">
        <f ca="1">'취약점 진단 항목별 통계'!G22</f>
        <v>10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30</v>
      </c>
      <c r="R22" s="23">
        <f ca="1">VLOOKUP($D22,'parm(hidden)'!$B$8:$C$10,2,FALSE)*($G22+$H22+$K22)</f>
        <v>30</v>
      </c>
      <c r="S22" s="152" t="str">
        <f t="shared" ca="1" si="0"/>
        <v>Y</v>
      </c>
      <c r="T22" s="155" t="str">
        <f t="shared" ca="1" si="0"/>
        <v>Y</v>
      </c>
    </row>
    <row r="23" spans="1:20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COUNTA($S23:INDIRECT(ADDRESS(ROW(),MATCH("",$4:$4,-1),1,1)))</f>
        <v>2</v>
      </c>
      <c r="G23" s="23">
        <f ca="1">'취약점 진단 항목별 통계'!G23</f>
        <v>10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30</v>
      </c>
      <c r="R23" s="23">
        <f ca="1">VLOOKUP($D23,'parm(hidden)'!$B$8:$C$10,2,FALSE)*($G23+$H23+$K23)</f>
        <v>30</v>
      </c>
      <c r="S23" s="152" t="str">
        <f t="shared" ca="1" si="0"/>
        <v>Y</v>
      </c>
      <c r="T23" s="155" t="str">
        <f t="shared" ca="1" si="0"/>
        <v>Y</v>
      </c>
    </row>
    <row r="24" spans="1:20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COUNTA($S24:INDIRECT(ADDRESS(ROW(),MATCH("",$4:$4,-1),1,1)))</f>
        <v>2</v>
      </c>
      <c r="G24" s="23">
        <f ca="1">'취약점 진단 항목별 통계'!G24</f>
        <v>4</v>
      </c>
      <c r="H24" s="23">
        <f ca="1">'취약점 진단 항목별 통계'!H24</f>
        <v>0</v>
      </c>
      <c r="I24" s="23">
        <f ca="1">'취약점 진단 항목별 통계'!I24</f>
        <v>4</v>
      </c>
      <c r="J24" s="23">
        <f ca="1">'취약점 진단 항목별 통계'!J24</f>
        <v>2</v>
      </c>
      <c r="K24" s="23">
        <f ca="1">COUNTIF($S24:INDIRECT(ADDRESS(ROW(),MATCH("",$4:$4,-1),1,1)),"조치")</f>
        <v>2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0</v>
      </c>
      <c r="P24" s="23">
        <f ca="1">VLOOKUP($D24,'parm(hidden)'!$B$8:$C$10,2,FALSE)*($F24-$N24)</f>
        <v>6</v>
      </c>
      <c r="Q24" s="35">
        <f ca="1">VLOOKUP($D24,'parm(hidden)'!$B$8:$C$10,2,FALSE)*($G24+$H24)</f>
        <v>12</v>
      </c>
      <c r="R24" s="23">
        <f ca="1">VLOOKUP($D24,'parm(hidden)'!$B$8:$C$10,2,FALSE)*($G24+$H24+$K24)</f>
        <v>18</v>
      </c>
      <c r="S24" s="152" t="str">
        <f t="shared" ca="1" si="0"/>
        <v>조치</v>
      </c>
      <c r="T24" s="155" t="str">
        <f t="shared" ca="1" si="0"/>
        <v>조치</v>
      </c>
    </row>
    <row r="25" spans="1:20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COUNTA($S25:INDIRECT(ADDRESS(ROW(),MATCH("",$4:$4,-1),1,1)))</f>
        <v>2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6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2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6</v>
      </c>
      <c r="P25" s="23">
        <f ca="1">VLOOKUP($D25,'parm(hidden)'!$B$8:$C$10,2,FALSE)*($F25-$N25)</f>
        <v>6</v>
      </c>
      <c r="Q25" s="35">
        <f ca="1">VLOOKUP($D25,'parm(hidden)'!$B$8:$C$10,2,FALSE)*($G25+$H25)</f>
        <v>0</v>
      </c>
      <c r="R25" s="23">
        <f ca="1">VLOOKUP($D25,'parm(hidden)'!$B$8:$C$10,2,FALSE)*($G25+$H25+$K25)</f>
        <v>0</v>
      </c>
      <c r="S25" s="152" t="str">
        <f t="shared" ca="1" si="0"/>
        <v>미조치</v>
      </c>
      <c r="T25" s="155" t="str">
        <f t="shared" ca="1" si="0"/>
        <v>미조치</v>
      </c>
    </row>
    <row r="26" spans="1:20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COUNTA($S26:INDIRECT(ADDRESS(ROW(),MATCH("",$4:$4,-1),1,1)))</f>
        <v>2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6</v>
      </c>
      <c r="J26" s="23">
        <f ca="1">'취약점 진단 항목별 통계'!J26</f>
        <v>0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2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6</v>
      </c>
      <c r="P26" s="23">
        <f ca="1">VLOOKUP($D26,'parm(hidden)'!$B$8:$C$10,2,FALSE)*($F26-$N26)</f>
        <v>6</v>
      </c>
      <c r="Q26" s="35">
        <f ca="1">VLOOKUP($D26,'parm(hidden)'!$B$8:$C$10,2,FALSE)*($G26+$H26)</f>
        <v>0</v>
      </c>
      <c r="R26" s="23">
        <f ca="1">VLOOKUP($D26,'parm(hidden)'!$B$8:$C$10,2,FALSE)*($G26+$H26+$K26)</f>
        <v>0</v>
      </c>
      <c r="S26" s="152" t="str">
        <f t="shared" ca="1" si="0"/>
        <v>미조치</v>
      </c>
      <c r="T26" s="155" t="str">
        <f t="shared" ca="1" si="0"/>
        <v>미조치</v>
      </c>
    </row>
    <row r="27" spans="1:20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COUNTA($S27:INDIRECT(ADDRESS(ROW(),MATCH("",$4:$4,-1),1,1)))</f>
        <v>2</v>
      </c>
      <c r="G27" s="23">
        <f ca="1">'취약점 진단 항목별 통계'!G27</f>
        <v>4</v>
      </c>
      <c r="H27" s="23">
        <f ca="1">'취약점 진단 항목별 통계'!H27</f>
        <v>0</v>
      </c>
      <c r="I27" s="23">
        <f ca="1">'취약점 진단 항목별 통계'!I27</f>
        <v>6</v>
      </c>
      <c r="J27" s="23">
        <f ca="1">'취약점 진단 항목별 통계'!J27</f>
        <v>0</v>
      </c>
      <c r="K27" s="23">
        <f ca="1">COUNTIF($S27:INDIRECT(ADDRESS(ROW(),MATCH("",$4:$4,-1),1,1)),"조치")</f>
        <v>2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6</v>
      </c>
      <c r="P27" s="23">
        <f ca="1">VLOOKUP($D27,'parm(hidden)'!$B$8:$C$10,2,FALSE)*($F27-$N27)</f>
        <v>6</v>
      </c>
      <c r="Q27" s="35">
        <f ca="1">VLOOKUP($D27,'parm(hidden)'!$B$8:$C$10,2,FALSE)*($G27+$H27)</f>
        <v>12</v>
      </c>
      <c r="R27" s="23">
        <f ca="1">VLOOKUP($D27,'parm(hidden)'!$B$8:$C$10,2,FALSE)*($G27+$H27+$K27)</f>
        <v>18</v>
      </c>
      <c r="S27" s="152" t="str">
        <f t="shared" ca="1" si="0"/>
        <v>조치</v>
      </c>
      <c r="T27" s="155" t="str">
        <f t="shared" ca="1" si="0"/>
        <v>조치</v>
      </c>
    </row>
    <row r="28" spans="1:20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COUNTA($S28:INDIRECT(ADDRESS(ROW(),MATCH("",$4:$4,-1),1,1)))</f>
        <v>2</v>
      </c>
      <c r="G28" s="23">
        <f ca="1">'취약점 진단 항목별 통계'!G28</f>
        <v>4</v>
      </c>
      <c r="H28" s="23">
        <f ca="1">'취약점 진단 항목별 통계'!H28</f>
        <v>0</v>
      </c>
      <c r="I28" s="23">
        <f ca="1">'취약점 진단 항목별 통계'!I28</f>
        <v>4</v>
      </c>
      <c r="J28" s="23">
        <f ca="1">'취약점 진단 항목별 통계'!J28</f>
        <v>2</v>
      </c>
      <c r="K28" s="23">
        <f ca="1">COUNTIF($S28:INDIRECT(ADDRESS(ROW(),MATCH("",$4:$4,-1),1,1)),"조치")</f>
        <v>2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0</v>
      </c>
      <c r="P28" s="23">
        <f ca="1">VLOOKUP($D28,'parm(hidden)'!$B$8:$C$10,2,FALSE)*($F28-$N28)</f>
        <v>6</v>
      </c>
      <c r="Q28" s="35">
        <f ca="1">VLOOKUP($D28,'parm(hidden)'!$B$8:$C$10,2,FALSE)*($G28+$H28)</f>
        <v>12</v>
      </c>
      <c r="R28" s="23">
        <f ca="1">VLOOKUP($D28,'parm(hidden)'!$B$8:$C$10,2,FALSE)*($G28+$H28+$K28)</f>
        <v>18</v>
      </c>
      <c r="S28" s="152" t="str">
        <f t="shared" ca="1" si="0"/>
        <v>조치</v>
      </c>
      <c r="T28" s="155" t="str">
        <f t="shared" ca="1" si="0"/>
        <v>조치</v>
      </c>
    </row>
    <row r="29" spans="1:20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COUNTA($S29:INDIRECT(ADDRESS(ROW(),MATCH("",$4:$4,-1),1,1)))</f>
        <v>2</v>
      </c>
      <c r="G29" s="23">
        <f ca="1">'취약점 진단 항목별 통계'!G29</f>
        <v>4</v>
      </c>
      <c r="H29" s="23">
        <f ca="1">'취약점 진단 항목별 통계'!H29</f>
        <v>0</v>
      </c>
      <c r="I29" s="23">
        <f ca="1">'취약점 진단 항목별 통계'!I29</f>
        <v>4</v>
      </c>
      <c r="J29" s="23">
        <f ca="1">'취약점 진단 항목별 통계'!J29</f>
        <v>2</v>
      </c>
      <c r="K29" s="23">
        <f ca="1">COUNTIF($S29:INDIRECT(ADDRESS(ROW(),MATCH("",$4:$4,-1),1,1)),"조치")</f>
        <v>2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0</v>
      </c>
      <c r="P29" s="23">
        <f ca="1">VLOOKUP($D29,'parm(hidden)'!$B$8:$C$10,2,FALSE)*($F29-$N29)</f>
        <v>4</v>
      </c>
      <c r="Q29" s="35">
        <f ca="1">VLOOKUP($D29,'parm(hidden)'!$B$8:$C$10,2,FALSE)*($G29+$H29)</f>
        <v>8</v>
      </c>
      <c r="R29" s="23">
        <f ca="1">VLOOKUP($D29,'parm(hidden)'!$B$8:$C$10,2,FALSE)*($G29+$H29+$K29)</f>
        <v>12</v>
      </c>
      <c r="S29" s="152" t="str">
        <f t="shared" ca="1" si="0"/>
        <v>조치</v>
      </c>
      <c r="T29" s="155" t="str">
        <f t="shared" ca="1" si="0"/>
        <v>조치</v>
      </c>
    </row>
    <row r="30" spans="1:20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COUNTA($S30:INDIRECT(ADDRESS(ROW(),MATCH("",$4:$4,-1),1,1)))</f>
        <v>2</v>
      </c>
      <c r="G30" s="23">
        <f ca="1">'취약점 진단 항목별 통계'!G30</f>
        <v>4</v>
      </c>
      <c r="H30" s="23">
        <f ca="1">'취약점 진단 항목별 통계'!H30</f>
        <v>0</v>
      </c>
      <c r="I30" s="23">
        <f ca="1">'취약점 진단 항목별 통계'!I30</f>
        <v>4</v>
      </c>
      <c r="J30" s="23">
        <f ca="1">'취약점 진단 항목별 통계'!J30</f>
        <v>2</v>
      </c>
      <c r="K30" s="23">
        <f ca="1">COUNTIF($S30:INDIRECT(ADDRESS(ROW(),MATCH("",$4:$4,-1),1,1)),"조치")</f>
        <v>2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0</v>
      </c>
      <c r="P30" s="23">
        <f ca="1">VLOOKUP($D30,'parm(hidden)'!$B$8:$C$10,2,FALSE)*($F30-$N30)</f>
        <v>4</v>
      </c>
      <c r="Q30" s="35">
        <f ca="1">VLOOKUP($D30,'parm(hidden)'!$B$8:$C$10,2,FALSE)*($G30+$H30)</f>
        <v>8</v>
      </c>
      <c r="R30" s="23">
        <f ca="1">VLOOKUP($D30,'parm(hidden)'!$B$8:$C$10,2,FALSE)*($G30+$H30+$K30)</f>
        <v>12</v>
      </c>
      <c r="S30" s="152" t="str">
        <f t="shared" ca="1" si="0"/>
        <v>조치</v>
      </c>
      <c r="T30" s="155" t="str">
        <f t="shared" ca="1" si="0"/>
        <v>조치</v>
      </c>
    </row>
    <row r="31" spans="1:20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COUNTA($S31:INDIRECT(ADDRESS(ROW(),MATCH("",$4:$4,-1),1,1)))</f>
        <v>2</v>
      </c>
      <c r="G31" s="23">
        <f ca="1">'취약점 진단 항목별 통계'!G31</f>
        <v>4</v>
      </c>
      <c r="H31" s="23">
        <f ca="1">'취약점 진단 항목별 통계'!H31</f>
        <v>0</v>
      </c>
      <c r="I31" s="23">
        <f ca="1">'취약점 진단 항목별 통계'!I31</f>
        <v>4</v>
      </c>
      <c r="J31" s="23">
        <f ca="1">'취약점 진단 항목별 통계'!J31</f>
        <v>2</v>
      </c>
      <c r="K31" s="23">
        <f ca="1">COUNTIF($S31:INDIRECT(ADDRESS(ROW(),MATCH("",$4:$4,-1),1,1)),"조치")</f>
        <v>2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0</v>
      </c>
      <c r="P31" s="23">
        <f ca="1">VLOOKUP($D31,'parm(hidden)'!$B$8:$C$10,2,FALSE)*($F31-$N31)</f>
        <v>4</v>
      </c>
      <c r="Q31" s="35">
        <f ca="1">VLOOKUP($D31,'parm(hidden)'!$B$8:$C$10,2,FALSE)*($G31+$H31)</f>
        <v>8</v>
      </c>
      <c r="R31" s="23">
        <f ca="1">VLOOKUP($D31,'parm(hidden)'!$B$8:$C$10,2,FALSE)*($G31+$H31+$K31)</f>
        <v>12</v>
      </c>
      <c r="S31" s="152" t="str">
        <f t="shared" ca="1" si="0"/>
        <v>조치</v>
      </c>
      <c r="T31" s="155" t="str">
        <f t="shared" ca="1" si="0"/>
        <v>조치</v>
      </c>
    </row>
    <row r="32" spans="1:20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COUNTA($S32:INDIRECT(ADDRESS(ROW(),MATCH("",$4:$4,-1),1,1)))</f>
        <v>2</v>
      </c>
      <c r="G32" s="23">
        <f ca="1">'취약점 진단 항목별 통계'!G32</f>
        <v>4</v>
      </c>
      <c r="H32" s="23">
        <f ca="1">'취약점 진단 항목별 통계'!H32</f>
        <v>0</v>
      </c>
      <c r="I32" s="23">
        <f ca="1">'취약점 진단 항목별 통계'!I32</f>
        <v>4</v>
      </c>
      <c r="J32" s="23">
        <f ca="1">'취약점 진단 항목별 통계'!J32</f>
        <v>2</v>
      </c>
      <c r="K32" s="23">
        <f ca="1">COUNTIF($S32:INDIRECT(ADDRESS(ROW(),MATCH("",$4:$4,-1),1,1)),"조치")</f>
        <v>2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0</v>
      </c>
      <c r="P32" s="23">
        <f ca="1">VLOOKUP($D32,'parm(hidden)'!$B$8:$C$10,2,FALSE)*($F32-$N32)</f>
        <v>4</v>
      </c>
      <c r="Q32" s="35">
        <f ca="1">VLOOKUP($D32,'parm(hidden)'!$B$8:$C$10,2,FALSE)*($G32+$H32)</f>
        <v>8</v>
      </c>
      <c r="R32" s="23">
        <f ca="1">VLOOKUP($D32,'parm(hidden)'!$B$8:$C$10,2,FALSE)*($G32+$H32+$K32)</f>
        <v>12</v>
      </c>
      <c r="S32" s="152" t="str">
        <f t="shared" ca="1" si="0"/>
        <v>조치</v>
      </c>
      <c r="T32" s="155" t="str">
        <f t="shared" ca="1" si="0"/>
        <v>조치</v>
      </c>
    </row>
    <row r="33" spans="1:20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COUNTA($S33:INDIRECT(ADDRESS(ROW(),MATCH("",$4:$4,-1),1,1)))</f>
        <v>2</v>
      </c>
      <c r="G33" s="23">
        <f ca="1">'취약점 진단 항목별 통계'!G33</f>
        <v>4</v>
      </c>
      <c r="H33" s="23">
        <f ca="1">'취약점 진단 항목별 통계'!H33</f>
        <v>0</v>
      </c>
      <c r="I33" s="23">
        <f ca="1">'취약점 진단 항목별 통계'!I33</f>
        <v>6</v>
      </c>
      <c r="J33" s="23">
        <f ca="1">'취약점 진단 항목별 통계'!J33</f>
        <v>0</v>
      </c>
      <c r="K33" s="23">
        <f ca="1">COUNTIF($S33:INDIRECT(ADDRESS(ROW(),MATCH("",$4:$4,-1),1,1)),"조치")</f>
        <v>2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4</v>
      </c>
      <c r="P33" s="23">
        <f ca="1">VLOOKUP($D33,'parm(hidden)'!$B$8:$C$10,2,FALSE)*($F33-$N33)</f>
        <v>4</v>
      </c>
      <c r="Q33" s="35">
        <f ca="1">VLOOKUP($D33,'parm(hidden)'!$B$8:$C$10,2,FALSE)*($G33+$H33)</f>
        <v>8</v>
      </c>
      <c r="R33" s="23">
        <f ca="1">VLOOKUP($D33,'parm(hidden)'!$B$8:$C$10,2,FALSE)*($G33+$H33+$K33)</f>
        <v>12</v>
      </c>
      <c r="S33" s="152" t="str">
        <f t="shared" ca="1" si="0"/>
        <v>조치</v>
      </c>
      <c r="T33" s="155" t="str">
        <f t="shared" ca="1" si="0"/>
        <v>조치</v>
      </c>
    </row>
    <row r="34" spans="1:20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COUNTA($S34:INDIRECT(ADDRESS(ROW(),MATCH("",$4:$4,-1),1,1)))</f>
        <v>2</v>
      </c>
      <c r="G34" s="23">
        <f ca="1">'취약점 진단 항목별 통계'!G34</f>
        <v>4</v>
      </c>
      <c r="H34" s="23">
        <f ca="1">'취약점 진단 항목별 통계'!H34</f>
        <v>0</v>
      </c>
      <c r="I34" s="23">
        <f ca="1">'취약점 진단 항목별 통계'!I34</f>
        <v>4</v>
      </c>
      <c r="J34" s="23">
        <f ca="1">'취약점 진단 항목별 통계'!J34</f>
        <v>2</v>
      </c>
      <c r="K34" s="23">
        <f ca="1">COUNTIF($S34:INDIRECT(ADDRESS(ROW(),MATCH("",$4:$4,-1),1,1)),"조치")</f>
        <v>2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0</v>
      </c>
      <c r="P34" s="23">
        <f ca="1">VLOOKUP($D34,'parm(hidden)'!$B$8:$C$10,2,FALSE)*($F34-$N34)</f>
        <v>4</v>
      </c>
      <c r="Q34" s="35">
        <f ca="1">VLOOKUP($D34,'parm(hidden)'!$B$8:$C$10,2,FALSE)*($G34+$H34)</f>
        <v>8</v>
      </c>
      <c r="R34" s="23">
        <f ca="1">VLOOKUP($D34,'parm(hidden)'!$B$8:$C$10,2,FALSE)*($G34+$H34+$K34)</f>
        <v>12</v>
      </c>
      <c r="S34" s="152" t="str">
        <f t="shared" ca="1" si="0"/>
        <v>조치</v>
      </c>
      <c r="T34" s="155" t="str">
        <f t="shared" ca="1" si="0"/>
        <v>조치</v>
      </c>
    </row>
    <row r="35" spans="1:20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COUNTA($S35:INDIRECT(ADDRESS(ROW(),MATCH("",$4:$4,-1),1,1)))</f>
        <v>2</v>
      </c>
      <c r="G35" s="23">
        <f ca="1">'취약점 진단 항목별 통계'!G35</f>
        <v>4</v>
      </c>
      <c r="H35" s="23">
        <f ca="1">'취약점 진단 항목별 통계'!H35</f>
        <v>0</v>
      </c>
      <c r="I35" s="23">
        <f ca="1">'취약점 진단 항목별 통계'!I35</f>
        <v>4</v>
      </c>
      <c r="J35" s="23">
        <f ca="1">'취약점 진단 항목별 통계'!J35</f>
        <v>2</v>
      </c>
      <c r="K35" s="23">
        <f ca="1">COUNTIF($S35:INDIRECT(ADDRESS(ROW(),MATCH("",$4:$4,-1),1,1)),"조치")</f>
        <v>2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0</v>
      </c>
      <c r="P35" s="23">
        <f ca="1">VLOOKUP($D35,'parm(hidden)'!$B$8:$C$10,2,FALSE)*($F35-$N35)</f>
        <v>4</v>
      </c>
      <c r="Q35" s="35">
        <f ca="1">VLOOKUP($D35,'parm(hidden)'!$B$8:$C$10,2,FALSE)*($G35+$H35)</f>
        <v>8</v>
      </c>
      <c r="R35" s="23">
        <f ca="1">VLOOKUP($D35,'parm(hidden)'!$B$8:$C$10,2,FALSE)*($G35+$H35+$K35)</f>
        <v>12</v>
      </c>
      <c r="S35" s="152" t="str">
        <f t="shared" ca="1" si="0"/>
        <v>조치</v>
      </c>
      <c r="T35" s="155" t="str">
        <f t="shared" ca="1" si="0"/>
        <v>조치</v>
      </c>
    </row>
    <row r="36" spans="1:20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COUNTA($S36:INDIRECT(ADDRESS(ROW(),MATCH("",$4:$4,-1),1,1)))</f>
        <v>2</v>
      </c>
      <c r="G36" s="23">
        <f ca="1">'취약점 진단 항목별 통계'!G36</f>
        <v>4</v>
      </c>
      <c r="H36" s="23">
        <f ca="1">'취약점 진단 항목별 통계'!H36</f>
        <v>0</v>
      </c>
      <c r="I36" s="23">
        <f ca="1">'취약점 진단 항목별 통계'!I36</f>
        <v>4</v>
      </c>
      <c r="J36" s="23">
        <f ca="1">'취약점 진단 항목별 통계'!J36</f>
        <v>2</v>
      </c>
      <c r="K36" s="23">
        <f ca="1">COUNTIF($S36:INDIRECT(ADDRESS(ROW(),MATCH("",$4:$4,-1),1,1)),"조치")</f>
        <v>2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0</v>
      </c>
      <c r="P36" s="23">
        <f ca="1">VLOOKUP($D36,'parm(hidden)'!$B$8:$C$10,2,FALSE)*($F36-$N36)</f>
        <v>4</v>
      </c>
      <c r="Q36" s="35">
        <f ca="1">VLOOKUP($D36,'parm(hidden)'!$B$8:$C$10,2,FALSE)*($G36+$H36)</f>
        <v>8</v>
      </c>
      <c r="R36" s="23">
        <f ca="1">VLOOKUP($D36,'parm(hidden)'!$B$8:$C$10,2,FALSE)*($G36+$H36+$K36)</f>
        <v>12</v>
      </c>
      <c r="S36" s="152" t="str">
        <f t="shared" ca="1" si="0"/>
        <v>조치</v>
      </c>
      <c r="T36" s="155" t="str">
        <f t="shared" ca="1" si="0"/>
        <v>조치</v>
      </c>
    </row>
    <row r="37" spans="1:20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COUNTA($S37:INDIRECT(ADDRESS(ROW(),MATCH("",$4:$4,-1),1,1)))</f>
        <v>2</v>
      </c>
      <c r="G37" s="23">
        <f ca="1">'취약점 진단 항목별 통계'!G37</f>
        <v>4</v>
      </c>
      <c r="H37" s="23">
        <f ca="1">'취약점 진단 항목별 통계'!H37</f>
        <v>0</v>
      </c>
      <c r="I37" s="23">
        <f ca="1">'취약점 진단 항목별 통계'!I37</f>
        <v>4</v>
      </c>
      <c r="J37" s="23">
        <f ca="1">'취약점 진단 항목별 통계'!J37</f>
        <v>2</v>
      </c>
      <c r="K37" s="23">
        <f ca="1">COUNTIF($S37:INDIRECT(ADDRESS(ROW(),MATCH("",$4:$4,-1),1,1)),"조치")</f>
        <v>2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0</v>
      </c>
      <c r="P37" s="23">
        <f ca="1">VLOOKUP($D37,'parm(hidden)'!$B$8:$C$10,2,FALSE)*($F37-$N37)</f>
        <v>4</v>
      </c>
      <c r="Q37" s="35">
        <f ca="1">VLOOKUP($D37,'parm(hidden)'!$B$8:$C$10,2,FALSE)*($G37+$H37)</f>
        <v>8</v>
      </c>
      <c r="R37" s="23">
        <f ca="1">VLOOKUP($D37,'parm(hidden)'!$B$8:$C$10,2,FALSE)*($G37+$H37+$K37)</f>
        <v>12</v>
      </c>
      <c r="S37" s="152" t="str">
        <f t="shared" ca="1" si="0"/>
        <v>조치</v>
      </c>
      <c r="T37" s="155" t="str">
        <f t="shared" ca="1" si="0"/>
        <v>조치</v>
      </c>
    </row>
    <row r="38" spans="1:20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COUNTA($S38:INDIRECT(ADDRESS(ROW(),MATCH("",$4:$4,-1),1,1)))</f>
        <v>2</v>
      </c>
      <c r="G38" s="23">
        <f ca="1">'취약점 진단 항목별 통계'!G38</f>
        <v>4</v>
      </c>
      <c r="H38" s="23">
        <f ca="1">'취약점 진단 항목별 통계'!H38</f>
        <v>0</v>
      </c>
      <c r="I38" s="23">
        <f ca="1">'취약점 진단 항목별 통계'!I38</f>
        <v>4</v>
      </c>
      <c r="J38" s="23">
        <f ca="1">'취약점 진단 항목별 통계'!J38</f>
        <v>2</v>
      </c>
      <c r="K38" s="23">
        <f ca="1">COUNTIF($S38:INDIRECT(ADDRESS(ROW(),MATCH("",$4:$4,-1),1,1)),"조치")</f>
        <v>2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0</v>
      </c>
      <c r="P38" s="23">
        <f ca="1">VLOOKUP($D38,'parm(hidden)'!$B$8:$C$10,2,FALSE)*($F38-$N38)</f>
        <v>4</v>
      </c>
      <c r="Q38" s="35">
        <f ca="1">VLOOKUP($D38,'parm(hidden)'!$B$8:$C$10,2,FALSE)*($G38+$H38)</f>
        <v>8</v>
      </c>
      <c r="R38" s="23">
        <f ca="1">VLOOKUP($D38,'parm(hidden)'!$B$8:$C$10,2,FALSE)*($G38+$H38+$K38)</f>
        <v>12</v>
      </c>
      <c r="S38" s="152" t="str">
        <f t="shared" ca="1" si="0"/>
        <v>조치</v>
      </c>
      <c r="T38" s="155" t="str">
        <f t="shared" ca="1" si="0"/>
        <v>조치</v>
      </c>
    </row>
    <row r="39" spans="1:20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COUNTA($S39:INDIRECT(ADDRESS(ROW(),MATCH("",$4:$4,-1),1,1)))</f>
        <v>2</v>
      </c>
      <c r="G39" s="23">
        <f ca="1">'취약점 진단 항목별 통계'!G39</f>
        <v>4</v>
      </c>
      <c r="H39" s="23">
        <f ca="1">'취약점 진단 항목별 통계'!H39</f>
        <v>0</v>
      </c>
      <c r="I39" s="23">
        <f ca="1">'취약점 진단 항목별 통계'!I39</f>
        <v>6</v>
      </c>
      <c r="J39" s="23">
        <f ca="1">'취약점 진단 항목별 통계'!J39</f>
        <v>0</v>
      </c>
      <c r="K39" s="23">
        <f ca="1">COUNTIF($S39:INDIRECT(ADDRESS(ROW(),MATCH("",$4:$4,-1),1,1)),"조치")</f>
        <v>2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8</v>
      </c>
      <c r="R39" s="23">
        <f ca="1">VLOOKUP($D39,'parm(hidden)'!$B$8:$C$10,2,FALSE)*($G39+$H39+$K39)</f>
        <v>12</v>
      </c>
      <c r="S39" s="152" t="str">
        <f t="shared" ca="1" si="0"/>
        <v>조치</v>
      </c>
      <c r="T39" s="155" t="str">
        <f t="shared" ca="1" si="0"/>
        <v>조치</v>
      </c>
    </row>
    <row r="40" spans="1:20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COUNTA($S40:INDIRECT(ADDRESS(ROW(),MATCH("",$4:$4,-1),1,1)))</f>
        <v>2</v>
      </c>
      <c r="G40" s="23">
        <f ca="1">'취약점 진단 항목별 통계'!G40</f>
        <v>4</v>
      </c>
      <c r="H40" s="23">
        <f ca="1">'취약점 진단 항목별 통계'!H40</f>
        <v>0</v>
      </c>
      <c r="I40" s="23">
        <f ca="1">'취약점 진단 항목별 통계'!I40</f>
        <v>4</v>
      </c>
      <c r="J40" s="23">
        <f ca="1">'취약점 진단 항목별 통계'!J40</f>
        <v>2</v>
      </c>
      <c r="K40" s="23">
        <f ca="1">COUNTIF($S40:INDIRECT(ADDRESS(ROW(),MATCH("",$4:$4,-1),1,1)),"조치")</f>
        <v>2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0</v>
      </c>
      <c r="P40" s="23">
        <f ca="1">VLOOKUP($D40,'parm(hidden)'!$B$8:$C$10,2,FALSE)*($F40-$N40)</f>
        <v>4</v>
      </c>
      <c r="Q40" s="35">
        <f ca="1">VLOOKUP($D40,'parm(hidden)'!$B$8:$C$10,2,FALSE)*($G40+$H40)</f>
        <v>8</v>
      </c>
      <c r="R40" s="23">
        <f ca="1">VLOOKUP($D40,'parm(hidden)'!$B$8:$C$10,2,FALSE)*($G40+$H40+$K40)</f>
        <v>12</v>
      </c>
      <c r="S40" s="152" t="str">
        <f t="shared" ca="1" si="0"/>
        <v>조치</v>
      </c>
      <c r="T40" s="155" t="str">
        <f t="shared" ca="1" si="0"/>
        <v>조치</v>
      </c>
    </row>
    <row r="41" spans="1:20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COUNTA($S41:INDIRECT(ADDRESS(ROW(),MATCH("",$4:$4,-1),1,1)))</f>
        <v>2</v>
      </c>
      <c r="G41" s="23">
        <f ca="1">'취약점 진단 항목별 통계'!G41</f>
        <v>4</v>
      </c>
      <c r="H41" s="23">
        <f ca="1">'취약점 진단 항목별 통계'!H41</f>
        <v>0</v>
      </c>
      <c r="I41" s="23">
        <f ca="1">'취약점 진단 항목별 통계'!I41</f>
        <v>4</v>
      </c>
      <c r="J41" s="23">
        <f ca="1">'취약점 진단 항목별 통계'!J41</f>
        <v>2</v>
      </c>
      <c r="K41" s="23">
        <f ca="1">COUNTIF($S41:INDIRECT(ADDRESS(ROW(),MATCH("",$4:$4,-1),1,1)),"조치")</f>
        <v>2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0</v>
      </c>
      <c r="P41" s="23">
        <f ca="1">VLOOKUP($D41,'parm(hidden)'!$B$8:$C$10,2,FALSE)*($F41-$N41)</f>
        <v>4</v>
      </c>
      <c r="Q41" s="35">
        <f ca="1">VLOOKUP($D41,'parm(hidden)'!$B$8:$C$10,2,FALSE)*($G41+$H41)</f>
        <v>8</v>
      </c>
      <c r="R41" s="23">
        <f ca="1">VLOOKUP($D41,'parm(hidden)'!$B$8:$C$10,2,FALSE)*($G41+$H41+$K41)</f>
        <v>12</v>
      </c>
      <c r="S41" s="152" t="str">
        <f t="shared" ca="1" si="0"/>
        <v>조치</v>
      </c>
      <c r="T41" s="155" t="str">
        <f t="shared" ca="1" si="0"/>
        <v>조치</v>
      </c>
    </row>
    <row r="42" spans="1:20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COUNTA($S42:INDIRECT(ADDRESS(ROW(),MATCH("",$4:$4,-1),1,1)))</f>
        <v>2</v>
      </c>
      <c r="G42" s="23">
        <f ca="1">'취약점 진단 항목별 통계'!G42</f>
        <v>4</v>
      </c>
      <c r="H42" s="23">
        <f ca="1">'취약점 진단 항목별 통계'!H42</f>
        <v>0</v>
      </c>
      <c r="I42" s="23">
        <f ca="1">'취약점 진단 항목별 통계'!I42</f>
        <v>4</v>
      </c>
      <c r="J42" s="23">
        <f ca="1">'취약점 진단 항목별 통계'!J42</f>
        <v>0</v>
      </c>
      <c r="K42" s="23">
        <f ca="1">COUNTIF($S42:INDIRECT(ADDRESS(ROW(),MATCH("",$4:$4,-1),1,1)),"조치")</f>
        <v>2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4</v>
      </c>
      <c r="P42" s="23">
        <f ca="1">VLOOKUP($D42,'parm(hidden)'!$B$8:$C$10,2,FALSE)*($F42-$N42)</f>
        <v>4</v>
      </c>
      <c r="Q42" s="35">
        <f ca="1">VLOOKUP($D42,'parm(hidden)'!$B$8:$C$10,2,FALSE)*($G42+$H42)</f>
        <v>8</v>
      </c>
      <c r="R42" s="23">
        <f ca="1">VLOOKUP($D42,'parm(hidden)'!$B$8:$C$10,2,FALSE)*($G42+$H42+$K42)</f>
        <v>12</v>
      </c>
      <c r="S42" s="152" t="str">
        <f t="shared" ca="1" si="0"/>
        <v>조치</v>
      </c>
      <c r="T42" s="155" t="str">
        <f t="shared" ca="1" si="0"/>
        <v>조치</v>
      </c>
    </row>
    <row r="43" spans="1:20">
      <c r="A43" s="79"/>
      <c r="B43" s="108"/>
      <c r="C43" s="109"/>
      <c r="D43" s="109"/>
      <c r="E43" s="109"/>
      <c r="F43" s="110">
        <f t="shared" ref="F43:R43" ca="1" si="1">SUM(F5:F42)</f>
        <v>76</v>
      </c>
      <c r="G43" s="110">
        <f t="shared" ca="1" si="1"/>
        <v>160</v>
      </c>
      <c r="H43" s="110">
        <f t="shared" ca="1" si="1"/>
        <v>0</v>
      </c>
      <c r="I43" s="110">
        <f t="shared" ca="1" si="1"/>
        <v>164</v>
      </c>
      <c r="J43" s="110">
        <f t="shared" ca="1" si="1"/>
        <v>26</v>
      </c>
      <c r="K43" s="110">
        <f t="shared" ca="1" si="1"/>
        <v>60</v>
      </c>
      <c r="L43" s="110">
        <f t="shared" ca="1" si="1"/>
        <v>8</v>
      </c>
      <c r="M43" s="110">
        <f t="shared" ca="1" si="1"/>
        <v>0</v>
      </c>
      <c r="N43" s="110">
        <f t="shared" ca="1" si="1"/>
        <v>0</v>
      </c>
      <c r="O43" s="110">
        <f t="shared" ca="1" si="1"/>
        <v>124</v>
      </c>
      <c r="P43" s="110">
        <f t="shared" ca="1" si="1"/>
        <v>180</v>
      </c>
      <c r="Q43" s="110">
        <f t="shared" ca="1" si="1"/>
        <v>380</v>
      </c>
      <c r="R43" s="110">
        <f t="shared" ca="1" si="1"/>
        <v>520</v>
      </c>
      <c r="S43" s="110">
        <f ca="1">COUNTIFS(S$5:S$42,"&lt;&gt;",S$5:S$42,"&lt;&gt;0")</f>
        <v>38</v>
      </c>
      <c r="T43" s="111">
        <f ca="1">COUNTIFS(T$5:T$42,"&lt;&gt;",T$5:T$42,"&lt;&gt;0")</f>
        <v>38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6" type="noConversion"/>
  <conditionalFormatting sqref="S1:T3 S43:T1048576">
    <cfRule type="cellIs" dxfId="301" priority="1" operator="equal">
      <formula>"Y"</formula>
    </cfRule>
    <cfRule type="cellIs" dxfId="300" priority="2" stopIfTrue="1" operator="equal">
      <formula>"인터뷰"</formula>
    </cfRule>
  </conditionalFormatting>
  <conditionalFormatting sqref="S5:T42">
    <cfRule type="containsText" dxfId="299" priority="45" operator="containsText" text="위험수용">
      <formula>NOT(ISERROR(SEARCH("위험수용",S5)))</formula>
    </cfRule>
    <cfRule type="containsText" dxfId="298" priority="46" operator="containsText" text="미조치">
      <formula>NOT(ISERROR(SEARCH("미조치",S5)))</formula>
    </cfRule>
    <cfRule type="cellIs" dxfId="297" priority="47" stopIfTrue="1" operator="equal">
      <formula>"인터뷰"</formula>
    </cfRule>
    <cfRule type="cellIs" dxfId="296" priority="48" stopIfTrue="1" operator="equal">
      <formula>"N/A"</formula>
    </cfRule>
    <cfRule type="cellIs" dxfId="295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58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6.5546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HQ_L3_1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2" t="str">
        <f ca="1">REPLACE(CELL("filename",A1),1,FIND("]",CELL("filename",A1)),"")</f>
        <v>HQ_L3_1</v>
      </c>
      <c r="C4" s="253"/>
      <c r="D4" s="254" t="s">
        <v>155</v>
      </c>
      <c r="E4" s="255"/>
      <c r="F4" s="256" t="str">
        <f ca="1">IFERROR(VLOOKUP($B$4,자산목록!$B$1:$Q$834,8,FALSE),"N/A")</f>
        <v>L3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10.0.3.18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>
      <c r="A6" s="116" t="s">
        <v>62</v>
      </c>
      <c r="B6" s="263" t="str">
        <f ca="1">IFERROR(VLOOKUP($B$4,자산목록!$B$1:$Q$834,11,FALSE),"N/A")</f>
        <v>홍길동</v>
      </c>
      <c r="C6" s="263"/>
      <c r="D6" s="264" t="s">
        <v>160</v>
      </c>
      <c r="E6" s="264"/>
      <c r="F6" s="263" t="str">
        <f ca="1">IFERROR(VLOOKUP($B$4,자산목록!$B$1:$Q$834,9,FALSE),"N/A")</f>
        <v>본사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0"/>
      <c r="J12" s="54">
        <f ca="1">COUNTIFS($A$21:INDIRECT(ADDRESS(MATCH("",$A:$A,-1),1,1,1)),$A12,$K$21:INDIRECT(ADDRESS(MATCH("",$B:$B,-1),11,1,1)),"조치")</f>
        <v>5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37">
        <f ca="1">COUNTIFS($A$21:INDIRECT(ADDRESS(MATCH("",$A:$A,-1),1,1,1)),$A13&amp;"*",$H$21:INDIRECT(ADDRESS(MATCH("",$A:$A,-1),8,1,1)),"N/A")</f>
        <v>0</v>
      </c>
      <c r="H13" s="59">
        <f t="shared" ca="1" si="0"/>
        <v>0</v>
      </c>
      <c r="I13" s="280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1"/>
        <v>0</v>
      </c>
      <c r="Y13" s="57">
        <f t="shared" ca="1" si="2"/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0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1"/>
        <v>0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0.14285714285714285</v>
      </c>
      <c r="I15" s="280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1"/>
        <v>0.14285714285714285</v>
      </c>
      <c r="Y15" s="57">
        <f t="shared" ca="1" si="2"/>
        <v>0.7142857142857143</v>
      </c>
    </row>
    <row r="16" spans="1:25" ht="32.1" customHeigh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19</v>
      </c>
      <c r="G16" s="37">
        <f ca="1">COUNTIFS($A$21:INDIRECT(ADDRESS(MATCH("",$A:$A,-1),1,1,1)),$A16&amp;"*",$H$21:INDIRECT(ADDRESS(MATCH("",$A:$A,-1),8,1,1)),"N/A")</f>
        <v>0</v>
      </c>
      <c r="H16" s="59">
        <f t="shared" ca="1" si="0"/>
        <v>0.17307692307692307</v>
      </c>
      <c r="I16" s="280"/>
      <c r="J16" s="54">
        <f ca="1">COUNTIFS($A$21:INDIRECT(ADDRESS(MATCH("",$A:$A,-1),1,1,1)),$A16,$K$21:INDIRECT(ADDRESS(MATCH("",$B:$B,-1),11,1,1)),"조치")</f>
        <v>17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>
        <f ca="1">IFERROR($J16/($F16-(M16-G16)),"N/A")</f>
        <v>0.89473684210526316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83">
        <f>B16</f>
        <v>0</v>
      </c>
      <c r="W16" s="284"/>
      <c r="X16" s="61">
        <f t="shared" ca="1" si="1"/>
        <v>0.17307692307692307</v>
      </c>
      <c r="Y16" s="61">
        <f t="shared" ca="1" si="2"/>
        <v>0.88461538461538458</v>
      </c>
    </row>
    <row r="17" spans="1:25" ht="20.100000000000001" customHeigh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4</v>
      </c>
      <c r="F17" s="125">
        <f ca="1">SUM(F12:F16)</f>
        <v>32</v>
      </c>
      <c r="G17" s="126">
        <f ca="1">SUM(G12:G16)</f>
        <v>0</v>
      </c>
      <c r="H17" s="127">
        <f t="shared" ca="1" si="0"/>
        <v>0.1111111111111111</v>
      </c>
      <c r="I17" s="281"/>
      <c r="J17" s="136">
        <f ca="1">SUM(J12:J16)</f>
        <v>30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>
        <f ca="1">IF($O17="N/A","N/A",IFERROR($J17/($F17-(M17-G17)),"N/A"))</f>
        <v>0.9375</v>
      </c>
      <c r="O17" s="129">
        <f ca="1">IF($G17=$D17,"N/A",IFERROR((T17/U17),"N/A"))</f>
        <v>0.88888888888888884</v>
      </c>
      <c r="R17" s="39">
        <f ca="1">SUM(R12:R16)</f>
        <v>90</v>
      </c>
      <c r="S17" s="40">
        <f ca="1">SUM(S12:S16)</f>
        <v>10</v>
      </c>
      <c r="T17" s="40">
        <f ca="1">SUM(T12:T16)</f>
        <v>80</v>
      </c>
      <c r="U17" s="39">
        <f ca="1">SUM(U12:U16)</f>
        <v>90</v>
      </c>
      <c r="V17" s="288" t="s">
        <v>30</v>
      </c>
      <c r="W17" s="289"/>
      <c r="X17" s="60">
        <f t="shared" ca="1" si="1"/>
        <v>0.1111111111111111</v>
      </c>
      <c r="Y17" s="60">
        <f t="shared" ca="1" si="2"/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293" t="s">
        <v>163</v>
      </c>
      <c r="M20" s="292"/>
      <c r="N20" s="292"/>
      <c r="O20" s="292"/>
      <c r="P20" s="29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138" t="s">
        <v>68</v>
      </c>
      <c r="I21" s="137" t="s">
        <v>220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297" t="s">
        <v>269</v>
      </c>
      <c r="M21" s="298"/>
      <c r="N21" s="298"/>
      <c r="O21" s="298"/>
      <c r="P21" s="299"/>
      <c r="Q21" s="21" t="str">
        <f>IF($J21="",IF(OR(#REF!="N",#REF!="인터뷰"),ChkList!$F5,""),IF(OR($J21="N",$J21="인터뷰"),ChkList!$F5,""))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138" t="s">
        <v>68</v>
      </c>
      <c r="I22" s="137" t="s">
        <v>219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조치</v>
      </c>
      <c r="L22" s="297" t="s">
        <v>350</v>
      </c>
      <c r="M22" s="298"/>
      <c r="N22" s="298"/>
      <c r="O22" s="298"/>
      <c r="P22" s="299"/>
      <c r="Q22" s="21" t="str">
        <f>IF($J22="",IF(OR(#REF!="N",#REF!="인터뷰"),ChkList!$F6,""),IF(OR($J22="N",$J22="인터뷰"),ChkList!$F6,""))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138" t="s">
        <v>68</v>
      </c>
      <c r="I23" s="137" t="s">
        <v>221</v>
      </c>
      <c r="J23" s="29" t="s">
        <v>75</v>
      </c>
      <c r="K23" s="29" t="str">
        <f t="shared" si="3"/>
        <v>조치</v>
      </c>
      <c r="L23" s="297" t="s">
        <v>270</v>
      </c>
      <c r="M23" s="298"/>
      <c r="N23" s="298"/>
      <c r="O23" s="298"/>
      <c r="P23" s="299"/>
      <c r="Q23" s="21" t="str">
        <f>IF($J23="",IF(OR(#REF!="N",#REF!="인터뷰"),ChkList!$F7,""),IF(OR($J23="N",$J23="인터뷰"),ChkList!$F7,""))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138" t="s">
        <v>68</v>
      </c>
      <c r="I24" s="159" t="s">
        <v>222</v>
      </c>
      <c r="J24" s="29" t="s">
        <v>75</v>
      </c>
      <c r="K24" s="29" t="str">
        <f t="shared" si="3"/>
        <v>조치</v>
      </c>
      <c r="L24" s="297" t="s">
        <v>351</v>
      </c>
      <c r="M24" s="298"/>
      <c r="N24" s="298"/>
      <c r="O24" s="298"/>
      <c r="P24" s="299"/>
      <c r="Q24" s="21" t="str">
        <f>IF($J24="",IF(OR(#REF!="N",#REF!="인터뷰"),ChkList!$F8,""),IF(OR($J24="N",$J24="인터뷰"),ChkList!$F8,""))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138" t="s">
        <v>68</v>
      </c>
      <c r="I25" s="137" t="s">
        <v>223</v>
      </c>
      <c r="J25" s="29" t="s">
        <v>75</v>
      </c>
      <c r="K25" s="29" t="str">
        <f>IF($J32="","",IF(OR($H25="Y",$H25="N/A",$H25="Y(즉시조치)"),$H25,IF(AND($H25="N",$J25="Y"),"조치",IF(AND($H25="N",$J25="N/A"),"N/A",IF(IFERROR(FIND("위험수용",$L25),0),"위험수용","미조치")))))</f>
        <v>조치</v>
      </c>
      <c r="L25" s="297" t="s">
        <v>352</v>
      </c>
      <c r="M25" s="298"/>
      <c r="N25" s="298"/>
      <c r="O25" s="298"/>
      <c r="P25" s="299"/>
      <c r="Q25" s="21" t="str">
        <f>IF($J25="",IF(OR(#REF!="N",#REF!="인터뷰"),ChkList!$F9,""),IF(OR($J25="N",$J25="인터뷰"),ChkList!$F9,""))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IFERROR(VLOOKUP($F25,'parm(hidden)'!$B$8:$C$10,2,FALSE)*VLOOKUP(H25,'parm(hidden)'!$B$15:$C$19,2,FALSE),0)</f>
        <v>0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138" t="s">
        <v>68</v>
      </c>
      <c r="I26" s="137" t="s">
        <v>224</v>
      </c>
      <c r="J26" s="29" t="s">
        <v>75</v>
      </c>
      <c r="K26" s="29" t="str">
        <f t="shared" si="3"/>
        <v>조치</v>
      </c>
      <c r="L26" s="297" t="s">
        <v>271</v>
      </c>
      <c r="M26" s="298"/>
      <c r="N26" s="298"/>
      <c r="O26" s="298"/>
      <c r="P26" s="299"/>
      <c r="Q26" s="21" t="str">
        <f>IF($J26="",IF(OR(#REF!="N",#REF!="인터뷰"),ChkList!$F10,""),IF(OR($J26="N",$J26="인터뷰"),ChkList!$F10,""))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138" t="s">
        <v>68</v>
      </c>
      <c r="I27" s="137" t="s">
        <v>225</v>
      </c>
      <c r="J27" s="29" t="s">
        <v>75</v>
      </c>
      <c r="K27" s="29" t="str">
        <f t="shared" si="3"/>
        <v>조치</v>
      </c>
      <c r="L27" s="297" t="s">
        <v>272</v>
      </c>
      <c r="M27" s="298"/>
      <c r="N27" s="298"/>
      <c r="O27" s="298"/>
      <c r="P27" s="299"/>
      <c r="Q27" s="21" t="str">
        <f>IF($J27="",IF(OR(#REF!="N",#REF!="인터뷰"),ChkList!$F11,""),IF(OR($J27="N",$J27="인터뷰"),ChkList!$F11,""))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138" t="s">
        <v>68</v>
      </c>
      <c r="I28" s="137" t="s">
        <v>226</v>
      </c>
      <c r="J28" s="29" t="s">
        <v>75</v>
      </c>
      <c r="K28" s="29" t="str">
        <f t="shared" si="3"/>
        <v>조치</v>
      </c>
      <c r="L28" s="297" t="s">
        <v>273</v>
      </c>
      <c r="M28" s="298"/>
      <c r="N28" s="298"/>
      <c r="O28" s="298"/>
      <c r="P28" s="299"/>
      <c r="Q28" s="21" t="str">
        <f>IF($J28="",IF(OR(#REF!="N",#REF!="인터뷰"),ChkList!$F12,""),IF(OR($J28="N",$J28="인터뷰"),ChkList!$F12,""))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150" t="s">
        <v>68</v>
      </c>
      <c r="I29" s="137" t="s">
        <v>227</v>
      </c>
      <c r="J29" s="29" t="s">
        <v>75</v>
      </c>
      <c r="K29" s="29" t="str">
        <f t="shared" si="3"/>
        <v>조치</v>
      </c>
      <c r="L29" s="297" t="s">
        <v>274</v>
      </c>
      <c r="M29" s="298"/>
      <c r="N29" s="298"/>
      <c r="O29" s="298"/>
      <c r="P29" s="299"/>
      <c r="Q29" s="21" t="str">
        <f>IF($J29="",IF(OR(#REF!="N",#REF!="인터뷰"),ChkList!$F13,""),IF(OR($J29="N",$J29="인터뷰"),ChkList!$F13,""))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11" t="s">
        <v>217</v>
      </c>
      <c r="I30" s="137" t="s">
        <v>228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IF($J30="",IF(OR(#REF!="N",#REF!="인터뷰"),ChkList!$F14,""),IF(OR($J30="N",$J30="인터뷰"),ChkList!$F14,""))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138" t="s">
        <v>68</v>
      </c>
      <c r="I31" s="137" t="s">
        <v>229</v>
      </c>
      <c r="J31" s="29" t="s">
        <v>75</v>
      </c>
      <c r="K31" s="29" t="str">
        <f t="shared" si="3"/>
        <v>조치</v>
      </c>
      <c r="L31" s="297" t="s">
        <v>364</v>
      </c>
      <c r="M31" s="298"/>
      <c r="N31" s="298"/>
      <c r="O31" s="298"/>
      <c r="P31" s="299"/>
      <c r="Q31" s="21" t="str">
        <f>IF($J31="",IF(OR(#REF!="N",#REF!="인터뷰"),ChkList!$F15,""),IF(OR($J31="N",$J31="인터뷰"),ChkList!$F15,""))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138" t="s">
        <v>68</v>
      </c>
      <c r="I32" s="137" t="s">
        <v>230</v>
      </c>
      <c r="J32" s="29" t="s">
        <v>75</v>
      </c>
      <c r="K32" s="29" t="str">
        <f t="shared" si="3"/>
        <v>조치</v>
      </c>
      <c r="L32" s="297" t="s">
        <v>277</v>
      </c>
      <c r="M32" s="298"/>
      <c r="N32" s="298"/>
      <c r="O32" s="298"/>
      <c r="P32" s="299"/>
      <c r="Q32" s="21" t="str">
        <f>IF($J32="",IF(OR(#REF!="N",#REF!="인터뷰"),ChkList!$F16,""),IF(OR($J32="N",$J32="인터뷰"),ChkList!$F16,""))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158" t="s">
        <v>217</v>
      </c>
      <c r="I33" s="137" t="s">
        <v>231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IF($J33="",IF(OR(#REF!="N",#REF!="인터뷰"),ChkList!$F17,""),IF(OR($J33="N",$J33="인터뷰"),ChkList!$F17,""))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150" t="s">
        <v>68</v>
      </c>
      <c r="I34" s="137" t="s">
        <v>232</v>
      </c>
      <c r="J34" s="29" t="s">
        <v>75</v>
      </c>
      <c r="K34" s="29" t="str">
        <f t="shared" si="3"/>
        <v>조치</v>
      </c>
      <c r="L34" s="297" t="s">
        <v>278</v>
      </c>
      <c r="M34" s="298"/>
      <c r="N34" s="298"/>
      <c r="O34" s="298"/>
      <c r="P34" s="299"/>
      <c r="Q34" s="21" t="str">
        <f>IF($J34="",IF(OR(#REF!="N",#REF!="인터뷰"),ChkList!$F18,""),IF(OR($J34="N",$J34="인터뷰"),ChkList!$F18,""))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138" t="s">
        <v>68</v>
      </c>
      <c r="I35" s="137" t="s">
        <v>238</v>
      </c>
      <c r="J35" s="29" t="s">
        <v>75</v>
      </c>
      <c r="K35" s="29" t="str">
        <f t="shared" si="3"/>
        <v>조치</v>
      </c>
      <c r="L35" s="297" t="s">
        <v>363</v>
      </c>
      <c r="M35" s="298"/>
      <c r="N35" s="298"/>
      <c r="O35" s="298"/>
      <c r="P35" s="299"/>
      <c r="Q35" s="21" t="str">
        <f>IF($J35="",IF(OR(#REF!="N",#REF!="인터뷰"),ChkList!$F19,""),IF(OR($J35="N",$J35="인터뷰"),ChkList!$F19,""))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11" t="s">
        <v>75</v>
      </c>
      <c r="I36" s="137" t="s">
        <v>233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IF($J36="",IF(OR(#REF!="N",#REF!="인터뷰"),ChkList!$F20,""),IF(OR($J36="N",$J36="인터뷰"),ChkList!$F20,""))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11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IF($J37="",IF(OR(#REF!="N",#REF!="인터뷰"),ChkList!$F21,""),IF(OR($J37="N",$J37="인터뷰"),ChkList!$F21,""))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11" t="s">
        <v>75</v>
      </c>
      <c r="I38" s="137" t="s">
        <v>235</v>
      </c>
      <c r="J38" s="29" t="s">
        <v>75</v>
      </c>
      <c r="K38" s="29" t="str">
        <f t="shared" si="3"/>
        <v>Y</v>
      </c>
      <c r="L38" s="297" t="s">
        <v>280</v>
      </c>
      <c r="M38" s="298"/>
      <c r="N38" s="298"/>
      <c r="O38" s="298"/>
      <c r="P38" s="299"/>
      <c r="Q38" s="21" t="str">
        <f>IF($J38="",IF(OR(#REF!="N",#REF!="인터뷰"),ChkList!$F22,""),IF(OR($J38="N",$J38="인터뷰"),ChkList!$F22,""))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11" t="s">
        <v>75</v>
      </c>
      <c r="I39" s="137" t="s">
        <v>236</v>
      </c>
      <c r="J39" s="29" t="s">
        <v>75</v>
      </c>
      <c r="K39" s="29" t="str">
        <f t="shared" si="3"/>
        <v>Y</v>
      </c>
      <c r="L39" s="297" t="s">
        <v>280</v>
      </c>
      <c r="M39" s="298"/>
      <c r="N39" s="298"/>
      <c r="O39" s="298"/>
      <c r="P39" s="299"/>
      <c r="Q39" s="21" t="str">
        <f>IF($J39="",IF(OR(#REF!="N",#REF!="인터뷰"),ChkList!$F23,""),IF(OR($J39="N",$J39="인터뷰"),ChkList!$F23,""))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11" t="s">
        <v>68</v>
      </c>
      <c r="I40" s="137" t="s">
        <v>237</v>
      </c>
      <c r="J40" s="29" t="s">
        <v>75</v>
      </c>
      <c r="K40" s="29" t="str">
        <f t="shared" si="3"/>
        <v>조치</v>
      </c>
      <c r="L40" s="297" t="s">
        <v>281</v>
      </c>
      <c r="M40" s="298"/>
      <c r="N40" s="298"/>
      <c r="O40" s="298"/>
      <c r="P40" s="299"/>
      <c r="Q40" s="21" t="str">
        <f>IF($J40="",IF(OR(#REF!="N",#REF!="인터뷰"),ChkList!$F24,""),IF(OR($J40="N",$J40="인터뷰"),ChkList!$F24,""))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IFERROR(VLOOKUP($F40,'parm(hidden)'!$B$8:$C$10,2,FALSE)*VLOOKUP(H40,'parm(hidden)'!$B$15:$C$19,2,FALSE),0)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138" t="s">
        <v>68</v>
      </c>
      <c r="I41" s="137" t="s">
        <v>239</v>
      </c>
      <c r="J41" s="29" t="s">
        <v>217</v>
      </c>
      <c r="K41" s="29" t="str">
        <f t="shared" si="3"/>
        <v>미조치</v>
      </c>
      <c r="L41" s="297" t="s">
        <v>282</v>
      </c>
      <c r="M41" s="298"/>
      <c r="N41" s="298"/>
      <c r="O41" s="298"/>
      <c r="P41" s="299"/>
      <c r="Q41" s="21" t="str">
        <f>IF($J41="",IF(OR(#REF!="N",#REF!="인터뷰"),ChkList!$F25,""),IF(OR($J41="N",$J41="인터뷰"),ChkList!$F25,""))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138" t="s">
        <v>68</v>
      </c>
      <c r="I42" s="137" t="s">
        <v>240</v>
      </c>
      <c r="J42" s="29" t="s">
        <v>217</v>
      </c>
      <c r="K42" s="29" t="str">
        <f t="shared" si="3"/>
        <v>미조치</v>
      </c>
      <c r="L42" s="297" t="s">
        <v>282</v>
      </c>
      <c r="M42" s="298"/>
      <c r="N42" s="298"/>
      <c r="O42" s="298"/>
      <c r="P42" s="299"/>
      <c r="Q42" s="21" t="str">
        <f>IF($J42="",IF(OR(#REF!="N",#REF!="인터뷰"),ChkList!$F26,""),IF(OR($J42="N",$J42="인터뷰"),ChkList!$F26,""))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 ht="36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138" t="s">
        <v>68</v>
      </c>
      <c r="I43" s="137" t="s">
        <v>241</v>
      </c>
      <c r="J43" s="29" t="s">
        <v>75</v>
      </c>
      <c r="K43" s="29" t="str">
        <f t="shared" si="3"/>
        <v>조치</v>
      </c>
      <c r="L43" s="297" t="s">
        <v>366</v>
      </c>
      <c r="M43" s="298"/>
      <c r="N43" s="298"/>
      <c r="O43" s="298"/>
      <c r="P43" s="299"/>
      <c r="Q43" s="21" t="str">
        <f>IF($J43="",IF(OR(#REF!="N",#REF!="인터뷰"),ChkList!$F27,""),IF(OR($J43="N",$J43="인터뷰"),ChkList!$F27,""))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158" t="s">
        <v>68</v>
      </c>
      <c r="I44" s="137" t="s">
        <v>209</v>
      </c>
      <c r="J44" s="29" t="s">
        <v>75</v>
      </c>
      <c r="K44" s="29" t="str">
        <f t="shared" si="3"/>
        <v>조치</v>
      </c>
      <c r="L44" s="297" t="s">
        <v>368</v>
      </c>
      <c r="M44" s="298"/>
      <c r="N44" s="298"/>
      <c r="O44" s="298"/>
      <c r="P44" s="299"/>
      <c r="Q44" s="21" t="str">
        <f>IF($J44="",IF(OR(#REF!="N",#REF!="인터뷰"),ChkList!$F28,""),IF(OR($J44="N",$J44="인터뷰"),ChkList!$F28,""))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IFERROR(VLOOKUP($F44,'parm(hidden)'!$B$8:$C$10,2,FALSE)*VLOOKUP(H44,'parm(hidden)'!$B$15:$C$19,2,FALSE),0)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11" t="s">
        <v>68</v>
      </c>
      <c r="I45" s="137" t="s">
        <v>208</v>
      </c>
      <c r="J45" s="29" t="s">
        <v>75</v>
      </c>
      <c r="K45" s="29" t="str">
        <f t="shared" si="3"/>
        <v>조치</v>
      </c>
      <c r="L45" s="297" t="s">
        <v>355</v>
      </c>
      <c r="M45" s="298"/>
      <c r="N45" s="298"/>
      <c r="O45" s="298"/>
      <c r="P45" s="299"/>
      <c r="Q45" s="21" t="str">
        <f>IF($J45="",IF(OR(#REF!="N",#REF!="인터뷰"),ChkList!$F29,""),IF(OR($J45="N",$J45="인터뷰"),ChkList!$F29,""))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IFERROR(VLOOKUP($F45,'parm(hidden)'!$B$8:$C$10,2,FALSE)*VLOOKUP(H45,'parm(hidden)'!$B$15:$C$19,2,FALSE),0)</f>
        <v>0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11" t="s">
        <v>68</v>
      </c>
      <c r="I46" s="137" t="s">
        <v>210</v>
      </c>
      <c r="J46" s="29" t="s">
        <v>75</v>
      </c>
      <c r="K46" s="29" t="str">
        <f t="shared" si="3"/>
        <v>조치</v>
      </c>
      <c r="L46" s="297" t="s">
        <v>356</v>
      </c>
      <c r="M46" s="298"/>
      <c r="N46" s="298"/>
      <c r="O46" s="298"/>
      <c r="P46" s="299"/>
      <c r="Q46" s="21" t="str">
        <f>IF($J46="",IF(OR(#REF!="N",#REF!="인터뷰"),ChkList!$F30,""),IF(OR($J46="N",$J46="인터뷰"),ChkList!$F30,""))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IFERROR(VLOOKUP($F46,'parm(hidden)'!$B$8:$C$10,2,FALSE)*VLOOKUP(H46,'parm(hidden)'!$B$15:$C$19,2,FALSE),0)</f>
        <v>0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11" t="s">
        <v>68</v>
      </c>
      <c r="I47" s="137" t="s">
        <v>211</v>
      </c>
      <c r="J47" s="29" t="s">
        <v>75</v>
      </c>
      <c r="K47" s="29" t="str">
        <f t="shared" si="3"/>
        <v>조치</v>
      </c>
      <c r="L47" s="297" t="s">
        <v>357</v>
      </c>
      <c r="M47" s="298"/>
      <c r="N47" s="298"/>
      <c r="O47" s="298"/>
      <c r="P47" s="299"/>
      <c r="Q47" s="21" t="str">
        <f>IF($J47="",IF(OR(#REF!="N",#REF!="인터뷰"),ChkList!$F31,""),IF(OR($J47="N",$J47="인터뷰"),ChkList!$F31,""))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IFERROR(VLOOKUP($F47,'parm(hidden)'!$B$8:$C$10,2,FALSE)*VLOOKUP(H47,'parm(hidden)'!$B$15:$C$19,2,FALSE),0)</f>
        <v>0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11" t="s">
        <v>68</v>
      </c>
      <c r="I48" s="137" t="s">
        <v>212</v>
      </c>
      <c r="J48" s="29" t="s">
        <v>75</v>
      </c>
      <c r="K48" s="29" t="str">
        <f t="shared" si="3"/>
        <v>조치</v>
      </c>
      <c r="L48" s="297" t="s">
        <v>358</v>
      </c>
      <c r="M48" s="298"/>
      <c r="N48" s="298"/>
      <c r="O48" s="298"/>
      <c r="P48" s="299"/>
      <c r="Q48" s="21" t="str">
        <f>IF($J48="",IF(OR(#REF!="N",#REF!="인터뷰"),ChkList!$F32,""),IF(OR($J48="N",$J48="인터뷰"),ChkList!$F32,""))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IFERROR(VLOOKUP($F48,'parm(hidden)'!$B$8:$C$10,2,FALSE)*VLOOKUP(H48,'parm(hidden)'!$B$15:$C$19,2,FALSE),0)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 ht="36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138" t="s">
        <v>68</v>
      </c>
      <c r="I49" s="137" t="s">
        <v>242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297" t="s">
        <v>284</v>
      </c>
      <c r="M49" s="298"/>
      <c r="N49" s="298"/>
      <c r="O49" s="298"/>
      <c r="P49" s="299"/>
      <c r="Q49" s="21" t="str">
        <f>IF($J49="",IF(OR(#REF!="N",#REF!="인터뷰"),ChkList!$F33,""),IF(OR($J49="N",$J49="인터뷰"),ChkList!$F33,""))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158" t="s">
        <v>68</v>
      </c>
      <c r="I50" s="137" t="s">
        <v>213</v>
      </c>
      <c r="J50" s="29" t="s">
        <v>75</v>
      </c>
      <c r="K50" s="29" t="str">
        <f t="shared" si="3"/>
        <v>조치</v>
      </c>
      <c r="L50" s="297" t="s">
        <v>379</v>
      </c>
      <c r="M50" s="298"/>
      <c r="N50" s="298"/>
      <c r="O50" s="298"/>
      <c r="P50" s="299"/>
      <c r="Q50" s="21" t="str">
        <f>IF($J50="",IF(OR(#REF!="N",#REF!="인터뷰"),ChkList!$F34,""),IF(OR($J50="N",$J50="인터뷰"),ChkList!$F34,""))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IFERROR(VLOOKUP($F50,'parm(hidden)'!$B$8:$C$10,2,FALSE)*VLOOKUP(H50,'parm(hidden)'!$B$15:$C$19,2,FALSE),0)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158" t="s">
        <v>68</v>
      </c>
      <c r="I51" s="137" t="s">
        <v>214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조치</v>
      </c>
      <c r="L51" s="297" t="s">
        <v>359</v>
      </c>
      <c r="M51" s="298"/>
      <c r="N51" s="298"/>
      <c r="O51" s="298"/>
      <c r="P51" s="299"/>
      <c r="Q51" s="21" t="str">
        <f>IF($J51="",IF(OR(#REF!="N",#REF!="인터뷰"),ChkList!$F35,""),IF(OR($J51="N",$J51="인터뷰"),ChkList!$F35,""))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IFERROR(VLOOKUP($F51,'parm(hidden)'!$B$8:$C$10,2,FALSE)*VLOOKUP(H51,'parm(hidden)'!$B$15:$C$19,2,FALSE),0)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158" t="s">
        <v>68</v>
      </c>
      <c r="I52" s="137" t="s">
        <v>215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조치</v>
      </c>
      <c r="L52" s="297" t="s">
        <v>380</v>
      </c>
      <c r="M52" s="298"/>
      <c r="N52" s="298"/>
      <c r="O52" s="298"/>
      <c r="P52" s="299"/>
      <c r="Q52" s="21" t="str">
        <f>IF($J52="",IF(OR(#REF!="N",#REF!="인터뷰"),ChkList!$F36,""),IF(OR($J52="N",$J52="인터뷰"),ChkList!$F36,""))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IFERROR(VLOOKUP($F52,'parm(hidden)'!$B$8:$C$10,2,FALSE)*VLOOKUP(H52,'parm(hidden)'!$B$15:$C$19,2,FALSE),0)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158" t="s">
        <v>68</v>
      </c>
      <c r="I53" s="137" t="s">
        <v>215</v>
      </c>
      <c r="J53" s="29" t="s">
        <v>75</v>
      </c>
      <c r="K53" s="29" t="str">
        <f t="shared" si="4"/>
        <v>조치</v>
      </c>
      <c r="L53" s="297" t="s">
        <v>381</v>
      </c>
      <c r="M53" s="298"/>
      <c r="N53" s="298"/>
      <c r="O53" s="298"/>
      <c r="P53" s="299"/>
      <c r="Q53" s="21" t="str">
        <f>IF($J53="",IF(OR(#REF!="N",#REF!="인터뷰"),ChkList!$F37,""),IF(OR($J53="N",$J53="인터뷰"),ChkList!$F37,""))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IFERROR(VLOOKUP($F53,'parm(hidden)'!$B$8:$C$10,2,FALSE)*VLOOKUP(H53,'parm(hidden)'!$B$15:$C$19,2,FALSE),0)</f>
        <v>0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11" t="s">
        <v>68</v>
      </c>
      <c r="I54" s="137" t="s">
        <v>215</v>
      </c>
      <c r="J54" s="29" t="s">
        <v>75</v>
      </c>
      <c r="K54" s="29" t="str">
        <f t="shared" si="4"/>
        <v>조치</v>
      </c>
      <c r="L54" s="297" t="s">
        <v>360</v>
      </c>
      <c r="M54" s="298"/>
      <c r="N54" s="298"/>
      <c r="O54" s="298"/>
      <c r="P54" s="299"/>
      <c r="Q54" s="21" t="str">
        <f>IF($J54="",IF(OR(#REF!="N",#REF!="인터뷰"),ChkList!$F38,""),IF(OR($J54="N",$J54="인터뷰"),ChkList!$F38,""))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IFERROR(VLOOKUP($F54,'parm(hidden)'!$B$8:$C$10,2,FALSE)*VLOOKUP(H54,'parm(hidden)'!$B$15:$C$19,2,FALSE),0)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138" t="s">
        <v>68</v>
      </c>
      <c r="I55" s="137" t="s">
        <v>243</v>
      </c>
      <c r="J55" s="29" t="s">
        <v>75</v>
      </c>
      <c r="K55" s="29" t="str">
        <f t="shared" si="4"/>
        <v>조치</v>
      </c>
      <c r="L55" s="297" t="s">
        <v>285</v>
      </c>
      <c r="M55" s="298"/>
      <c r="N55" s="298"/>
      <c r="O55" s="298"/>
      <c r="P55" s="299"/>
      <c r="Q55" s="21" t="str">
        <f>IF($J55="",IF(OR(#REF!="N",#REF!="인터뷰"),ChkList!$F39,""),IF(OR($J55="N",$J55="인터뷰"),ChkList!$F39,""))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11" t="s">
        <v>68</v>
      </c>
      <c r="I56" s="137" t="s">
        <v>215</v>
      </c>
      <c r="J56" s="29" t="s">
        <v>75</v>
      </c>
      <c r="K56" s="29" t="str">
        <f t="shared" si="4"/>
        <v>조치</v>
      </c>
      <c r="L56" s="297" t="s">
        <v>361</v>
      </c>
      <c r="M56" s="298"/>
      <c r="N56" s="298"/>
      <c r="O56" s="298"/>
      <c r="P56" s="299"/>
      <c r="Q56" s="21" t="str">
        <f>IF($J56="",IF(OR(#REF!="N",#REF!="인터뷰"),ChkList!$F40,""),IF(OR($J56="N",$J56="인터뷰"),ChkList!$F40,""))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IFERROR(VLOOKUP($F56,'parm(hidden)'!$B$8:$C$10,2,FALSE)*VLOOKUP(H56,'parm(hidden)'!$B$15:$C$19,2,FALSE),0)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11" t="s">
        <v>68</v>
      </c>
      <c r="I57" s="137" t="s">
        <v>208</v>
      </c>
      <c r="J57" s="29" t="s">
        <v>75</v>
      </c>
      <c r="K57" s="29" t="str">
        <f t="shared" si="4"/>
        <v>조치</v>
      </c>
      <c r="L57" s="297" t="s">
        <v>362</v>
      </c>
      <c r="M57" s="298"/>
      <c r="N57" s="298"/>
      <c r="O57" s="298"/>
      <c r="P57" s="299"/>
      <c r="Q57" s="21" t="str">
        <f>IF($J57="",IF(OR(#REF!="N",#REF!="인터뷰"),ChkList!$F41,""),IF(OR($J57="N",$J57="인터뷰"),ChkList!$F41,""))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IFERROR(VLOOKUP($F57,'parm(hidden)'!$B$8:$C$10,2,FALSE)*VLOOKUP(H57,'parm(hidden)'!$B$15:$C$19,2,FALSE),0)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138" t="s">
        <v>68</v>
      </c>
      <c r="I58" s="137" t="s">
        <v>244</v>
      </c>
      <c r="J58" s="29" t="s">
        <v>75</v>
      </c>
      <c r="K58" s="29" t="str">
        <f t="shared" si="4"/>
        <v>조치</v>
      </c>
      <c r="L58" s="297" t="s">
        <v>286</v>
      </c>
      <c r="M58" s="298"/>
      <c r="N58" s="298"/>
      <c r="O58" s="298"/>
      <c r="P58" s="299"/>
      <c r="Q58" s="21" t="str">
        <f>IF($J58="",IF(OR(#REF!="N",#REF!="인터뷰"),ChkList!$F42,""),IF(OR($J58="N",$J58="인터뷰"),ChkList!$F42,""))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IFERROR(VLOOKUP($F58,'parm(hidden)'!$B$8:$C$10,2,FALSE)*VLOOKUP(H58,'parm(hidden)'!$B$15:$C$19,2,FALSE),0)</f>
        <v>0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294" priority="22" operator="equal">
      <formula>"취약"</formula>
    </cfRule>
    <cfRule type="cellIs" priority="23" operator="equal">
      <formula>"양호"</formula>
    </cfRule>
  </conditionalFormatting>
  <conditionalFormatting sqref="H31:H33">
    <cfRule type="cellIs" dxfId="293" priority="20" operator="equal">
      <formula>"취약"</formula>
    </cfRule>
    <cfRule type="cellIs" priority="21" operator="equal">
      <formula>"양호"</formula>
    </cfRule>
  </conditionalFormatting>
  <conditionalFormatting sqref="H35">
    <cfRule type="cellIs" dxfId="292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291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290" priority="14" operator="equal">
      <formula>"취약"</formula>
    </cfRule>
    <cfRule type="cellIs" priority="15" operator="equal">
      <formula>"양호"</formula>
    </cfRule>
  </conditionalFormatting>
  <conditionalFormatting sqref="H55">
    <cfRule type="cellIs" dxfId="289" priority="10" operator="equal">
      <formula>"취약"</formula>
    </cfRule>
    <cfRule type="cellIs" priority="11" operator="equal">
      <formula>"양호"</formula>
    </cfRule>
  </conditionalFormatting>
  <conditionalFormatting sqref="H58">
    <cfRule type="cellIs" dxfId="288" priority="28" operator="equal">
      <formula>"취약"</formula>
    </cfRule>
    <cfRule type="cellIs" priority="29" operator="equal">
      <formula>"양호"</formula>
    </cfRule>
  </conditionalFormatting>
  <conditionalFormatting sqref="J21:L49 J50:K50 J51:L58">
    <cfRule type="cellIs" dxfId="287" priority="89" stopIfTrue="1" operator="equal">
      <formula>"인터뷰"</formula>
    </cfRule>
    <cfRule type="cellIs" dxfId="286" priority="90" stopIfTrue="1" operator="equal">
      <formula>"R/A"</formula>
    </cfRule>
    <cfRule type="cellIs" dxfId="285" priority="91" stopIfTrue="1" operator="equal">
      <formula>"N/A"</formula>
    </cfRule>
    <cfRule type="cellIs" dxfId="284" priority="92" stopIfTrue="1" operator="equal">
      <formula>"N"</formula>
    </cfRule>
    <cfRule type="expression" dxfId="283" priority="93">
      <formula>OR(IF(J21=0,1,0),IF(J21="-",1,0))</formula>
    </cfRule>
  </conditionalFormatting>
  <conditionalFormatting sqref="K21:K58">
    <cfRule type="cellIs" dxfId="282" priority="86" operator="equal">
      <formula>"위험수용"</formula>
    </cfRule>
    <cfRule type="cellIs" dxfId="281" priority="87" operator="equal">
      <formula>"미조치"</formula>
    </cfRule>
    <cfRule type="cellIs" dxfId="280" priority="88" operator="equal">
      <formula>"조치"</formula>
    </cfRule>
  </conditionalFormatting>
  <conditionalFormatting sqref="L50">
    <cfRule type="cellIs" dxfId="279" priority="1" stopIfTrue="1" operator="equal">
      <formula>"인터뷰"</formula>
    </cfRule>
    <cfRule type="cellIs" dxfId="278" priority="2" stopIfTrue="1" operator="equal">
      <formula>"R/A"</formula>
    </cfRule>
    <cfRule type="cellIs" dxfId="277" priority="3" stopIfTrue="1" operator="equal">
      <formula>"N/A"</formula>
    </cfRule>
    <cfRule type="cellIs" dxfId="276" priority="4" stopIfTrue="1" operator="equal">
      <formula>"N"</formula>
    </cfRule>
    <cfRule type="expression" dxfId="275" priority="5">
      <formula>OR(IF(L50=0,1,0),IF(L50="-",1,0))</formula>
    </cfRule>
  </conditionalFormatting>
  <conditionalFormatting sqref="Y21:Y58">
    <cfRule type="cellIs" dxfId="274" priority="387" operator="equal">
      <formula>"신규 취약점(즉시조치)"</formula>
    </cfRule>
    <cfRule type="cellIs" dxfId="273" priority="388" operator="equal">
      <formula>"기존 취약점(즉시조치)"</formula>
    </cfRule>
    <cfRule type="cellIs" dxfId="272" priority="389" operator="equal">
      <formula>"기존 취약점"</formula>
    </cfRule>
    <cfRule type="cellIs" dxfId="271" priority="390" operator="equal">
      <formula>"신규 취약점"</formula>
    </cfRule>
    <cfRule type="cellIs" dxfId="270" priority="391" operator="equal">
      <formula>"확인필요"</formula>
    </cfRule>
    <cfRule type="cellIs" dxfId="269" priority="392" operator="equal">
      <formula>"확인필요"</formula>
    </cfRule>
    <cfRule type="cellIs" dxfId="268" priority="393" operator="equal">
      <formula>"신규취약점"</formula>
    </cfRule>
    <cfRule type="cellIs" dxfId="267" priority="39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HQ_L3_2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2" t="str">
        <f ca="1">REPLACE(CELL("filename",A1),1,FIND("]",CELL("filename",A1)),"")</f>
        <v>HQ_L3_2</v>
      </c>
      <c r="C4" s="253"/>
      <c r="D4" s="254" t="s">
        <v>155</v>
      </c>
      <c r="E4" s="255"/>
      <c r="F4" s="256" t="str">
        <f ca="1">IFERROR(VLOOKUP($B$4,자산목록!$B$1:$Q$834,8,FALSE),"N/A")</f>
        <v>L3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10.0.3.22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>
      <c r="A6" s="116" t="s">
        <v>62</v>
      </c>
      <c r="B6" s="263" t="str">
        <f ca="1">IFERROR(VLOOKUP($B$4,자산목록!$B$1:$Q$834,11,FALSE),"N/A")</f>
        <v>홍길동</v>
      </c>
      <c r="C6" s="263"/>
      <c r="D6" s="264" t="s">
        <v>160</v>
      </c>
      <c r="E6" s="264"/>
      <c r="F6" s="263" t="str">
        <f ca="1">IFERROR(VLOOKUP($B$4,자산목록!$B$1:$Q$834,9,FALSE),"N/A")</f>
        <v>본사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0"/>
      <c r="J12" s="54">
        <f ca="1">COUNTIFS($A$21:INDIRECT(ADDRESS(MATCH("",$A:$A,-1),1,1,1)),$A12,$K$21:INDIRECT(ADDRESS(MATCH("",$B:$B,-1),11,1,1)),"조치")</f>
        <v>5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0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0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0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0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19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0.17307692307692307</v>
      </c>
      <c r="I16" s="280"/>
      <c r="J16" s="54">
        <f ca="1">COUNTIFS($A$21:INDIRECT(ADDRESS(MATCH("",$A:$A,-1),1,1,1)),$A16,$K$21:INDIRECT(ADDRESS(MATCH("",$B:$B,-1),11,1,1)),"조치")</f>
        <v>17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>
        <f ca="1">IFERROR($J16/($F16-(M16-G16)),"N/A")</f>
        <v>0.89473684210526316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83">
        <f>B16</f>
        <v>0</v>
      </c>
      <c r="W16" s="284"/>
      <c r="X16" s="61">
        <f t="shared" ca="1" si="0"/>
        <v>0.17307692307692307</v>
      </c>
      <c r="Y16" s="61">
        <f t="shared" ca="1" si="2"/>
        <v>0.88461538461538458</v>
      </c>
    </row>
    <row r="17" spans="1:25" ht="20.100000000000001" customHeigh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4</v>
      </c>
      <c r="F17" s="125">
        <f ca="1">SUM(F12:F16)</f>
        <v>32</v>
      </c>
      <c r="G17" s="126">
        <f ca="1">SUM(G12:G16)</f>
        <v>0</v>
      </c>
      <c r="H17" s="127">
        <f t="shared" ca="1" si="1"/>
        <v>0.1111111111111111</v>
      </c>
      <c r="I17" s="281"/>
      <c r="J17" s="136">
        <f ca="1">SUM(J12:J16)</f>
        <v>30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>
        <f ca="1">IF($O17="N/A","N/A",IFERROR($J17/($F17-(M17-G17)),"N/A"))</f>
        <v>0.9375</v>
      </c>
      <c r="O17" s="129">
        <f ca="1">IF($G17=$D17,"N/A",IFERROR((T17/U17),"N/A"))</f>
        <v>0.88888888888888884</v>
      </c>
      <c r="R17" s="39">
        <f ca="1">SUM(R12:R16)</f>
        <v>90</v>
      </c>
      <c r="S17" s="40">
        <f ca="1">SUM(S12:S16)</f>
        <v>10</v>
      </c>
      <c r="T17" s="40">
        <f ca="1">SUM(T12:T16)</f>
        <v>80</v>
      </c>
      <c r="U17" s="39">
        <f ca="1">SUM(U12:U16)</f>
        <v>90</v>
      </c>
      <c r="V17" s="288" t="s">
        <v>30</v>
      </c>
      <c r="W17" s="289"/>
      <c r="X17" s="60">
        <f t="shared" ca="1" si="0"/>
        <v>0.1111111111111111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138" t="s">
        <v>68</v>
      </c>
      <c r="I21" s="137" t="s">
        <v>220</v>
      </c>
      <c r="J21" s="29" t="s">
        <v>75</v>
      </c>
      <c r="K21" s="29" t="str">
        <f t="shared" ref="K21:K58" si="3">IF($J21="","",IF(OR($H21="Y",$H21="N/A",$H21="Y(즉시조치)"),$H21,IF(AND($H21="N",$J21="Y"),"조치",IF(AND($H21="N",$J21="N/A"),"N/A",IF(IFERROR(FIND("위험수용",$L21),0),"위험수용","미조치")))))</f>
        <v>조치</v>
      </c>
      <c r="L21" s="297" t="s">
        <v>269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 customHeight="1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138" t="s">
        <v>68</v>
      </c>
      <c r="I22" s="137" t="s">
        <v>219</v>
      </c>
      <c r="J22" s="29" t="s">
        <v>75</v>
      </c>
      <c r="K22" s="29" t="str">
        <f t="shared" si="3"/>
        <v>조치</v>
      </c>
      <c r="L22" s="297" t="s">
        <v>350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 customHeight="1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138" t="s">
        <v>68</v>
      </c>
      <c r="I23" s="137" t="s">
        <v>221</v>
      </c>
      <c r="J23" s="29" t="s">
        <v>75</v>
      </c>
      <c r="K23" s="29" t="str">
        <f t="shared" si="3"/>
        <v>조치</v>
      </c>
      <c r="L23" s="297" t="s">
        <v>270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 customHeight="1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138" t="s">
        <v>68</v>
      </c>
      <c r="I24" s="159" t="s">
        <v>222</v>
      </c>
      <c r="J24" s="29" t="s">
        <v>75</v>
      </c>
      <c r="K24" s="29" t="str">
        <f t="shared" si="3"/>
        <v>조치</v>
      </c>
      <c r="L24" s="297" t="s">
        <v>351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 customHeight="1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138" t="s">
        <v>68</v>
      </c>
      <c r="I25" s="137" t="s">
        <v>223</v>
      </c>
      <c r="J25" s="29" t="s">
        <v>75</v>
      </c>
      <c r="K25" s="29" t="str">
        <f t="shared" si="3"/>
        <v>조치</v>
      </c>
      <c r="L25" s="297" t="s">
        <v>352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 customHeight="1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138" t="s">
        <v>68</v>
      </c>
      <c r="I26" s="137" t="s">
        <v>224</v>
      </c>
      <c r="J26" s="29" t="s">
        <v>75</v>
      </c>
      <c r="K26" s="29" t="str">
        <f t="shared" si="3"/>
        <v>조치</v>
      </c>
      <c r="L26" s="297" t="s">
        <v>271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 customHeight="1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138" t="s">
        <v>68</v>
      </c>
      <c r="I27" s="137" t="s">
        <v>225</v>
      </c>
      <c r="J27" s="29" t="s">
        <v>75</v>
      </c>
      <c r="K27" s="29" t="str">
        <f t="shared" si="3"/>
        <v>조치</v>
      </c>
      <c r="L27" s="297" t="s">
        <v>272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 customHeight="1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138" t="s">
        <v>68</v>
      </c>
      <c r="I28" s="137" t="s">
        <v>226</v>
      </c>
      <c r="J28" s="29" t="s">
        <v>75</v>
      </c>
      <c r="K28" s="29" t="str">
        <f t="shared" si="3"/>
        <v>조치</v>
      </c>
      <c r="L28" s="297" t="s">
        <v>273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150" t="s">
        <v>68</v>
      </c>
      <c r="I29" s="137" t="s">
        <v>227</v>
      </c>
      <c r="J29" s="29" t="s">
        <v>75</v>
      </c>
      <c r="K29" s="29" t="str">
        <f t="shared" si="3"/>
        <v>조치</v>
      </c>
      <c r="L29" s="297" t="s">
        <v>274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11" t="s">
        <v>217</v>
      </c>
      <c r="I30" s="137" t="s">
        <v>228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 customHeight="1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138" t="s">
        <v>68</v>
      </c>
      <c r="I31" s="137" t="s">
        <v>229</v>
      </c>
      <c r="J31" s="29" t="s">
        <v>75</v>
      </c>
      <c r="K31" s="29" t="str">
        <f t="shared" si="3"/>
        <v>조치</v>
      </c>
      <c r="L31" s="297" t="s">
        <v>353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138" t="s">
        <v>68</v>
      </c>
      <c r="I32" s="137" t="s">
        <v>230</v>
      </c>
      <c r="J32" s="29" t="s">
        <v>75</v>
      </c>
      <c r="K32" s="29" t="str">
        <f t="shared" si="3"/>
        <v>조치</v>
      </c>
      <c r="L32" s="297" t="s">
        <v>277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158" t="s">
        <v>217</v>
      </c>
      <c r="I33" s="137" t="s">
        <v>231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150" t="s">
        <v>68</v>
      </c>
      <c r="I34" s="137" t="s">
        <v>232</v>
      </c>
      <c r="J34" s="29" t="s">
        <v>75</v>
      </c>
      <c r="K34" s="29" t="str">
        <f t="shared" si="3"/>
        <v>조치</v>
      </c>
      <c r="L34" s="297" t="s">
        <v>278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 customHeight="1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138" t="s">
        <v>68</v>
      </c>
      <c r="I35" s="137" t="s">
        <v>238</v>
      </c>
      <c r="J35" s="29" t="s">
        <v>75</v>
      </c>
      <c r="K35" s="29" t="str">
        <f t="shared" si="3"/>
        <v>조치</v>
      </c>
      <c r="L35" s="297" t="s">
        <v>363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 customHeight="1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11" t="s">
        <v>75</v>
      </c>
      <c r="I36" s="137" t="s">
        <v>234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 customHeight="1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11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11" t="s">
        <v>75</v>
      </c>
      <c r="I38" s="137" t="s">
        <v>235</v>
      </c>
      <c r="J38" s="29" t="s">
        <v>75</v>
      </c>
      <c r="K38" s="29" t="str">
        <f t="shared" si="3"/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11" t="s">
        <v>75</v>
      </c>
      <c r="I39" s="137" t="s">
        <v>236</v>
      </c>
      <c r="J39" s="29" t="s">
        <v>75</v>
      </c>
      <c r="K39" s="29" t="str">
        <f t="shared" si="3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11" t="s">
        <v>68</v>
      </c>
      <c r="I40" s="137" t="s">
        <v>237</v>
      </c>
      <c r="J40" s="29" t="s">
        <v>75</v>
      </c>
      <c r="K40" s="29" t="str">
        <f t="shared" si="3"/>
        <v>조치</v>
      </c>
      <c r="L40" s="297" t="s">
        <v>281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138" t="s">
        <v>68</v>
      </c>
      <c r="I41" s="137" t="s">
        <v>239</v>
      </c>
      <c r="J41" s="29" t="s">
        <v>217</v>
      </c>
      <c r="K41" s="29" t="str">
        <f t="shared" si="3"/>
        <v>미조치</v>
      </c>
      <c r="L41" s="297" t="s">
        <v>282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138" t="s">
        <v>68</v>
      </c>
      <c r="I42" s="137" t="s">
        <v>240</v>
      </c>
      <c r="J42" s="29" t="s">
        <v>217</v>
      </c>
      <c r="K42" s="29" t="str">
        <f t="shared" si="3"/>
        <v>미조치</v>
      </c>
      <c r="L42" s="297" t="s">
        <v>282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 ht="36" customHeight="1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138" t="s">
        <v>68</v>
      </c>
      <c r="I43" s="137" t="s">
        <v>241</v>
      </c>
      <c r="J43" s="29" t="s">
        <v>75</v>
      </c>
      <c r="K43" s="29" t="str">
        <f t="shared" si="3"/>
        <v>조치</v>
      </c>
      <c r="L43" s="297" t="s">
        <v>283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12" customHeight="1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158" t="s">
        <v>68</v>
      </c>
      <c r="I44" s="137" t="s">
        <v>209</v>
      </c>
      <c r="J44" s="29" t="s">
        <v>75</v>
      </c>
      <c r="K44" s="29" t="str">
        <f t="shared" si="3"/>
        <v>조치</v>
      </c>
      <c r="L44" s="297" t="s">
        <v>354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12" customHeight="1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11" t="s">
        <v>68</v>
      </c>
      <c r="I45" s="137" t="s">
        <v>208</v>
      </c>
      <c r="J45" s="29" t="s">
        <v>75</v>
      </c>
      <c r="K45" s="29" t="str">
        <f t="shared" si="3"/>
        <v>조치</v>
      </c>
      <c r="L45" s="297" t="s">
        <v>355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 ht="12" customHeight="1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11" t="s">
        <v>68</v>
      </c>
      <c r="I46" s="137" t="s">
        <v>210</v>
      </c>
      <c r="J46" s="29" t="s">
        <v>75</v>
      </c>
      <c r="K46" s="29" t="str">
        <f t="shared" si="3"/>
        <v>조치</v>
      </c>
      <c r="L46" s="297" t="s">
        <v>356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11" t="s">
        <v>68</v>
      </c>
      <c r="I47" s="137" t="s">
        <v>211</v>
      </c>
      <c r="J47" s="29" t="s">
        <v>75</v>
      </c>
      <c r="K47" s="29" t="str">
        <f t="shared" si="3"/>
        <v>조치</v>
      </c>
      <c r="L47" s="297" t="s">
        <v>357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11" t="s">
        <v>68</v>
      </c>
      <c r="I48" s="137" t="s">
        <v>212</v>
      </c>
      <c r="J48" s="29" t="s">
        <v>75</v>
      </c>
      <c r="K48" s="29" t="str">
        <f t="shared" si="3"/>
        <v>조치</v>
      </c>
      <c r="L48" s="297" t="s">
        <v>358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 ht="36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138" t="s">
        <v>68</v>
      </c>
      <c r="I49" s="137" t="s">
        <v>245</v>
      </c>
      <c r="J49" s="29" t="s">
        <v>75</v>
      </c>
      <c r="K49" s="29" t="str">
        <f t="shared" si="3"/>
        <v>조치</v>
      </c>
      <c r="L49" s="297" t="s">
        <v>284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158" t="s">
        <v>68</v>
      </c>
      <c r="I50" s="137" t="s">
        <v>213</v>
      </c>
      <c r="J50" s="29" t="s">
        <v>75</v>
      </c>
      <c r="K50" s="29" t="str">
        <f t="shared" si="3"/>
        <v>조치</v>
      </c>
      <c r="L50" s="297" t="s">
        <v>379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158" t="s">
        <v>68</v>
      </c>
      <c r="I51" s="137" t="s">
        <v>214</v>
      </c>
      <c r="J51" s="29" t="s">
        <v>75</v>
      </c>
      <c r="K51" s="29" t="str">
        <f t="shared" si="3"/>
        <v>조치</v>
      </c>
      <c r="L51" s="297" t="s">
        <v>359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12" customHeight="1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158" t="s">
        <v>68</v>
      </c>
      <c r="I52" s="137" t="s">
        <v>215</v>
      </c>
      <c r="J52" s="29" t="s">
        <v>75</v>
      </c>
      <c r="K52" s="29" t="str">
        <f t="shared" si="3"/>
        <v>조치</v>
      </c>
      <c r="L52" s="297" t="s">
        <v>380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12" customHeight="1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158" t="s">
        <v>68</v>
      </c>
      <c r="I53" s="137" t="s">
        <v>215</v>
      </c>
      <c r="J53" s="29" t="s">
        <v>75</v>
      </c>
      <c r="K53" s="29" t="str">
        <f t="shared" si="3"/>
        <v>조치</v>
      </c>
      <c r="L53" s="297" t="s">
        <v>381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 ht="12" customHeight="1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11" t="s">
        <v>68</v>
      </c>
      <c r="I54" s="137" t="s">
        <v>215</v>
      </c>
      <c r="J54" s="29" t="s">
        <v>75</v>
      </c>
      <c r="K54" s="29" t="str">
        <f t="shared" si="3"/>
        <v>조치</v>
      </c>
      <c r="L54" s="297" t="s">
        <v>360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 customHeight="1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138" t="s">
        <v>68</v>
      </c>
      <c r="I55" s="137" t="s">
        <v>243</v>
      </c>
      <c r="J55" s="29" t="s">
        <v>75</v>
      </c>
      <c r="K55" s="29" t="str">
        <f t="shared" si="3"/>
        <v>조치</v>
      </c>
      <c r="L55" s="297" t="s">
        <v>285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12" customHeight="1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11" t="s">
        <v>68</v>
      </c>
      <c r="I56" s="137" t="s">
        <v>215</v>
      </c>
      <c r="J56" s="29" t="s">
        <v>75</v>
      </c>
      <c r="K56" s="29" t="str">
        <f t="shared" si="3"/>
        <v>조치</v>
      </c>
      <c r="L56" s="297" t="s">
        <v>361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 ht="12" customHeight="1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11" t="s">
        <v>68</v>
      </c>
      <c r="I57" s="137" t="s">
        <v>208</v>
      </c>
      <c r="J57" s="29" t="s">
        <v>75</v>
      </c>
      <c r="K57" s="29" t="str">
        <f t="shared" si="3"/>
        <v>조치</v>
      </c>
      <c r="L57" s="297" t="s">
        <v>362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45" customHeight="1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138" t="s">
        <v>68</v>
      </c>
      <c r="I58" s="137" t="s">
        <v>216</v>
      </c>
      <c r="J58" s="29" t="s">
        <v>75</v>
      </c>
      <c r="K58" s="29" t="str">
        <f t="shared" si="3"/>
        <v>조치</v>
      </c>
      <c r="L58" s="297" t="s">
        <v>286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266" priority="16" operator="equal">
      <formula>"취약"</formula>
    </cfRule>
    <cfRule type="cellIs" priority="17" operator="equal">
      <formula>"양호"</formula>
    </cfRule>
  </conditionalFormatting>
  <conditionalFormatting sqref="H31:H33">
    <cfRule type="cellIs" dxfId="265" priority="14" operator="equal">
      <formula>"취약"</formula>
    </cfRule>
    <cfRule type="cellIs" priority="15" operator="equal">
      <formula>"양호"</formula>
    </cfRule>
  </conditionalFormatting>
  <conditionalFormatting sqref="H35">
    <cfRule type="cellIs" dxfId="264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263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262" priority="12" operator="equal">
      <formula>"취약"</formula>
    </cfRule>
    <cfRule type="cellIs" priority="13" operator="equal">
      <formula>"양호"</formula>
    </cfRule>
  </conditionalFormatting>
  <conditionalFormatting sqref="H55">
    <cfRule type="cellIs" priority="11" operator="equal">
      <formula>"양호"</formula>
    </cfRule>
    <cfRule type="cellIs" dxfId="261" priority="10" operator="equal">
      <formula>"취약"</formula>
    </cfRule>
  </conditionalFormatting>
  <conditionalFormatting sqref="H58">
    <cfRule type="cellIs" dxfId="260" priority="18" operator="equal">
      <formula>"취약"</formula>
    </cfRule>
    <cfRule type="cellIs" priority="19" operator="equal">
      <formula>"양호"</formula>
    </cfRule>
  </conditionalFormatting>
  <conditionalFormatting sqref="J21:J58">
    <cfRule type="cellIs" dxfId="259" priority="2" stopIfTrue="1" operator="equal">
      <formula>"R/A"</formula>
    </cfRule>
    <cfRule type="cellIs" dxfId="258" priority="3" stopIfTrue="1" operator="equal">
      <formula>"N/A"</formula>
    </cfRule>
    <cfRule type="cellIs" dxfId="257" priority="4" stopIfTrue="1" operator="equal">
      <formula>"N"</formula>
    </cfRule>
    <cfRule type="expression" dxfId="256" priority="5">
      <formula>OR(IF(J21=0,1,0),IF(J21="-",1,0))</formula>
    </cfRule>
    <cfRule type="cellIs" dxfId="255" priority="1" stopIfTrue="1" operator="equal">
      <formula>"인터뷰"</formula>
    </cfRule>
  </conditionalFormatting>
  <conditionalFormatting sqref="K21:K58">
    <cfRule type="cellIs" dxfId="254" priority="264" operator="equal">
      <formula>"위험수용"</formula>
    </cfRule>
    <cfRule type="cellIs" dxfId="253" priority="265" operator="equal">
      <formula>"미조치"</formula>
    </cfRule>
    <cfRule type="cellIs" dxfId="252" priority="266" operator="equal">
      <formula>"조치"</formula>
    </cfRule>
    <cfRule type="cellIs" dxfId="251" priority="267" stopIfTrue="1" operator="equal">
      <formula>"인터뷰"</formula>
    </cfRule>
    <cfRule type="cellIs" dxfId="250" priority="268" stopIfTrue="1" operator="equal">
      <formula>"R/A"</formula>
    </cfRule>
    <cfRule type="cellIs" dxfId="249" priority="269" stopIfTrue="1" operator="equal">
      <formula>"N/A"</formula>
    </cfRule>
    <cfRule type="cellIs" dxfId="248" priority="270" stopIfTrue="1" operator="equal">
      <formula>"N"</formula>
    </cfRule>
    <cfRule type="expression" dxfId="247" priority="271">
      <formula>OR(IF(K21=0,1,0),IF(K21="-",1,0))</formula>
    </cfRule>
  </conditionalFormatting>
  <conditionalFormatting sqref="L21:L58">
    <cfRule type="cellIs" dxfId="246" priority="23" stopIfTrue="1" operator="equal">
      <formula>"N"</formula>
    </cfRule>
    <cfRule type="expression" dxfId="245" priority="24">
      <formula>OR(IF(L21=0,1,0),IF(L21="-",1,0))</formula>
    </cfRule>
    <cfRule type="cellIs" dxfId="244" priority="20" stopIfTrue="1" operator="equal">
      <formula>"인터뷰"</formula>
    </cfRule>
    <cfRule type="cellIs" dxfId="243" priority="21" stopIfTrue="1" operator="equal">
      <formula>"R/A"</formula>
    </cfRule>
    <cfRule type="cellIs" dxfId="242" priority="22" stopIfTrue="1" operator="equal">
      <formula>"N/A"</formula>
    </cfRule>
  </conditionalFormatting>
  <conditionalFormatting sqref="Y21:Y58">
    <cfRule type="cellIs" dxfId="241" priority="277" operator="equal">
      <formula>"신규 취약점(즉시조치)"</formula>
    </cfRule>
    <cfRule type="cellIs" dxfId="240" priority="278" operator="equal">
      <formula>"기존 취약점(즉시조치)"</formula>
    </cfRule>
    <cfRule type="cellIs" dxfId="239" priority="279" operator="equal">
      <formula>"기존 취약점"</formula>
    </cfRule>
    <cfRule type="cellIs" dxfId="238" priority="280" operator="equal">
      <formula>"신규 취약점"</formula>
    </cfRule>
    <cfRule type="cellIs" dxfId="237" priority="281" operator="equal">
      <formula>"확인필요"</formula>
    </cfRule>
    <cfRule type="cellIs" dxfId="236" priority="282" operator="equal">
      <formula>"확인필요"</formula>
    </cfRule>
    <cfRule type="cellIs" dxfId="235" priority="283" operator="equal">
      <formula>"신규취약점"</formula>
    </cfRule>
    <cfRule type="cellIs" dxfId="234" priority="284" operator="equal">
      <formula>"조치완료"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">
      <formula1>"Y,N,N/A,인터뷰,Y(즉시조치)"</formula1>
    </dataValidation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allowBlank="1" showInputMessage="1" showErrorMessage="1" errorTitle="오류!" error="Y, N, N/A 중에 선택" sqref="I21:I58 L21:L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BR_L3_1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2" t="str">
        <f ca="1">REPLACE(CELL("filename",A1),1,FIND("]",CELL("filename",A1)),"")</f>
        <v>BR_L3_1</v>
      </c>
      <c r="C4" s="253"/>
      <c r="D4" s="254" t="s">
        <v>155</v>
      </c>
      <c r="E4" s="255"/>
      <c r="F4" s="256" t="str">
        <f ca="1">IFERROR(VLOOKUP($B$4,자산목록!$B$1:$Q$834,8,FALSE),"N/A")</f>
        <v>L3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10.0.35.18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>
      <c r="A6" s="116" t="s">
        <v>62</v>
      </c>
      <c r="B6" s="263" t="str">
        <f ca="1">IFERROR(VLOOKUP($B$4,자산목록!$B$1:$Q$834,11,FALSE),"N/A")</f>
        <v>김철수</v>
      </c>
      <c r="C6" s="263"/>
      <c r="D6" s="264" t="s">
        <v>160</v>
      </c>
      <c r="E6" s="264"/>
      <c r="F6" s="263" t="str">
        <f ca="1">IFERROR(VLOOKUP($B$4,자산목록!$B$1:$Q$834,9,FALSE),"N/A")</f>
        <v>지사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0"/>
      <c r="J12" s="54">
        <f ca="1">COUNTIFS($A$21:INDIRECT(ADDRESS(MATCH("",$A:$A,-1),1,1,1)),$A12,$K$21:INDIRECT(ADDRESS(MATCH("",$B:$B,-1),11,1,1)),"조치")</f>
        <v>5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0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0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0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0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19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0.17307692307692307</v>
      </c>
      <c r="I16" s="280"/>
      <c r="J16" s="54">
        <f ca="1">COUNTIFS($A$21:INDIRECT(ADDRESS(MATCH("",$A:$A,-1),1,1,1)),$A16,$K$21:INDIRECT(ADDRESS(MATCH("",$B:$B,-1),11,1,1)),"조치")</f>
        <v>17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>
        <f ca="1">IFERROR($J16/($F16-(M16-G16)),"N/A")</f>
        <v>0.89473684210526316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83">
        <f>B16</f>
        <v>0</v>
      </c>
      <c r="W16" s="284"/>
      <c r="X16" s="61">
        <f t="shared" ca="1" si="0"/>
        <v>0.17307692307692307</v>
      </c>
      <c r="Y16" s="61">
        <f t="shared" ca="1" si="2"/>
        <v>0.88461538461538458</v>
      </c>
    </row>
    <row r="17" spans="1:25" ht="20.100000000000001" customHeigh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4</v>
      </c>
      <c r="F17" s="125">
        <f ca="1">SUM(F12:F16)</f>
        <v>32</v>
      </c>
      <c r="G17" s="126">
        <f ca="1">SUM(G12:G16)</f>
        <v>0</v>
      </c>
      <c r="H17" s="127">
        <f t="shared" ca="1" si="1"/>
        <v>0.1111111111111111</v>
      </c>
      <c r="I17" s="281"/>
      <c r="J17" s="136">
        <f ca="1">SUM(J12:J16)</f>
        <v>30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>
        <f ca="1">IF($O17="N/A","N/A",IFERROR($J17/($F17-(M17-G17)),"N/A"))</f>
        <v>0.9375</v>
      </c>
      <c r="O17" s="129">
        <f ca="1">IF($G17=$D17,"N/A",IFERROR((T17/U17),"N/A"))</f>
        <v>0.88888888888888884</v>
      </c>
      <c r="R17" s="39">
        <f ca="1">SUM(R12:R16)</f>
        <v>90</v>
      </c>
      <c r="S17" s="40">
        <f ca="1">SUM(S12:S16)</f>
        <v>10</v>
      </c>
      <c r="T17" s="40">
        <f ca="1">SUM(T12:T16)</f>
        <v>80</v>
      </c>
      <c r="U17" s="39">
        <f ca="1">SUM(U12:U16)</f>
        <v>90</v>
      </c>
      <c r="V17" s="288" t="s">
        <v>30</v>
      </c>
      <c r="W17" s="289"/>
      <c r="X17" s="60">
        <f t="shared" ca="1" si="0"/>
        <v>0.1111111111111111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138" t="s">
        <v>68</v>
      </c>
      <c r="I21" s="137" t="s">
        <v>220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297" t="s">
        <v>269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 customHeight="1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138" t="s">
        <v>68</v>
      </c>
      <c r="I22" s="137" t="s">
        <v>219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조치</v>
      </c>
      <c r="L22" s="297" t="s">
        <v>350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 customHeight="1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138" t="s">
        <v>68</v>
      </c>
      <c r="I23" s="137" t="s">
        <v>221</v>
      </c>
      <c r="J23" s="29" t="s">
        <v>75</v>
      </c>
      <c r="K23" s="29" t="str">
        <f t="shared" si="3"/>
        <v>조치</v>
      </c>
      <c r="L23" s="297" t="s">
        <v>270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 customHeight="1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138" t="s">
        <v>68</v>
      </c>
      <c r="I24" s="159" t="s">
        <v>222</v>
      </c>
      <c r="J24" s="29" t="s">
        <v>75</v>
      </c>
      <c r="K24" s="29" t="str">
        <f t="shared" si="3"/>
        <v>조치</v>
      </c>
      <c r="L24" s="297" t="s">
        <v>351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 customHeight="1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138" t="s">
        <v>68</v>
      </c>
      <c r="I25" s="137" t="s">
        <v>223</v>
      </c>
      <c r="J25" s="29" t="s">
        <v>75</v>
      </c>
      <c r="K25" s="29" t="str">
        <f t="shared" si="3"/>
        <v>조치</v>
      </c>
      <c r="L25" s="297" t="s">
        <v>352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 customHeight="1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138" t="s">
        <v>68</v>
      </c>
      <c r="I26" s="137" t="s">
        <v>224</v>
      </c>
      <c r="J26" s="29" t="s">
        <v>75</v>
      </c>
      <c r="K26" s="29" t="str">
        <f t="shared" si="3"/>
        <v>조치</v>
      </c>
      <c r="L26" s="297" t="s">
        <v>271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 customHeight="1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138" t="s">
        <v>68</v>
      </c>
      <c r="I27" s="137" t="s">
        <v>225</v>
      </c>
      <c r="J27" s="29" t="s">
        <v>75</v>
      </c>
      <c r="K27" s="29" t="str">
        <f t="shared" si="3"/>
        <v>조치</v>
      </c>
      <c r="L27" s="297" t="s">
        <v>272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 customHeight="1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138" t="s">
        <v>68</v>
      </c>
      <c r="I28" s="137" t="s">
        <v>226</v>
      </c>
      <c r="J28" s="29" t="s">
        <v>75</v>
      </c>
      <c r="K28" s="29" t="str">
        <f t="shared" si="3"/>
        <v>조치</v>
      </c>
      <c r="L28" s="297" t="s">
        <v>273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150" t="s">
        <v>68</v>
      </c>
      <c r="I29" s="137" t="s">
        <v>227</v>
      </c>
      <c r="J29" s="29" t="s">
        <v>75</v>
      </c>
      <c r="K29" s="29" t="str">
        <f t="shared" si="3"/>
        <v>조치</v>
      </c>
      <c r="L29" s="297" t="s">
        <v>274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11" t="s">
        <v>217</v>
      </c>
      <c r="I30" s="137" t="s">
        <v>228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 customHeight="1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138" t="s">
        <v>68</v>
      </c>
      <c r="I31" s="137" t="s">
        <v>229</v>
      </c>
      <c r="J31" s="29" t="s">
        <v>75</v>
      </c>
      <c r="K31" s="29" t="str">
        <f t="shared" si="3"/>
        <v>조치</v>
      </c>
      <c r="L31" s="297" t="s">
        <v>353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138" t="s">
        <v>68</v>
      </c>
      <c r="I32" s="137" t="s">
        <v>230</v>
      </c>
      <c r="J32" s="29" t="s">
        <v>75</v>
      </c>
      <c r="K32" s="29" t="str">
        <f t="shared" si="3"/>
        <v>조치</v>
      </c>
      <c r="L32" s="297" t="s">
        <v>277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158" t="s">
        <v>217</v>
      </c>
      <c r="I33" s="137" t="s">
        <v>231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150" t="s">
        <v>68</v>
      </c>
      <c r="I34" s="137" t="s">
        <v>232</v>
      </c>
      <c r="J34" s="29" t="s">
        <v>75</v>
      </c>
      <c r="K34" s="29" t="str">
        <f t="shared" si="3"/>
        <v>조치</v>
      </c>
      <c r="L34" s="297" t="s">
        <v>278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 customHeight="1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138" t="s">
        <v>68</v>
      </c>
      <c r="I35" s="137" t="s">
        <v>238</v>
      </c>
      <c r="J35" s="29" t="s">
        <v>75</v>
      </c>
      <c r="K35" s="29" t="str">
        <f t="shared" si="3"/>
        <v>조치</v>
      </c>
      <c r="L35" s="297" t="s">
        <v>363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 customHeight="1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11" t="s">
        <v>75</v>
      </c>
      <c r="I36" s="137" t="s">
        <v>234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 customHeight="1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11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11" t="s">
        <v>75</v>
      </c>
      <c r="I38" s="137" t="s">
        <v>235</v>
      </c>
      <c r="J38" s="29" t="s">
        <v>75</v>
      </c>
      <c r="K38" s="29" t="str">
        <f t="shared" si="3"/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11" t="s">
        <v>75</v>
      </c>
      <c r="I39" s="137" t="s">
        <v>236</v>
      </c>
      <c r="J39" s="29" t="s">
        <v>75</v>
      </c>
      <c r="K39" s="29" t="str">
        <f t="shared" si="3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11" t="s">
        <v>68</v>
      </c>
      <c r="I40" s="137" t="s">
        <v>237</v>
      </c>
      <c r="J40" s="29" t="s">
        <v>75</v>
      </c>
      <c r="K40" s="29" t="str">
        <f t="shared" si="3"/>
        <v>조치</v>
      </c>
      <c r="L40" s="297" t="s">
        <v>281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138" t="s">
        <v>68</v>
      </c>
      <c r="I41" s="137" t="s">
        <v>239</v>
      </c>
      <c r="J41" s="29" t="s">
        <v>217</v>
      </c>
      <c r="K41" s="29" t="str">
        <f t="shared" si="3"/>
        <v>미조치</v>
      </c>
      <c r="L41" s="297" t="s">
        <v>282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138" t="s">
        <v>68</v>
      </c>
      <c r="I42" s="137" t="s">
        <v>240</v>
      </c>
      <c r="J42" s="29" t="s">
        <v>217</v>
      </c>
      <c r="K42" s="29" t="str">
        <f t="shared" si="3"/>
        <v>미조치</v>
      </c>
      <c r="L42" s="297" t="s">
        <v>282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 ht="36" customHeight="1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138" t="s">
        <v>68</v>
      </c>
      <c r="I43" s="137" t="s">
        <v>241</v>
      </c>
      <c r="J43" s="29" t="s">
        <v>75</v>
      </c>
      <c r="K43" s="29" t="str">
        <f t="shared" si="3"/>
        <v>조치</v>
      </c>
      <c r="L43" s="297" t="s">
        <v>283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12" customHeight="1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158" t="s">
        <v>68</v>
      </c>
      <c r="I44" s="137" t="s">
        <v>209</v>
      </c>
      <c r="J44" s="29" t="s">
        <v>75</v>
      </c>
      <c r="K44" s="29" t="str">
        <f t="shared" si="3"/>
        <v>조치</v>
      </c>
      <c r="L44" s="297" t="s">
        <v>354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12" customHeight="1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11" t="s">
        <v>68</v>
      </c>
      <c r="I45" s="137" t="s">
        <v>208</v>
      </c>
      <c r="J45" s="29" t="s">
        <v>75</v>
      </c>
      <c r="K45" s="29" t="str">
        <f t="shared" si="3"/>
        <v>조치</v>
      </c>
      <c r="L45" s="297" t="s">
        <v>355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 ht="12" customHeight="1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11" t="s">
        <v>68</v>
      </c>
      <c r="I46" s="137" t="s">
        <v>210</v>
      </c>
      <c r="J46" s="29" t="s">
        <v>75</v>
      </c>
      <c r="K46" s="29" t="str">
        <f t="shared" si="3"/>
        <v>조치</v>
      </c>
      <c r="L46" s="297" t="s">
        <v>356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11" t="s">
        <v>68</v>
      </c>
      <c r="I47" s="137" t="s">
        <v>211</v>
      </c>
      <c r="J47" s="29" t="s">
        <v>75</v>
      </c>
      <c r="K47" s="29" t="str">
        <f t="shared" si="3"/>
        <v>조치</v>
      </c>
      <c r="L47" s="297" t="s">
        <v>357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11" t="s">
        <v>68</v>
      </c>
      <c r="I48" s="137" t="s">
        <v>212</v>
      </c>
      <c r="J48" s="29" t="s">
        <v>75</v>
      </c>
      <c r="K48" s="29" t="str">
        <f t="shared" si="3"/>
        <v>조치</v>
      </c>
      <c r="L48" s="297" t="s">
        <v>358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138" t="s">
        <v>68</v>
      </c>
      <c r="I49" s="137" t="s">
        <v>245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297" t="s">
        <v>284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158" t="s">
        <v>68</v>
      </c>
      <c r="I50" s="137" t="s">
        <v>213</v>
      </c>
      <c r="J50" s="29" t="s">
        <v>75</v>
      </c>
      <c r="K50" s="29" t="str">
        <f t="shared" si="3"/>
        <v>조치</v>
      </c>
      <c r="L50" s="297" t="s">
        <v>379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158" t="s">
        <v>68</v>
      </c>
      <c r="I51" s="137" t="s">
        <v>214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조치</v>
      </c>
      <c r="L51" s="297" t="s">
        <v>359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12" customHeight="1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158" t="s">
        <v>68</v>
      </c>
      <c r="I52" s="137" t="s">
        <v>215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조치</v>
      </c>
      <c r="L52" s="297" t="s">
        <v>380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12" customHeight="1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158" t="s">
        <v>68</v>
      </c>
      <c r="I53" s="137" t="s">
        <v>215</v>
      </c>
      <c r="J53" s="29" t="s">
        <v>75</v>
      </c>
      <c r="K53" s="29" t="str">
        <f t="shared" si="4"/>
        <v>조치</v>
      </c>
      <c r="L53" s="297" t="s">
        <v>381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 ht="12" customHeight="1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11" t="s">
        <v>68</v>
      </c>
      <c r="I54" s="137" t="s">
        <v>215</v>
      </c>
      <c r="J54" s="29" t="s">
        <v>75</v>
      </c>
      <c r="K54" s="29" t="str">
        <f t="shared" si="4"/>
        <v>조치</v>
      </c>
      <c r="L54" s="297" t="s">
        <v>360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 customHeight="1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138" t="s">
        <v>68</v>
      </c>
      <c r="I55" s="137" t="s">
        <v>243</v>
      </c>
      <c r="J55" s="29" t="s">
        <v>75</v>
      </c>
      <c r="K55" s="29" t="str">
        <f t="shared" si="4"/>
        <v>조치</v>
      </c>
      <c r="L55" s="297" t="s">
        <v>285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12" customHeight="1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11" t="s">
        <v>68</v>
      </c>
      <c r="I56" s="137" t="s">
        <v>215</v>
      </c>
      <c r="J56" s="29" t="s">
        <v>75</v>
      </c>
      <c r="K56" s="29" t="str">
        <f t="shared" si="4"/>
        <v>조치</v>
      </c>
      <c r="L56" s="297" t="s">
        <v>361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 ht="12" customHeight="1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11" t="s">
        <v>68</v>
      </c>
      <c r="I57" s="137" t="s">
        <v>208</v>
      </c>
      <c r="J57" s="29" t="s">
        <v>75</v>
      </c>
      <c r="K57" s="29" t="str">
        <f t="shared" si="4"/>
        <v>조치</v>
      </c>
      <c r="L57" s="297" t="s">
        <v>362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12" customHeight="1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138" t="s">
        <v>68</v>
      </c>
      <c r="I58" s="137" t="s">
        <v>216</v>
      </c>
      <c r="J58" s="29" t="s">
        <v>75</v>
      </c>
      <c r="K58" s="29" t="str">
        <f t="shared" si="4"/>
        <v>조치</v>
      </c>
      <c r="L58" s="297" t="s">
        <v>286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233" priority="16" operator="equal">
      <formula>"취약"</formula>
    </cfRule>
    <cfRule type="cellIs" priority="17" operator="equal">
      <formula>"양호"</formula>
    </cfRule>
  </conditionalFormatting>
  <conditionalFormatting sqref="H31:H33">
    <cfRule type="cellIs" dxfId="232" priority="14" operator="equal">
      <formula>"취약"</formula>
    </cfRule>
    <cfRule type="cellIs" priority="15" operator="equal">
      <formula>"양호"</formula>
    </cfRule>
  </conditionalFormatting>
  <conditionalFormatting sqref="H35">
    <cfRule type="cellIs" dxfId="231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230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229" priority="12" operator="equal">
      <formula>"취약"</formula>
    </cfRule>
    <cfRule type="cellIs" priority="13" operator="equal">
      <formula>"양호"</formula>
    </cfRule>
  </conditionalFormatting>
  <conditionalFormatting sqref="H55">
    <cfRule type="cellIs" priority="11" operator="equal">
      <formula>"양호"</formula>
    </cfRule>
    <cfRule type="cellIs" dxfId="228" priority="10" operator="equal">
      <formula>"취약"</formula>
    </cfRule>
  </conditionalFormatting>
  <conditionalFormatting sqref="H58">
    <cfRule type="cellIs" dxfId="227" priority="18" operator="equal">
      <formula>"취약"</formula>
    </cfRule>
    <cfRule type="cellIs" priority="19" operator="equal">
      <formula>"양호"</formula>
    </cfRule>
  </conditionalFormatting>
  <conditionalFormatting sqref="J21:J58">
    <cfRule type="cellIs" dxfId="226" priority="2" stopIfTrue="1" operator="equal">
      <formula>"R/A"</formula>
    </cfRule>
    <cfRule type="cellIs" dxfId="225" priority="3" stopIfTrue="1" operator="equal">
      <formula>"N/A"</formula>
    </cfRule>
    <cfRule type="cellIs" dxfId="224" priority="4" stopIfTrue="1" operator="equal">
      <formula>"N"</formula>
    </cfRule>
    <cfRule type="expression" dxfId="223" priority="5">
      <formula>OR(IF(J21=0,1,0),IF(J21="-",1,0))</formula>
    </cfRule>
    <cfRule type="cellIs" dxfId="222" priority="1" stopIfTrue="1" operator="equal">
      <formula>"인터뷰"</formula>
    </cfRule>
  </conditionalFormatting>
  <conditionalFormatting sqref="K21:K58">
    <cfRule type="cellIs" dxfId="221" priority="125" operator="equal">
      <formula>"위험수용"</formula>
    </cfRule>
    <cfRule type="cellIs" dxfId="220" priority="126" operator="equal">
      <formula>"미조치"</formula>
    </cfRule>
    <cfRule type="cellIs" dxfId="219" priority="127" operator="equal">
      <formula>"조치"</formula>
    </cfRule>
    <cfRule type="cellIs" dxfId="218" priority="128" stopIfTrue="1" operator="equal">
      <formula>"인터뷰"</formula>
    </cfRule>
    <cfRule type="cellIs" dxfId="217" priority="129" stopIfTrue="1" operator="equal">
      <formula>"R/A"</formula>
    </cfRule>
    <cfRule type="cellIs" dxfId="216" priority="130" stopIfTrue="1" operator="equal">
      <formula>"N/A"</formula>
    </cfRule>
    <cfRule type="cellIs" dxfId="215" priority="131" stopIfTrue="1" operator="equal">
      <formula>"N"</formula>
    </cfRule>
    <cfRule type="expression" dxfId="214" priority="132">
      <formula>OR(IF(K21=0,1,0),IF(K21="-",1,0))</formula>
    </cfRule>
  </conditionalFormatting>
  <conditionalFormatting sqref="L21:L58">
    <cfRule type="cellIs" dxfId="213" priority="23" stopIfTrue="1" operator="equal">
      <formula>"N"</formula>
    </cfRule>
    <cfRule type="expression" dxfId="212" priority="24">
      <formula>OR(IF(L21=0,1,0),IF(L21="-",1,0))</formula>
    </cfRule>
    <cfRule type="cellIs" dxfId="211" priority="20" stopIfTrue="1" operator="equal">
      <formula>"인터뷰"</formula>
    </cfRule>
    <cfRule type="cellIs" dxfId="210" priority="21" stopIfTrue="1" operator="equal">
      <formula>"R/A"</formula>
    </cfRule>
    <cfRule type="cellIs" dxfId="209" priority="22" stopIfTrue="1" operator="equal">
      <formula>"N/A"</formula>
    </cfRule>
  </conditionalFormatting>
  <conditionalFormatting sqref="Y21:Y58">
    <cfRule type="cellIs" dxfId="208" priority="287" operator="equal">
      <formula>"신규 취약점(즉시조치)"</formula>
    </cfRule>
    <cfRule type="cellIs" dxfId="207" priority="288" operator="equal">
      <formula>"기존 취약점(즉시조치)"</formula>
    </cfRule>
    <cfRule type="cellIs" dxfId="206" priority="289" operator="equal">
      <formula>"기존 취약점"</formula>
    </cfRule>
    <cfRule type="cellIs" dxfId="205" priority="290" operator="equal">
      <formula>"신규 취약점"</formula>
    </cfRule>
    <cfRule type="cellIs" dxfId="204" priority="291" operator="equal">
      <formula>"확인필요"</formula>
    </cfRule>
    <cfRule type="cellIs" dxfId="203" priority="292" operator="equal">
      <formula>"확인필요"</formula>
    </cfRule>
    <cfRule type="cellIs" dxfId="202" priority="293" operator="equal">
      <formula>"신규취약점"</formula>
    </cfRule>
    <cfRule type="cellIs" dxfId="201" priority="29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BR_L3_2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2" t="str">
        <f ca="1">REPLACE(CELL("filename",A1),1,FIND("]",CELL("filename",A1)),"")</f>
        <v>BR_L3_2</v>
      </c>
      <c r="C4" s="253"/>
      <c r="D4" s="254" t="s">
        <v>155</v>
      </c>
      <c r="E4" s="255"/>
      <c r="F4" s="256" t="str">
        <f ca="1">IFERROR(VLOOKUP($B$4,자산목록!$B$1:$Q$834,8,FALSE),"N/A")</f>
        <v>L3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10.0.35.22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>
      <c r="A6" s="116" t="s">
        <v>62</v>
      </c>
      <c r="B6" s="263" t="str">
        <f ca="1">IFERROR(VLOOKUP($B$4,자산목록!$B$1:$Q$834,11,FALSE),"N/A")</f>
        <v>김철수</v>
      </c>
      <c r="C6" s="263"/>
      <c r="D6" s="264" t="s">
        <v>160</v>
      </c>
      <c r="E6" s="264"/>
      <c r="F6" s="263" t="str">
        <f ca="1">IFERROR(VLOOKUP($B$4,자산목록!$B$1:$Q$834,9,FALSE),"N/A")</f>
        <v>지사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0"/>
      <c r="J12" s="54">
        <f ca="1">COUNTIFS($A$21:INDIRECT(ADDRESS(MATCH("",$A:$A,-1),1,1,1)),$A12,$K$21:INDIRECT(ADDRESS(MATCH("",$B:$B,-1),11,1,1)),"조치")</f>
        <v>5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0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0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0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0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19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0.17307692307692307</v>
      </c>
      <c r="I16" s="280"/>
      <c r="J16" s="54">
        <f ca="1">COUNTIFS($A$21:INDIRECT(ADDRESS(MATCH("",$A:$A,-1),1,1,1)),$A16,$K$21:INDIRECT(ADDRESS(MATCH("",$B:$B,-1),11,1,1)),"조치")</f>
        <v>17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>
        <f ca="1">IFERROR($J16/($F16-(M16-G16)),"N/A")</f>
        <v>0.89473684210526316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83">
        <f>B16</f>
        <v>0</v>
      </c>
      <c r="W16" s="284"/>
      <c r="X16" s="61">
        <f t="shared" ca="1" si="0"/>
        <v>0.17307692307692307</v>
      </c>
      <c r="Y16" s="61">
        <f t="shared" ca="1" si="2"/>
        <v>0.88461538461538458</v>
      </c>
    </row>
    <row r="17" spans="1:25" ht="20.100000000000001" customHeigh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4</v>
      </c>
      <c r="F17" s="125">
        <f ca="1">SUM(F12:F16)</f>
        <v>32</v>
      </c>
      <c r="G17" s="126">
        <f ca="1">SUM(G12:G16)</f>
        <v>0</v>
      </c>
      <c r="H17" s="127">
        <f t="shared" ca="1" si="1"/>
        <v>0.1111111111111111</v>
      </c>
      <c r="I17" s="281"/>
      <c r="J17" s="136">
        <f ca="1">SUM(J12:J16)</f>
        <v>30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>
        <f ca="1">IF($O17="N/A","N/A",IFERROR($J17/($F17-(M17-G17)),"N/A"))</f>
        <v>0.9375</v>
      </c>
      <c r="O17" s="129">
        <f ca="1">IF($G17=$D17,"N/A",IFERROR((T17/U17),"N/A"))</f>
        <v>0.88888888888888884</v>
      </c>
      <c r="R17" s="39">
        <f ca="1">SUM(R12:R16)</f>
        <v>90</v>
      </c>
      <c r="S17" s="40">
        <f ca="1">SUM(S12:S16)</f>
        <v>10</v>
      </c>
      <c r="T17" s="40">
        <f ca="1">SUM(T12:T16)</f>
        <v>80</v>
      </c>
      <c r="U17" s="39">
        <f ca="1">SUM(U12:U16)</f>
        <v>90</v>
      </c>
      <c r="V17" s="288" t="s">
        <v>30</v>
      </c>
      <c r="W17" s="289"/>
      <c r="X17" s="60">
        <f t="shared" ca="1" si="0"/>
        <v>0.1111111111111111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138" t="s">
        <v>68</v>
      </c>
      <c r="I21" s="137" t="s">
        <v>220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297" t="s">
        <v>269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 customHeight="1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138" t="s">
        <v>68</v>
      </c>
      <c r="I22" s="137" t="s">
        <v>219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조치</v>
      </c>
      <c r="L22" s="297" t="s">
        <v>350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 customHeight="1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138" t="s">
        <v>68</v>
      </c>
      <c r="I23" s="137" t="s">
        <v>221</v>
      </c>
      <c r="J23" s="29" t="s">
        <v>75</v>
      </c>
      <c r="K23" s="29" t="str">
        <f t="shared" si="3"/>
        <v>조치</v>
      </c>
      <c r="L23" s="297" t="s">
        <v>270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 customHeight="1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138" t="s">
        <v>68</v>
      </c>
      <c r="I24" s="159" t="s">
        <v>222</v>
      </c>
      <c r="J24" s="29" t="s">
        <v>75</v>
      </c>
      <c r="K24" s="29" t="str">
        <f t="shared" si="3"/>
        <v>조치</v>
      </c>
      <c r="L24" s="297" t="s">
        <v>351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 customHeight="1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138" t="s">
        <v>68</v>
      </c>
      <c r="I25" s="137" t="s">
        <v>223</v>
      </c>
      <c r="J25" s="29" t="s">
        <v>75</v>
      </c>
      <c r="K25" s="29" t="str">
        <f t="shared" si="3"/>
        <v>조치</v>
      </c>
      <c r="L25" s="297" t="s">
        <v>352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 ht="36" customHeight="1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138" t="s">
        <v>68</v>
      </c>
      <c r="I26" s="137" t="s">
        <v>224</v>
      </c>
      <c r="J26" s="29" t="s">
        <v>75</v>
      </c>
      <c r="K26" s="29" t="str">
        <f t="shared" si="3"/>
        <v>조치</v>
      </c>
      <c r="L26" s="297" t="s">
        <v>271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 customHeight="1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138" t="s">
        <v>68</v>
      </c>
      <c r="I27" s="137" t="s">
        <v>225</v>
      </c>
      <c r="J27" s="29" t="s">
        <v>75</v>
      </c>
      <c r="K27" s="29" t="str">
        <f t="shared" si="3"/>
        <v>조치</v>
      </c>
      <c r="L27" s="297" t="s">
        <v>272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 customHeight="1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138" t="s">
        <v>68</v>
      </c>
      <c r="I28" s="137" t="s">
        <v>226</v>
      </c>
      <c r="J28" s="29" t="s">
        <v>75</v>
      </c>
      <c r="K28" s="29" t="str">
        <f t="shared" si="3"/>
        <v>조치</v>
      </c>
      <c r="L28" s="297" t="s">
        <v>273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150" t="s">
        <v>68</v>
      </c>
      <c r="I29" s="137" t="s">
        <v>227</v>
      </c>
      <c r="J29" s="29" t="s">
        <v>75</v>
      </c>
      <c r="K29" s="29" t="str">
        <f t="shared" si="3"/>
        <v>조치</v>
      </c>
      <c r="L29" s="297" t="s">
        <v>274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11" t="s">
        <v>217</v>
      </c>
      <c r="I30" s="137" t="s">
        <v>228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 customHeight="1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138" t="s">
        <v>68</v>
      </c>
      <c r="I31" s="137" t="s">
        <v>229</v>
      </c>
      <c r="J31" s="29" t="s">
        <v>75</v>
      </c>
      <c r="K31" s="29" t="str">
        <f t="shared" si="3"/>
        <v>조치</v>
      </c>
      <c r="L31" s="297" t="s">
        <v>353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138" t="s">
        <v>68</v>
      </c>
      <c r="I32" s="137" t="s">
        <v>230</v>
      </c>
      <c r="J32" s="29" t="s">
        <v>75</v>
      </c>
      <c r="K32" s="29" t="str">
        <f t="shared" si="3"/>
        <v>조치</v>
      </c>
      <c r="L32" s="297" t="s">
        <v>277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158" t="s">
        <v>217</v>
      </c>
      <c r="I33" s="137" t="s">
        <v>231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150" t="s">
        <v>68</v>
      </c>
      <c r="I34" s="137" t="s">
        <v>232</v>
      </c>
      <c r="J34" s="29" t="s">
        <v>75</v>
      </c>
      <c r="K34" s="29" t="str">
        <f t="shared" si="3"/>
        <v>조치</v>
      </c>
      <c r="L34" s="297" t="s">
        <v>278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 customHeight="1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138" t="s">
        <v>68</v>
      </c>
      <c r="I35" s="137" t="s">
        <v>238</v>
      </c>
      <c r="J35" s="29" t="s">
        <v>75</v>
      </c>
      <c r="K35" s="29" t="str">
        <f t="shared" si="3"/>
        <v>조치</v>
      </c>
      <c r="L35" s="297" t="s">
        <v>363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 customHeight="1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11" t="s">
        <v>75</v>
      </c>
      <c r="I36" s="137" t="s">
        <v>234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 customHeight="1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11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11" t="s">
        <v>75</v>
      </c>
      <c r="I38" s="137" t="s">
        <v>235</v>
      </c>
      <c r="J38" s="29" t="s">
        <v>75</v>
      </c>
      <c r="K38" s="29" t="str">
        <f t="shared" si="3"/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11" t="s">
        <v>75</v>
      </c>
      <c r="I39" s="137" t="s">
        <v>236</v>
      </c>
      <c r="J39" s="29" t="s">
        <v>75</v>
      </c>
      <c r="K39" s="29" t="str">
        <f t="shared" si="3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12" customHeight="1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11" t="s">
        <v>68</v>
      </c>
      <c r="I40" s="137" t="s">
        <v>237</v>
      </c>
      <c r="J40" s="29" t="s">
        <v>75</v>
      </c>
      <c r="K40" s="29" t="str">
        <f t="shared" si="3"/>
        <v>조치</v>
      </c>
      <c r="L40" s="297" t="s">
        <v>382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138" t="s">
        <v>68</v>
      </c>
      <c r="I41" s="137" t="s">
        <v>239</v>
      </c>
      <c r="J41" s="29" t="s">
        <v>217</v>
      </c>
      <c r="K41" s="29" t="str">
        <f t="shared" si="3"/>
        <v>미조치</v>
      </c>
      <c r="L41" s="297" t="s">
        <v>282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138" t="s">
        <v>68</v>
      </c>
      <c r="I42" s="137" t="s">
        <v>240</v>
      </c>
      <c r="J42" s="29" t="s">
        <v>217</v>
      </c>
      <c r="K42" s="29" t="str">
        <f t="shared" si="3"/>
        <v>미조치</v>
      </c>
      <c r="L42" s="297" t="s">
        <v>282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 ht="36" customHeight="1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138" t="s">
        <v>68</v>
      </c>
      <c r="I43" s="137" t="s">
        <v>241</v>
      </c>
      <c r="J43" s="29" t="s">
        <v>75</v>
      </c>
      <c r="K43" s="29" t="str">
        <f t="shared" si="3"/>
        <v>조치</v>
      </c>
      <c r="L43" s="297" t="s">
        <v>283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12" customHeight="1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158" t="s">
        <v>68</v>
      </c>
      <c r="I44" s="137" t="s">
        <v>209</v>
      </c>
      <c r="J44" s="29" t="s">
        <v>75</v>
      </c>
      <c r="K44" s="29" t="str">
        <f t="shared" si="3"/>
        <v>조치</v>
      </c>
      <c r="L44" s="297" t="s">
        <v>354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12" customHeight="1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11" t="s">
        <v>68</v>
      </c>
      <c r="I45" s="137" t="s">
        <v>208</v>
      </c>
      <c r="J45" s="29" t="s">
        <v>75</v>
      </c>
      <c r="K45" s="29" t="str">
        <f t="shared" si="3"/>
        <v>조치</v>
      </c>
      <c r="L45" s="297" t="s">
        <v>355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 ht="12" customHeight="1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11" t="s">
        <v>68</v>
      </c>
      <c r="I46" s="137" t="s">
        <v>210</v>
      </c>
      <c r="J46" s="29" t="s">
        <v>75</v>
      </c>
      <c r="K46" s="29" t="str">
        <f t="shared" si="3"/>
        <v>조치</v>
      </c>
      <c r="L46" s="297" t="s">
        <v>356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11" t="s">
        <v>68</v>
      </c>
      <c r="I47" s="137" t="s">
        <v>211</v>
      </c>
      <c r="J47" s="29" t="s">
        <v>75</v>
      </c>
      <c r="K47" s="29" t="str">
        <f t="shared" si="3"/>
        <v>조치</v>
      </c>
      <c r="L47" s="297" t="s">
        <v>357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11" t="s">
        <v>68</v>
      </c>
      <c r="I48" s="137" t="s">
        <v>212</v>
      </c>
      <c r="J48" s="29" t="s">
        <v>75</v>
      </c>
      <c r="K48" s="29" t="str">
        <f t="shared" si="3"/>
        <v>조치</v>
      </c>
      <c r="L48" s="297" t="s">
        <v>358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138" t="s">
        <v>68</v>
      </c>
      <c r="I49" s="137" t="s">
        <v>245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297" t="s">
        <v>284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158" t="s">
        <v>68</v>
      </c>
      <c r="I50" s="137" t="s">
        <v>213</v>
      </c>
      <c r="J50" s="29" t="s">
        <v>75</v>
      </c>
      <c r="K50" s="29" t="str">
        <f t="shared" si="3"/>
        <v>조치</v>
      </c>
      <c r="L50" s="297" t="s">
        <v>385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158" t="s">
        <v>68</v>
      </c>
      <c r="I51" s="137" t="s">
        <v>214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조치</v>
      </c>
      <c r="L51" s="297" t="s">
        <v>359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12" customHeight="1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158" t="s">
        <v>68</v>
      </c>
      <c r="I52" s="137" t="s">
        <v>215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조치</v>
      </c>
      <c r="L52" s="297" t="s">
        <v>386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12" customHeight="1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158" t="s">
        <v>68</v>
      </c>
      <c r="I53" s="137" t="s">
        <v>215</v>
      </c>
      <c r="J53" s="29" t="s">
        <v>75</v>
      </c>
      <c r="K53" s="29" t="str">
        <f t="shared" si="4"/>
        <v>조치</v>
      </c>
      <c r="L53" s="297" t="s">
        <v>388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 ht="12" customHeight="1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11" t="s">
        <v>68</v>
      </c>
      <c r="I54" s="137" t="s">
        <v>215</v>
      </c>
      <c r="J54" s="29" t="s">
        <v>75</v>
      </c>
      <c r="K54" s="29" t="str">
        <f t="shared" si="4"/>
        <v>조치</v>
      </c>
      <c r="L54" s="297" t="s">
        <v>360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 ht="36" customHeight="1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138" t="s">
        <v>68</v>
      </c>
      <c r="I55" s="137" t="s">
        <v>243</v>
      </c>
      <c r="J55" s="29" t="s">
        <v>75</v>
      </c>
      <c r="K55" s="29" t="str">
        <f t="shared" si="4"/>
        <v>조치</v>
      </c>
      <c r="L55" s="297" t="s">
        <v>285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12" customHeight="1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11" t="s">
        <v>68</v>
      </c>
      <c r="I56" s="137" t="s">
        <v>215</v>
      </c>
      <c r="J56" s="29" t="s">
        <v>75</v>
      </c>
      <c r="K56" s="29" t="str">
        <f t="shared" si="4"/>
        <v>조치</v>
      </c>
      <c r="L56" s="297" t="s">
        <v>361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 ht="12" customHeight="1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11" t="s">
        <v>68</v>
      </c>
      <c r="I57" s="137" t="s">
        <v>208</v>
      </c>
      <c r="J57" s="29" t="s">
        <v>75</v>
      </c>
      <c r="K57" s="29" t="str">
        <f t="shared" si="4"/>
        <v>조치</v>
      </c>
      <c r="L57" s="297" t="s">
        <v>362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 ht="12" customHeight="1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138" t="s">
        <v>68</v>
      </c>
      <c r="I58" s="137" t="s">
        <v>216</v>
      </c>
      <c r="J58" s="29" t="s">
        <v>75</v>
      </c>
      <c r="K58" s="29" t="str">
        <f t="shared" si="4"/>
        <v>조치</v>
      </c>
      <c r="L58" s="297" t="s">
        <v>286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200" priority="16" operator="equal">
      <formula>"취약"</formula>
    </cfRule>
    <cfRule type="cellIs" priority="17" operator="equal">
      <formula>"양호"</formula>
    </cfRule>
  </conditionalFormatting>
  <conditionalFormatting sqref="H31:H33">
    <cfRule type="cellIs" dxfId="199" priority="14" operator="equal">
      <formula>"취약"</formula>
    </cfRule>
    <cfRule type="cellIs" priority="15" operator="equal">
      <formula>"양호"</formula>
    </cfRule>
  </conditionalFormatting>
  <conditionalFormatting sqref="H35">
    <cfRule type="cellIs" dxfId="198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197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196" priority="12" operator="equal">
      <formula>"취약"</formula>
    </cfRule>
    <cfRule type="cellIs" priority="13" operator="equal">
      <formula>"양호"</formula>
    </cfRule>
  </conditionalFormatting>
  <conditionalFormatting sqref="H55">
    <cfRule type="cellIs" priority="11" operator="equal">
      <formula>"양호"</formula>
    </cfRule>
    <cfRule type="cellIs" dxfId="195" priority="10" operator="equal">
      <formula>"취약"</formula>
    </cfRule>
  </conditionalFormatting>
  <conditionalFormatting sqref="H58">
    <cfRule type="cellIs" dxfId="194" priority="18" operator="equal">
      <formula>"취약"</formula>
    </cfRule>
    <cfRule type="cellIs" priority="19" operator="equal">
      <formula>"양호"</formula>
    </cfRule>
  </conditionalFormatting>
  <conditionalFormatting sqref="J21:J58">
    <cfRule type="cellIs" dxfId="193" priority="2" stopIfTrue="1" operator="equal">
      <formula>"R/A"</formula>
    </cfRule>
    <cfRule type="cellIs" dxfId="192" priority="3" stopIfTrue="1" operator="equal">
      <formula>"N/A"</formula>
    </cfRule>
    <cfRule type="cellIs" dxfId="191" priority="4" stopIfTrue="1" operator="equal">
      <formula>"N"</formula>
    </cfRule>
    <cfRule type="expression" dxfId="190" priority="5">
      <formula>OR(IF(J21=0,1,0),IF(J21="-",1,0))</formula>
    </cfRule>
    <cfRule type="cellIs" dxfId="189" priority="1" stopIfTrue="1" operator="equal">
      <formula>"인터뷰"</formula>
    </cfRule>
  </conditionalFormatting>
  <conditionalFormatting sqref="K21:K58">
    <cfRule type="cellIs" dxfId="188" priority="123" operator="equal">
      <formula>"위험수용"</formula>
    </cfRule>
    <cfRule type="cellIs" dxfId="187" priority="124" operator="equal">
      <formula>"미조치"</formula>
    </cfRule>
    <cfRule type="cellIs" dxfId="186" priority="125" operator="equal">
      <formula>"조치"</formula>
    </cfRule>
    <cfRule type="cellIs" dxfId="185" priority="128" stopIfTrue="1" operator="equal">
      <formula>"인터뷰"</formula>
    </cfRule>
    <cfRule type="cellIs" dxfId="184" priority="129" stopIfTrue="1" operator="equal">
      <formula>"R/A"</formula>
    </cfRule>
    <cfRule type="cellIs" dxfId="183" priority="130" stopIfTrue="1" operator="equal">
      <formula>"N/A"</formula>
    </cfRule>
    <cfRule type="cellIs" dxfId="182" priority="131" stopIfTrue="1" operator="equal">
      <formula>"N"</formula>
    </cfRule>
    <cfRule type="expression" dxfId="181" priority="132">
      <formula>OR(IF(K21=0,1,0),IF(K21="-",1,0))</formula>
    </cfRule>
  </conditionalFormatting>
  <conditionalFormatting sqref="L21:L58">
    <cfRule type="cellIs" dxfId="180" priority="23" stopIfTrue="1" operator="equal">
      <formula>"N"</formula>
    </cfRule>
    <cfRule type="expression" dxfId="179" priority="24">
      <formula>OR(IF(L21=0,1,0),IF(L21="-",1,0))</formula>
    </cfRule>
    <cfRule type="cellIs" dxfId="178" priority="20" stopIfTrue="1" operator="equal">
      <formula>"인터뷰"</formula>
    </cfRule>
    <cfRule type="cellIs" dxfId="177" priority="21" stopIfTrue="1" operator="equal">
      <formula>"R/A"</formula>
    </cfRule>
    <cfRule type="cellIs" dxfId="176" priority="22" stopIfTrue="1" operator="equal">
      <formula>"N/A"</formula>
    </cfRule>
  </conditionalFormatting>
  <conditionalFormatting sqref="Y21:Y58">
    <cfRule type="cellIs" dxfId="175" priority="297" operator="equal">
      <formula>"신규 취약점(즉시조치)"</formula>
    </cfRule>
    <cfRule type="cellIs" dxfId="174" priority="298" operator="equal">
      <formula>"기존 취약점(즉시조치)"</formula>
    </cfRule>
    <cfRule type="cellIs" dxfId="173" priority="299" operator="equal">
      <formula>"기존 취약점"</formula>
    </cfRule>
    <cfRule type="cellIs" dxfId="172" priority="300" operator="equal">
      <formula>"신규 취약점"</formula>
    </cfRule>
    <cfRule type="cellIs" dxfId="171" priority="301" operator="equal">
      <formula>"확인필요"</formula>
    </cfRule>
    <cfRule type="cellIs" dxfId="170" priority="302" operator="equal">
      <formula>"확인필요"</formula>
    </cfRule>
    <cfRule type="cellIs" dxfId="169" priority="303" operator="equal">
      <formula>"신규취약점"</formula>
    </cfRule>
    <cfRule type="cellIs" dxfId="168" priority="30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headquarter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2" t="str">
        <f ca="1">REPLACE(CELL("filename",A1),1,FIND("]",CELL("filename",A1)),"")</f>
        <v>headquarter</v>
      </c>
      <c r="C4" s="253"/>
      <c r="D4" s="254" t="s">
        <v>155</v>
      </c>
      <c r="E4" s="255"/>
      <c r="F4" s="256" t="str">
        <f ca="1">IFERROR(VLOOKUP($B$4,자산목록!$B$1:$Q$834,8,FALSE),"N/A")</f>
        <v>라우터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>
      <c r="A5" s="115" t="s">
        <v>20</v>
      </c>
      <c r="B5" s="260" t="str">
        <f ca="1">IFERROR(VLOOKUP($B$4,자산목록!$B$1:$Q$834,6,FALSE)&amp;" "&amp;VLOOKUP($B$4,자산목록!$B$1:$Q$834,7,FALSE),"N/A")</f>
        <v>Cisco 2621 Version 12.2(28)</v>
      </c>
      <c r="C5" s="260"/>
      <c r="D5" s="261" t="s">
        <v>32</v>
      </c>
      <c r="E5" s="261"/>
      <c r="F5" s="260" t="str">
        <f ca="1">IFERROR(VLOOKUP($B$4,자산목록!$B$1:$Q$834,2,FALSE),"N/A")</f>
        <v>100.100.100.1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>
      <c r="A6" s="116" t="s">
        <v>62</v>
      </c>
      <c r="B6" s="263" t="str">
        <f ca="1">IFERROR(VLOOKUP($B$4,자산목록!$B$1:$Q$834,11,FALSE),"N/A")</f>
        <v>홍길동</v>
      </c>
      <c r="C6" s="263"/>
      <c r="D6" s="264" t="s">
        <v>160</v>
      </c>
      <c r="E6" s="264"/>
      <c r="F6" s="263" t="str">
        <f ca="1">IFERROR(VLOOKUP($B$4,자산목록!$B$1:$Q$834,9,FALSE),"N/A")</f>
        <v>본사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0"/>
      <c r="J12" s="54">
        <f ca="1">COUNTIFS($A$21:INDIRECT(ADDRESS(MATCH("",$A:$A,-1),1,1,1)),$A12,$K$21:INDIRECT(ADDRESS(MATCH("",$B:$B,-1),11,1,1)),"조치")</f>
        <v>4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11</v>
      </c>
      <c r="U12" s="37">
        <f ca="1">SUMIF($A$21:INDIRECT(ADDRESS(MATCH("",$A:$A,-1),2,1,1)),$A12&amp;"*",$U$21:INDIRECT(ADDRESS(MATCH("",$A:$A,-1),21,1,1)))</f>
        <v>11</v>
      </c>
      <c r="V12" s="282">
        <f>B12</f>
        <v>0</v>
      </c>
      <c r="W12" s="279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0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0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0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0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5</v>
      </c>
      <c r="G16" s="29">
        <f ca="1">COUNTIFS($A$21:INDIRECT(ADDRESS(MATCH("",$A:$A,-1),1,1,1)),$A16&amp;"*",$H$21:INDIRECT(ADDRESS(MATCH("",$A:$A,-1),8,1,1)),"N/A")</f>
        <v>13</v>
      </c>
      <c r="H16" s="59">
        <f t="shared" ca="1" si="1"/>
        <v>0.375</v>
      </c>
      <c r="I16" s="280"/>
      <c r="J16" s="54">
        <f ca="1">COUNTIFS($A$21:INDIRECT(ADDRESS(MATCH("",$A:$A,-1),1,1,1)),$A16,$K$21:INDIRECT(ADDRESS(MATCH("",$B:$B,-1),11,1,1)),"조치")</f>
        <v>4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14</v>
      </c>
      <c r="N16" s="50">
        <f ca="1">IFERROR($J16/($F16-(M16-G16)),"N/A")</f>
        <v>1</v>
      </c>
      <c r="O16" s="124">
        <f ca="1">IF(OR($G16=$D16,$D16=$M16),"N/A",($T16/$U16))</f>
        <v>0.40425531914893614</v>
      </c>
      <c r="R16" s="37">
        <f ca="1">SUMIF($A$21:INDIRECT(ADDRESS(MATCH("",$A:$A,-1),1,1,1)),$A16,$R$21:INDIRECT(ADDRESS(MATCH("",$A:$A,-1),18,1,1)))</f>
        <v>24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19</v>
      </c>
      <c r="U16" s="37">
        <f ca="1">SUMIF($A$21:INDIRECT(ADDRESS(MATCH("",$A:$A,-1),2,1,1)),$A16&amp;"*",$U$21:INDIRECT(ADDRESS(MATCH("",$A:$A,-1),21,1,1)))</f>
        <v>47</v>
      </c>
      <c r="V16" s="283">
        <f>B16</f>
        <v>0</v>
      </c>
      <c r="W16" s="284"/>
      <c r="X16" s="61">
        <f t="shared" ca="1" si="0"/>
        <v>0.375</v>
      </c>
      <c r="Y16" s="61">
        <f t="shared" ca="1" si="2"/>
        <v>0.40425531914893614</v>
      </c>
    </row>
    <row r="17" spans="1:25" ht="20.100000000000001" customHeigh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4</v>
      </c>
      <c r="F17" s="125">
        <f ca="1">SUM(F12:F16)</f>
        <v>18</v>
      </c>
      <c r="G17" s="126">
        <f ca="1">SUM(G12:G16)</f>
        <v>13</v>
      </c>
      <c r="H17" s="127">
        <f t="shared" ca="1" si="1"/>
        <v>0.16129032258064516</v>
      </c>
      <c r="I17" s="281"/>
      <c r="J17" s="136">
        <f ca="1">SUM(J12:J16)</f>
        <v>23</v>
      </c>
      <c r="K17" s="125">
        <f ca="1">SUM(K12:K16)</f>
        <v>0</v>
      </c>
      <c r="L17" s="125">
        <f ca="1">SUM(L12:L16)</f>
        <v>0</v>
      </c>
      <c r="M17" s="125">
        <f ca="1">SUM(M12:M16)</f>
        <v>3</v>
      </c>
      <c r="N17" s="128">
        <f ca="1">IF($O17="N/A","N/A",IFERROR($J17/($F17-(M17-G17)),"N/A"))</f>
        <v>1</v>
      </c>
      <c r="O17" s="129">
        <f ca="1">IF($G17=$D17,"N/A",IFERROR((T17/U17),"N/A"))</f>
        <v>1</v>
      </c>
      <c r="R17" s="39">
        <f ca="1">SUM(R12:R16)</f>
        <v>62</v>
      </c>
      <c r="S17" s="40">
        <f ca="1">SUM(S12:S16)</f>
        <v>10</v>
      </c>
      <c r="T17" s="40">
        <f ca="1">SUM(T12:T16)</f>
        <v>80</v>
      </c>
      <c r="U17" s="39">
        <f ca="1">SUM(U12:U16)</f>
        <v>80</v>
      </c>
      <c r="V17" s="288" t="s">
        <v>30</v>
      </c>
      <c r="W17" s="289"/>
      <c r="X17" s="60">
        <f t="shared" ca="1" si="0"/>
        <v>0.16129032258064516</v>
      </c>
      <c r="Y17" s="60">
        <f ca="1">O17</f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138" t="s">
        <v>68</v>
      </c>
      <c r="I21" s="137" t="s">
        <v>220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297" t="s">
        <v>194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138" t="s">
        <v>68</v>
      </c>
      <c r="I22" s="137" t="s">
        <v>219</v>
      </c>
      <c r="J22" s="29" t="s">
        <v>75</v>
      </c>
      <c r="K22" s="29" t="str">
        <f t="shared" ref="J22:K50" si="3">IF($J29="","",IF(OR($H22="Y",$H22="N/A",$H22="Y(즉시조치)"),$H22,IF(AND($H22="N",$J22="Y"),"조치",IF(AND($H22="N",$J22="N/A"),"N/A",IF(IFERROR(FIND("위험수용",$L22),0),"위험수용","미조치")))))</f>
        <v>조치</v>
      </c>
      <c r="L22" s="297"/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138" t="s">
        <v>68</v>
      </c>
      <c r="I23" s="137" t="s">
        <v>221</v>
      </c>
      <c r="J23" s="29" t="s">
        <v>75</v>
      </c>
      <c r="K23" s="29" t="str">
        <f t="shared" si="3"/>
        <v>조치</v>
      </c>
      <c r="L23" s="297"/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138" t="s">
        <v>68</v>
      </c>
      <c r="I24" s="159" t="s">
        <v>222</v>
      </c>
      <c r="J24" s="29" t="s">
        <v>75</v>
      </c>
      <c r="K24" s="29" t="str">
        <f t="shared" si="3"/>
        <v>조치</v>
      </c>
      <c r="L24" s="297"/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138" t="s">
        <v>68</v>
      </c>
      <c r="I25" s="137" t="s">
        <v>223</v>
      </c>
      <c r="J25" s="29" t="str">
        <f t="shared" ca="1" si="3"/>
        <v>N/A</v>
      </c>
      <c r="K25" s="29" t="str">
        <f t="shared" ca="1" si="3"/>
        <v>N/A</v>
      </c>
      <c r="L25" s="297"/>
      <c r="M25" s="298"/>
      <c r="N25" s="298"/>
      <c r="O25" s="298"/>
      <c r="P25" s="299"/>
      <c r="Q25" s="21" t="str">
        <f ca="1"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 ca="1">IFERROR(VLOOKUP($F25,'parm(hidden)'!$B$8:$C$10,2,FALSE)*VLOOKUP($K25,$V$22:$W$27,2,FALSE),0)</f>
        <v>0</v>
      </c>
      <c r="U25" s="11">
        <f ca="1">IF($J25="N/A",0,VLOOKUP($F25,'parm(hidden)'!$B$8:$C$10,2,FALSE))*1</f>
        <v>0</v>
      </c>
      <c r="V25" s="54" t="s">
        <v>58</v>
      </c>
      <c r="W25" s="29">
        <v>0</v>
      </c>
      <c r="Y25" s="10"/>
    </row>
    <row r="26" spans="1:25" ht="36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138" t="s">
        <v>68</v>
      </c>
      <c r="I26" s="137" t="s">
        <v>224</v>
      </c>
      <c r="J26" s="29" t="s">
        <v>75</v>
      </c>
      <c r="K26" s="29" t="str">
        <f t="shared" si="3"/>
        <v>조치</v>
      </c>
      <c r="L26" s="297"/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138" t="s">
        <v>68</v>
      </c>
      <c r="I27" s="137" t="s">
        <v>225</v>
      </c>
      <c r="J27" s="29" t="s">
        <v>75</v>
      </c>
      <c r="K27" s="29" t="str">
        <f t="shared" si="3"/>
        <v>조치</v>
      </c>
      <c r="L27" s="297"/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138" t="s">
        <v>68</v>
      </c>
      <c r="I28" s="137" t="s">
        <v>226</v>
      </c>
      <c r="J28" s="29" t="s">
        <v>75</v>
      </c>
      <c r="K28" s="29" t="str">
        <f t="shared" si="3"/>
        <v>조치</v>
      </c>
      <c r="L28" s="297"/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150" t="s">
        <v>68</v>
      </c>
      <c r="I29" s="137" t="s">
        <v>227</v>
      </c>
      <c r="J29" s="29" t="s">
        <v>75</v>
      </c>
      <c r="K29" s="29" t="str">
        <f t="shared" si="3"/>
        <v>조치</v>
      </c>
      <c r="L29" s="297"/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11" t="s">
        <v>217</v>
      </c>
      <c r="I30" s="137" t="s">
        <v>228</v>
      </c>
      <c r="J30" s="29" t="s">
        <v>75</v>
      </c>
      <c r="K30" s="29" t="str">
        <f t="shared" si="3"/>
        <v>미조치</v>
      </c>
      <c r="L30" s="297"/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/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138" t="s">
        <v>68</v>
      </c>
      <c r="I31" s="137" t="s">
        <v>229</v>
      </c>
      <c r="J31" s="29" t="s">
        <v>75</v>
      </c>
      <c r="K31" s="29" t="str">
        <f t="shared" si="3"/>
        <v>조치</v>
      </c>
      <c r="L31" s="297"/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138" t="s">
        <v>68</v>
      </c>
      <c r="I32" s="137" t="s">
        <v>230</v>
      </c>
      <c r="J32" s="29" t="s">
        <v>75</v>
      </c>
      <c r="K32" s="29" t="str">
        <f t="shared" si="3"/>
        <v>조치</v>
      </c>
      <c r="L32" s="297"/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158" t="s">
        <v>217</v>
      </c>
      <c r="I33" s="137" t="s">
        <v>231</v>
      </c>
      <c r="J33" s="29" t="s">
        <v>75</v>
      </c>
      <c r="K33" s="29" t="str">
        <f t="shared" si="3"/>
        <v>미조치</v>
      </c>
      <c r="L33" s="297"/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/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138" t="s">
        <v>68</v>
      </c>
      <c r="I34" s="137" t="s">
        <v>232</v>
      </c>
      <c r="J34" s="29" t="s">
        <v>75</v>
      </c>
      <c r="K34" s="29" t="str">
        <f t="shared" si="3"/>
        <v>조치</v>
      </c>
      <c r="L34" s="297"/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138" t="s">
        <v>68</v>
      </c>
      <c r="I35" s="137" t="s">
        <v>238</v>
      </c>
      <c r="J35" s="29" t="s">
        <v>75</v>
      </c>
      <c r="K35" s="29" t="str">
        <f t="shared" si="3"/>
        <v>조치</v>
      </c>
      <c r="L35" s="297"/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11" t="s">
        <v>75</v>
      </c>
      <c r="I36" s="137" t="s">
        <v>234</v>
      </c>
      <c r="J36" s="29" t="s">
        <v>75</v>
      </c>
      <c r="K36" s="29" t="str">
        <f t="shared" si="3"/>
        <v>Y</v>
      </c>
      <c r="L36" s="297"/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11" t="s">
        <v>75</v>
      </c>
      <c r="I37" s="137" t="s">
        <v>233</v>
      </c>
      <c r="J37" s="29" t="s">
        <v>75</v>
      </c>
      <c r="K37" s="29" t="str">
        <f t="shared" si="3"/>
        <v>Y</v>
      </c>
      <c r="L37" s="297"/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11" t="s">
        <v>75</v>
      </c>
      <c r="I38" s="137" t="s">
        <v>235</v>
      </c>
      <c r="J38" s="29" t="s">
        <v>75</v>
      </c>
      <c r="K38" s="29" t="str">
        <f t="shared" si="3"/>
        <v>Y</v>
      </c>
      <c r="L38" s="297"/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11" t="s">
        <v>75</v>
      </c>
      <c r="I39" s="137" t="s">
        <v>236</v>
      </c>
      <c r="J39" s="29" t="s">
        <v>75</v>
      </c>
      <c r="K39" s="29" t="str">
        <f t="shared" si="3"/>
        <v>Y</v>
      </c>
      <c r="L39" s="297"/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11" t="s">
        <v>58</v>
      </c>
      <c r="I40" s="137" t="s">
        <v>237</v>
      </c>
      <c r="J40" s="29" t="s">
        <v>75</v>
      </c>
      <c r="K40" s="29" t="str">
        <f t="shared" si="3"/>
        <v>N/A</v>
      </c>
      <c r="L40" s="297"/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0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0</v>
      </c>
      <c r="U40" s="11">
        <f>IF($J40="N/A",0,VLOOKUP($F40,'parm(hidden)'!$B$8:$C$10,2,FALSE))*1</f>
        <v>3</v>
      </c>
      <c r="Y40" s="10"/>
    </row>
    <row r="41" spans="1:25" ht="36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138" t="s">
        <v>68</v>
      </c>
      <c r="I41" s="137" t="s">
        <v>239</v>
      </c>
      <c r="J41" s="29" t="s">
        <v>58</v>
      </c>
      <c r="K41" s="29" t="str">
        <f t="shared" si="3"/>
        <v>N/A</v>
      </c>
      <c r="L41" s="297"/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/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Y41" s="10"/>
    </row>
    <row r="42" spans="1:25" ht="36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138" t="s">
        <v>68</v>
      </c>
      <c r="I42" s="137" t="s">
        <v>240</v>
      </c>
      <c r="J42" s="29" t="s">
        <v>75</v>
      </c>
      <c r="K42" s="29" t="str">
        <f t="shared" si="3"/>
        <v>조치</v>
      </c>
      <c r="L42" s="303"/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/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138" t="s">
        <v>68</v>
      </c>
      <c r="I43" s="137" t="s">
        <v>241</v>
      </c>
      <c r="J43" s="29" t="s">
        <v>75</v>
      </c>
      <c r="K43" s="29" t="str">
        <f t="shared" si="3"/>
        <v>조치</v>
      </c>
      <c r="L43" s="297"/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158" t="s">
        <v>58</v>
      </c>
      <c r="I44" s="137" t="s">
        <v>209</v>
      </c>
      <c r="J44" s="29" t="s">
        <v>75</v>
      </c>
      <c r="K44" s="29" t="str">
        <f t="shared" si="3"/>
        <v>N/A</v>
      </c>
      <c r="L44" s="297"/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0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11" t="s">
        <v>58</v>
      </c>
      <c r="I45" s="137" t="s">
        <v>208</v>
      </c>
      <c r="J45" s="29" t="s">
        <v>75</v>
      </c>
      <c r="K45" s="29" t="str">
        <f t="shared" si="3"/>
        <v>N/A</v>
      </c>
      <c r="L45" s="297"/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0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0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11" t="s">
        <v>58</v>
      </c>
      <c r="I46" s="137" t="s">
        <v>210</v>
      </c>
      <c r="J46" s="29" t="s">
        <v>75</v>
      </c>
      <c r="K46" s="29" t="str">
        <f t="shared" si="3"/>
        <v>N/A</v>
      </c>
      <c r="L46" s="297"/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0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11" t="s">
        <v>58</v>
      </c>
      <c r="I47" s="137" t="s">
        <v>211</v>
      </c>
      <c r="J47" s="29" t="s">
        <v>75</v>
      </c>
      <c r="K47" s="29" t="str">
        <f t="shared" si="3"/>
        <v>N/A</v>
      </c>
      <c r="L47" s="297"/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0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11" t="s">
        <v>58</v>
      </c>
      <c r="I48" s="137" t="s">
        <v>212</v>
      </c>
      <c r="J48" s="29" t="s">
        <v>75</v>
      </c>
      <c r="K48" s="29" t="str">
        <f t="shared" si="3"/>
        <v>N/A</v>
      </c>
      <c r="L48" s="297"/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0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0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138" t="s">
        <v>68</v>
      </c>
      <c r="I49" s="137" t="s">
        <v>245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297"/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158" t="s">
        <v>58</v>
      </c>
      <c r="I50" s="137" t="s">
        <v>213</v>
      </c>
      <c r="J50" s="29" t="s">
        <v>75</v>
      </c>
      <c r="K50" s="29" t="str">
        <f t="shared" si="3"/>
        <v>N/A</v>
      </c>
      <c r="L50" s="297"/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0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158" t="s">
        <v>58</v>
      </c>
      <c r="I51" s="137" t="s">
        <v>214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297"/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158" t="s">
        <v>58</v>
      </c>
      <c r="I52" s="137" t="s">
        <v>215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297"/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158" t="s">
        <v>58</v>
      </c>
      <c r="I53" s="137" t="s">
        <v>215</v>
      </c>
      <c r="J53" s="29" t="s">
        <v>75</v>
      </c>
      <c r="K53" s="29" t="str">
        <f t="shared" si="4"/>
        <v>N/A</v>
      </c>
      <c r="L53" s="297"/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11" t="s">
        <v>58</v>
      </c>
      <c r="I54" s="137" t="s">
        <v>215</v>
      </c>
      <c r="J54" s="29" t="s">
        <v>75</v>
      </c>
      <c r="K54" s="29" t="str">
        <f t="shared" si="4"/>
        <v>N/A</v>
      </c>
      <c r="L54" s="297"/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138" t="s">
        <v>68</v>
      </c>
      <c r="I55" s="137" t="s">
        <v>243</v>
      </c>
      <c r="J55" s="29" t="s">
        <v>75</v>
      </c>
      <c r="K55" s="29" t="str">
        <f t="shared" si="4"/>
        <v>조치</v>
      </c>
      <c r="L55" s="297"/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11" t="s">
        <v>58</v>
      </c>
      <c r="I56" s="137" t="s">
        <v>215</v>
      </c>
      <c r="J56" s="29" t="s">
        <v>75</v>
      </c>
      <c r="K56" s="29" t="str">
        <f t="shared" si="4"/>
        <v>N/A</v>
      </c>
      <c r="L56" s="297"/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0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0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11" t="s">
        <v>58</v>
      </c>
      <c r="I57" s="137" t="s">
        <v>208</v>
      </c>
      <c r="J57" s="29" t="s">
        <v>75</v>
      </c>
      <c r="K57" s="29" t="str">
        <f t="shared" si="4"/>
        <v>N/A</v>
      </c>
      <c r="L57" s="297"/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0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0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158" t="s">
        <v>217</v>
      </c>
      <c r="I58" s="137" t="s">
        <v>218</v>
      </c>
      <c r="J58" s="29" t="s">
        <v>58</v>
      </c>
      <c r="K58" s="29" t="str">
        <f t="shared" si="4"/>
        <v>미조치</v>
      </c>
      <c r="L58" s="297"/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167" priority="17" operator="equal">
      <formula>"취약"</formula>
    </cfRule>
    <cfRule type="cellIs" priority="18" operator="equal">
      <formula>"양호"</formula>
    </cfRule>
  </conditionalFormatting>
  <conditionalFormatting sqref="H31:H35">
    <cfRule type="cellIs" dxfId="166" priority="1" operator="equal">
      <formula>"취약"</formula>
    </cfRule>
    <cfRule type="cellIs" priority="2" operator="equal">
      <formula>"양호"</formula>
    </cfRule>
  </conditionalFormatting>
  <conditionalFormatting sqref="H41:H44">
    <cfRule type="cellIs" dxfId="165" priority="3" operator="equal">
      <formula>"취약"</formula>
    </cfRule>
    <cfRule type="cellIs" priority="4" operator="equal">
      <formula>"양호"</formula>
    </cfRule>
  </conditionalFormatting>
  <conditionalFormatting sqref="H49:H53">
    <cfRule type="cellIs" dxfId="164" priority="9" operator="equal">
      <formula>"취약"</formula>
    </cfRule>
    <cfRule type="cellIs" priority="10" operator="equal">
      <formula>"양호"</formula>
    </cfRule>
  </conditionalFormatting>
  <conditionalFormatting sqref="H55">
    <cfRule type="cellIs" dxfId="163" priority="5" operator="equal">
      <formula>"취약"</formula>
    </cfRule>
    <cfRule type="cellIs" priority="6" operator="equal">
      <formula>"양호"</formula>
    </cfRule>
  </conditionalFormatting>
  <conditionalFormatting sqref="H58">
    <cfRule type="cellIs" dxfId="162" priority="23" operator="equal">
      <formula>"취약"</formula>
    </cfRule>
    <cfRule type="cellIs" priority="24" operator="equal">
      <formula>"양호"</formula>
    </cfRule>
  </conditionalFormatting>
  <conditionalFormatting sqref="J21:L58">
    <cfRule type="cellIs" dxfId="161" priority="56" stopIfTrue="1" operator="equal">
      <formula>"인터뷰"</formula>
    </cfRule>
    <cfRule type="cellIs" dxfId="160" priority="57" stopIfTrue="1" operator="equal">
      <formula>"R/A"</formula>
    </cfRule>
    <cfRule type="cellIs" dxfId="159" priority="58" stopIfTrue="1" operator="equal">
      <formula>"N/A"</formula>
    </cfRule>
    <cfRule type="cellIs" dxfId="158" priority="59" stopIfTrue="1" operator="equal">
      <formula>"N"</formula>
    </cfRule>
    <cfRule type="expression" dxfId="157" priority="60">
      <formula>OR(IF(J21=0,1,0),IF(J21="-",1,0))</formula>
    </cfRule>
  </conditionalFormatting>
  <conditionalFormatting sqref="K21:K58 J25">
    <cfRule type="cellIs" dxfId="156" priority="51" operator="equal">
      <formula>"위험수용"</formula>
    </cfRule>
    <cfRule type="cellIs" dxfId="155" priority="52" operator="equal">
      <formula>"미조치"</formula>
    </cfRule>
    <cfRule type="cellIs" dxfId="154" priority="53" operator="equal">
      <formula>"조치"</formula>
    </cfRule>
  </conditionalFormatting>
  <conditionalFormatting sqref="Y21:Y58">
    <cfRule type="cellIs" dxfId="153" priority="235" operator="equal">
      <formula>"신규 취약점(즉시조치)"</formula>
    </cfRule>
    <cfRule type="cellIs" dxfId="152" priority="236" operator="equal">
      <formula>"기존 취약점(즉시조치)"</formula>
    </cfRule>
    <cfRule type="cellIs" dxfId="151" priority="237" operator="equal">
      <formula>"기존 취약점"</formula>
    </cfRule>
    <cfRule type="cellIs" dxfId="150" priority="238" operator="equal">
      <formula>"신규 취약점"</formula>
    </cfRule>
    <cfRule type="cellIs" dxfId="149" priority="239" operator="equal">
      <formula>"확인필요"</formula>
    </cfRule>
    <cfRule type="cellIs" dxfId="148" priority="240" operator="equal">
      <formula>"확인필요"</formula>
    </cfRule>
    <cfRule type="cellIs" dxfId="147" priority="241" operator="equal">
      <formula>"신규취약점"</formula>
    </cfRule>
    <cfRule type="cellIs" dxfId="146" priority="242" operator="equal">
      <formula>"조치완료"</formula>
    </cfRule>
  </conditionalFormatting>
  <dataValidations count="4">
    <dataValidation allowBlank="1" showInputMessage="1" showErrorMessage="1" errorTitle="오류!" error="Y, N, N/A 중에 선택" sqref="L23:L58 L21 I21:I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6:J58 J21:J24">
      <formula1>"Y,N,N/A,인터뷰,Y(즉시조치)"</formula1>
    </dataValidation>
    <dataValidation errorStyle="warning" allowBlank="1" showInputMessage="1" showErrorMessage="1" sqref="K21:K58 J25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branch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52" t="str">
        <f ca="1">REPLACE(CELL("filename",A1),1,FIND("]",CELL("filename",A1)),"")</f>
        <v>branch</v>
      </c>
      <c r="C4" s="253"/>
      <c r="D4" s="254" t="s">
        <v>155</v>
      </c>
      <c r="E4" s="255"/>
      <c r="F4" s="256" t="str">
        <f ca="1">IFERROR(VLOOKUP($B$4,자산목록!$B$1:$Q$834,8,FALSE),"N/A")</f>
        <v>라우터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>
      <c r="A5" s="115" t="s">
        <v>20</v>
      </c>
      <c r="B5" s="260" t="str">
        <f ca="1">IFERROR(VLOOKUP($B$4,자산목록!$B$1:$Q$834,6,FALSE)&amp;" "&amp;VLOOKUP($B$4,자산목록!$B$1:$Q$834,7,FALSE),"N/A")</f>
        <v>Cisco 2621 Version 12.2(28)</v>
      </c>
      <c r="C5" s="260"/>
      <c r="D5" s="261" t="s">
        <v>32</v>
      </c>
      <c r="E5" s="261"/>
      <c r="F5" s="260" t="str">
        <f ca="1">IFERROR(VLOOKUP($B$4,자산목록!$B$1:$Q$834,2,FALSE),"N/A")</f>
        <v>100.100.100.17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>
      <c r="A6" s="116" t="s">
        <v>62</v>
      </c>
      <c r="B6" s="263" t="str">
        <f ca="1">IFERROR(VLOOKUP($B$4,자산목록!$B$1:$Q$834,11,FALSE),"N/A")</f>
        <v>김철수</v>
      </c>
      <c r="C6" s="263"/>
      <c r="D6" s="264" t="s">
        <v>160</v>
      </c>
      <c r="E6" s="264"/>
      <c r="F6" s="263" t="str">
        <f ca="1">IFERROR(VLOOKUP($B$4,자산목록!$B$1:$Q$834,9,FALSE),"N/A")</f>
        <v>지사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0</v>
      </c>
      <c r="F12" s="37">
        <f ca="1">COUNTIFS($A$21:INDIRECT(ADDRESS(MATCH("",$A:$A,-1),1,1,1)),$A12&amp;"*",$H$21:INDIRECT(ADDRESS(MATCH("",$A:$A,-1),8,1,1)),"N")</f>
        <v>5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0</v>
      </c>
      <c r="I12" s="280"/>
      <c r="J12" s="54">
        <f ca="1">COUNTIFS($A$21:INDIRECT(ADDRESS(MATCH("",$A:$A,-1),1,1,1)),$A12,$K$21:INDIRECT(ADDRESS(MATCH("",$B:$B,-1),11,1,1)),"조치")</f>
        <v>4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1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11</v>
      </c>
      <c r="U12" s="37">
        <f ca="1">SUMIF($A$21:INDIRECT(ADDRESS(MATCH("",$A:$A,-1),2,1,1)),$A12&amp;"*",$U$21:INDIRECT(ADDRESS(MATCH("",$A:$A,-1),21,1,1)))</f>
        <v>11</v>
      </c>
      <c r="V12" s="282">
        <f>B12</f>
        <v>0</v>
      </c>
      <c r="W12" s="279"/>
      <c r="X12" s="57">
        <f t="shared" ref="X12:X17" ca="1" si="0">H12</f>
        <v>0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5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</v>
      </c>
      <c r="I13" s="280"/>
      <c r="J13" s="54">
        <f ca="1">COUNTIFS($A$21:INDIRECT(ADDRESS(MATCH("",$A:$A,-1),1,1,1)),$A13,$K$21:INDIRECT(ADDRESS(MATCH("",$B:$B,-1),11,1,1)),"조치")</f>
        <v>5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>
        <f ca="1">IFERROR($J13/($F13-(M13-G13)),"N/A")</f>
        <v>1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0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0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7">
        <f ca="1">COUNTIFS($A$21:INDIRECT(ADDRESS(MATCH("",$A:$A,-1),1,1,1)),$A15&amp;"*",$H$21:INDIRECT(ADDRESS(MATCH("",$A:$A,-1),8,1,1)),"N")</f>
        <v>2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0.14285714285714285</v>
      </c>
      <c r="I15" s="280"/>
      <c r="J15" s="54">
        <f ca="1">COUNTIFS($A$21:INDIRECT(ADDRESS(MATCH("",$A:$A,-1),1,1,1)),$A15,$K$21:INDIRECT(ADDRESS(MATCH("",$B:$B,-1),11,1,1)),"조치")</f>
        <v>2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1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0.14285714285714285</v>
      </c>
      <c r="Y15" s="57">
        <f t="shared" ca="1" si="2"/>
        <v>0.7142857142857143</v>
      </c>
    </row>
    <row r="16" spans="1:25" ht="32.1" customHeigh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37">
        <f ca="1">COUNTIFS($A$21:INDIRECT(ADDRESS(MATCH("",$A:$A,-1),1,1,1)),$A16&amp;"*",$H$21:INDIRECT(ADDRESS(MATCH("",$A:$A,-1),8,1,1)),"N")</f>
        <v>5</v>
      </c>
      <c r="G16" s="29">
        <f ca="1">COUNTIFS($A$21:INDIRECT(ADDRESS(MATCH("",$A:$A,-1),1,1,1)),$A16&amp;"*",$H$21:INDIRECT(ADDRESS(MATCH("",$A:$A,-1),8,1,1)),"N/A")</f>
        <v>13</v>
      </c>
      <c r="H16" s="59">
        <f t="shared" ca="1" si="1"/>
        <v>0.375</v>
      </c>
      <c r="I16" s="280"/>
      <c r="J16" s="54">
        <f ca="1">COUNTIFS($A$21:INDIRECT(ADDRESS(MATCH("",$A:$A,-1),1,1,1)),$A16,$K$21:INDIRECT(ADDRESS(MATCH("",$B:$B,-1),11,1,1)),"조치")</f>
        <v>4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14</v>
      </c>
      <c r="N16" s="50">
        <f ca="1">IFERROR($J16/($F16-(M16-G16)),"N/A")</f>
        <v>1</v>
      </c>
      <c r="O16" s="124">
        <f ca="1">IF(OR($G16=$D16,$D16=$M16),"N/A",($T16/$U16))</f>
        <v>0.40425531914893614</v>
      </c>
      <c r="R16" s="37">
        <f ca="1">SUMIF($A$21:INDIRECT(ADDRESS(MATCH("",$A:$A,-1),1,1,1)),$A16,$R$21:INDIRECT(ADDRESS(MATCH("",$A:$A,-1),18,1,1)))</f>
        <v>24</v>
      </c>
      <c r="S16" s="37">
        <f ca="1">SUMIF($A$21:INDIRECT(ADDRESS(MATCH("",$A:$A,-1),1,1,1)),$A16,$S$21:INDIRECT(ADDRESS(MATCH("",$A:$A,-1),19,1,1)))</f>
        <v>9</v>
      </c>
      <c r="T16" s="37">
        <f ca="1">SUMIF($A$21:INDIRECT(ADDRESS(MATCH("",$A:$A,-1),1,1,1)),$A16,$T$21:INDIRECT(ADDRESS(MATCH("",$A:$A,-1),20,1,1)))</f>
        <v>19</v>
      </c>
      <c r="U16" s="37">
        <f ca="1">SUMIF($A$21:INDIRECT(ADDRESS(MATCH("",$A:$A,-1),2,1,1)),$A16&amp;"*",$U$21:INDIRECT(ADDRESS(MATCH("",$A:$A,-1),21,1,1)))</f>
        <v>47</v>
      </c>
      <c r="V16" s="283">
        <f>B16</f>
        <v>0</v>
      </c>
      <c r="W16" s="284"/>
      <c r="X16" s="61">
        <f t="shared" ca="1" si="0"/>
        <v>0.375</v>
      </c>
      <c r="Y16" s="61">
        <f t="shared" ca="1" si="2"/>
        <v>0.40425531914893614</v>
      </c>
    </row>
    <row r="17" spans="1:25" ht="20.100000000000001" customHeigh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4</v>
      </c>
      <c r="F17" s="125">
        <f ca="1">SUM(F12:F16)</f>
        <v>18</v>
      </c>
      <c r="G17" s="126">
        <f ca="1">SUM(G12:G16)</f>
        <v>13</v>
      </c>
      <c r="H17" s="127">
        <f t="shared" ca="1" si="1"/>
        <v>0.16129032258064516</v>
      </c>
      <c r="I17" s="281"/>
      <c r="J17" s="136">
        <f ca="1">SUM(J12:J16)</f>
        <v>23</v>
      </c>
      <c r="K17" s="125">
        <f ca="1">SUM(K12:K16)</f>
        <v>0</v>
      </c>
      <c r="L17" s="125">
        <f ca="1">SUM(L12:L16)</f>
        <v>0</v>
      </c>
      <c r="M17" s="125">
        <f ca="1">SUM(M12:M16)</f>
        <v>3</v>
      </c>
      <c r="N17" s="128">
        <f ca="1">IF($O17="N/A","N/A",IFERROR($J17/($F17-(M17-G17)),"N/A"))</f>
        <v>1</v>
      </c>
      <c r="O17" s="129">
        <f ca="1">IF($G17=$D17,"N/A",IFERROR((T17/U17),"N/A"))</f>
        <v>1</v>
      </c>
      <c r="R17" s="39">
        <f ca="1">SUM(R12:R16)</f>
        <v>62</v>
      </c>
      <c r="S17" s="40">
        <f ca="1">SUM(S12:S16)</f>
        <v>10</v>
      </c>
      <c r="T17" s="40">
        <f ca="1">SUM(T12:T16)</f>
        <v>80</v>
      </c>
      <c r="U17" s="39">
        <f ca="1">SUM(U12:U16)</f>
        <v>80</v>
      </c>
      <c r="V17" s="288" t="s">
        <v>30</v>
      </c>
      <c r="W17" s="289"/>
      <c r="X17" s="60">
        <f t="shared" ca="1" si="0"/>
        <v>0.16129032258064516</v>
      </c>
      <c r="Y17" s="60">
        <f ca="1">O17</f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138" t="s">
        <v>68</v>
      </c>
      <c r="I21" s="137" t="s">
        <v>220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조치</v>
      </c>
      <c r="L21" s="297" t="s">
        <v>4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36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138" t="s">
        <v>68</v>
      </c>
      <c r="I22" s="137" t="s">
        <v>219</v>
      </c>
      <c r="J22" s="29" t="s">
        <v>75</v>
      </c>
      <c r="K22" s="29" t="str">
        <f t="shared" ref="J22:K35" si="3">IF($J29="","",IF(OR($H22="Y",$H22="N/A",$H22="Y(즉시조치)"),$H22,IF(AND($H22="N",$J22="Y"),"조치",IF(AND($H22="N",$J22="N/A"),"N/A",IF(IFERROR(FIND("위험수용",$L22),0),"위험수용","미조치")))))</f>
        <v>조치</v>
      </c>
      <c r="L22" s="297"/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138" t="s">
        <v>68</v>
      </c>
      <c r="I23" s="137" t="s">
        <v>221</v>
      </c>
      <c r="J23" s="29" t="s">
        <v>75</v>
      </c>
      <c r="K23" s="29" t="str">
        <f t="shared" si="3"/>
        <v>조치</v>
      </c>
      <c r="L23" s="297"/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36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138" t="s">
        <v>68</v>
      </c>
      <c r="I24" s="159" t="s">
        <v>222</v>
      </c>
      <c r="J24" s="29" t="s">
        <v>75</v>
      </c>
      <c r="K24" s="29" t="str">
        <f t="shared" si="3"/>
        <v>조치</v>
      </c>
      <c r="L24" s="297"/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36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138" t="s">
        <v>68</v>
      </c>
      <c r="I25" s="137" t="s">
        <v>223</v>
      </c>
      <c r="J25" s="29" t="str">
        <f t="shared" ca="1" si="3"/>
        <v>N/A</v>
      </c>
      <c r="K25" s="29" t="str">
        <f t="shared" ca="1" si="3"/>
        <v>N/A</v>
      </c>
      <c r="L25" s="297"/>
      <c r="M25" s="298"/>
      <c r="N25" s="298"/>
      <c r="O25" s="298"/>
      <c r="P25" s="299"/>
      <c r="Q25" s="21" t="str">
        <f ca="1"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0</v>
      </c>
      <c r="T25" s="32">
        <f ca="1">IFERROR(VLOOKUP($F25,'parm(hidden)'!$B$8:$C$10,2,FALSE)*VLOOKUP($K25,$V$22:$W$27,2,FALSE),0)</f>
        <v>0</v>
      </c>
      <c r="U25" s="11">
        <f ca="1">IF($J25="N/A",0,VLOOKUP($F25,'parm(hidden)'!$B$8:$C$10,2,FALSE))*1</f>
        <v>0</v>
      </c>
      <c r="V25" s="54" t="s">
        <v>58</v>
      </c>
      <c r="W25" s="29">
        <v>0</v>
      </c>
      <c r="Y25" s="10"/>
    </row>
    <row r="26" spans="1:25" ht="36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138" t="s">
        <v>68</v>
      </c>
      <c r="I26" s="137" t="s">
        <v>224</v>
      </c>
      <c r="J26" s="29" t="s">
        <v>75</v>
      </c>
      <c r="K26" s="29" t="str">
        <f t="shared" si="3"/>
        <v>조치</v>
      </c>
      <c r="L26" s="297"/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 ht="36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138" t="s">
        <v>68</v>
      </c>
      <c r="I27" s="137" t="s">
        <v>225</v>
      </c>
      <c r="J27" s="29" t="s">
        <v>75</v>
      </c>
      <c r="K27" s="29" t="str">
        <f t="shared" si="3"/>
        <v>조치</v>
      </c>
      <c r="L27" s="297"/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0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 ht="36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138" t="s">
        <v>68</v>
      </c>
      <c r="I28" s="137" t="s">
        <v>226</v>
      </c>
      <c r="J28" s="29" t="s">
        <v>75</v>
      </c>
      <c r="K28" s="29" t="str">
        <f t="shared" si="3"/>
        <v>조치</v>
      </c>
      <c r="L28" s="297"/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150" t="s">
        <v>68</v>
      </c>
      <c r="I29" s="137" t="s">
        <v>227</v>
      </c>
      <c r="J29" s="29" t="s">
        <v>75</v>
      </c>
      <c r="K29" s="29" t="str">
        <f t="shared" si="3"/>
        <v>조치</v>
      </c>
      <c r="L29" s="297"/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0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 ht="36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11" t="s">
        <v>217</v>
      </c>
      <c r="I30" s="137" t="s">
        <v>228</v>
      </c>
      <c r="J30" s="29" t="s">
        <v>75</v>
      </c>
      <c r="K30" s="29" t="str">
        <f t="shared" si="3"/>
        <v>미조치</v>
      </c>
      <c r="L30" s="297"/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/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138" t="s">
        <v>68</v>
      </c>
      <c r="I31" s="137" t="s">
        <v>229</v>
      </c>
      <c r="J31" s="29" t="s">
        <v>75</v>
      </c>
      <c r="K31" s="29" t="str">
        <f t="shared" si="3"/>
        <v>조치</v>
      </c>
      <c r="L31" s="297"/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 ht="36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138" t="s">
        <v>68</v>
      </c>
      <c r="I32" s="137" t="s">
        <v>230</v>
      </c>
      <c r="J32" s="29" t="s">
        <v>75</v>
      </c>
      <c r="K32" s="29" t="str">
        <f t="shared" si="3"/>
        <v>조치</v>
      </c>
      <c r="L32" s="297"/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158" t="s">
        <v>217</v>
      </c>
      <c r="I33" s="137" t="s">
        <v>231</v>
      </c>
      <c r="J33" s="29" t="s">
        <v>75</v>
      </c>
      <c r="K33" s="29" t="str">
        <f t="shared" si="3"/>
        <v>미조치</v>
      </c>
      <c r="L33" s="297"/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/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138" t="s">
        <v>68</v>
      </c>
      <c r="I34" s="137" t="s">
        <v>232</v>
      </c>
      <c r="J34" s="29" t="s">
        <v>75</v>
      </c>
      <c r="K34" s="29" t="str">
        <f t="shared" si="3"/>
        <v>조치</v>
      </c>
      <c r="L34" s="297"/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40.5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138" t="s">
        <v>68</v>
      </c>
      <c r="I35" s="137" t="s">
        <v>238</v>
      </c>
      <c r="J35" s="29" t="s">
        <v>75</v>
      </c>
      <c r="K35" s="29" t="str">
        <f t="shared" si="3"/>
        <v>조치</v>
      </c>
      <c r="L35" s="297"/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11" t="s">
        <v>75</v>
      </c>
      <c r="I36" s="137" t="s">
        <v>234</v>
      </c>
      <c r="J36" s="29" t="s">
        <v>75</v>
      </c>
      <c r="K36" s="29" t="str">
        <f t="shared" ref="K36:K50" si="4">IF($J43="","",IF(OR($H36="Y",$H36="N/A",$H36="Y(즉시조치)"),$H36,IF(AND($H36="N",$J36="Y"),"조치",IF(AND($H36="N",$J36="N/A"),"N/A",IF(IFERROR(FIND("위험수용",$L36),0),"위험수용","미조치")))))</f>
        <v>Y</v>
      </c>
      <c r="L36" s="297"/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11" t="s">
        <v>75</v>
      </c>
      <c r="I37" s="137" t="s">
        <v>233</v>
      </c>
      <c r="J37" s="29" t="s">
        <v>75</v>
      </c>
      <c r="K37" s="29" t="str">
        <f t="shared" si="4"/>
        <v>Y</v>
      </c>
      <c r="L37" s="297"/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11" t="s">
        <v>75</v>
      </c>
      <c r="I38" s="137" t="s">
        <v>235</v>
      </c>
      <c r="J38" s="29" t="s">
        <v>75</v>
      </c>
      <c r="K38" s="29" t="str">
        <f t="shared" si="4"/>
        <v>Y</v>
      </c>
      <c r="L38" s="297"/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11" t="s">
        <v>75</v>
      </c>
      <c r="I39" s="137" t="s">
        <v>236</v>
      </c>
      <c r="J39" s="29" t="s">
        <v>75</v>
      </c>
      <c r="K39" s="29" t="str">
        <f t="shared" si="4"/>
        <v>Y</v>
      </c>
      <c r="L39" s="297"/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11" t="s">
        <v>58</v>
      </c>
      <c r="I40" s="137" t="s">
        <v>237</v>
      </c>
      <c r="J40" s="29" t="s">
        <v>75</v>
      </c>
      <c r="K40" s="29" t="str">
        <f t="shared" si="4"/>
        <v>N/A</v>
      </c>
      <c r="L40" s="297"/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0</v>
      </c>
      <c r="S40" s="32">
        <f>IFERROR(VLOOKUP($F40,'parm(hidden)'!$B$8:$C$10,2,FALSE)*VLOOKUP($H40,'parm(hidden)'!$B$15:$C$19,2,FALSE),0)</f>
        <v>0</v>
      </c>
      <c r="T40" s="32">
        <f>IFERROR(VLOOKUP($F40,'parm(hidden)'!$B$8:$C$10,2,FALSE)*VLOOKUP($K40,$V$22:$W$27,2,FALSE),0)</f>
        <v>0</v>
      </c>
      <c r="U40" s="11">
        <f>IF($J40="N/A",0,VLOOKUP($F40,'parm(hidden)'!$B$8:$C$10,2,FALSE))*1</f>
        <v>3</v>
      </c>
      <c r="Y40" s="10"/>
    </row>
    <row r="41" spans="1:25" ht="36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138" t="s">
        <v>68</v>
      </c>
      <c r="I41" s="137" t="s">
        <v>239</v>
      </c>
      <c r="J41" s="29" t="s">
        <v>58</v>
      </c>
      <c r="K41" s="29" t="str">
        <f t="shared" si="4"/>
        <v>N/A</v>
      </c>
      <c r="L41" s="297"/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/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Y41" s="10"/>
    </row>
    <row r="42" spans="1:25" ht="36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138" t="s">
        <v>68</v>
      </c>
      <c r="I42" s="137" t="s">
        <v>240</v>
      </c>
      <c r="J42" s="29" t="s">
        <v>75</v>
      </c>
      <c r="K42" s="29" t="str">
        <f t="shared" si="4"/>
        <v>조치</v>
      </c>
      <c r="L42" s="303"/>
      <c r="M42" s="304"/>
      <c r="N42" s="304"/>
      <c r="O42" s="304"/>
      <c r="P42" s="305"/>
      <c r="Q42" s="21" t="str">
        <f>IF($J42="",IF(OR($H42="N",$H42="인터뷰"),ChkList!$F26,""),IF(OR($J42="N",$J42="인터뷰"),ChkList!$F26,""))</f>
        <v/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138" t="s">
        <v>68</v>
      </c>
      <c r="I43" s="137" t="s">
        <v>241</v>
      </c>
      <c r="J43" s="29" t="s">
        <v>75</v>
      </c>
      <c r="K43" s="29" t="str">
        <f t="shared" si="4"/>
        <v>조치</v>
      </c>
      <c r="L43" s="297"/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158" t="s">
        <v>58</v>
      </c>
      <c r="I44" s="137" t="s">
        <v>209</v>
      </c>
      <c r="J44" s="29" t="s">
        <v>75</v>
      </c>
      <c r="K44" s="29" t="str">
        <f t="shared" si="4"/>
        <v>N/A</v>
      </c>
      <c r="L44" s="297"/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0</v>
      </c>
      <c r="S44" s="32">
        <f>IFERROR(VLOOKUP($F44,'parm(hidden)'!$B$8:$C$10,2,FALSE)*VLOOKUP($H44,'parm(hidden)'!$B$15:$C$19,2,FALSE),0)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11" t="s">
        <v>58</v>
      </c>
      <c r="I45" s="137" t="s">
        <v>208</v>
      </c>
      <c r="J45" s="29" t="s">
        <v>75</v>
      </c>
      <c r="K45" s="29" t="str">
        <f t="shared" si="4"/>
        <v>N/A</v>
      </c>
      <c r="L45" s="297"/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0</v>
      </c>
      <c r="S45" s="32">
        <f>IFERROR(VLOOKUP($F45,'parm(hidden)'!$B$8:$C$10,2,FALSE)*VLOOKUP($H45,'parm(hidden)'!$B$15:$C$19,2,FALSE),0)</f>
        <v>0</v>
      </c>
      <c r="T45" s="32">
        <f>IFERROR(VLOOKUP($F45,'parm(hidden)'!$B$8:$C$10,2,FALSE)*VLOOKUP($K45,$V$22:$W$27,2,FALSE),0)</f>
        <v>0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11" t="s">
        <v>58</v>
      </c>
      <c r="I46" s="137" t="s">
        <v>210</v>
      </c>
      <c r="J46" s="29" t="s">
        <v>75</v>
      </c>
      <c r="K46" s="29" t="str">
        <f t="shared" si="4"/>
        <v>N/A</v>
      </c>
      <c r="L46" s="297"/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0</v>
      </c>
      <c r="S46" s="32">
        <f>IFERROR(VLOOKUP($F46,'parm(hidden)'!$B$8:$C$10,2,FALSE)*VLOOKUP($H46,'parm(hidden)'!$B$15:$C$19,2,FALSE),0)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2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11" t="s">
        <v>58</v>
      </c>
      <c r="I47" s="137" t="s">
        <v>211</v>
      </c>
      <c r="J47" s="29" t="s">
        <v>75</v>
      </c>
      <c r="K47" s="29" t="str">
        <f t="shared" si="4"/>
        <v>N/A</v>
      </c>
      <c r="L47" s="297"/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0</v>
      </c>
      <c r="S47" s="32">
        <f>IFERROR(VLOOKUP($F47,'parm(hidden)'!$B$8:$C$10,2,FALSE)*VLOOKUP($H47,'parm(hidden)'!$B$15:$C$19,2,FALSE),0)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2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11" t="s">
        <v>58</v>
      </c>
      <c r="I48" s="137" t="s">
        <v>212</v>
      </c>
      <c r="J48" s="29" t="s">
        <v>75</v>
      </c>
      <c r="K48" s="29" t="str">
        <f t="shared" si="4"/>
        <v>N/A</v>
      </c>
      <c r="L48" s="297"/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0</v>
      </c>
      <c r="S48" s="32">
        <f>IFERROR(VLOOKUP($F48,'parm(hidden)'!$B$8:$C$10,2,FALSE)*VLOOKUP($H48,'parm(hidden)'!$B$15:$C$19,2,FALSE),0)</f>
        <v>0</v>
      </c>
      <c r="T48" s="32">
        <f>IFERROR(VLOOKUP($F48,'parm(hidden)'!$B$8:$C$10,2,FALSE)*VLOOKUP($K48,$V$22:$W$27,2,FALSE),0)</f>
        <v>0</v>
      </c>
      <c r="U48" s="11">
        <f>IF($J48="N/A",0,VLOOKUP($F48,'parm(hidden)'!$B$8:$C$10,2,FALSE))*1</f>
        <v>2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138" t="s">
        <v>68</v>
      </c>
      <c r="I49" s="137" t="s">
        <v>245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조치</v>
      </c>
      <c r="L49" s="297"/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158" t="s">
        <v>58</v>
      </c>
      <c r="I50" s="137" t="s">
        <v>213</v>
      </c>
      <c r="J50" s="29" t="s">
        <v>75</v>
      </c>
      <c r="K50" s="29" t="str">
        <f t="shared" si="4"/>
        <v>N/A</v>
      </c>
      <c r="L50" s="297"/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0</v>
      </c>
      <c r="S50" s="32">
        <f>IFERROR(VLOOKUP($F50,'parm(hidden)'!$B$8:$C$10,2,FALSE)*VLOOKUP($H50,'parm(hidden)'!$B$15:$C$19,2,FALSE),0)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158" t="s">
        <v>58</v>
      </c>
      <c r="I51" s="137" t="s">
        <v>214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297"/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158" t="s">
        <v>58</v>
      </c>
      <c r="I52" s="137" t="s">
        <v>215</v>
      </c>
      <c r="J52" s="29" t="s">
        <v>75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297"/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158" t="s">
        <v>58</v>
      </c>
      <c r="I53" s="137" t="s">
        <v>215</v>
      </c>
      <c r="J53" s="29" t="s">
        <v>75</v>
      </c>
      <c r="K53" s="29" t="str">
        <f t="shared" si="5"/>
        <v>N/A</v>
      </c>
      <c r="L53" s="297"/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11" t="s">
        <v>58</v>
      </c>
      <c r="I54" s="137" t="s">
        <v>215</v>
      </c>
      <c r="J54" s="29" t="s">
        <v>75</v>
      </c>
      <c r="K54" s="29" t="str">
        <f t="shared" si="5"/>
        <v>N/A</v>
      </c>
      <c r="L54" s="297"/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138" t="s">
        <v>68</v>
      </c>
      <c r="I55" s="137" t="s">
        <v>243</v>
      </c>
      <c r="J55" s="29" t="s">
        <v>75</v>
      </c>
      <c r="K55" s="29" t="str">
        <f t="shared" si="5"/>
        <v>조치</v>
      </c>
      <c r="L55" s="297"/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11" t="s">
        <v>58</v>
      </c>
      <c r="I56" s="137" t="s">
        <v>215</v>
      </c>
      <c r="J56" s="29" t="s">
        <v>75</v>
      </c>
      <c r="K56" s="29" t="str">
        <f t="shared" si="5"/>
        <v>N/A</v>
      </c>
      <c r="L56" s="297"/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0</v>
      </c>
      <c r="S56" s="32">
        <f>IFERROR(VLOOKUP($F56,'parm(hidden)'!$B$8:$C$10,2,FALSE)*VLOOKUP($H56,'parm(hidden)'!$B$15:$C$19,2,FALSE),0)</f>
        <v>0</v>
      </c>
      <c r="T56" s="32">
        <f>IFERROR(VLOOKUP($F56,'parm(hidden)'!$B$8:$C$10,2,FALSE)*VLOOKUP($K56,$V$22:$W$27,2,FALSE),0)</f>
        <v>0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11" t="s">
        <v>58</v>
      </c>
      <c r="I57" s="137" t="s">
        <v>208</v>
      </c>
      <c r="J57" s="29" t="s">
        <v>75</v>
      </c>
      <c r="K57" s="29" t="str">
        <f t="shared" si="5"/>
        <v>N/A</v>
      </c>
      <c r="L57" s="297"/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0</v>
      </c>
      <c r="S57" s="32">
        <f>IFERROR(VLOOKUP($F57,'parm(hidden)'!$B$8:$C$10,2,FALSE)*VLOOKUP($H57,'parm(hidden)'!$B$15:$C$19,2,FALSE),0)</f>
        <v>0</v>
      </c>
      <c r="T57" s="32">
        <f>IFERROR(VLOOKUP($F57,'parm(hidden)'!$B$8:$C$10,2,FALSE)*VLOOKUP($K57,$V$22:$W$27,2,FALSE),0)</f>
        <v>0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144" t="s">
        <v>217</v>
      </c>
      <c r="I58" s="137" t="s">
        <v>218</v>
      </c>
      <c r="J58" s="29" t="s">
        <v>58</v>
      </c>
      <c r="K58" s="29" t="str">
        <f t="shared" si="5"/>
        <v>미조치</v>
      </c>
      <c r="L58" s="297"/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145" priority="19" operator="equal">
      <formula>"취약"</formula>
    </cfRule>
    <cfRule type="cellIs" priority="20" operator="equal">
      <formula>"양호"</formula>
    </cfRule>
  </conditionalFormatting>
  <conditionalFormatting sqref="H31:H35">
    <cfRule type="cellIs" dxfId="144" priority="1" operator="equal">
      <formula>"취약"</formula>
    </cfRule>
    <cfRule type="cellIs" priority="2" operator="equal">
      <formula>"양호"</formula>
    </cfRule>
  </conditionalFormatting>
  <conditionalFormatting sqref="H41:H44">
    <cfRule type="cellIs" dxfId="143" priority="5" operator="equal">
      <formula>"취약"</formula>
    </cfRule>
    <cfRule type="cellIs" priority="6" operator="equal">
      <formula>"양호"</formula>
    </cfRule>
  </conditionalFormatting>
  <conditionalFormatting sqref="H49:H53">
    <cfRule type="cellIs" dxfId="142" priority="11" operator="equal">
      <formula>"취약"</formula>
    </cfRule>
    <cfRule type="cellIs" priority="12" operator="equal">
      <formula>"양호"</formula>
    </cfRule>
  </conditionalFormatting>
  <conditionalFormatting sqref="H55">
    <cfRule type="cellIs" dxfId="141" priority="7" operator="equal">
      <formula>"취약"</formula>
    </cfRule>
    <cfRule type="cellIs" priority="8" operator="equal">
      <formula>"양호"</formula>
    </cfRule>
  </conditionalFormatting>
  <conditionalFormatting sqref="H58">
    <cfRule type="cellIs" dxfId="140" priority="21" operator="equal">
      <formula>"취약"</formula>
    </cfRule>
    <cfRule type="cellIs" priority="22" operator="equal">
      <formula>"양호"</formula>
    </cfRule>
  </conditionalFormatting>
  <conditionalFormatting sqref="J21:L58">
    <cfRule type="cellIs" dxfId="139" priority="38" stopIfTrue="1" operator="equal">
      <formula>"인터뷰"</formula>
    </cfRule>
    <cfRule type="cellIs" dxfId="138" priority="39" stopIfTrue="1" operator="equal">
      <formula>"R/A"</formula>
    </cfRule>
    <cfRule type="cellIs" dxfId="137" priority="40" stopIfTrue="1" operator="equal">
      <formula>"N/A"</formula>
    </cfRule>
    <cfRule type="cellIs" dxfId="136" priority="41" stopIfTrue="1" operator="equal">
      <formula>"N"</formula>
    </cfRule>
    <cfRule type="expression" dxfId="135" priority="42">
      <formula>OR(IF(J21=0,1,0),IF(J21="-",1,0))</formula>
    </cfRule>
  </conditionalFormatting>
  <conditionalFormatting sqref="K21:K58 J25">
    <cfRule type="cellIs" dxfId="134" priority="33" operator="equal">
      <formula>"위험수용"</formula>
    </cfRule>
    <cfRule type="cellIs" dxfId="133" priority="34" operator="equal">
      <formula>"미조치"</formula>
    </cfRule>
    <cfRule type="cellIs" dxfId="132" priority="35" operator="equal">
      <formula>"조치"</formula>
    </cfRule>
  </conditionalFormatting>
  <conditionalFormatting sqref="Y21:Y58">
    <cfRule type="cellIs" dxfId="131" priority="227" operator="equal">
      <formula>"신규 취약점(즉시조치)"</formula>
    </cfRule>
    <cfRule type="cellIs" dxfId="130" priority="228" operator="equal">
      <formula>"기존 취약점(즉시조치)"</formula>
    </cfRule>
    <cfRule type="cellIs" dxfId="129" priority="229" operator="equal">
      <formula>"기존 취약점"</formula>
    </cfRule>
    <cfRule type="cellIs" dxfId="128" priority="230" operator="equal">
      <formula>"신규 취약점"</formula>
    </cfRule>
    <cfRule type="cellIs" dxfId="127" priority="231" operator="equal">
      <formula>"확인필요"</formula>
    </cfRule>
    <cfRule type="cellIs" dxfId="126" priority="232" operator="equal">
      <formula>"확인필요"</formula>
    </cfRule>
    <cfRule type="cellIs" dxfId="125" priority="233" operator="equal">
      <formula>"신규취약점"</formula>
    </cfRule>
    <cfRule type="cellIs" dxfId="124" priority="234" operator="equal">
      <formula>"조치완료"</formula>
    </cfRule>
  </conditionalFormatting>
  <dataValidations count="4">
    <dataValidation errorStyle="warning" allowBlank="1" showInputMessage="1" showErrorMessage="1" sqref="K21:K58 J25"/>
    <dataValidation type="list" errorStyle="warning" showInputMessage="1" showErrorMessage="1" errorTitle="오류!" error="Y, N, N/A 중에 선택" sqref="J26:J58 J21:J24">
      <formula1>"Y,N,N/A,인터뷰,Y(즉시조치)"</formula1>
    </dataValidation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allowBlank="1" showInputMessage="1" showErrorMessage="1" errorTitle="오류!" error="Y, N, N/A 중에 선택" sqref="L23:L58 L21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HQ_L4_1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2" t="str">
        <f ca="1">REPLACE(CELL("filename",A1),1,FIND("]",CELL("filename",A1)),"")</f>
        <v>HQ_L4_1</v>
      </c>
      <c r="C4" s="253"/>
      <c r="D4" s="254" t="s">
        <v>155</v>
      </c>
      <c r="E4" s="255"/>
      <c r="F4" s="256" t="str">
        <f ca="1">IFERROR(VLOOKUP($B$4,자산목록!$B$1:$Q$834,8,FALSE),"N/A")</f>
        <v>L4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 thickBo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10.0.24.9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 thickBot="1">
      <c r="A6" s="116" t="s">
        <v>62</v>
      </c>
      <c r="B6" s="263" t="str">
        <f ca="1">IFERROR(VLOOKUP($B$4,자산목록!$B$1:$Q$834,11,FALSE),"N/A")</f>
        <v>홍길동</v>
      </c>
      <c r="C6" s="263"/>
      <c r="D6" s="264" t="s">
        <v>160</v>
      </c>
      <c r="E6" s="264"/>
      <c r="F6" s="263" t="str">
        <f ca="1">IFERROR(VLOOKUP($B$4,자산목록!$B$1:$Q$834,9,FALSE),"N/A")</f>
        <v>본사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0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0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0.8571428571428571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0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1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0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0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3">
        <f>B16</f>
        <v>0</v>
      </c>
      <c r="W16" s="284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1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1.2903225806451613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62</v>
      </c>
      <c r="V17" s="288" t="s">
        <v>30</v>
      </c>
      <c r="W17" s="289"/>
      <c r="X17" s="60">
        <f t="shared" ca="1" si="0"/>
        <v>0.88888888888888884</v>
      </c>
      <c r="Y17" s="60">
        <f ca="1">O17</f>
        <v>1.2903225806451613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29" t="s">
        <v>75</v>
      </c>
      <c r="I21" s="137" t="s">
        <v>292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297" t="s">
        <v>269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29" t="s">
        <v>75</v>
      </c>
      <c r="I22" s="137" t="s">
        <v>293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297" t="s">
        <v>287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29" t="s">
        <v>75</v>
      </c>
      <c r="I23" s="137" t="s">
        <v>295</v>
      </c>
      <c r="J23" s="29" t="s">
        <v>75</v>
      </c>
      <c r="K23" s="29" t="str">
        <f t="shared" si="3"/>
        <v>Y</v>
      </c>
      <c r="L23" s="297" t="s">
        <v>270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29" t="s">
        <v>75</v>
      </c>
      <c r="I24" s="159" t="s">
        <v>297</v>
      </c>
      <c r="J24" s="29" t="s">
        <v>75</v>
      </c>
      <c r="K24" s="29" t="str">
        <f t="shared" si="3"/>
        <v>Y</v>
      </c>
      <c r="L24" s="297" t="s">
        <v>288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29" t="s">
        <v>75</v>
      </c>
      <c r="I25" s="137" t="s">
        <v>298</v>
      </c>
      <c r="J25" s="29" t="s">
        <v>75</v>
      </c>
      <c r="K25" s="29" t="str">
        <f t="shared" si="3"/>
        <v>Y</v>
      </c>
      <c r="L25" s="297" t="s">
        <v>289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29" t="s">
        <v>75</v>
      </c>
      <c r="I26" s="137" t="s">
        <v>300</v>
      </c>
      <c r="J26" s="29" t="s">
        <v>75</v>
      </c>
      <c r="K26" s="29" t="str">
        <f t="shared" si="3"/>
        <v>Y</v>
      </c>
      <c r="L26" s="297" t="s">
        <v>271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29" t="s">
        <v>75</v>
      </c>
      <c r="I27" s="137" t="s">
        <v>301</v>
      </c>
      <c r="J27" s="29" t="s">
        <v>75</v>
      </c>
      <c r="K27" s="29" t="str">
        <f t="shared" si="3"/>
        <v>Y</v>
      </c>
      <c r="L27" s="297" t="s">
        <v>272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29" t="s">
        <v>75</v>
      </c>
      <c r="I28" s="137" t="s">
        <v>304</v>
      </c>
      <c r="J28" s="29" t="s">
        <v>75</v>
      </c>
      <c r="K28" s="29" t="str">
        <f t="shared" si="3"/>
        <v>Y</v>
      </c>
      <c r="L28" s="297" t="s">
        <v>273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29" t="s">
        <v>75</v>
      </c>
      <c r="I29" s="137" t="s">
        <v>306</v>
      </c>
      <c r="J29" s="29" t="s">
        <v>75</v>
      </c>
      <c r="K29" s="29" t="str">
        <f t="shared" si="3"/>
        <v>Y</v>
      </c>
      <c r="L29" s="297" t="s">
        <v>274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29" t="s">
        <v>217</v>
      </c>
      <c r="I30" s="137" t="s">
        <v>307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29" t="s">
        <v>75</v>
      </c>
      <c r="I31" s="137" t="s">
        <v>365</v>
      </c>
      <c r="J31" s="29" t="s">
        <v>68</v>
      </c>
      <c r="K31" s="29" t="str">
        <f t="shared" si="3"/>
        <v>Y</v>
      </c>
      <c r="L31" s="297" t="s">
        <v>276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29" t="s">
        <v>75</v>
      </c>
      <c r="I32" s="137" t="s">
        <v>311</v>
      </c>
      <c r="J32" s="29" t="s">
        <v>75</v>
      </c>
      <c r="K32" s="29" t="str">
        <f t="shared" si="3"/>
        <v>Y</v>
      </c>
      <c r="L32" s="297" t="s">
        <v>277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29" t="s">
        <v>217</v>
      </c>
      <c r="I33" s="137" t="s">
        <v>313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29" t="s">
        <v>75</v>
      </c>
      <c r="I34" s="137" t="s">
        <v>315</v>
      </c>
      <c r="J34" s="29" t="s">
        <v>75</v>
      </c>
      <c r="K34" s="29" t="str">
        <f t="shared" si="3"/>
        <v>Y</v>
      </c>
      <c r="L34" s="297" t="s">
        <v>278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29" t="s">
        <v>75</v>
      </c>
      <c r="I35" s="137" t="s">
        <v>317</v>
      </c>
      <c r="J35" s="29" t="s">
        <v>75</v>
      </c>
      <c r="K35" s="29" t="str">
        <f t="shared" si="3"/>
        <v>Y</v>
      </c>
      <c r="L35" s="297" t="s">
        <v>290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29" t="s">
        <v>75</v>
      </c>
      <c r="I36" s="137" t="s">
        <v>319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29" t="s">
        <v>75</v>
      </c>
      <c r="I37" s="137" t="s">
        <v>320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29" t="s">
        <v>75</v>
      </c>
      <c r="I38" s="137" t="s">
        <v>321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29" t="s">
        <v>75</v>
      </c>
      <c r="I39" s="137" t="s">
        <v>322</v>
      </c>
      <c r="J39" s="29" t="s">
        <v>75</v>
      </c>
      <c r="K39" s="29" t="str">
        <f t="shared" si="4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29" t="s">
        <v>75</v>
      </c>
      <c r="I40" s="137" t="s">
        <v>383</v>
      </c>
      <c r="J40" s="29" t="s">
        <v>58</v>
      </c>
      <c r="K40" s="29" t="str">
        <f t="shared" si="4"/>
        <v>Y</v>
      </c>
      <c r="L40" s="297" t="s">
        <v>281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29" t="s">
        <v>217</v>
      </c>
      <c r="I41" s="137" t="s">
        <v>324</v>
      </c>
      <c r="J41" s="29" t="s">
        <v>217</v>
      </c>
      <c r="K41" s="29" t="str">
        <f t="shared" si="4"/>
        <v>미조치</v>
      </c>
      <c r="L41" s="297" t="s">
        <v>282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29" t="s">
        <v>217</v>
      </c>
      <c r="I42" s="137" t="s">
        <v>324</v>
      </c>
      <c r="J42" s="29" t="s">
        <v>217</v>
      </c>
      <c r="K42" s="29" t="str">
        <f t="shared" si="4"/>
        <v>미조치</v>
      </c>
      <c r="L42" s="297" t="s">
        <v>282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29" t="s">
        <v>75</v>
      </c>
      <c r="I43" s="137" t="s">
        <v>367</v>
      </c>
      <c r="J43" s="29" t="s">
        <v>75</v>
      </c>
      <c r="K43" s="29" t="str">
        <f t="shared" si="4"/>
        <v>Y</v>
      </c>
      <c r="L43" s="297" t="s">
        <v>283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29" t="s">
        <v>75</v>
      </c>
      <c r="I44" s="137" t="s">
        <v>369</v>
      </c>
      <c r="J44" s="29" t="s">
        <v>58</v>
      </c>
      <c r="K44" s="29" t="str">
        <f t="shared" si="4"/>
        <v>Y</v>
      </c>
      <c r="L44" s="297" t="s">
        <v>276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29" t="s">
        <v>75</v>
      </c>
      <c r="I45" s="137" t="s">
        <v>376</v>
      </c>
      <c r="J45" s="29" t="s">
        <v>58</v>
      </c>
      <c r="K45" s="29" t="str">
        <f t="shared" si="4"/>
        <v>Y</v>
      </c>
      <c r="L45" s="297" t="s">
        <v>276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29" t="s">
        <v>75</v>
      </c>
      <c r="I46" s="137" t="s">
        <v>378</v>
      </c>
      <c r="J46" s="29" t="s">
        <v>58</v>
      </c>
      <c r="K46" s="29" t="str">
        <f t="shared" si="4"/>
        <v>Y</v>
      </c>
      <c r="L46" s="297" t="s">
        <v>276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36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29" t="s">
        <v>75</v>
      </c>
      <c r="I47" s="137" t="s">
        <v>377</v>
      </c>
      <c r="J47" s="29" t="s">
        <v>58</v>
      </c>
      <c r="K47" s="29" t="str">
        <f t="shared" si="4"/>
        <v>Y</v>
      </c>
      <c r="L47" s="297" t="s">
        <v>276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36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29" t="s">
        <v>75</v>
      </c>
      <c r="I48" s="137" t="s">
        <v>375</v>
      </c>
      <c r="J48" s="29" t="s">
        <v>58</v>
      </c>
      <c r="K48" s="29" t="str">
        <f t="shared" si="4"/>
        <v>Y</v>
      </c>
      <c r="L48" s="297" t="s">
        <v>276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29" t="s">
        <v>75</v>
      </c>
      <c r="I49" s="137" t="s">
        <v>330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297" t="s">
        <v>284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36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29" t="s">
        <v>75</v>
      </c>
      <c r="I50" s="137" t="s">
        <v>384</v>
      </c>
      <c r="J50" s="29" t="s">
        <v>58</v>
      </c>
      <c r="K50" s="29" t="str">
        <f t="shared" si="4"/>
        <v>Y</v>
      </c>
      <c r="L50" s="297" t="s">
        <v>276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36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29" t="s">
        <v>75</v>
      </c>
      <c r="I51" s="137" t="s">
        <v>370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297" t="s">
        <v>276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29" t="s">
        <v>75</v>
      </c>
      <c r="I52" s="137" t="s">
        <v>387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297" t="s">
        <v>276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29" t="s">
        <v>75</v>
      </c>
      <c r="I53" s="137" t="s">
        <v>389</v>
      </c>
      <c r="J53" s="29" t="s">
        <v>58</v>
      </c>
      <c r="K53" s="29" t="str">
        <f t="shared" si="5"/>
        <v>Y</v>
      </c>
      <c r="L53" s="297" t="s">
        <v>276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29" t="s">
        <v>75</v>
      </c>
      <c r="I54" s="137" t="s">
        <v>371</v>
      </c>
      <c r="J54" s="29" t="s">
        <v>58</v>
      </c>
      <c r="K54" s="29" t="str">
        <f t="shared" si="5"/>
        <v>Y</v>
      </c>
      <c r="L54" s="297" t="s">
        <v>276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29" t="s">
        <v>75</v>
      </c>
      <c r="I55" s="137" t="s">
        <v>374</v>
      </c>
      <c r="J55" s="29" t="s">
        <v>75</v>
      </c>
      <c r="K55" s="29" t="str">
        <f t="shared" si="5"/>
        <v>Y</v>
      </c>
      <c r="L55" s="297" t="s">
        <v>285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29" t="s">
        <v>75</v>
      </c>
      <c r="I56" s="137" t="s">
        <v>372</v>
      </c>
      <c r="J56" s="29" t="s">
        <v>58</v>
      </c>
      <c r="K56" s="29" t="str">
        <f t="shared" si="5"/>
        <v>Y</v>
      </c>
      <c r="L56" s="297" t="s">
        <v>276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29" t="s">
        <v>75</v>
      </c>
      <c r="I57" s="137" t="s">
        <v>373</v>
      </c>
      <c r="J57" s="29" t="s">
        <v>58</v>
      </c>
      <c r="K57" s="29" t="str">
        <f t="shared" si="5"/>
        <v>Y</v>
      </c>
      <c r="L57" s="297" t="s">
        <v>276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29" t="s">
        <v>75</v>
      </c>
      <c r="I58" s="137" t="s">
        <v>328</v>
      </c>
      <c r="J58" s="29" t="s">
        <v>75</v>
      </c>
      <c r="K58" s="29" t="str">
        <f t="shared" si="5"/>
        <v>Y</v>
      </c>
      <c r="L58" s="297" t="s">
        <v>286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123" priority="1" stopIfTrue="1" operator="equal">
      <formula>"인터뷰"</formula>
    </cfRule>
    <cfRule type="cellIs" dxfId="122" priority="2" stopIfTrue="1" operator="equal">
      <formula>"R/A"</formula>
    </cfRule>
    <cfRule type="cellIs" dxfId="121" priority="3" stopIfTrue="1" operator="equal">
      <formula>"N/A"</formula>
    </cfRule>
    <cfRule type="cellIs" dxfId="120" priority="4" stopIfTrue="1" operator="equal">
      <formula>"N"</formula>
    </cfRule>
    <cfRule type="expression" dxfId="119" priority="5">
      <formula>OR(IF(H21=0,1,0),IF(H21="-",1,0))</formula>
    </cfRule>
  </conditionalFormatting>
  <conditionalFormatting sqref="J21:J58">
    <cfRule type="cellIs" dxfId="118" priority="11" stopIfTrue="1" operator="equal">
      <formula>"인터뷰"</formula>
    </cfRule>
    <cfRule type="cellIs" dxfId="117" priority="12" stopIfTrue="1" operator="equal">
      <formula>"R/A"</formula>
    </cfRule>
    <cfRule type="cellIs" dxfId="116" priority="13" stopIfTrue="1" operator="equal">
      <formula>"N/A"</formula>
    </cfRule>
    <cfRule type="cellIs" dxfId="115" priority="14" stopIfTrue="1" operator="equal">
      <formula>"N"</formula>
    </cfRule>
    <cfRule type="expression" dxfId="114" priority="15">
      <formula>OR(IF(J21=0,1,0),IF(J21="-",1,0))</formula>
    </cfRule>
  </conditionalFormatting>
  <conditionalFormatting sqref="K21:K58">
    <cfRule type="cellIs" dxfId="113" priority="44" operator="equal">
      <formula>"위험수용"</formula>
    </cfRule>
    <cfRule type="cellIs" dxfId="112" priority="45" operator="equal">
      <formula>"미조치"</formula>
    </cfRule>
    <cfRule type="cellIs" dxfId="111" priority="46" operator="equal">
      <formula>"조치"</formula>
    </cfRule>
    <cfRule type="cellIs" dxfId="110" priority="47" stopIfTrue="1" operator="equal">
      <formula>"인터뷰"</formula>
    </cfRule>
    <cfRule type="cellIs" dxfId="109" priority="48" stopIfTrue="1" operator="equal">
      <formula>"R/A"</formula>
    </cfRule>
    <cfRule type="cellIs" dxfId="108" priority="49" stopIfTrue="1" operator="equal">
      <formula>"N/A"</formula>
    </cfRule>
    <cfRule type="cellIs" dxfId="107" priority="50" stopIfTrue="1" operator="equal">
      <formula>"N"</formula>
    </cfRule>
    <cfRule type="expression" dxfId="106" priority="51">
      <formula>OR(IF(K21=0,1,0),IF(K21="-",1,0))</formula>
    </cfRule>
  </conditionalFormatting>
  <conditionalFormatting sqref="L21:L58">
    <cfRule type="cellIs" dxfId="105" priority="6" stopIfTrue="1" operator="equal">
      <formula>"인터뷰"</formula>
    </cfRule>
    <cfRule type="cellIs" dxfId="104" priority="7" stopIfTrue="1" operator="equal">
      <formula>"R/A"</formula>
    </cfRule>
    <cfRule type="cellIs" dxfId="103" priority="8" stopIfTrue="1" operator="equal">
      <formula>"N/A"</formula>
    </cfRule>
    <cfRule type="cellIs" dxfId="102" priority="9" stopIfTrue="1" operator="equal">
      <formula>"N"</formula>
    </cfRule>
    <cfRule type="expression" dxfId="101" priority="10">
      <formula>OR(IF(L21=0,1,0),IF(L21="-",1,0))</formula>
    </cfRule>
  </conditionalFormatting>
  <conditionalFormatting sqref="Y21:Y58">
    <cfRule type="cellIs" dxfId="100" priority="52" operator="equal">
      <formula>"신규 취약점(즉시조치)"</formula>
    </cfRule>
    <cfRule type="cellIs" dxfId="99" priority="53" operator="equal">
      <formula>"기존 취약점(즉시조치)"</formula>
    </cfRule>
    <cfRule type="cellIs" dxfId="98" priority="54" operator="equal">
      <formula>"기존 취약점"</formula>
    </cfRule>
    <cfRule type="cellIs" dxfId="97" priority="55" operator="equal">
      <formula>"신규 취약점"</formula>
    </cfRule>
    <cfRule type="cellIs" dxfId="96" priority="56" operator="equal">
      <formula>"확인필요"</formula>
    </cfRule>
    <cfRule type="cellIs" dxfId="95" priority="57" operator="equal">
      <formula>"확인필요"</formula>
    </cfRule>
    <cfRule type="cellIs" dxfId="94" priority="58" operator="equal">
      <formula>"신규취약점"</formula>
    </cfRule>
    <cfRule type="cellIs" dxfId="93" priority="59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HQ_L4_2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2" t="str">
        <f ca="1">REPLACE(CELL("filename",A1),1,FIND("]",CELL("filename",A1)),"")</f>
        <v>HQ_L4_2</v>
      </c>
      <c r="C4" s="253"/>
      <c r="D4" s="254" t="s">
        <v>155</v>
      </c>
      <c r="E4" s="255"/>
      <c r="F4" s="256" t="str">
        <f ca="1">IFERROR(VLOOKUP($B$4,자산목록!$B$1:$Q$834,8,FALSE),"N/A")</f>
        <v>L4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 thickBo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10.0.24.13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 thickBot="1">
      <c r="A6" s="116" t="s">
        <v>62</v>
      </c>
      <c r="B6" s="263" t="str">
        <f ca="1">IFERROR(VLOOKUP($B$4,자산목록!$B$1:$Q$834,11,FALSE),"N/A")</f>
        <v>홍길동</v>
      </c>
      <c r="C6" s="263"/>
      <c r="D6" s="264" t="s">
        <v>160</v>
      </c>
      <c r="E6" s="264"/>
      <c r="F6" s="263" t="str">
        <f ca="1">IFERROR(VLOOKUP($B$4,자산목록!$B$1:$Q$834,9,FALSE),"N/A")</f>
        <v>본사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0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0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0.8571428571428571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0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1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0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0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3">
        <f>B16</f>
        <v>0</v>
      </c>
      <c r="W16" s="284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1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1.2903225806451613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62</v>
      </c>
      <c r="V17" s="288" t="s">
        <v>30</v>
      </c>
      <c r="W17" s="289"/>
      <c r="X17" s="60">
        <f t="shared" ca="1" si="0"/>
        <v>0.88888888888888884</v>
      </c>
      <c r="Y17" s="60">
        <f ca="1">O17</f>
        <v>1.2903225806451613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29" t="s">
        <v>75</v>
      </c>
      <c r="I21" s="137" t="s">
        <v>269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297" t="s">
        <v>269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29" t="s">
        <v>75</v>
      </c>
      <c r="I22" s="137" t="s">
        <v>287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297" t="s">
        <v>287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29" t="s">
        <v>75</v>
      </c>
      <c r="I23" s="137" t="s">
        <v>270</v>
      </c>
      <c r="J23" s="29" t="s">
        <v>75</v>
      </c>
      <c r="K23" s="29" t="str">
        <f t="shared" si="3"/>
        <v>Y</v>
      </c>
      <c r="L23" s="297" t="s">
        <v>270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29" t="s">
        <v>75</v>
      </c>
      <c r="I24" s="159" t="s">
        <v>288</v>
      </c>
      <c r="J24" s="29" t="s">
        <v>75</v>
      </c>
      <c r="K24" s="29" t="str">
        <f t="shared" si="3"/>
        <v>Y</v>
      </c>
      <c r="L24" s="297" t="s">
        <v>288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29" t="s">
        <v>75</v>
      </c>
      <c r="I25" s="137" t="s">
        <v>289</v>
      </c>
      <c r="J25" s="29" t="s">
        <v>75</v>
      </c>
      <c r="K25" s="29" t="str">
        <f t="shared" si="3"/>
        <v>Y</v>
      </c>
      <c r="L25" s="297" t="s">
        <v>289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29" t="s">
        <v>75</v>
      </c>
      <c r="I26" s="137" t="s">
        <v>271</v>
      </c>
      <c r="J26" s="29" t="s">
        <v>75</v>
      </c>
      <c r="K26" s="29" t="str">
        <f t="shared" si="3"/>
        <v>Y</v>
      </c>
      <c r="L26" s="297" t="s">
        <v>271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29" t="s">
        <v>75</v>
      </c>
      <c r="I27" s="137" t="s">
        <v>301</v>
      </c>
      <c r="J27" s="29" t="s">
        <v>75</v>
      </c>
      <c r="K27" s="29" t="str">
        <f t="shared" si="3"/>
        <v>Y</v>
      </c>
      <c r="L27" s="297" t="s">
        <v>272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29" t="s">
        <v>75</v>
      </c>
      <c r="I28" s="137" t="s">
        <v>273</v>
      </c>
      <c r="J28" s="29" t="s">
        <v>75</v>
      </c>
      <c r="K28" s="29" t="str">
        <f t="shared" si="3"/>
        <v>Y</v>
      </c>
      <c r="L28" s="297" t="s">
        <v>273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29" t="s">
        <v>75</v>
      </c>
      <c r="I29" s="137" t="s">
        <v>274</v>
      </c>
      <c r="J29" s="29" t="s">
        <v>75</v>
      </c>
      <c r="K29" s="29" t="str">
        <f t="shared" si="3"/>
        <v>Y</v>
      </c>
      <c r="L29" s="297" t="s">
        <v>274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29" t="s">
        <v>217</v>
      </c>
      <c r="I30" s="137" t="s">
        <v>275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29" t="s">
        <v>75</v>
      </c>
      <c r="I31" s="137" t="s">
        <v>353</v>
      </c>
      <c r="J31" s="29" t="s">
        <v>68</v>
      </c>
      <c r="K31" s="29" t="str">
        <f t="shared" si="3"/>
        <v>Y</v>
      </c>
      <c r="L31" s="297" t="s">
        <v>276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29" t="s">
        <v>75</v>
      </c>
      <c r="I32" s="137" t="s">
        <v>277</v>
      </c>
      <c r="J32" s="29" t="s">
        <v>75</v>
      </c>
      <c r="K32" s="29" t="str">
        <f t="shared" si="3"/>
        <v>Y</v>
      </c>
      <c r="L32" s="297" t="s">
        <v>277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29" t="s">
        <v>217</v>
      </c>
      <c r="I33" s="137" t="s">
        <v>276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29" t="s">
        <v>75</v>
      </c>
      <c r="I34" s="137" t="s">
        <v>278</v>
      </c>
      <c r="J34" s="29" t="s">
        <v>75</v>
      </c>
      <c r="K34" s="29" t="str">
        <f t="shared" si="3"/>
        <v>Y</v>
      </c>
      <c r="L34" s="297" t="s">
        <v>278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29" t="s">
        <v>75</v>
      </c>
      <c r="I35" s="137" t="s">
        <v>290</v>
      </c>
      <c r="J35" s="29" t="s">
        <v>75</v>
      </c>
      <c r="K35" s="29" t="str">
        <f t="shared" si="3"/>
        <v>Y</v>
      </c>
      <c r="L35" s="297" t="s">
        <v>290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29" t="s">
        <v>75</v>
      </c>
      <c r="I36" s="137" t="s">
        <v>233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29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29" t="s">
        <v>75</v>
      </c>
      <c r="I38" s="137" t="s">
        <v>233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29" t="s">
        <v>75</v>
      </c>
      <c r="I39" s="137" t="s">
        <v>233</v>
      </c>
      <c r="J39" s="29" t="s">
        <v>75</v>
      </c>
      <c r="K39" s="29" t="str">
        <f t="shared" si="4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29" t="s">
        <v>75</v>
      </c>
      <c r="I40" s="137" t="s">
        <v>383</v>
      </c>
      <c r="J40" s="29" t="s">
        <v>58</v>
      </c>
      <c r="K40" s="29" t="str">
        <f t="shared" si="4"/>
        <v>Y</v>
      </c>
      <c r="L40" s="297" t="s">
        <v>281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29" t="s">
        <v>217</v>
      </c>
      <c r="I41" s="137" t="s">
        <v>282</v>
      </c>
      <c r="J41" s="29" t="s">
        <v>217</v>
      </c>
      <c r="K41" s="29" t="str">
        <f t="shared" si="4"/>
        <v>미조치</v>
      </c>
      <c r="L41" s="297" t="s">
        <v>282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29" t="s">
        <v>217</v>
      </c>
      <c r="I42" s="137" t="s">
        <v>282</v>
      </c>
      <c r="J42" s="29" t="s">
        <v>217</v>
      </c>
      <c r="K42" s="29" t="str">
        <f t="shared" si="4"/>
        <v>미조치</v>
      </c>
      <c r="L42" s="297" t="s">
        <v>282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29" t="s">
        <v>75</v>
      </c>
      <c r="I43" s="137" t="s">
        <v>283</v>
      </c>
      <c r="J43" s="29" t="s">
        <v>75</v>
      </c>
      <c r="K43" s="29" t="str">
        <f t="shared" si="4"/>
        <v>Y</v>
      </c>
      <c r="L43" s="297" t="s">
        <v>283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29" t="s">
        <v>75</v>
      </c>
      <c r="I44" s="137" t="s">
        <v>354</v>
      </c>
      <c r="J44" s="29" t="s">
        <v>58</v>
      </c>
      <c r="K44" s="29" t="str">
        <f t="shared" si="4"/>
        <v>Y</v>
      </c>
      <c r="L44" s="297" t="s">
        <v>276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29" t="s">
        <v>75</v>
      </c>
      <c r="I45" s="137" t="s">
        <v>376</v>
      </c>
      <c r="J45" s="29" t="s">
        <v>58</v>
      </c>
      <c r="K45" s="29" t="str">
        <f t="shared" si="4"/>
        <v>Y</v>
      </c>
      <c r="L45" s="297" t="s">
        <v>276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29" t="s">
        <v>75</v>
      </c>
      <c r="I46" s="137" t="s">
        <v>356</v>
      </c>
      <c r="J46" s="29" t="s">
        <v>58</v>
      </c>
      <c r="K46" s="29" t="str">
        <f t="shared" si="4"/>
        <v>Y</v>
      </c>
      <c r="L46" s="297" t="s">
        <v>276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29" t="s">
        <v>75</v>
      </c>
      <c r="I47" s="137" t="s">
        <v>357</v>
      </c>
      <c r="J47" s="29" t="s">
        <v>58</v>
      </c>
      <c r="K47" s="29" t="str">
        <f t="shared" si="4"/>
        <v>Y</v>
      </c>
      <c r="L47" s="297" t="s">
        <v>276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29" t="s">
        <v>75</v>
      </c>
      <c r="I48" s="137" t="s">
        <v>375</v>
      </c>
      <c r="J48" s="29" t="s">
        <v>58</v>
      </c>
      <c r="K48" s="29" t="str">
        <f t="shared" si="4"/>
        <v>Y</v>
      </c>
      <c r="L48" s="297" t="s">
        <v>276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29" t="s">
        <v>75</v>
      </c>
      <c r="I49" s="137" t="s">
        <v>284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297" t="s">
        <v>284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29" t="s">
        <v>75</v>
      </c>
      <c r="I50" s="137" t="s">
        <v>384</v>
      </c>
      <c r="J50" s="29" t="s">
        <v>58</v>
      </c>
      <c r="K50" s="29" t="str">
        <f t="shared" si="4"/>
        <v>Y</v>
      </c>
      <c r="L50" s="297" t="s">
        <v>276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29" t="s">
        <v>75</v>
      </c>
      <c r="I51" s="137" t="s">
        <v>370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297" t="s">
        <v>276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29" t="s">
        <v>75</v>
      </c>
      <c r="I52" s="137" t="s">
        <v>387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297" t="s">
        <v>276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29" t="s">
        <v>75</v>
      </c>
      <c r="I53" s="137" t="s">
        <v>389</v>
      </c>
      <c r="J53" s="29" t="s">
        <v>58</v>
      </c>
      <c r="K53" s="29" t="str">
        <f t="shared" si="5"/>
        <v>Y</v>
      </c>
      <c r="L53" s="297" t="s">
        <v>276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29" t="s">
        <v>75</v>
      </c>
      <c r="I54" s="137" t="s">
        <v>360</v>
      </c>
      <c r="J54" s="29" t="s">
        <v>58</v>
      </c>
      <c r="K54" s="29" t="str">
        <f t="shared" si="5"/>
        <v>Y</v>
      </c>
      <c r="L54" s="297" t="s">
        <v>276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29" t="s">
        <v>75</v>
      </c>
      <c r="I55" s="137" t="s">
        <v>374</v>
      </c>
      <c r="J55" s="29" t="s">
        <v>75</v>
      </c>
      <c r="K55" s="29" t="str">
        <f t="shared" si="5"/>
        <v>Y</v>
      </c>
      <c r="L55" s="297" t="s">
        <v>285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29" t="s">
        <v>75</v>
      </c>
      <c r="I56" s="137" t="s">
        <v>372</v>
      </c>
      <c r="J56" s="29" t="s">
        <v>58</v>
      </c>
      <c r="K56" s="29" t="str">
        <f t="shared" si="5"/>
        <v>Y</v>
      </c>
      <c r="L56" s="297" t="s">
        <v>276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29" t="s">
        <v>75</v>
      </c>
      <c r="I57" s="137" t="s">
        <v>362</v>
      </c>
      <c r="J57" s="29" t="s">
        <v>58</v>
      </c>
      <c r="K57" s="29" t="str">
        <f t="shared" si="5"/>
        <v>Y</v>
      </c>
      <c r="L57" s="297" t="s">
        <v>276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29" t="s">
        <v>75</v>
      </c>
      <c r="I58" s="137" t="s">
        <v>286</v>
      </c>
      <c r="J58" s="29" t="s">
        <v>75</v>
      </c>
      <c r="K58" s="29" t="str">
        <f t="shared" si="5"/>
        <v>Y</v>
      </c>
      <c r="L58" s="297" t="s">
        <v>286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92" priority="1" stopIfTrue="1" operator="equal">
      <formula>"인터뷰"</formula>
    </cfRule>
    <cfRule type="cellIs" dxfId="91" priority="2" stopIfTrue="1" operator="equal">
      <formula>"R/A"</formula>
    </cfRule>
    <cfRule type="cellIs" dxfId="90" priority="3" stopIfTrue="1" operator="equal">
      <formula>"N/A"</formula>
    </cfRule>
    <cfRule type="cellIs" dxfId="89" priority="4" stopIfTrue="1" operator="equal">
      <formula>"N"</formula>
    </cfRule>
    <cfRule type="expression" dxfId="88" priority="5">
      <formula>OR(IF(H21=0,1,0),IF(H21="-",1,0))</formula>
    </cfRule>
  </conditionalFormatting>
  <conditionalFormatting sqref="J21:J58">
    <cfRule type="cellIs" dxfId="87" priority="21" stopIfTrue="1" operator="equal">
      <formula>"인터뷰"</formula>
    </cfRule>
    <cfRule type="cellIs" dxfId="86" priority="22" stopIfTrue="1" operator="equal">
      <formula>"R/A"</formula>
    </cfRule>
    <cfRule type="cellIs" dxfId="85" priority="23" stopIfTrue="1" operator="equal">
      <formula>"N/A"</formula>
    </cfRule>
    <cfRule type="cellIs" dxfId="84" priority="24" stopIfTrue="1" operator="equal">
      <formula>"N"</formula>
    </cfRule>
    <cfRule type="expression" dxfId="83" priority="25">
      <formula>OR(IF(J21=0,1,0),IF(J21="-",1,0))</formula>
    </cfRule>
  </conditionalFormatting>
  <conditionalFormatting sqref="K21:K58">
    <cfRule type="cellIs" dxfId="82" priority="54" operator="equal">
      <formula>"위험수용"</formula>
    </cfRule>
    <cfRule type="cellIs" dxfId="81" priority="55" operator="equal">
      <formula>"미조치"</formula>
    </cfRule>
    <cfRule type="cellIs" dxfId="80" priority="56" operator="equal">
      <formula>"조치"</formula>
    </cfRule>
    <cfRule type="cellIs" dxfId="79" priority="57" stopIfTrue="1" operator="equal">
      <formula>"인터뷰"</formula>
    </cfRule>
    <cfRule type="cellIs" dxfId="78" priority="58" stopIfTrue="1" operator="equal">
      <formula>"R/A"</formula>
    </cfRule>
    <cfRule type="cellIs" dxfId="77" priority="59" stopIfTrue="1" operator="equal">
      <formula>"N/A"</formula>
    </cfRule>
    <cfRule type="cellIs" dxfId="76" priority="60" stopIfTrue="1" operator="equal">
      <formula>"N"</formula>
    </cfRule>
    <cfRule type="expression" dxfId="75" priority="61">
      <formula>OR(IF(K21=0,1,0),IF(K21="-",1,0))</formula>
    </cfRule>
  </conditionalFormatting>
  <conditionalFormatting sqref="L21:L58">
    <cfRule type="cellIs" dxfId="74" priority="16" stopIfTrue="1" operator="equal">
      <formula>"인터뷰"</formula>
    </cfRule>
    <cfRule type="cellIs" dxfId="73" priority="17" stopIfTrue="1" operator="equal">
      <formula>"R/A"</formula>
    </cfRule>
    <cfRule type="cellIs" dxfId="72" priority="18" stopIfTrue="1" operator="equal">
      <formula>"N/A"</formula>
    </cfRule>
    <cfRule type="cellIs" dxfId="71" priority="19" stopIfTrue="1" operator="equal">
      <formula>"N"</formula>
    </cfRule>
    <cfRule type="expression" dxfId="70" priority="20">
      <formula>OR(IF(L21=0,1,0),IF(L21="-",1,0))</formula>
    </cfRule>
  </conditionalFormatting>
  <conditionalFormatting sqref="Y21:Y58">
    <cfRule type="cellIs" dxfId="69" priority="62" operator="equal">
      <formula>"신규 취약점(즉시조치)"</formula>
    </cfRule>
    <cfRule type="cellIs" dxfId="68" priority="63" operator="equal">
      <formula>"기존 취약점(즉시조치)"</formula>
    </cfRule>
    <cfRule type="cellIs" dxfId="67" priority="64" operator="equal">
      <formula>"기존 취약점"</formula>
    </cfRule>
    <cfRule type="cellIs" dxfId="66" priority="65" operator="equal">
      <formula>"신규 취약점"</formula>
    </cfRule>
    <cfRule type="cellIs" dxfId="65" priority="66" operator="equal">
      <formula>"확인필요"</formula>
    </cfRule>
    <cfRule type="cellIs" dxfId="64" priority="67" operator="equal">
      <formula>"확인필요"</formula>
    </cfRule>
    <cfRule type="cellIs" dxfId="63" priority="68" operator="equal">
      <formula>"신규취약점"</formula>
    </cfRule>
    <cfRule type="cellIs" dxfId="62" priority="69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BR_L4_1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2" t="str">
        <f ca="1">REPLACE(CELL("filename",A1),1,FIND("]",CELL("filename",A1)),"")</f>
        <v>BR_L4_1</v>
      </c>
      <c r="C4" s="253"/>
      <c r="D4" s="254" t="s">
        <v>155</v>
      </c>
      <c r="E4" s="255"/>
      <c r="F4" s="256" t="str">
        <f ca="1">IFERROR(VLOOKUP($B$4,자산목록!$B$1:$Q$834,8,FALSE),"N/A")</f>
        <v>L4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 thickBo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10.0.53.9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 thickBot="1">
      <c r="A6" s="116" t="s">
        <v>62</v>
      </c>
      <c r="B6" s="263" t="str">
        <f ca="1">IFERROR(VLOOKUP($B$4,자산목록!$B$1:$Q$834,11,FALSE),"N/A")</f>
        <v>김철수</v>
      </c>
      <c r="C6" s="263"/>
      <c r="D6" s="264" t="s">
        <v>160</v>
      </c>
      <c r="E6" s="264"/>
      <c r="F6" s="263" t="str">
        <f ca="1">IFERROR(VLOOKUP($B$4,자산목록!$B$1:$Q$834,9,FALSE),"N/A")</f>
        <v>지사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0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0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0.8571428571428571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14</v>
      </c>
      <c r="V13" s="282">
        <f>B13</f>
        <v>0</v>
      </c>
      <c r="W13" s="279"/>
      <c r="X13" s="57">
        <f t="shared" ca="1" si="0"/>
        <v>0.8571428571428571</v>
      </c>
      <c r="Y13" s="57">
        <f t="shared" ref="Y13:Y16" ca="1" si="2">O13</f>
        <v>0.8571428571428571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0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1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0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0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3">
        <f>B16</f>
        <v>0</v>
      </c>
      <c r="W16" s="284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1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1.2903225806451613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62</v>
      </c>
      <c r="V17" s="288" t="s">
        <v>30</v>
      </c>
      <c r="W17" s="289"/>
      <c r="X17" s="60">
        <f t="shared" ca="1" si="0"/>
        <v>0.88888888888888884</v>
      </c>
      <c r="Y17" s="60">
        <f ca="1">O17</f>
        <v>1.2903225806451613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29" t="s">
        <v>75</v>
      </c>
      <c r="I21" s="137" t="s">
        <v>269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297" t="s">
        <v>269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29" t="s">
        <v>75</v>
      </c>
      <c r="I22" s="137" t="s">
        <v>287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297" t="s">
        <v>287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29" t="s">
        <v>75</v>
      </c>
      <c r="I23" s="137" t="s">
        <v>270</v>
      </c>
      <c r="J23" s="29" t="s">
        <v>75</v>
      </c>
      <c r="K23" s="29" t="str">
        <f t="shared" si="3"/>
        <v>Y</v>
      </c>
      <c r="L23" s="297" t="s">
        <v>270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29" t="s">
        <v>75</v>
      </c>
      <c r="I24" s="159" t="s">
        <v>288</v>
      </c>
      <c r="J24" s="29" t="s">
        <v>75</v>
      </c>
      <c r="K24" s="29" t="str">
        <f t="shared" si="3"/>
        <v>Y</v>
      </c>
      <c r="L24" s="297" t="s">
        <v>288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29" t="s">
        <v>75</v>
      </c>
      <c r="I25" s="137" t="s">
        <v>289</v>
      </c>
      <c r="J25" s="29" t="s">
        <v>75</v>
      </c>
      <c r="K25" s="29" t="str">
        <f t="shared" si="3"/>
        <v>Y</v>
      </c>
      <c r="L25" s="297" t="s">
        <v>289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29" t="s">
        <v>75</v>
      </c>
      <c r="I26" s="137" t="s">
        <v>271</v>
      </c>
      <c r="J26" s="29" t="s">
        <v>75</v>
      </c>
      <c r="K26" s="29" t="str">
        <f t="shared" si="3"/>
        <v>Y</v>
      </c>
      <c r="L26" s="297" t="s">
        <v>271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29" t="s">
        <v>75</v>
      </c>
      <c r="I27" s="137" t="s">
        <v>301</v>
      </c>
      <c r="J27" s="29" t="s">
        <v>75</v>
      </c>
      <c r="K27" s="29" t="str">
        <f t="shared" si="3"/>
        <v>Y</v>
      </c>
      <c r="L27" s="297" t="s">
        <v>272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29" t="s">
        <v>75</v>
      </c>
      <c r="I28" s="137" t="s">
        <v>273</v>
      </c>
      <c r="J28" s="29" t="s">
        <v>75</v>
      </c>
      <c r="K28" s="29" t="str">
        <f t="shared" si="3"/>
        <v>Y</v>
      </c>
      <c r="L28" s="297" t="s">
        <v>273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29" t="s">
        <v>75</v>
      </c>
      <c r="I29" s="137" t="s">
        <v>274</v>
      </c>
      <c r="J29" s="29" t="s">
        <v>75</v>
      </c>
      <c r="K29" s="29" t="str">
        <f t="shared" si="3"/>
        <v>Y</v>
      </c>
      <c r="L29" s="297" t="s">
        <v>274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29" t="s">
        <v>217</v>
      </c>
      <c r="I30" s="137" t="s">
        <v>275</v>
      </c>
      <c r="J30" s="29" t="s">
        <v>217</v>
      </c>
      <c r="K30" s="29" t="str">
        <f t="shared" si="3"/>
        <v>미조치</v>
      </c>
      <c r="L30" s="297" t="s">
        <v>275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29" t="s">
        <v>75</v>
      </c>
      <c r="I31" s="137" t="s">
        <v>353</v>
      </c>
      <c r="J31" s="29" t="s">
        <v>68</v>
      </c>
      <c r="K31" s="29" t="str">
        <f t="shared" si="3"/>
        <v>Y</v>
      </c>
      <c r="L31" s="297" t="s">
        <v>276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29" t="s">
        <v>75</v>
      </c>
      <c r="I32" s="137" t="s">
        <v>277</v>
      </c>
      <c r="J32" s="29" t="s">
        <v>75</v>
      </c>
      <c r="K32" s="29" t="str">
        <f t="shared" si="3"/>
        <v>Y</v>
      </c>
      <c r="L32" s="297" t="s">
        <v>277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 ht="36" customHeight="1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29" t="s">
        <v>217</v>
      </c>
      <c r="I33" s="137" t="s">
        <v>276</v>
      </c>
      <c r="J33" s="29" t="s">
        <v>217</v>
      </c>
      <c r="K33" s="29" t="str">
        <f t="shared" si="3"/>
        <v>미조치</v>
      </c>
      <c r="L33" s="297" t="s">
        <v>276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29" t="s">
        <v>75</v>
      </c>
      <c r="I34" s="137" t="s">
        <v>278</v>
      </c>
      <c r="J34" s="29" t="s">
        <v>75</v>
      </c>
      <c r="K34" s="29" t="str">
        <f t="shared" si="3"/>
        <v>Y</v>
      </c>
      <c r="L34" s="297" t="s">
        <v>278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29" t="s">
        <v>75</v>
      </c>
      <c r="I35" s="137" t="s">
        <v>290</v>
      </c>
      <c r="J35" s="29" t="s">
        <v>75</v>
      </c>
      <c r="K35" s="29" t="str">
        <f t="shared" si="3"/>
        <v>Y</v>
      </c>
      <c r="L35" s="297" t="s">
        <v>290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29" t="s">
        <v>75</v>
      </c>
      <c r="I36" s="137" t="s">
        <v>233</v>
      </c>
      <c r="J36" s="29" t="s">
        <v>75</v>
      </c>
      <c r="K36" s="29" t="str">
        <f t="shared" si="3"/>
        <v>Y</v>
      </c>
      <c r="L36" s="297" t="s">
        <v>233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29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29" t="s">
        <v>75</v>
      </c>
      <c r="I38" s="137" t="s">
        <v>233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29" t="s">
        <v>75</v>
      </c>
      <c r="I39" s="137" t="s">
        <v>233</v>
      </c>
      <c r="J39" s="29" t="s">
        <v>75</v>
      </c>
      <c r="K39" s="29" t="str">
        <f t="shared" si="4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29" t="s">
        <v>75</v>
      </c>
      <c r="I40" s="137" t="s">
        <v>383</v>
      </c>
      <c r="J40" s="29" t="s">
        <v>58</v>
      </c>
      <c r="K40" s="29" t="str">
        <f t="shared" si="4"/>
        <v>Y</v>
      </c>
      <c r="L40" s="297" t="s">
        <v>281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29" t="s">
        <v>217</v>
      </c>
      <c r="I41" s="137" t="s">
        <v>282</v>
      </c>
      <c r="J41" s="29" t="s">
        <v>217</v>
      </c>
      <c r="K41" s="29" t="str">
        <f t="shared" si="4"/>
        <v>미조치</v>
      </c>
      <c r="L41" s="297" t="s">
        <v>282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29" t="s">
        <v>217</v>
      </c>
      <c r="I42" s="137" t="s">
        <v>282</v>
      </c>
      <c r="J42" s="29" t="s">
        <v>217</v>
      </c>
      <c r="K42" s="29" t="str">
        <f t="shared" si="4"/>
        <v>미조치</v>
      </c>
      <c r="L42" s="297" t="s">
        <v>282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29" t="s">
        <v>75</v>
      </c>
      <c r="I43" s="137" t="s">
        <v>283</v>
      </c>
      <c r="J43" s="29" t="s">
        <v>75</v>
      </c>
      <c r="K43" s="29" t="str">
        <f t="shared" si="4"/>
        <v>Y</v>
      </c>
      <c r="L43" s="297" t="s">
        <v>283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29" t="s">
        <v>75</v>
      </c>
      <c r="I44" s="137" t="s">
        <v>354</v>
      </c>
      <c r="J44" s="29" t="s">
        <v>58</v>
      </c>
      <c r="K44" s="29" t="str">
        <f t="shared" si="4"/>
        <v>Y</v>
      </c>
      <c r="L44" s="297" t="s">
        <v>276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29" t="s">
        <v>75</v>
      </c>
      <c r="I45" s="137" t="s">
        <v>376</v>
      </c>
      <c r="J45" s="29" t="s">
        <v>58</v>
      </c>
      <c r="K45" s="29" t="str">
        <f t="shared" si="4"/>
        <v>Y</v>
      </c>
      <c r="L45" s="297" t="s">
        <v>276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29" t="s">
        <v>75</v>
      </c>
      <c r="I46" s="137" t="s">
        <v>356</v>
      </c>
      <c r="J46" s="29" t="s">
        <v>58</v>
      </c>
      <c r="K46" s="29" t="str">
        <f t="shared" si="4"/>
        <v>Y</v>
      </c>
      <c r="L46" s="297" t="s">
        <v>276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29" t="s">
        <v>75</v>
      </c>
      <c r="I47" s="137" t="s">
        <v>357</v>
      </c>
      <c r="J47" s="29" t="s">
        <v>58</v>
      </c>
      <c r="K47" s="29" t="str">
        <f t="shared" si="4"/>
        <v>Y</v>
      </c>
      <c r="L47" s="297" t="s">
        <v>276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29" t="s">
        <v>75</v>
      </c>
      <c r="I48" s="137" t="s">
        <v>375</v>
      </c>
      <c r="J48" s="29" t="s">
        <v>58</v>
      </c>
      <c r="K48" s="29" t="str">
        <f t="shared" si="4"/>
        <v>Y</v>
      </c>
      <c r="L48" s="297" t="s">
        <v>276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29" t="s">
        <v>75</v>
      </c>
      <c r="I49" s="137" t="s">
        <v>284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297" t="s">
        <v>284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29" t="s">
        <v>75</v>
      </c>
      <c r="I50" s="137" t="s">
        <v>384</v>
      </c>
      <c r="J50" s="29" t="s">
        <v>58</v>
      </c>
      <c r="K50" s="29" t="str">
        <f t="shared" si="4"/>
        <v>Y</v>
      </c>
      <c r="L50" s="297" t="s">
        <v>276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29" t="s">
        <v>75</v>
      </c>
      <c r="I51" s="137" t="s">
        <v>370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297" t="s">
        <v>276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29" t="s">
        <v>75</v>
      </c>
      <c r="I52" s="137" t="s">
        <v>387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297" t="s">
        <v>276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29" t="s">
        <v>75</v>
      </c>
      <c r="I53" s="137" t="s">
        <v>389</v>
      </c>
      <c r="J53" s="29" t="s">
        <v>58</v>
      </c>
      <c r="K53" s="29" t="str">
        <f t="shared" si="5"/>
        <v>Y</v>
      </c>
      <c r="L53" s="297" t="s">
        <v>276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29" t="s">
        <v>75</v>
      </c>
      <c r="I54" s="137" t="s">
        <v>360</v>
      </c>
      <c r="J54" s="29" t="s">
        <v>58</v>
      </c>
      <c r="K54" s="29" t="str">
        <f t="shared" si="5"/>
        <v>Y</v>
      </c>
      <c r="L54" s="297" t="s">
        <v>276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29" t="s">
        <v>75</v>
      </c>
      <c r="I55" s="137" t="s">
        <v>374</v>
      </c>
      <c r="J55" s="29" t="s">
        <v>75</v>
      </c>
      <c r="K55" s="29" t="str">
        <f t="shared" si="5"/>
        <v>Y</v>
      </c>
      <c r="L55" s="297" t="s">
        <v>285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29" t="s">
        <v>75</v>
      </c>
      <c r="I56" s="137" t="s">
        <v>372</v>
      </c>
      <c r="J56" s="29" t="s">
        <v>58</v>
      </c>
      <c r="K56" s="29" t="str">
        <f t="shared" si="5"/>
        <v>Y</v>
      </c>
      <c r="L56" s="297" t="s">
        <v>276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29" t="s">
        <v>75</v>
      </c>
      <c r="I57" s="137" t="s">
        <v>362</v>
      </c>
      <c r="J57" s="29" t="s">
        <v>58</v>
      </c>
      <c r="K57" s="29" t="str">
        <f t="shared" si="5"/>
        <v>Y</v>
      </c>
      <c r="L57" s="297" t="s">
        <v>276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29" t="s">
        <v>75</v>
      </c>
      <c r="I58" s="137" t="s">
        <v>286</v>
      </c>
      <c r="J58" s="29" t="s">
        <v>75</v>
      </c>
      <c r="K58" s="29" t="str">
        <f t="shared" si="5"/>
        <v>Y</v>
      </c>
      <c r="L58" s="297" t="s">
        <v>286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61" priority="1" stopIfTrue="1" operator="equal">
      <formula>"인터뷰"</formula>
    </cfRule>
    <cfRule type="cellIs" dxfId="60" priority="2" stopIfTrue="1" operator="equal">
      <formula>"R/A"</formula>
    </cfRule>
    <cfRule type="cellIs" dxfId="59" priority="3" stopIfTrue="1" operator="equal">
      <formula>"N/A"</formula>
    </cfRule>
    <cfRule type="cellIs" dxfId="58" priority="4" stopIfTrue="1" operator="equal">
      <formula>"N"</formula>
    </cfRule>
    <cfRule type="expression" dxfId="57" priority="5">
      <formula>OR(IF(H21=0,1,0),IF(H21="-",1,0))</formula>
    </cfRule>
  </conditionalFormatting>
  <conditionalFormatting sqref="J21:J58">
    <cfRule type="cellIs" dxfId="56" priority="21" stopIfTrue="1" operator="equal">
      <formula>"인터뷰"</formula>
    </cfRule>
    <cfRule type="cellIs" dxfId="55" priority="22" stopIfTrue="1" operator="equal">
      <formula>"R/A"</formula>
    </cfRule>
    <cfRule type="cellIs" dxfId="54" priority="23" stopIfTrue="1" operator="equal">
      <formula>"N/A"</formula>
    </cfRule>
    <cfRule type="cellIs" dxfId="53" priority="24" stopIfTrue="1" operator="equal">
      <formula>"N"</formula>
    </cfRule>
    <cfRule type="expression" dxfId="52" priority="25">
      <formula>OR(IF(J21=0,1,0),IF(J21="-",1,0))</formula>
    </cfRule>
  </conditionalFormatting>
  <conditionalFormatting sqref="K21:K58">
    <cfRule type="cellIs" dxfId="51" priority="54" operator="equal">
      <formula>"위험수용"</formula>
    </cfRule>
    <cfRule type="cellIs" dxfId="50" priority="55" operator="equal">
      <formula>"미조치"</formula>
    </cfRule>
    <cfRule type="cellIs" dxfId="49" priority="56" operator="equal">
      <formula>"조치"</formula>
    </cfRule>
    <cfRule type="cellIs" dxfId="48" priority="57" stopIfTrue="1" operator="equal">
      <formula>"인터뷰"</formula>
    </cfRule>
    <cfRule type="cellIs" dxfId="47" priority="58" stopIfTrue="1" operator="equal">
      <formula>"R/A"</formula>
    </cfRule>
    <cfRule type="cellIs" dxfId="46" priority="59" stopIfTrue="1" operator="equal">
      <formula>"N/A"</formula>
    </cfRule>
    <cfRule type="cellIs" dxfId="45" priority="60" stopIfTrue="1" operator="equal">
      <formula>"N"</formula>
    </cfRule>
    <cfRule type="expression" dxfId="44" priority="61">
      <formula>OR(IF(K21=0,1,0),IF(K21="-",1,0))</formula>
    </cfRule>
  </conditionalFormatting>
  <conditionalFormatting sqref="L21:L58">
    <cfRule type="cellIs" dxfId="43" priority="16" stopIfTrue="1" operator="equal">
      <formula>"인터뷰"</formula>
    </cfRule>
    <cfRule type="cellIs" dxfId="42" priority="17" stopIfTrue="1" operator="equal">
      <formula>"R/A"</formula>
    </cfRule>
    <cfRule type="cellIs" dxfId="41" priority="18" stopIfTrue="1" operator="equal">
      <formula>"N/A"</formula>
    </cfRule>
    <cfRule type="cellIs" dxfId="40" priority="19" stopIfTrue="1" operator="equal">
      <formula>"N"</formula>
    </cfRule>
    <cfRule type="expression" dxfId="39" priority="20">
      <formula>OR(IF(L21=0,1,0),IF(L21="-",1,0))</formula>
    </cfRule>
  </conditionalFormatting>
  <conditionalFormatting sqref="Y21:Y58">
    <cfRule type="cellIs" dxfId="38" priority="62" operator="equal">
      <formula>"신규 취약점(즉시조치)"</formula>
    </cfRule>
    <cfRule type="cellIs" dxfId="37" priority="63" operator="equal">
      <formula>"기존 취약점(즉시조치)"</formula>
    </cfRule>
    <cfRule type="cellIs" dxfId="36" priority="64" operator="equal">
      <formula>"기존 취약점"</formula>
    </cfRule>
    <cfRule type="cellIs" dxfId="35" priority="65" operator="equal">
      <formula>"신규 취약점"</formula>
    </cfRule>
    <cfRule type="cellIs" dxfId="34" priority="66" operator="equal">
      <formula>"확인필요"</formula>
    </cfRule>
    <cfRule type="cellIs" dxfId="33" priority="67" operator="equal">
      <formula>"확인필요"</formula>
    </cfRule>
    <cfRule type="cellIs" dxfId="32" priority="68" operator="equal">
      <formula>"신규취약점"</formula>
    </cfRule>
    <cfRule type="cellIs" dxfId="31" priority="69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BR_L4_2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52" t="str">
        <f ca="1">REPLACE(CELL("filename",A1),1,FIND("]",CELL("filename",A1)),"")</f>
        <v>BR_L4_2</v>
      </c>
      <c r="C4" s="253"/>
      <c r="D4" s="254" t="s">
        <v>155</v>
      </c>
      <c r="E4" s="255"/>
      <c r="F4" s="256" t="str">
        <f ca="1">IFERROR(VLOOKUP($B$4,자산목록!$B$1:$Q$834,8,FALSE),"N/A")</f>
        <v>L4 스위치</v>
      </c>
      <c r="G4" s="257"/>
      <c r="H4" s="56"/>
      <c r="I4" s="47"/>
      <c r="R4" s="25" t="s">
        <v>74</v>
      </c>
      <c r="S4" s="37">
        <f ca="1">IFERROR(VLOOKUP($B$4,자산목록!$B$1:$Q$834,13,FALSE),"N/A")</f>
        <v>0</v>
      </c>
      <c r="T4" s="258" t="s">
        <v>176</v>
      </c>
      <c r="U4" s="259" t="str">
        <f ca="1">IFERROR(VLOOKUP($B$4,자산목록!$B$1:$Q$834,16,FALSE),"N/A")</f>
        <v>L</v>
      </c>
      <c r="X4" s="5"/>
      <c r="Y4" s="5"/>
    </row>
    <row r="5" spans="1:25" ht="17.100000000000001" customHeight="1" thickBot="1">
      <c r="A5" s="115" t="s">
        <v>20</v>
      </c>
      <c r="B5" s="260" t="str">
        <f ca="1">IFERROR(VLOOKUP($B$4,자산목록!$B$1:$Q$834,6,FALSE)&amp;" "&amp;VLOOKUP($B$4,자산목록!$B$1:$Q$834,7,FALSE),"N/A")</f>
        <v>Cisco IOS Software, C3560 Software (C3560-ADVIPSERVICESK9-M) Version 12.2(37)SE1</v>
      </c>
      <c r="C5" s="260"/>
      <c r="D5" s="261" t="s">
        <v>32</v>
      </c>
      <c r="E5" s="261"/>
      <c r="F5" s="260" t="str">
        <f ca="1">IFERROR(VLOOKUP($B$4,자산목록!$B$1:$Q$834,2,FALSE),"N/A")</f>
        <v>10.0.53.13</v>
      </c>
      <c r="G5" s="262"/>
      <c r="H5" s="56"/>
      <c r="I5" s="47"/>
      <c r="R5" s="25" t="s">
        <v>73</v>
      </c>
      <c r="S5" s="37">
        <f ca="1">IFERROR(VLOOKUP($B$4,자산목록!$B$1:$Q$834,14,FALSE),"N/A")</f>
        <v>0</v>
      </c>
      <c r="T5" s="258"/>
      <c r="U5" s="259"/>
      <c r="X5" s="5"/>
      <c r="Y5" s="5"/>
    </row>
    <row r="6" spans="1:25" ht="17.100000000000001" customHeight="1" thickBot="1">
      <c r="A6" s="116" t="s">
        <v>62</v>
      </c>
      <c r="B6" s="263" t="str">
        <f ca="1">IFERROR(VLOOKUP($B$4,자산목록!$B$1:$Q$834,11,FALSE),"N/A")</f>
        <v>김철수</v>
      </c>
      <c r="C6" s="263"/>
      <c r="D6" s="264" t="s">
        <v>160</v>
      </c>
      <c r="E6" s="264"/>
      <c r="F6" s="263" t="str">
        <f ca="1">IFERROR(VLOOKUP($B$4,자산목록!$B$1:$Q$834,9,FALSE),"N/A")</f>
        <v>지사 사내망</v>
      </c>
      <c r="G6" s="265"/>
      <c r="H6" s="56"/>
      <c r="I6" s="47"/>
      <c r="R6" s="25" t="s">
        <v>97</v>
      </c>
      <c r="S6" s="37">
        <f ca="1">IFERROR(VLOOKUP($B$4,자산목록!$B$1:$Q$834,15,FALSE),"N/A")</f>
        <v>0</v>
      </c>
      <c r="T6" s="258"/>
      <c r="U6" s="259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66" t="s">
        <v>79</v>
      </c>
      <c r="B10" s="226"/>
      <c r="C10" s="226"/>
      <c r="D10" s="268" t="s">
        <v>45</v>
      </c>
      <c r="E10" s="269"/>
      <c r="F10" s="269"/>
      <c r="G10" s="269"/>
      <c r="H10" s="269"/>
      <c r="I10" s="270" t="s">
        <v>21</v>
      </c>
      <c r="J10" s="272" t="s">
        <v>157</v>
      </c>
      <c r="K10" s="272"/>
      <c r="L10" s="272"/>
      <c r="M10" s="272"/>
      <c r="N10" s="272"/>
      <c r="O10" s="273"/>
      <c r="R10" s="274" t="s">
        <v>139</v>
      </c>
      <c r="S10" s="274"/>
      <c r="T10" s="274"/>
      <c r="U10" s="274"/>
      <c r="V10" s="275" t="s">
        <v>21</v>
      </c>
      <c r="W10" s="275"/>
      <c r="X10" s="275"/>
      <c r="Y10" s="275"/>
    </row>
    <row r="11" spans="1:25" ht="20.100000000000001" customHeight="1">
      <c r="A11" s="267"/>
      <c r="B11" s="251"/>
      <c r="C11" s="251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71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76" t="s">
        <v>79</v>
      </c>
      <c r="W11" s="276"/>
      <c r="X11" s="11" t="s">
        <v>45</v>
      </c>
      <c r="Y11" s="11" t="s">
        <v>157</v>
      </c>
    </row>
    <row r="12" spans="1:25" ht="32.1" customHeight="1">
      <c r="A12" s="277" t="s">
        <v>124</v>
      </c>
      <c r="B12" s="278"/>
      <c r="C12" s="279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0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82">
        <f>B12</f>
        <v>0</v>
      </c>
      <c r="W12" s="279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77" t="s">
        <v>131</v>
      </c>
      <c r="B13" s="278"/>
      <c r="C13" s="279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5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0.8571428571428571</v>
      </c>
      <c r="I13" s="280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1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12</v>
      </c>
      <c r="T13" s="37">
        <f ca="1">SUMIF($A$21:INDIRECT(ADDRESS(MATCH("",$A:$A,-1),1,1,1)),$A13,$T$21:INDIRECT(ADDRESS(MATCH("",$A:$A,-1),20,1,1)))</f>
        <v>12</v>
      </c>
      <c r="U13" s="37">
        <f ca="1">SUMIF($A$21:INDIRECT(ADDRESS(MATCH("",$A:$A,-1),2,1,1)),$A13&amp;"*",$U$21:INDIRECT(ADDRESS(MATCH("",$A:$A,-1),21,1,1)))</f>
        <v>12</v>
      </c>
      <c r="V13" s="282">
        <f>B13</f>
        <v>0</v>
      </c>
      <c r="W13" s="279"/>
      <c r="X13" s="57">
        <f t="shared" ca="1" si="0"/>
        <v>0.8571428571428571</v>
      </c>
      <c r="Y13" s="57">
        <f t="shared" ref="Y13:Y16" ca="1" si="2">O13</f>
        <v>1</v>
      </c>
    </row>
    <row r="14" spans="1:25" ht="32.1" customHeight="1">
      <c r="A14" s="277" t="s">
        <v>127</v>
      </c>
      <c r="B14" s="278"/>
      <c r="C14" s="279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1</v>
      </c>
      <c r="I14" s="280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3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282">
        <f>B14</f>
        <v>0</v>
      </c>
      <c r="W14" s="279"/>
      <c r="X14" s="57">
        <f t="shared" ca="1" si="0"/>
        <v>1</v>
      </c>
      <c r="Y14" s="57">
        <f t="shared" ca="1" si="2"/>
        <v>1</v>
      </c>
    </row>
    <row r="15" spans="1:25" ht="32.1" customHeight="1">
      <c r="A15" s="277" t="s">
        <v>171</v>
      </c>
      <c r="B15" s="278"/>
      <c r="C15" s="279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0</v>
      </c>
      <c r="H15" s="59">
        <f t="shared" ca="1" si="1"/>
        <v>0.7142857142857143</v>
      </c>
      <c r="I15" s="280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82">
        <f>B15</f>
        <v>0</v>
      </c>
      <c r="W15" s="279"/>
      <c r="X15" s="57">
        <f t="shared" ca="1" si="0"/>
        <v>0.7142857142857143</v>
      </c>
      <c r="Y15" s="57">
        <f t="shared" ca="1" si="2"/>
        <v>0.7142857142857143</v>
      </c>
    </row>
    <row r="16" spans="1:25" ht="32.1" customHeight="1" thickBot="1">
      <c r="A16" s="277" t="s">
        <v>119</v>
      </c>
      <c r="B16" s="278"/>
      <c r="C16" s="279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0.88461538461538458</v>
      </c>
      <c r="I16" s="280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2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83">
        <f>B16</f>
        <v>0</v>
      </c>
      <c r="W16" s="284"/>
      <c r="X16" s="61">
        <f t="shared" ca="1" si="0"/>
        <v>0.88461538461538458</v>
      </c>
      <c r="Y16" s="61">
        <f t="shared" ca="1" si="2"/>
        <v>1.9166666666666667</v>
      </c>
    </row>
    <row r="17" spans="1:25" ht="20.100000000000001" customHeight="1" thickTop="1" thickBot="1">
      <c r="A17" s="285" t="s">
        <v>28</v>
      </c>
      <c r="B17" s="286"/>
      <c r="C17" s="287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0</v>
      </c>
      <c r="H17" s="127">
        <f t="shared" ca="1" si="1"/>
        <v>0.88888888888888884</v>
      </c>
      <c r="I17" s="281"/>
      <c r="J17" s="136">
        <f ca="1">SUM(J12:J16)</f>
        <v>0</v>
      </c>
      <c r="K17" s="125">
        <f ca="1">SUM(K12:K16)</f>
        <v>4</v>
      </c>
      <c r="L17" s="125">
        <f ca="1">SUM(L12:L16)</f>
        <v>0</v>
      </c>
      <c r="M17" s="125">
        <f ca="1">SUM(M12:M16)</f>
        <v>0</v>
      </c>
      <c r="N17" s="128" t="str">
        <f ca="1">IF($O17="N/A","N/A",IFERROR($J17/($F17-(M17-G17)),"N/A"))</f>
        <v>N/A</v>
      </c>
      <c r="O17" s="129">
        <f ca="1">IF($G17=$D17,"N/A",IFERROR((T17/U17),"N/A"))</f>
        <v>1.3333333333333333</v>
      </c>
      <c r="R17" s="39">
        <f ca="1">SUM(R12:R16)</f>
        <v>90</v>
      </c>
      <c r="S17" s="40">
        <f ca="1">SUM(S12:S16)</f>
        <v>80</v>
      </c>
      <c r="T17" s="40">
        <f ca="1">SUM(T12:T16)</f>
        <v>80</v>
      </c>
      <c r="U17" s="39">
        <f ca="1">SUM(U12:U16)</f>
        <v>60</v>
      </c>
      <c r="V17" s="288" t="s">
        <v>30</v>
      </c>
      <c r="W17" s="289"/>
      <c r="X17" s="60">
        <f t="shared" ca="1" si="0"/>
        <v>0.88888888888888884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0" t="s">
        <v>79</v>
      </c>
      <c r="B20" s="291"/>
      <c r="C20" s="292" t="s">
        <v>115</v>
      </c>
      <c r="D20" s="292"/>
      <c r="E20" s="292"/>
      <c r="F20" s="293" t="s">
        <v>67</v>
      </c>
      <c r="G20" s="292"/>
      <c r="H20" s="132" t="s">
        <v>169</v>
      </c>
      <c r="I20" s="133" t="s">
        <v>179</v>
      </c>
      <c r="J20" s="131" t="s">
        <v>157</v>
      </c>
      <c r="K20" s="133" t="s">
        <v>116</v>
      </c>
      <c r="L20" s="300" t="s">
        <v>163</v>
      </c>
      <c r="M20" s="301"/>
      <c r="N20" s="301"/>
      <c r="O20" s="301"/>
      <c r="P20" s="302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295" t="s">
        <v>157</v>
      </c>
      <c r="W20" s="296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297" t="str">
        <f>ChkList!C5</f>
        <v>비밀번호 설정</v>
      </c>
      <c r="D21" s="298"/>
      <c r="E21" s="299"/>
      <c r="F21" s="32" t="str">
        <f>ChkList!D5</f>
        <v>H</v>
      </c>
      <c r="G21" s="32">
        <f>ChkList!E5</f>
        <v>3</v>
      </c>
      <c r="H21" s="29" t="s">
        <v>75</v>
      </c>
      <c r="I21" s="137" t="s">
        <v>269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297" t="s">
        <v>291</v>
      </c>
      <c r="M21" s="298"/>
      <c r="N21" s="298"/>
      <c r="O21" s="298"/>
      <c r="P21" s="299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 ht="24">
      <c r="A22" s="32" t="str">
        <f>ChkList!A6</f>
        <v>계정 관리</v>
      </c>
      <c r="B22" s="32" t="str">
        <f>ChkList!B6</f>
        <v>N-02</v>
      </c>
      <c r="C22" s="297" t="str">
        <f>ChkList!C6</f>
        <v>비밀번호 복잡성 설정</v>
      </c>
      <c r="D22" s="298"/>
      <c r="E22" s="299"/>
      <c r="F22" s="32" t="str">
        <f>ChkList!D6</f>
        <v>H</v>
      </c>
      <c r="G22" s="32">
        <f>ChkList!E6</f>
        <v>3</v>
      </c>
      <c r="H22" s="29" t="s">
        <v>75</v>
      </c>
      <c r="I22" s="137" t="s">
        <v>287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297" t="s">
        <v>293</v>
      </c>
      <c r="M22" s="298"/>
      <c r="N22" s="298"/>
      <c r="O22" s="298"/>
      <c r="P22" s="299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 ht="36">
      <c r="A23" s="32" t="str">
        <f>ChkList!A7</f>
        <v>계정 관리</v>
      </c>
      <c r="B23" s="32" t="str">
        <f>ChkList!B7</f>
        <v>N-03</v>
      </c>
      <c r="C23" s="297" t="str">
        <f>ChkList!C7</f>
        <v>암호화된 비밀번호 사용</v>
      </c>
      <c r="D23" s="298"/>
      <c r="E23" s="299"/>
      <c r="F23" s="32" t="str">
        <f>ChkList!D7</f>
        <v>H</v>
      </c>
      <c r="G23" s="32">
        <f>ChkList!E7</f>
        <v>3</v>
      </c>
      <c r="H23" s="29" t="s">
        <v>75</v>
      </c>
      <c r="I23" s="137" t="s">
        <v>270</v>
      </c>
      <c r="J23" s="29" t="s">
        <v>75</v>
      </c>
      <c r="K23" s="29" t="str">
        <f t="shared" si="3"/>
        <v>Y</v>
      </c>
      <c r="L23" s="297" t="s">
        <v>294</v>
      </c>
      <c r="M23" s="298"/>
      <c r="N23" s="298"/>
      <c r="O23" s="298"/>
      <c r="P23" s="299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 ht="24">
      <c r="A24" s="32" t="str">
        <f>ChkList!A8</f>
        <v>계정 관리</v>
      </c>
      <c r="B24" s="32" t="str">
        <f>ChkList!B8</f>
        <v>N-04</v>
      </c>
      <c r="C24" s="297" t="str">
        <f>ChkList!C8</f>
        <v>계정 잠금 임계값 설정</v>
      </c>
      <c r="D24" s="298"/>
      <c r="E24" s="299"/>
      <c r="F24" s="32" t="str">
        <f>ChkList!D8</f>
        <v>H</v>
      </c>
      <c r="G24" s="32">
        <f>ChkList!E8</f>
        <v>3</v>
      </c>
      <c r="H24" s="29" t="s">
        <v>75</v>
      </c>
      <c r="I24" s="159" t="s">
        <v>288</v>
      </c>
      <c r="J24" s="29" t="s">
        <v>75</v>
      </c>
      <c r="K24" s="29" t="str">
        <f t="shared" si="3"/>
        <v>Y</v>
      </c>
      <c r="L24" s="297" t="s">
        <v>296</v>
      </c>
      <c r="M24" s="298"/>
      <c r="N24" s="298"/>
      <c r="O24" s="298"/>
      <c r="P24" s="299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 ht="24">
      <c r="A25" s="32" t="str">
        <f>ChkList!A9</f>
        <v>계정 관리</v>
      </c>
      <c r="B25" s="32" t="str">
        <f>ChkList!B9</f>
        <v>N-05</v>
      </c>
      <c r="C25" s="297" t="str">
        <f>ChkList!C9</f>
        <v>사용자·명령어별 권한 설정</v>
      </c>
      <c r="D25" s="298"/>
      <c r="E25" s="299"/>
      <c r="F25" s="32" t="str">
        <f>ChkList!D9</f>
        <v>M</v>
      </c>
      <c r="G25" s="32">
        <f>ChkList!E9</f>
        <v>2</v>
      </c>
      <c r="H25" s="29" t="s">
        <v>75</v>
      </c>
      <c r="I25" s="137" t="s">
        <v>289</v>
      </c>
      <c r="J25" s="29" t="s">
        <v>75</v>
      </c>
      <c r="K25" s="29" t="str">
        <f t="shared" si="3"/>
        <v>Y</v>
      </c>
      <c r="L25" s="297" t="s">
        <v>298</v>
      </c>
      <c r="M25" s="298"/>
      <c r="N25" s="298"/>
      <c r="O25" s="298"/>
      <c r="P25" s="299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297" t="str">
        <f>ChkList!C10</f>
        <v>VTY 접근(ACL) 설정</v>
      </c>
      <c r="D26" s="298"/>
      <c r="E26" s="299"/>
      <c r="F26" s="32" t="str">
        <f>ChkList!D10</f>
        <v>H</v>
      </c>
      <c r="G26" s="32">
        <f>ChkList!E10</f>
        <v>3</v>
      </c>
      <c r="H26" s="29" t="s">
        <v>75</v>
      </c>
      <c r="I26" s="137" t="s">
        <v>271</v>
      </c>
      <c r="J26" s="29" t="s">
        <v>75</v>
      </c>
      <c r="K26" s="29" t="str">
        <f t="shared" si="3"/>
        <v>Y</v>
      </c>
      <c r="L26" s="297" t="s">
        <v>299</v>
      </c>
      <c r="M26" s="298"/>
      <c r="N26" s="298"/>
      <c r="O26" s="298"/>
      <c r="P26" s="299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297" t="str">
        <f>ChkList!C11</f>
        <v>Session Timeout 설정</v>
      </c>
      <c r="D27" s="298"/>
      <c r="E27" s="299"/>
      <c r="F27" s="32" t="str">
        <f>ChkList!D11</f>
        <v>H</v>
      </c>
      <c r="G27" s="32">
        <f>ChkList!E11</f>
        <v>3</v>
      </c>
      <c r="H27" s="29" t="s">
        <v>75</v>
      </c>
      <c r="I27" s="137" t="s">
        <v>301</v>
      </c>
      <c r="J27" s="29" t="s">
        <v>75</v>
      </c>
      <c r="K27" s="29" t="str">
        <f t="shared" si="3"/>
        <v>Y</v>
      </c>
      <c r="L27" s="297" t="s">
        <v>302</v>
      </c>
      <c r="M27" s="298"/>
      <c r="N27" s="298"/>
      <c r="O27" s="298"/>
      <c r="P27" s="299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297" t="str">
        <f>ChkList!C12</f>
        <v>VTY 접속 시 안전한 프로토콜 사용</v>
      </c>
      <c r="D28" s="298"/>
      <c r="E28" s="299"/>
      <c r="F28" s="32" t="str">
        <f>ChkList!D12</f>
        <v>M</v>
      </c>
      <c r="G28" s="32">
        <f>ChkList!E12</f>
        <v>2</v>
      </c>
      <c r="H28" s="29" t="s">
        <v>75</v>
      </c>
      <c r="I28" s="137" t="s">
        <v>273</v>
      </c>
      <c r="J28" s="29" t="s">
        <v>75</v>
      </c>
      <c r="K28" s="29" t="str">
        <f t="shared" si="3"/>
        <v>Y</v>
      </c>
      <c r="L28" s="297" t="s">
        <v>303</v>
      </c>
      <c r="M28" s="298"/>
      <c r="N28" s="298"/>
      <c r="O28" s="298"/>
      <c r="P28" s="299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297" t="str">
        <f>ChkList!C13</f>
        <v>불필요한 보조 입출력 포트 사용 금지</v>
      </c>
      <c r="D29" s="298"/>
      <c r="E29" s="299"/>
      <c r="F29" s="32" t="str">
        <f>ChkList!D13</f>
        <v>M</v>
      </c>
      <c r="G29" s="32">
        <f>ChkList!E13</f>
        <v>2</v>
      </c>
      <c r="H29" s="29" t="s">
        <v>75</v>
      </c>
      <c r="I29" s="137" t="s">
        <v>274</v>
      </c>
      <c r="J29" s="29" t="s">
        <v>75</v>
      </c>
      <c r="K29" s="29" t="str">
        <f t="shared" si="3"/>
        <v>Y</v>
      </c>
      <c r="L29" s="297" t="s">
        <v>305</v>
      </c>
      <c r="M29" s="298"/>
      <c r="N29" s="298"/>
      <c r="O29" s="298"/>
      <c r="P29" s="299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297" t="str">
        <f>ChkList!C14</f>
        <v>로그인 시 경고 메시지 설정</v>
      </c>
      <c r="D30" s="298"/>
      <c r="E30" s="299"/>
      <c r="F30" s="32" t="str">
        <f>ChkList!D14</f>
        <v>M</v>
      </c>
      <c r="G30" s="32">
        <f>ChkList!E14</f>
        <v>2</v>
      </c>
      <c r="H30" s="29" t="s">
        <v>217</v>
      </c>
      <c r="I30" s="137" t="s">
        <v>275</v>
      </c>
      <c r="J30" s="29" t="s">
        <v>217</v>
      </c>
      <c r="K30" s="29" t="str">
        <f t="shared" si="3"/>
        <v>미조치</v>
      </c>
      <c r="L30" s="297" t="s">
        <v>307</v>
      </c>
      <c r="M30" s="298"/>
      <c r="N30" s="298"/>
      <c r="O30" s="298"/>
      <c r="P30" s="299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0</v>
      </c>
      <c r="T30" s="32">
        <f>IFERROR(VLOOKUP($F30,'parm(hidden)'!$B$8:$C$10,2,FALSE)*VLOOKUP($K30,$V$22:$W$27,2,FALSE),0)</f>
        <v>0</v>
      </c>
      <c r="U30" s="11">
        <f>IF($J30="N/A",0,VLOOKUP($F30,'parm(hidden)'!$B$8:$C$10,2,FALSE))*1</f>
        <v>2</v>
      </c>
      <c r="Y30" s="10"/>
    </row>
    <row r="31" spans="1:25" ht="36">
      <c r="A31" s="32" t="str">
        <f>ChkList!A15</f>
        <v>접근 관리</v>
      </c>
      <c r="B31" s="32" t="str">
        <f>ChkList!B15</f>
        <v>N-11</v>
      </c>
      <c r="C31" s="297" t="str">
        <f>ChkList!C15</f>
        <v>원격로그 서버 사용</v>
      </c>
      <c r="D31" s="298"/>
      <c r="E31" s="299"/>
      <c r="F31" s="32" t="str">
        <f>ChkList!D15</f>
        <v>M</v>
      </c>
      <c r="G31" s="32">
        <f>ChkList!E15</f>
        <v>2</v>
      </c>
      <c r="H31" s="29" t="s">
        <v>75</v>
      </c>
      <c r="I31" s="137" t="s">
        <v>353</v>
      </c>
      <c r="J31" s="29" t="s">
        <v>58</v>
      </c>
      <c r="K31" s="29" t="str">
        <f t="shared" si="3"/>
        <v>Y</v>
      </c>
      <c r="L31" s="297" t="s">
        <v>308</v>
      </c>
      <c r="M31" s="298"/>
      <c r="N31" s="298"/>
      <c r="O31" s="298"/>
      <c r="P31" s="299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297" t="str">
        <f>ChkList!C16</f>
        <v>주기적 보안 패치 및 벤더 권고사항 적용</v>
      </c>
      <c r="D32" s="298"/>
      <c r="E32" s="299"/>
      <c r="F32" s="32" t="str">
        <f>ChkList!D16</f>
        <v>H</v>
      </c>
      <c r="G32" s="32">
        <f>ChkList!E16</f>
        <v>3</v>
      </c>
      <c r="H32" s="29" t="s">
        <v>75</v>
      </c>
      <c r="I32" s="137" t="s">
        <v>277</v>
      </c>
      <c r="J32" s="29" t="s">
        <v>75</v>
      </c>
      <c r="K32" s="29" t="str">
        <f t="shared" si="3"/>
        <v>Y</v>
      </c>
      <c r="L32" s="297" t="s">
        <v>310</v>
      </c>
      <c r="M32" s="298"/>
      <c r="N32" s="298"/>
      <c r="O32" s="298"/>
      <c r="P32" s="299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3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297" t="str">
        <f>ChkList!C17</f>
        <v>로깅 버퍼 크기 설정</v>
      </c>
      <c r="D33" s="298"/>
      <c r="E33" s="299"/>
      <c r="F33" s="32" t="str">
        <f>ChkList!D17</f>
        <v>M</v>
      </c>
      <c r="G33" s="32">
        <f>ChkList!E17</f>
        <v>2</v>
      </c>
      <c r="H33" s="29" t="s">
        <v>217</v>
      </c>
      <c r="I33" s="137" t="s">
        <v>276</v>
      </c>
      <c r="J33" s="29" t="s">
        <v>217</v>
      </c>
      <c r="K33" s="29" t="str">
        <f t="shared" si="3"/>
        <v>미조치</v>
      </c>
      <c r="L33" s="297" t="s">
        <v>312</v>
      </c>
      <c r="M33" s="298"/>
      <c r="N33" s="298"/>
      <c r="O33" s="298"/>
      <c r="P33" s="299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297" t="str">
        <f>ChkList!C18</f>
        <v>정책에 따른 로깅 설정</v>
      </c>
      <c r="D34" s="298"/>
      <c r="E34" s="299"/>
      <c r="F34" s="32" t="str">
        <f>ChkList!D18</f>
        <v>M</v>
      </c>
      <c r="G34" s="32">
        <f>ChkList!E18</f>
        <v>2</v>
      </c>
      <c r="H34" s="29" t="s">
        <v>75</v>
      </c>
      <c r="I34" s="137" t="s">
        <v>278</v>
      </c>
      <c r="J34" s="29" t="s">
        <v>75</v>
      </c>
      <c r="K34" s="29" t="str">
        <f t="shared" si="3"/>
        <v>Y</v>
      </c>
      <c r="L34" s="297" t="s">
        <v>314</v>
      </c>
      <c r="M34" s="298"/>
      <c r="N34" s="298"/>
      <c r="O34" s="298"/>
      <c r="P34" s="299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 ht="24">
      <c r="A35" s="32" t="str">
        <f>ChkList!A19</f>
        <v>로그 관리</v>
      </c>
      <c r="B35" s="32" t="str">
        <f>ChkList!B19</f>
        <v>N-15</v>
      </c>
      <c r="C35" s="297" t="str">
        <f>ChkList!C19</f>
        <v>NTP 및 시각 동기화 설정</v>
      </c>
      <c r="D35" s="298"/>
      <c r="E35" s="299"/>
      <c r="F35" s="32" t="str">
        <f>ChkList!D19</f>
        <v>M</v>
      </c>
      <c r="G35" s="32">
        <f>ChkList!E19</f>
        <v>2</v>
      </c>
      <c r="H35" s="29" t="s">
        <v>75</v>
      </c>
      <c r="I35" s="137" t="s">
        <v>290</v>
      </c>
      <c r="J35" s="29" t="s">
        <v>75</v>
      </c>
      <c r="K35" s="29" t="str">
        <f t="shared" si="3"/>
        <v>Y</v>
      </c>
      <c r="L35" s="297" t="s">
        <v>316</v>
      </c>
      <c r="M35" s="298"/>
      <c r="N35" s="298"/>
      <c r="O35" s="298"/>
      <c r="P35" s="299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2</v>
      </c>
      <c r="S35" s="32">
        <f>IFERROR(VLOOKUP($F35,'parm(hidden)'!$B$8:$C$10,2,FALSE)*VLOOKUP($H35,'parm(hidden)'!$B$15:$C$19,2,FALSE),0)</f>
        <v>2</v>
      </c>
      <c r="T35" s="32">
        <f>IFERROR(VLOOKUP($F35,'parm(hidden)'!$B$8:$C$10,2,FALSE)*VLOOKUP($K35,$V$22:$W$27,2,FALSE),0)</f>
        <v>2</v>
      </c>
      <c r="U35" s="11">
        <f>IF($J35="N/A",0,VLOOKUP($F35,'parm(hidden)'!$B$8:$C$10,2,FALSE))*1</f>
        <v>2</v>
      </c>
      <c r="Y35" s="10"/>
    </row>
    <row r="36" spans="1:25" ht="36">
      <c r="A36" s="32" t="str">
        <f>ChkList!A20</f>
        <v>로그 관리</v>
      </c>
      <c r="B36" s="32" t="str">
        <f>ChkList!B20</f>
        <v>N-16</v>
      </c>
      <c r="C36" s="297" t="str">
        <f>ChkList!C20</f>
        <v>Timestamp 로그 설정</v>
      </c>
      <c r="D36" s="298"/>
      <c r="E36" s="299"/>
      <c r="F36" s="32" t="str">
        <f>ChkList!D20</f>
        <v>L</v>
      </c>
      <c r="G36" s="32">
        <f>ChkList!E20</f>
        <v>1</v>
      </c>
      <c r="H36" s="29" t="s">
        <v>75</v>
      </c>
      <c r="I36" s="137" t="s">
        <v>233</v>
      </c>
      <c r="J36" s="29" t="s">
        <v>75</v>
      </c>
      <c r="K36" s="29" t="str">
        <f t="shared" si="3"/>
        <v>Y</v>
      </c>
      <c r="L36" s="297" t="s">
        <v>318</v>
      </c>
      <c r="M36" s="298"/>
      <c r="N36" s="298"/>
      <c r="O36" s="298"/>
      <c r="P36" s="299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 ht="36">
      <c r="A37" s="32" t="str">
        <f>ChkList!A21</f>
        <v>기능 관리</v>
      </c>
      <c r="B37" s="32" t="str">
        <f>ChkList!B21</f>
        <v>N-17</v>
      </c>
      <c r="C37" s="297" t="str">
        <f>ChkList!C21</f>
        <v>SNMP 서비스 확인</v>
      </c>
      <c r="D37" s="298"/>
      <c r="E37" s="299"/>
      <c r="F37" s="32" t="str">
        <f>ChkList!D21</f>
        <v>H</v>
      </c>
      <c r="G37" s="32">
        <f>ChkList!E21</f>
        <v>3</v>
      </c>
      <c r="H37" s="29" t="s">
        <v>75</v>
      </c>
      <c r="I37" s="137" t="s">
        <v>233</v>
      </c>
      <c r="J37" s="29" t="s">
        <v>75</v>
      </c>
      <c r="K37" s="29" t="str">
        <f t="shared" si="3"/>
        <v>Y</v>
      </c>
      <c r="L37" s="297" t="s">
        <v>279</v>
      </c>
      <c r="M37" s="298"/>
      <c r="N37" s="298"/>
      <c r="O37" s="298"/>
      <c r="P37" s="299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2" t="str">
        <f>ChkList!A22</f>
        <v>기능 관리</v>
      </c>
      <c r="B38" s="32" t="str">
        <f>ChkList!B22</f>
        <v>N-18</v>
      </c>
      <c r="C38" s="297" t="str">
        <f>ChkList!C22</f>
        <v>SNMP Community String 복잡성 설정</v>
      </c>
      <c r="D38" s="298"/>
      <c r="E38" s="299"/>
      <c r="F38" s="32" t="str">
        <f>ChkList!D22</f>
        <v>H</v>
      </c>
      <c r="G38" s="32">
        <f>ChkList!E22</f>
        <v>3</v>
      </c>
      <c r="H38" s="29" t="s">
        <v>75</v>
      </c>
      <c r="I38" s="137" t="s">
        <v>233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297" t="s">
        <v>280</v>
      </c>
      <c r="M38" s="298"/>
      <c r="N38" s="298"/>
      <c r="O38" s="298"/>
      <c r="P38" s="299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2" t="str">
        <f>ChkList!A23</f>
        <v>기능 관리</v>
      </c>
      <c r="B39" s="32" t="str">
        <f>ChkList!B23</f>
        <v>N-19</v>
      </c>
      <c r="C39" s="297" t="str">
        <f>ChkList!C23</f>
        <v>SNMP ACL 설정</v>
      </c>
      <c r="D39" s="298"/>
      <c r="E39" s="299"/>
      <c r="F39" s="32" t="str">
        <f>ChkList!D23</f>
        <v>H</v>
      </c>
      <c r="G39" s="32">
        <f>ChkList!E23</f>
        <v>3</v>
      </c>
      <c r="H39" s="29" t="s">
        <v>75</v>
      </c>
      <c r="I39" s="137" t="s">
        <v>233</v>
      </c>
      <c r="J39" s="29" t="s">
        <v>75</v>
      </c>
      <c r="K39" s="29" t="str">
        <f t="shared" si="4"/>
        <v>Y</v>
      </c>
      <c r="L39" s="297" t="s">
        <v>280</v>
      </c>
      <c r="M39" s="298"/>
      <c r="N39" s="298"/>
      <c r="O39" s="298"/>
      <c r="P39" s="299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>
      <c r="A40" s="32" t="str">
        <f>ChkList!A24</f>
        <v>기능 관리</v>
      </c>
      <c r="B40" s="32" t="str">
        <f>ChkList!B24</f>
        <v>N-20</v>
      </c>
      <c r="C40" s="297" t="str">
        <f>ChkList!C24</f>
        <v>SNMP Community 권한 설정</v>
      </c>
      <c r="D40" s="298"/>
      <c r="E40" s="299"/>
      <c r="F40" s="32" t="str">
        <f>ChkList!D24</f>
        <v>H</v>
      </c>
      <c r="G40" s="32">
        <f>ChkList!E24</f>
        <v>3</v>
      </c>
      <c r="H40" s="29" t="s">
        <v>75</v>
      </c>
      <c r="I40" s="137" t="s">
        <v>383</v>
      </c>
      <c r="J40" s="29" t="s">
        <v>58</v>
      </c>
      <c r="K40" s="29" t="str">
        <f t="shared" si="4"/>
        <v>Y</v>
      </c>
      <c r="L40" s="297" t="s">
        <v>323</v>
      </c>
      <c r="M40" s="298"/>
      <c r="N40" s="298"/>
      <c r="O40" s="298"/>
      <c r="P40" s="299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297" t="str">
        <f>ChkList!C25</f>
        <v>TFTP 서비스 차단</v>
      </c>
      <c r="D41" s="298"/>
      <c r="E41" s="299"/>
      <c r="F41" s="32" t="str">
        <f>ChkList!D25</f>
        <v>H</v>
      </c>
      <c r="G41" s="32">
        <f>ChkList!E25</f>
        <v>3</v>
      </c>
      <c r="H41" s="29" t="s">
        <v>217</v>
      </c>
      <c r="I41" s="137" t="s">
        <v>282</v>
      </c>
      <c r="J41" s="29" t="s">
        <v>217</v>
      </c>
      <c r="K41" s="29" t="str">
        <f t="shared" si="4"/>
        <v>미조치</v>
      </c>
      <c r="L41" s="297" t="s">
        <v>324</v>
      </c>
      <c r="M41" s="298"/>
      <c r="N41" s="298"/>
      <c r="O41" s="298"/>
      <c r="P41" s="299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297" t="str">
        <f>ChkList!C26</f>
        <v>Spoofing 방지 필터링 적용</v>
      </c>
      <c r="D42" s="298"/>
      <c r="E42" s="299"/>
      <c r="F42" s="32" t="str">
        <f>ChkList!D26</f>
        <v>H</v>
      </c>
      <c r="G42" s="32">
        <f>ChkList!E26</f>
        <v>3</v>
      </c>
      <c r="H42" s="29" t="s">
        <v>217</v>
      </c>
      <c r="I42" s="137" t="s">
        <v>282</v>
      </c>
      <c r="J42" s="29" t="s">
        <v>217</v>
      </c>
      <c r="K42" s="29" t="str">
        <f t="shared" si="4"/>
        <v>미조치</v>
      </c>
      <c r="L42" s="297" t="s">
        <v>325</v>
      </c>
      <c r="M42" s="298"/>
      <c r="N42" s="298"/>
      <c r="O42" s="298"/>
      <c r="P42" s="299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297" t="str">
        <f>ChkList!C27</f>
        <v>DDoS 공격 방어 설정 또는 DDoS 장비 사용</v>
      </c>
      <c r="D43" s="298"/>
      <c r="E43" s="299"/>
      <c r="F43" s="32" t="str">
        <f>ChkList!D27</f>
        <v>H</v>
      </c>
      <c r="G43" s="32">
        <f>ChkList!E27</f>
        <v>3</v>
      </c>
      <c r="H43" s="29" t="s">
        <v>75</v>
      </c>
      <c r="I43" s="137" t="s">
        <v>283</v>
      </c>
      <c r="J43" s="29" t="s">
        <v>75</v>
      </c>
      <c r="K43" s="29" t="str">
        <f t="shared" si="4"/>
        <v>Y</v>
      </c>
      <c r="L43" s="297" t="s">
        <v>326</v>
      </c>
      <c r="M43" s="298"/>
      <c r="N43" s="298"/>
      <c r="O43" s="298"/>
      <c r="P43" s="299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3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2" t="str">
        <f>ChkList!A28</f>
        <v>기능 관리</v>
      </c>
      <c r="B44" s="32" t="str">
        <f>ChkList!B28</f>
        <v>N-24</v>
      </c>
      <c r="C44" s="297" t="str">
        <f>ChkList!C28</f>
        <v>사용하지 않는 인터페이스 비활성화</v>
      </c>
      <c r="D44" s="298"/>
      <c r="E44" s="299"/>
      <c r="F44" s="32" t="str">
        <f>ChkList!D28</f>
        <v>H</v>
      </c>
      <c r="G44" s="32">
        <f>ChkList!E28</f>
        <v>3</v>
      </c>
      <c r="H44" s="29" t="s">
        <v>75</v>
      </c>
      <c r="I44" s="137" t="s">
        <v>354</v>
      </c>
      <c r="J44" s="29" t="s">
        <v>58</v>
      </c>
      <c r="K44" s="29" t="str">
        <f t="shared" si="4"/>
        <v>Y</v>
      </c>
      <c r="L44" s="297" t="s">
        <v>309</v>
      </c>
      <c r="M44" s="298"/>
      <c r="N44" s="298"/>
      <c r="O44" s="298"/>
      <c r="P44" s="299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 ht="36">
      <c r="A45" s="32" t="str">
        <f>ChkList!A29</f>
        <v>기능 관리</v>
      </c>
      <c r="B45" s="32" t="str">
        <f>ChkList!B29</f>
        <v>N-25</v>
      </c>
      <c r="C45" s="297" t="str">
        <f>ChkList!C29</f>
        <v>TCP Keepalive 서비스 설정</v>
      </c>
      <c r="D45" s="298"/>
      <c r="E45" s="299"/>
      <c r="F45" s="32" t="str">
        <f>ChkList!D29</f>
        <v>M</v>
      </c>
      <c r="G45" s="32">
        <f>ChkList!E29</f>
        <v>2</v>
      </c>
      <c r="H45" s="29" t="s">
        <v>75</v>
      </c>
      <c r="I45" s="137" t="s">
        <v>376</v>
      </c>
      <c r="J45" s="29" t="s">
        <v>58</v>
      </c>
      <c r="K45" s="29" t="str">
        <f t="shared" si="4"/>
        <v>Y</v>
      </c>
      <c r="L45" s="297" t="s">
        <v>276</v>
      </c>
      <c r="M45" s="298"/>
      <c r="N45" s="298"/>
      <c r="O45" s="298"/>
      <c r="P45" s="299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 ht="36">
      <c r="A46" s="32" t="str">
        <f>ChkList!A30</f>
        <v>기능 관리</v>
      </c>
      <c r="B46" s="32" t="str">
        <f>ChkList!B30</f>
        <v>N-26</v>
      </c>
      <c r="C46" s="297" t="str">
        <f>ChkList!C30</f>
        <v>Finger 서비스 차단</v>
      </c>
      <c r="D46" s="298"/>
      <c r="E46" s="299"/>
      <c r="F46" s="32" t="str">
        <f>ChkList!D30</f>
        <v>M</v>
      </c>
      <c r="G46" s="32">
        <f>ChkList!E30</f>
        <v>2</v>
      </c>
      <c r="H46" s="29" t="s">
        <v>75</v>
      </c>
      <c r="I46" s="137" t="s">
        <v>356</v>
      </c>
      <c r="J46" s="29" t="s">
        <v>58</v>
      </c>
      <c r="K46" s="29" t="str">
        <f t="shared" si="4"/>
        <v>Y</v>
      </c>
      <c r="L46" s="297" t="s">
        <v>276</v>
      </c>
      <c r="M46" s="298"/>
      <c r="N46" s="298"/>
      <c r="O46" s="298"/>
      <c r="P46" s="299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297" t="str">
        <f>ChkList!C31</f>
        <v>웹 서비스 차단</v>
      </c>
      <c r="D47" s="298"/>
      <c r="E47" s="299"/>
      <c r="F47" s="32" t="str">
        <f>ChkList!D31</f>
        <v>M</v>
      </c>
      <c r="G47" s="32">
        <f>ChkList!E31</f>
        <v>2</v>
      </c>
      <c r="H47" s="29" t="s">
        <v>75</v>
      </c>
      <c r="I47" s="137" t="s">
        <v>357</v>
      </c>
      <c r="J47" s="29" t="s">
        <v>58</v>
      </c>
      <c r="K47" s="29" t="str">
        <f t="shared" si="4"/>
        <v>Y</v>
      </c>
      <c r="L47" s="297" t="s">
        <v>276</v>
      </c>
      <c r="M47" s="298"/>
      <c r="N47" s="298"/>
      <c r="O47" s="298"/>
      <c r="P47" s="299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297" t="str">
        <f>ChkList!C32</f>
        <v>TCP/UDP small 서비스 차단</v>
      </c>
      <c r="D48" s="298"/>
      <c r="E48" s="299"/>
      <c r="F48" s="32" t="str">
        <f>ChkList!D32</f>
        <v>M</v>
      </c>
      <c r="G48" s="32">
        <f>ChkList!E32</f>
        <v>2</v>
      </c>
      <c r="H48" s="29" t="s">
        <v>75</v>
      </c>
      <c r="I48" s="137" t="s">
        <v>375</v>
      </c>
      <c r="J48" s="29" t="s">
        <v>58</v>
      </c>
      <c r="K48" s="29" t="str">
        <f t="shared" si="4"/>
        <v>Y</v>
      </c>
      <c r="L48" s="297" t="s">
        <v>276</v>
      </c>
      <c r="M48" s="298"/>
      <c r="N48" s="298"/>
      <c r="O48" s="298"/>
      <c r="P48" s="299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297" t="str">
        <f>ChkList!C33</f>
        <v>Bootp 서비스 차단</v>
      </c>
      <c r="D49" s="298"/>
      <c r="E49" s="299"/>
      <c r="F49" s="32" t="str">
        <f>ChkList!D33</f>
        <v>M</v>
      </c>
      <c r="G49" s="32">
        <f>ChkList!E33</f>
        <v>2</v>
      </c>
      <c r="H49" s="29" t="s">
        <v>75</v>
      </c>
      <c r="I49" s="137" t="s">
        <v>284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297" t="s">
        <v>331</v>
      </c>
      <c r="M49" s="298"/>
      <c r="N49" s="298"/>
      <c r="O49" s="298"/>
      <c r="P49" s="299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297" t="str">
        <f>ChkList!C34</f>
        <v>CDP 서비스 차단</v>
      </c>
      <c r="D50" s="298"/>
      <c r="E50" s="299"/>
      <c r="F50" s="32" t="str">
        <f>ChkList!D34</f>
        <v>M</v>
      </c>
      <c r="G50" s="32">
        <f>ChkList!E34</f>
        <v>2</v>
      </c>
      <c r="H50" s="29" t="s">
        <v>75</v>
      </c>
      <c r="I50" s="137" t="s">
        <v>384</v>
      </c>
      <c r="J50" s="29" t="s">
        <v>58</v>
      </c>
      <c r="K50" s="29" t="str">
        <f t="shared" si="4"/>
        <v>Y</v>
      </c>
      <c r="L50" s="297" t="s">
        <v>276</v>
      </c>
      <c r="M50" s="298"/>
      <c r="N50" s="298"/>
      <c r="O50" s="298"/>
      <c r="P50" s="299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297" t="str">
        <f>ChkList!C35</f>
        <v>Directed-broadcast 차단</v>
      </c>
      <c r="D51" s="298"/>
      <c r="E51" s="299"/>
      <c r="F51" s="32" t="str">
        <f>ChkList!D35</f>
        <v>M</v>
      </c>
      <c r="G51" s="32">
        <f>ChkList!E35</f>
        <v>2</v>
      </c>
      <c r="H51" s="29" t="s">
        <v>75</v>
      </c>
      <c r="I51" s="137" t="s">
        <v>370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297" t="s">
        <v>276</v>
      </c>
      <c r="M51" s="298"/>
      <c r="N51" s="298"/>
      <c r="O51" s="298"/>
      <c r="P51" s="299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 ht="36">
      <c r="A52" s="32" t="str">
        <f>ChkList!A36</f>
        <v>기능 관리</v>
      </c>
      <c r="B52" s="32" t="str">
        <f>ChkList!B36</f>
        <v>N-32</v>
      </c>
      <c r="C52" s="297" t="str">
        <f>ChkList!C36</f>
        <v>Source Routing 차단</v>
      </c>
      <c r="D52" s="298"/>
      <c r="E52" s="299"/>
      <c r="F52" s="32" t="str">
        <f>ChkList!D36</f>
        <v>M</v>
      </c>
      <c r="G52" s="32">
        <f>ChkList!E36</f>
        <v>2</v>
      </c>
      <c r="H52" s="29" t="s">
        <v>75</v>
      </c>
      <c r="I52" s="137" t="s">
        <v>387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Y</v>
      </c>
      <c r="L52" s="297" t="s">
        <v>276</v>
      </c>
      <c r="M52" s="298"/>
      <c r="N52" s="298"/>
      <c r="O52" s="298"/>
      <c r="P52" s="299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 ht="36">
      <c r="A53" s="32" t="str">
        <f>ChkList!A37</f>
        <v>기능 관리</v>
      </c>
      <c r="B53" s="32" t="str">
        <f>ChkList!B37</f>
        <v>N-33</v>
      </c>
      <c r="C53" s="297" t="str">
        <f>ChkList!C37</f>
        <v>Proxy ARP 차단</v>
      </c>
      <c r="D53" s="298"/>
      <c r="E53" s="299"/>
      <c r="F53" s="32" t="str">
        <f>ChkList!D37</f>
        <v>M</v>
      </c>
      <c r="G53" s="32">
        <f>ChkList!E37</f>
        <v>2</v>
      </c>
      <c r="H53" s="29" t="s">
        <v>75</v>
      </c>
      <c r="I53" s="137" t="s">
        <v>389</v>
      </c>
      <c r="J53" s="29" t="s">
        <v>58</v>
      </c>
      <c r="K53" s="29" t="str">
        <f t="shared" si="5"/>
        <v>Y</v>
      </c>
      <c r="L53" s="297" t="s">
        <v>276</v>
      </c>
      <c r="M53" s="298"/>
      <c r="N53" s="298"/>
      <c r="O53" s="298"/>
      <c r="P53" s="299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 ht="36">
      <c r="A54" s="32" t="str">
        <f>ChkList!A38</f>
        <v>기능 관리</v>
      </c>
      <c r="B54" s="32" t="str">
        <f>ChkList!B38</f>
        <v>N-34</v>
      </c>
      <c r="C54" s="297" t="str">
        <f>ChkList!C38</f>
        <v>ICMP unreachable, redirect 차단</v>
      </c>
      <c r="D54" s="298"/>
      <c r="E54" s="299"/>
      <c r="F54" s="32" t="str">
        <f>ChkList!D38</f>
        <v>M</v>
      </c>
      <c r="G54" s="32">
        <f>ChkList!E38</f>
        <v>2</v>
      </c>
      <c r="H54" s="29" t="s">
        <v>75</v>
      </c>
      <c r="I54" s="137" t="s">
        <v>360</v>
      </c>
      <c r="J54" s="29" t="s">
        <v>58</v>
      </c>
      <c r="K54" s="29" t="str">
        <f t="shared" si="5"/>
        <v>Y</v>
      </c>
      <c r="L54" s="297" t="s">
        <v>276</v>
      </c>
      <c r="M54" s="298"/>
      <c r="N54" s="298"/>
      <c r="O54" s="298"/>
      <c r="P54" s="299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 ht="36">
      <c r="A55" s="32" t="str">
        <f>ChkList!A39</f>
        <v>기능 관리</v>
      </c>
      <c r="B55" s="32" t="str">
        <f>ChkList!B39</f>
        <v>N-35</v>
      </c>
      <c r="C55" s="297" t="str">
        <f>ChkList!C39</f>
        <v>identd 서비스 차단</v>
      </c>
      <c r="D55" s="298"/>
      <c r="E55" s="299"/>
      <c r="F55" s="32" t="str">
        <f>ChkList!D39</f>
        <v>M</v>
      </c>
      <c r="G55" s="32">
        <f>ChkList!E39</f>
        <v>2</v>
      </c>
      <c r="H55" s="29" t="s">
        <v>75</v>
      </c>
      <c r="I55" s="137" t="s">
        <v>374</v>
      </c>
      <c r="J55" s="29" t="s">
        <v>75</v>
      </c>
      <c r="K55" s="29" t="str">
        <f t="shared" si="5"/>
        <v>Y</v>
      </c>
      <c r="L55" s="297" t="s">
        <v>329</v>
      </c>
      <c r="M55" s="298"/>
      <c r="N55" s="298"/>
      <c r="O55" s="298"/>
      <c r="P55" s="299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 ht="36">
      <c r="A56" s="32" t="str">
        <f>ChkList!A40</f>
        <v>기능 관리</v>
      </c>
      <c r="B56" s="32" t="str">
        <f>ChkList!B40</f>
        <v>N-36</v>
      </c>
      <c r="C56" s="297" t="str">
        <f>ChkList!C40</f>
        <v>Domain Lookup 차단</v>
      </c>
      <c r="D56" s="298"/>
      <c r="E56" s="299"/>
      <c r="F56" s="32" t="str">
        <f>ChkList!D40</f>
        <v>M</v>
      </c>
      <c r="G56" s="32">
        <f>ChkList!E40</f>
        <v>2</v>
      </c>
      <c r="H56" s="29" t="s">
        <v>75</v>
      </c>
      <c r="I56" s="137" t="s">
        <v>372</v>
      </c>
      <c r="J56" s="29" t="s">
        <v>58</v>
      </c>
      <c r="K56" s="29" t="str">
        <f t="shared" si="5"/>
        <v>Y</v>
      </c>
      <c r="L56" s="297" t="s">
        <v>276</v>
      </c>
      <c r="M56" s="298"/>
      <c r="N56" s="298"/>
      <c r="O56" s="298"/>
      <c r="P56" s="299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 ht="36">
      <c r="A57" s="32" t="str">
        <f>ChkList!A41</f>
        <v>기능 관리</v>
      </c>
      <c r="B57" s="32" t="str">
        <f>ChkList!B41</f>
        <v>N-37</v>
      </c>
      <c r="C57" s="297" t="str">
        <f>ChkList!C41</f>
        <v>pad 차단</v>
      </c>
      <c r="D57" s="298"/>
      <c r="E57" s="299"/>
      <c r="F57" s="32" t="str">
        <f>ChkList!D41</f>
        <v>M</v>
      </c>
      <c r="G57" s="32">
        <f>ChkList!E41</f>
        <v>2</v>
      </c>
      <c r="H57" s="29" t="s">
        <v>75</v>
      </c>
      <c r="I57" s="137" t="s">
        <v>362</v>
      </c>
      <c r="J57" s="29" t="s">
        <v>58</v>
      </c>
      <c r="K57" s="29" t="str">
        <f t="shared" si="5"/>
        <v>Y</v>
      </c>
      <c r="L57" s="297" t="s">
        <v>276</v>
      </c>
      <c r="M57" s="298"/>
      <c r="N57" s="298"/>
      <c r="O57" s="298"/>
      <c r="P57" s="299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 ht="36">
      <c r="A58" s="32" t="str">
        <f>ChkList!A42</f>
        <v>기능 관리</v>
      </c>
      <c r="B58" s="32" t="str">
        <f>ChkList!B42</f>
        <v>N-38</v>
      </c>
      <c r="C58" s="297" t="str">
        <f>ChkList!C42</f>
        <v>mask-reply 차단</v>
      </c>
      <c r="D58" s="298"/>
      <c r="E58" s="299"/>
      <c r="F58" s="32" t="str">
        <f>ChkList!D42</f>
        <v>M</v>
      </c>
      <c r="G58" s="32">
        <f>ChkList!E42</f>
        <v>2</v>
      </c>
      <c r="H58" s="29" t="s">
        <v>75</v>
      </c>
      <c r="I58" s="137" t="s">
        <v>286</v>
      </c>
      <c r="J58" s="29" t="s">
        <v>75</v>
      </c>
      <c r="K58" s="29" t="str">
        <f t="shared" si="5"/>
        <v>Y</v>
      </c>
      <c r="L58" s="297" t="s">
        <v>327</v>
      </c>
      <c r="M58" s="298"/>
      <c r="N58" s="298"/>
      <c r="O58" s="298"/>
      <c r="P58" s="299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30" priority="1" stopIfTrue="1" operator="equal">
      <formula>"인터뷰"</formula>
    </cfRule>
    <cfRule type="cellIs" dxfId="29" priority="2" stopIfTrue="1" operator="equal">
      <formula>"R/A"</formula>
    </cfRule>
    <cfRule type="cellIs" dxfId="28" priority="3" stopIfTrue="1" operator="equal">
      <formula>"N/A"</formula>
    </cfRule>
    <cfRule type="cellIs" dxfId="27" priority="4" stopIfTrue="1" operator="equal">
      <formula>"N"</formula>
    </cfRule>
    <cfRule type="expression" dxfId="26" priority="5">
      <formula>OR(IF(H21=0,1,0),IF(H21="-",1,0))</formula>
    </cfRule>
  </conditionalFormatting>
  <conditionalFormatting sqref="J21:J58">
    <cfRule type="cellIs" dxfId="25" priority="21" stopIfTrue="1" operator="equal">
      <formula>"인터뷰"</formula>
    </cfRule>
    <cfRule type="cellIs" dxfId="24" priority="22" stopIfTrue="1" operator="equal">
      <formula>"R/A"</formula>
    </cfRule>
    <cfRule type="cellIs" dxfId="23" priority="23" stopIfTrue="1" operator="equal">
      <formula>"N/A"</formula>
    </cfRule>
    <cfRule type="cellIs" dxfId="22" priority="24" stopIfTrue="1" operator="equal">
      <formula>"N"</formula>
    </cfRule>
    <cfRule type="expression" dxfId="21" priority="25">
      <formula>OR(IF(J21=0,1,0),IF(J21="-",1,0))</formula>
    </cfRule>
  </conditionalFormatting>
  <conditionalFormatting sqref="K21:K58">
    <cfRule type="cellIs" dxfId="20" priority="54" operator="equal">
      <formula>"위험수용"</formula>
    </cfRule>
    <cfRule type="cellIs" dxfId="19" priority="55" operator="equal">
      <formula>"미조치"</formula>
    </cfRule>
    <cfRule type="cellIs" dxfId="18" priority="56" operator="equal">
      <formula>"조치"</formula>
    </cfRule>
    <cfRule type="cellIs" dxfId="17" priority="57" stopIfTrue="1" operator="equal">
      <formula>"인터뷰"</formula>
    </cfRule>
    <cfRule type="cellIs" dxfId="16" priority="58" stopIfTrue="1" operator="equal">
      <formula>"R/A"</formula>
    </cfRule>
    <cfRule type="cellIs" dxfId="15" priority="59" stopIfTrue="1" operator="equal">
      <formula>"N/A"</formula>
    </cfRule>
    <cfRule type="cellIs" dxfId="14" priority="60" stopIfTrue="1" operator="equal">
      <formula>"N"</formula>
    </cfRule>
    <cfRule type="expression" dxfId="13" priority="61">
      <formula>OR(IF(K21=0,1,0),IF(K21="-",1,0))</formula>
    </cfRule>
  </conditionalFormatting>
  <conditionalFormatting sqref="L21:L58">
    <cfRule type="cellIs" dxfId="12" priority="16" stopIfTrue="1" operator="equal">
      <formula>"인터뷰"</formula>
    </cfRule>
    <cfRule type="cellIs" dxfId="11" priority="17" stopIfTrue="1" operator="equal">
      <formula>"R/A"</formula>
    </cfRule>
    <cfRule type="cellIs" dxfId="10" priority="18" stopIfTrue="1" operator="equal">
      <formula>"N/A"</formula>
    </cfRule>
    <cfRule type="cellIs" dxfId="9" priority="19" stopIfTrue="1" operator="equal">
      <formula>"N"</formula>
    </cfRule>
    <cfRule type="expression" dxfId="8" priority="20">
      <formula>OR(IF(L21=0,1,0),IF(L21="-",1,0))</formula>
    </cfRule>
  </conditionalFormatting>
  <conditionalFormatting sqref="Y21:Y58">
    <cfRule type="cellIs" dxfId="7" priority="62" operator="equal">
      <formula>"신규 취약점(즉시조치)"</formula>
    </cfRule>
    <cfRule type="cellIs" dxfId="6" priority="63" operator="equal">
      <formula>"기존 취약점(즉시조치)"</formula>
    </cfRule>
    <cfRule type="cellIs" dxfId="5" priority="64" operator="equal">
      <formula>"기존 취약점"</formula>
    </cfRule>
    <cfRule type="cellIs" dxfId="4" priority="65" operator="equal">
      <formula>"신규 취약점"</formula>
    </cfRule>
    <cfRule type="cellIs" dxfId="3" priority="66" operator="equal">
      <formula>"확인필요"</formula>
    </cfRule>
    <cfRule type="cellIs" dxfId="2" priority="67" operator="equal">
      <formula>"확인필요"</formula>
    </cfRule>
    <cfRule type="cellIs" dxfId="1" priority="68" operator="equal">
      <formula>"신규취약점"</formula>
    </cfRule>
    <cfRule type="cellIs" dxfId="0" priority="69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0" fitToHeight="0" orientation="portrait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19</vt:i4>
      </vt:variant>
    </vt:vector>
  </HeadingPairs>
  <TitlesOfParts>
    <vt:vector size="37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HQ_L3_1</vt:lpstr>
      <vt:lpstr>HQ_L3_2</vt:lpstr>
      <vt:lpstr>BR_L3_1</vt:lpstr>
      <vt:lpstr>BR_L3_2</vt:lpstr>
      <vt:lpstr>headquarter</vt:lpstr>
      <vt:lpstr>branch</vt:lpstr>
      <vt:lpstr>HQ_L4_1</vt:lpstr>
      <vt:lpstr>HQ_L4_2</vt:lpstr>
      <vt:lpstr>BR_L4_1</vt:lpstr>
      <vt:lpstr>BR_L4_2</vt:lpstr>
      <vt:lpstr>BR_L3_1!Print_Area</vt:lpstr>
      <vt:lpstr>BR_L3_2!Print_Area</vt:lpstr>
      <vt:lpstr>BR_L4_1!Print_Area</vt:lpstr>
      <vt:lpstr>BR_L4_2!Print_Area</vt:lpstr>
      <vt:lpstr>branch!Print_Area</vt:lpstr>
      <vt:lpstr>ChkList!Print_Area</vt:lpstr>
      <vt:lpstr>headquarter!Print_Area</vt:lpstr>
      <vt:lpstr>HQ_L3_1!Print_Area</vt:lpstr>
      <vt:lpstr>HQ_L3_2!Print_Area</vt:lpstr>
      <vt:lpstr>HQ_L4_1!Print_Area</vt:lpstr>
      <vt:lpstr>HQ_L4_2!Print_Area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28</cp:revision>
  <dcterms:created xsi:type="dcterms:W3CDTF">2005-07-28T00:20:00Z</dcterms:created>
  <dcterms:modified xsi:type="dcterms:W3CDTF">2026-06-29T00:11:28Z</dcterms:modified>
  <cp:version>1300.0100.01</cp:version>
</cp:coreProperties>
</file>
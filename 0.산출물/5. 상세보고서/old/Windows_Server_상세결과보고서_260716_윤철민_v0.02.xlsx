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+xml"/>
  <Override PartName="/xl/charts/chart4.xml" ContentType="application/vnd.openxmlformats-officedocument.drawingml.chart+xml"/>
  <Override PartName="/xl/drawings/drawing7.xml" ContentType="application/vnd.openxmlformats-officedocument.drawing+xml"/>
  <Override PartName="/xl/charts/chart5.xml" ContentType="application/vnd.openxmlformats-officedocument.drawingml.chart+xml"/>
  <Override PartName="/xl/drawings/drawing8.xml" ContentType="application/vnd.openxmlformats-officedocument.drawing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secure_0900\final_project\final_project\0.산출물\5. 상세보고서\"/>
    </mc:Choice>
  </mc:AlternateContent>
  <bookViews>
    <workbookView xWindow="-90" yWindow="0" windowWidth="12975" windowHeight="15375" tabRatio="851" firstSheet="1" activeTab="8"/>
  </bookViews>
  <sheets>
    <sheet name="표지" sheetId="1" r:id="rId1"/>
    <sheet name="자산목록" sheetId="2" r:id="rId2"/>
    <sheet name="parm(hidden)" sheetId="3" state="hidden" r:id="rId3"/>
    <sheet name="ChkList" sheetId="4" r:id="rId4"/>
    <sheet name="취약점 진단 통계" sheetId="5" r:id="rId5"/>
    <sheet name="취약점 진단 통계 (이행)" sheetId="6" state="hidden" r:id="rId6"/>
    <sheet name="취약점 진단 항목별 통계" sheetId="7" r:id="rId7"/>
    <sheet name="취약점 진단 항목별 통계 (이행)" sheetId="8" r:id="rId8"/>
    <sheet name="DHCP_HQ_Win" sheetId="9" r:id="rId9"/>
    <sheet name="DNS_HQ_Win" sheetId="10" r:id="rId10"/>
    <sheet name="DHCP_BR_Win" sheetId="11" r:id="rId11"/>
    <sheet name="DNS_BR_Win" sheetId="12" r:id="rId12"/>
  </sheets>
  <definedNames>
    <definedName name="_10월_변동내역_메모_확인">#REF!</definedName>
    <definedName name="_xlnm._FilterDatabase" localSheetId="3" hidden="1">ChkList!$A$4:$F$39</definedName>
    <definedName name="_xlnm._FilterDatabase" localSheetId="10" hidden="1">DHCP_BR_Win!$A$20:$X$84</definedName>
    <definedName name="_xlnm._FilterDatabase" localSheetId="8" hidden="1">DHCP_HQ_Win!$A$20:$X$84</definedName>
    <definedName name="_xlnm._FilterDatabase" localSheetId="11" hidden="1">DNS_BR_Win!$A$20:$X$84</definedName>
    <definedName name="_xlnm._FilterDatabase" localSheetId="9" hidden="1">DNS_HQ_Win!$A$20:$X$84</definedName>
    <definedName name="_xlnm._FilterDatabase" localSheetId="6" hidden="1">'취약점 진단 항목별 통계'!$F$4:$J$73</definedName>
    <definedName name="_xlnm._FilterDatabase" localSheetId="7" hidden="1">'취약점 진단 항목별 통계 (이행)'!$F$4:$J$87</definedName>
    <definedName name="_Order1">255</definedName>
    <definedName name="_Order2">255</definedName>
    <definedName name="asd">#REF!</definedName>
    <definedName name="HTML_CodePage">949</definedName>
    <definedName name="HTML_Control">{"'손익현황'!$A$1:$J$29"}</definedName>
    <definedName name="HTML_Description">""</definedName>
    <definedName name="HTML_Email">""</definedName>
    <definedName name="HTML_Header">"손익현황"</definedName>
    <definedName name="HTML_LastUpdate">"99-04-13"</definedName>
    <definedName name="HTML_LineAfter">FALSE</definedName>
    <definedName name="HTML_LineBefore">FALSE</definedName>
    <definedName name="HTML_Name">"윤찬영"</definedName>
    <definedName name="HTML_OBDlg2">TRUE</definedName>
    <definedName name="HTML_OBDlg4">TRUE</definedName>
    <definedName name="HTML_OS">0</definedName>
    <definedName name="HTML_PathFile">"C:\d7100\MyHTML.htm"</definedName>
    <definedName name="HTML_Title">"결산요약보고3월"</definedName>
    <definedName name="MPLS">#REF!</definedName>
    <definedName name="MPLS2">#REF!</definedName>
    <definedName name="MPLSLine">#REF!</definedName>
    <definedName name="N_A">#REF!</definedName>
    <definedName name="O">#REF!</definedName>
    <definedName name="P">#REF!</definedName>
    <definedName name="_xlnm.Print_Area" localSheetId="3">ChkList!$A$1:$E$68</definedName>
    <definedName name="_xlnm.Print_Area" localSheetId="10">DHCP_BR_Win!$A$1:$Q$84</definedName>
    <definedName name="_xlnm.Print_Area" localSheetId="8">DHCP_HQ_Win!$A$1:$Q$84</definedName>
    <definedName name="_xlnm.Print_Area" localSheetId="11">DNS_BR_Win!$A$1:$Q$84</definedName>
    <definedName name="_xlnm.Print_Area" localSheetId="9">DNS_HQ_Win!$A$1:$Q$84</definedName>
    <definedName name="_xlnm.Print_Area" localSheetId="1">자산목록!$A$1:$Q$8</definedName>
    <definedName name="_xlnm.Print_Area" localSheetId="4">'취약점 진단 통계'!$A$1:$L$49</definedName>
    <definedName name="_xlnm.Print_Area" localSheetId="5">'취약점 진단 통계 (이행)'!$A$1:$U$44</definedName>
    <definedName name="_xlnm.Print_Area" localSheetId="6">'취약점 진단 항목별 통계'!$A$1:$R$87</definedName>
    <definedName name="_xlnm.Print_Area" localSheetId="7">'취약점 진단 항목별 통계 (이행)'!$A$1:$T$87</definedName>
    <definedName name="_xlnm.Print_Area" localSheetId="0">표지!$A$1:$K$14</definedName>
    <definedName name="_xlnm.Print_Titles" localSheetId="6">'취약점 진단 항목별 통계'!$A:$L</definedName>
    <definedName name="_xlnm.Print_Titles" localSheetId="7">'취약점 진단 항목별 통계 (이행)'!$A:$Q</definedName>
    <definedName name="X">#REF!</definedName>
    <definedName name="건물">{"'손익현황'!$A$1:$J$29"}</definedName>
    <definedName name="건물임.">{"'손익현황'!$A$1:$J$29"}</definedName>
    <definedName name="공">{"'손익현황'!$A$1:$J$29"}</definedName>
    <definedName name="공구">{"'손익현황'!$A$1:$J$29"}</definedName>
    <definedName name="공구기구">{"'손익현황'!$A$1:$J$29"}</definedName>
    <definedName name="구">{"'손익현황'!$A$1:$J$29"}</definedName>
    <definedName name="구축물">{"'손익현황'!$A$1:$J$29"}</definedName>
    <definedName name="구축물임">{"'손익현황'!$A$1:$J$29"}</definedName>
    <definedName name="기계장치">{"'손익현황'!$A$1:$J$29"}</definedName>
    <definedName name="기술2팀">#REF!</definedName>
    <definedName name="기준반영">#REF!</definedName>
    <definedName name="동의여부">#REF!</definedName>
    <definedName name="ㅅㅅㅅ">{"'손익현황'!$A$1:$J$29"}</definedName>
    <definedName name="적정성">#REF!</definedName>
    <definedName name="차량운반구">{"'손익현황'!$A$1:$J$29"}</definedName>
    <definedName name="훈">255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2" i="12" l="1"/>
  <c r="G22" i="12"/>
  <c r="F23" i="12"/>
  <c r="G23" i="12"/>
  <c r="F24" i="12"/>
  <c r="G24" i="12"/>
  <c r="F25" i="12"/>
  <c r="G25" i="12"/>
  <c r="F26" i="12"/>
  <c r="G26" i="12"/>
  <c r="F27" i="12"/>
  <c r="G27" i="12"/>
  <c r="F28" i="12"/>
  <c r="G28" i="12"/>
  <c r="F29" i="12"/>
  <c r="G29" i="12"/>
  <c r="F30" i="12"/>
  <c r="G30" i="12"/>
  <c r="F31" i="12"/>
  <c r="G31" i="12"/>
  <c r="F32" i="12"/>
  <c r="G32" i="12"/>
  <c r="F33" i="12"/>
  <c r="G33" i="12"/>
  <c r="F34" i="12"/>
  <c r="G34" i="12"/>
  <c r="F35" i="12"/>
  <c r="G35" i="12"/>
  <c r="F36" i="12"/>
  <c r="G36" i="12"/>
  <c r="F37" i="12"/>
  <c r="G37" i="12"/>
  <c r="F38" i="12"/>
  <c r="G38" i="12"/>
  <c r="F39" i="12"/>
  <c r="G39" i="12"/>
  <c r="F40" i="12"/>
  <c r="G40" i="12"/>
  <c r="F41" i="12"/>
  <c r="G41" i="12"/>
  <c r="F42" i="12"/>
  <c r="G42" i="12"/>
  <c r="F43" i="12"/>
  <c r="G43" i="12"/>
  <c r="F44" i="12"/>
  <c r="G44" i="12"/>
  <c r="F45" i="12"/>
  <c r="G45" i="12"/>
  <c r="F46" i="12"/>
  <c r="G46" i="12"/>
  <c r="F47" i="12"/>
  <c r="G47" i="12"/>
  <c r="F48" i="12"/>
  <c r="G48" i="12"/>
  <c r="F49" i="12"/>
  <c r="G49" i="12"/>
  <c r="F50" i="12"/>
  <c r="G50" i="12"/>
  <c r="F51" i="12"/>
  <c r="G51" i="12"/>
  <c r="F52" i="12"/>
  <c r="G52" i="12"/>
  <c r="F53" i="12"/>
  <c r="G53" i="12"/>
  <c r="F54" i="12"/>
  <c r="G54" i="12"/>
  <c r="F55" i="12"/>
  <c r="G55" i="12"/>
  <c r="F56" i="12"/>
  <c r="G56" i="12"/>
  <c r="F57" i="12"/>
  <c r="G57" i="12"/>
  <c r="F58" i="12"/>
  <c r="G58" i="12"/>
  <c r="F59" i="12"/>
  <c r="G59" i="12"/>
  <c r="F60" i="12"/>
  <c r="G60" i="12"/>
  <c r="F61" i="12"/>
  <c r="G61" i="12"/>
  <c r="F62" i="12"/>
  <c r="G62" i="12"/>
  <c r="F63" i="12"/>
  <c r="G63" i="12"/>
  <c r="F64" i="12"/>
  <c r="G64" i="12"/>
  <c r="F65" i="12"/>
  <c r="G65" i="12"/>
  <c r="F66" i="12"/>
  <c r="G66" i="12"/>
  <c r="F67" i="12"/>
  <c r="G67" i="12"/>
  <c r="F68" i="12"/>
  <c r="G68" i="12"/>
  <c r="F69" i="12"/>
  <c r="G69" i="12"/>
  <c r="F70" i="12"/>
  <c r="G70" i="12"/>
  <c r="F71" i="12"/>
  <c r="G71" i="12"/>
  <c r="F72" i="12"/>
  <c r="G72" i="12"/>
  <c r="F73" i="12"/>
  <c r="G73" i="12"/>
  <c r="F74" i="12"/>
  <c r="G74" i="12"/>
  <c r="F75" i="12"/>
  <c r="G75" i="12"/>
  <c r="F76" i="12"/>
  <c r="G76" i="12"/>
  <c r="F77" i="12"/>
  <c r="G77" i="12"/>
  <c r="F78" i="12"/>
  <c r="G78" i="12"/>
  <c r="F79" i="12"/>
  <c r="G79" i="12"/>
  <c r="F80" i="12"/>
  <c r="G80" i="12"/>
  <c r="F81" i="12"/>
  <c r="G81" i="12"/>
  <c r="F82" i="12"/>
  <c r="G82" i="12"/>
  <c r="F83" i="12"/>
  <c r="G83" i="12"/>
  <c r="F84" i="12"/>
  <c r="G84" i="12"/>
  <c r="C22" i="12"/>
  <c r="C23" i="12"/>
  <c r="C24" i="12"/>
  <c r="C25" i="12"/>
  <c r="C26" i="12"/>
  <c r="C27" i="12"/>
  <c r="C28" i="12"/>
  <c r="C29" i="12"/>
  <c r="C30" i="12"/>
  <c r="C31" i="12"/>
  <c r="C32" i="12"/>
  <c r="C33" i="12"/>
  <c r="C34" i="12"/>
  <c r="C35" i="12"/>
  <c r="C36" i="12"/>
  <c r="C37" i="12"/>
  <c r="C38" i="12"/>
  <c r="C39" i="12"/>
  <c r="C40" i="12"/>
  <c r="C41" i="12"/>
  <c r="C42" i="12"/>
  <c r="C43" i="12"/>
  <c r="C44" i="12"/>
  <c r="C45" i="12"/>
  <c r="C46" i="12"/>
  <c r="C47" i="12"/>
  <c r="C48" i="12"/>
  <c r="C49" i="12"/>
  <c r="C50" i="12"/>
  <c r="C51" i="12"/>
  <c r="C52" i="12"/>
  <c r="C53" i="12"/>
  <c r="C54" i="12"/>
  <c r="C55" i="12"/>
  <c r="C56" i="12"/>
  <c r="C57" i="12"/>
  <c r="C58" i="12"/>
  <c r="C59" i="12"/>
  <c r="C60" i="12"/>
  <c r="C61" i="12"/>
  <c r="C62" i="12"/>
  <c r="C63" i="12"/>
  <c r="C64" i="12"/>
  <c r="C65" i="12"/>
  <c r="C66" i="12"/>
  <c r="C67" i="12"/>
  <c r="C68" i="12"/>
  <c r="C69" i="12"/>
  <c r="C70" i="12"/>
  <c r="C71" i="12"/>
  <c r="C72" i="12"/>
  <c r="C73" i="12"/>
  <c r="C74" i="12"/>
  <c r="C75" i="12"/>
  <c r="C76" i="12"/>
  <c r="C77" i="12"/>
  <c r="C78" i="12"/>
  <c r="C79" i="12"/>
  <c r="C80" i="12"/>
  <c r="C81" i="12"/>
  <c r="C82" i="12"/>
  <c r="C83" i="12"/>
  <c r="C84" i="12"/>
  <c r="B22" i="12"/>
  <c r="B23" i="12"/>
  <c r="B24" i="12"/>
  <c r="B25" i="12"/>
  <c r="B26" i="12"/>
  <c r="B27" i="12"/>
  <c r="B28" i="12"/>
  <c r="B29" i="12"/>
  <c r="B30" i="12"/>
  <c r="B31" i="12"/>
  <c r="B32" i="12"/>
  <c r="B33" i="12"/>
  <c r="B34" i="12"/>
  <c r="B35" i="12"/>
  <c r="B36" i="12"/>
  <c r="B37" i="12"/>
  <c r="B38" i="12"/>
  <c r="B39" i="12"/>
  <c r="B40" i="12"/>
  <c r="B41" i="12"/>
  <c r="B42" i="12"/>
  <c r="B43" i="12"/>
  <c r="B44" i="12"/>
  <c r="B45" i="12"/>
  <c r="B46" i="12"/>
  <c r="B47" i="12"/>
  <c r="B48" i="12"/>
  <c r="B49" i="12"/>
  <c r="B50" i="12"/>
  <c r="B51" i="12"/>
  <c r="B52" i="12"/>
  <c r="B53" i="12"/>
  <c r="B54" i="12"/>
  <c r="B55" i="12"/>
  <c r="B56" i="12"/>
  <c r="B57" i="12"/>
  <c r="B58" i="12"/>
  <c r="B59" i="12"/>
  <c r="B60" i="12"/>
  <c r="B61" i="12"/>
  <c r="B62" i="12"/>
  <c r="B63" i="12"/>
  <c r="B64" i="12"/>
  <c r="B65" i="12"/>
  <c r="B66" i="12"/>
  <c r="B67" i="12"/>
  <c r="B68" i="12"/>
  <c r="B69" i="12"/>
  <c r="B70" i="12"/>
  <c r="B71" i="12"/>
  <c r="B72" i="12"/>
  <c r="B73" i="12"/>
  <c r="B74" i="12"/>
  <c r="B75" i="12"/>
  <c r="B76" i="12"/>
  <c r="B77" i="12"/>
  <c r="B78" i="12"/>
  <c r="B79" i="12"/>
  <c r="B80" i="12"/>
  <c r="B81" i="12"/>
  <c r="B82" i="12"/>
  <c r="B83" i="12"/>
  <c r="B84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A37" i="12"/>
  <c r="A38" i="12"/>
  <c r="A39" i="12"/>
  <c r="A40" i="12"/>
  <c r="A41" i="12"/>
  <c r="A42" i="12"/>
  <c r="A43" i="12"/>
  <c r="A44" i="12"/>
  <c r="A45" i="12"/>
  <c r="A46" i="12"/>
  <c r="A47" i="12"/>
  <c r="A48" i="12"/>
  <c r="A49" i="12"/>
  <c r="A50" i="12"/>
  <c r="A51" i="12"/>
  <c r="A52" i="12"/>
  <c r="A53" i="12"/>
  <c r="A54" i="12"/>
  <c r="A55" i="12"/>
  <c r="A56" i="12"/>
  <c r="A57" i="12"/>
  <c r="A58" i="12"/>
  <c r="A59" i="12"/>
  <c r="A60" i="12"/>
  <c r="A61" i="12"/>
  <c r="A62" i="12"/>
  <c r="A63" i="12"/>
  <c r="A64" i="12"/>
  <c r="A65" i="12"/>
  <c r="A66" i="12"/>
  <c r="A67" i="12"/>
  <c r="A68" i="12"/>
  <c r="A69" i="12"/>
  <c r="A70" i="12"/>
  <c r="A71" i="12"/>
  <c r="A72" i="12"/>
  <c r="A73" i="12"/>
  <c r="A74" i="12"/>
  <c r="A75" i="12"/>
  <c r="A76" i="12"/>
  <c r="A77" i="12"/>
  <c r="A78" i="12"/>
  <c r="A79" i="12"/>
  <c r="A80" i="12"/>
  <c r="A81" i="12"/>
  <c r="A82" i="12"/>
  <c r="A83" i="12"/>
  <c r="A84" i="12"/>
  <c r="F22" i="11"/>
  <c r="G22" i="11"/>
  <c r="F23" i="11"/>
  <c r="G23" i="11"/>
  <c r="F24" i="11"/>
  <c r="G24" i="11"/>
  <c r="F25" i="11"/>
  <c r="G25" i="11"/>
  <c r="F26" i="11"/>
  <c r="G26" i="11"/>
  <c r="F27" i="11"/>
  <c r="G27" i="11"/>
  <c r="F28" i="11"/>
  <c r="G28" i="11"/>
  <c r="F29" i="11"/>
  <c r="G29" i="11"/>
  <c r="F30" i="11"/>
  <c r="G30" i="11"/>
  <c r="F31" i="11"/>
  <c r="G31" i="11"/>
  <c r="F32" i="11"/>
  <c r="G32" i="11"/>
  <c r="F33" i="11"/>
  <c r="G33" i="11"/>
  <c r="F34" i="11"/>
  <c r="G34" i="11"/>
  <c r="F35" i="11"/>
  <c r="G35" i="11"/>
  <c r="F36" i="11"/>
  <c r="G36" i="11"/>
  <c r="F37" i="11"/>
  <c r="G37" i="11"/>
  <c r="F38" i="11"/>
  <c r="G38" i="11"/>
  <c r="F39" i="11"/>
  <c r="G39" i="11"/>
  <c r="F40" i="11"/>
  <c r="G40" i="11"/>
  <c r="F41" i="11"/>
  <c r="G41" i="11"/>
  <c r="F42" i="11"/>
  <c r="G42" i="11"/>
  <c r="F43" i="11"/>
  <c r="G43" i="11"/>
  <c r="F44" i="11"/>
  <c r="G44" i="11"/>
  <c r="F45" i="11"/>
  <c r="G45" i="11"/>
  <c r="F46" i="11"/>
  <c r="G46" i="11"/>
  <c r="F47" i="11"/>
  <c r="G47" i="11"/>
  <c r="F48" i="11"/>
  <c r="G48" i="11"/>
  <c r="F49" i="11"/>
  <c r="G49" i="11"/>
  <c r="F50" i="11"/>
  <c r="G50" i="11"/>
  <c r="F51" i="11"/>
  <c r="G51" i="11"/>
  <c r="F52" i="11"/>
  <c r="G52" i="11"/>
  <c r="F53" i="11"/>
  <c r="G53" i="11"/>
  <c r="F54" i="11"/>
  <c r="G54" i="11"/>
  <c r="F55" i="11"/>
  <c r="G55" i="11"/>
  <c r="F56" i="11"/>
  <c r="G56" i="11"/>
  <c r="F57" i="11"/>
  <c r="G57" i="11"/>
  <c r="F58" i="11"/>
  <c r="G58" i="11"/>
  <c r="F59" i="11"/>
  <c r="G59" i="11"/>
  <c r="F60" i="11"/>
  <c r="G60" i="11"/>
  <c r="F61" i="11"/>
  <c r="G61" i="11"/>
  <c r="F62" i="11"/>
  <c r="G62" i="11"/>
  <c r="F63" i="11"/>
  <c r="G63" i="11"/>
  <c r="F64" i="11"/>
  <c r="G64" i="11"/>
  <c r="F65" i="11"/>
  <c r="G65" i="11"/>
  <c r="F66" i="11"/>
  <c r="G66" i="11"/>
  <c r="F67" i="11"/>
  <c r="G67" i="11"/>
  <c r="F68" i="11"/>
  <c r="G68" i="11"/>
  <c r="F69" i="11"/>
  <c r="G69" i="11"/>
  <c r="F70" i="11"/>
  <c r="G70" i="11"/>
  <c r="F71" i="11"/>
  <c r="G71" i="11"/>
  <c r="F72" i="11"/>
  <c r="G72" i="11"/>
  <c r="F73" i="11"/>
  <c r="G73" i="11"/>
  <c r="F74" i="11"/>
  <c r="G74" i="11"/>
  <c r="F75" i="11"/>
  <c r="G75" i="11"/>
  <c r="F76" i="11"/>
  <c r="G76" i="11"/>
  <c r="F77" i="11"/>
  <c r="G77" i="11"/>
  <c r="F78" i="11"/>
  <c r="G78" i="11"/>
  <c r="F79" i="11"/>
  <c r="G79" i="11"/>
  <c r="F80" i="11"/>
  <c r="G80" i="11"/>
  <c r="F81" i="11"/>
  <c r="G81" i="11"/>
  <c r="F82" i="11"/>
  <c r="G82" i="11"/>
  <c r="F83" i="11"/>
  <c r="G83" i="11"/>
  <c r="F84" i="11"/>
  <c r="G84" i="11"/>
  <c r="C22" i="11"/>
  <c r="C23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C37" i="11"/>
  <c r="C38" i="11"/>
  <c r="C39" i="11"/>
  <c r="C40" i="11"/>
  <c r="C41" i="11"/>
  <c r="C42" i="11"/>
  <c r="C43" i="11"/>
  <c r="C44" i="11"/>
  <c r="C45" i="11"/>
  <c r="C46" i="11"/>
  <c r="C47" i="11"/>
  <c r="C48" i="11"/>
  <c r="C49" i="11"/>
  <c r="C50" i="11"/>
  <c r="C51" i="11"/>
  <c r="C52" i="11"/>
  <c r="C53" i="11"/>
  <c r="C54" i="11"/>
  <c r="C55" i="11"/>
  <c r="C56" i="11"/>
  <c r="C57" i="11"/>
  <c r="C58" i="11"/>
  <c r="C59" i="11"/>
  <c r="C60" i="11"/>
  <c r="C61" i="11"/>
  <c r="C62" i="11"/>
  <c r="C63" i="11"/>
  <c r="C64" i="11"/>
  <c r="C65" i="11"/>
  <c r="C66" i="11"/>
  <c r="C67" i="11"/>
  <c r="C68" i="11"/>
  <c r="C69" i="11"/>
  <c r="C70" i="11"/>
  <c r="C71" i="11"/>
  <c r="C72" i="11"/>
  <c r="C73" i="11"/>
  <c r="C74" i="11"/>
  <c r="C75" i="11"/>
  <c r="C76" i="11"/>
  <c r="C77" i="11"/>
  <c r="C78" i="11"/>
  <c r="C79" i="11"/>
  <c r="C80" i="11"/>
  <c r="C81" i="11"/>
  <c r="C82" i="11"/>
  <c r="C83" i="11"/>
  <c r="C84" i="11"/>
  <c r="B22" i="11"/>
  <c r="B23" i="11"/>
  <c r="B24" i="11"/>
  <c r="B25" i="11"/>
  <c r="B26" i="11"/>
  <c r="B27" i="11"/>
  <c r="B28" i="11"/>
  <c r="B29" i="11"/>
  <c r="B30" i="11"/>
  <c r="B31" i="11"/>
  <c r="B32" i="11"/>
  <c r="B33" i="11"/>
  <c r="B34" i="11"/>
  <c r="B35" i="11"/>
  <c r="B36" i="11"/>
  <c r="B37" i="11"/>
  <c r="B38" i="11"/>
  <c r="B39" i="11"/>
  <c r="B40" i="11"/>
  <c r="B41" i="11"/>
  <c r="B42" i="11"/>
  <c r="B43" i="11"/>
  <c r="B44" i="11"/>
  <c r="B45" i="11"/>
  <c r="B46" i="11"/>
  <c r="B47" i="11"/>
  <c r="B48" i="11"/>
  <c r="B49" i="11"/>
  <c r="B50" i="11"/>
  <c r="B51" i="11"/>
  <c r="B52" i="11"/>
  <c r="B53" i="11"/>
  <c r="B54" i="11"/>
  <c r="B55" i="11"/>
  <c r="B56" i="11"/>
  <c r="B57" i="11"/>
  <c r="B58" i="11"/>
  <c r="B59" i="11"/>
  <c r="B60" i="11"/>
  <c r="B61" i="11"/>
  <c r="B62" i="11"/>
  <c r="B63" i="11"/>
  <c r="B64" i="11"/>
  <c r="B65" i="11"/>
  <c r="B66" i="11"/>
  <c r="B67" i="11"/>
  <c r="B68" i="11"/>
  <c r="B69" i="11"/>
  <c r="B70" i="11"/>
  <c r="B71" i="11"/>
  <c r="B72" i="11"/>
  <c r="B73" i="11"/>
  <c r="B74" i="11"/>
  <c r="B75" i="11"/>
  <c r="B76" i="11"/>
  <c r="B77" i="11"/>
  <c r="B78" i="11"/>
  <c r="B79" i="11"/>
  <c r="B80" i="11"/>
  <c r="B81" i="11"/>
  <c r="B82" i="11"/>
  <c r="B83" i="11"/>
  <c r="B84" i="11"/>
  <c r="A22" i="11"/>
  <c r="A23" i="11"/>
  <c r="A24" i="11"/>
  <c r="A25" i="11"/>
  <c r="A26" i="11"/>
  <c r="A27" i="11"/>
  <c r="A28" i="11"/>
  <c r="A29" i="11"/>
  <c r="A30" i="11"/>
  <c r="A31" i="11"/>
  <c r="A32" i="11"/>
  <c r="A33" i="11"/>
  <c r="A34" i="11"/>
  <c r="A35" i="11"/>
  <c r="A36" i="11"/>
  <c r="A37" i="11"/>
  <c r="A38" i="11"/>
  <c r="A39" i="11"/>
  <c r="A40" i="11"/>
  <c r="A41" i="11"/>
  <c r="A42" i="11"/>
  <c r="A43" i="11"/>
  <c r="A44" i="11"/>
  <c r="A45" i="11"/>
  <c r="A46" i="11"/>
  <c r="A47" i="11"/>
  <c r="A48" i="11"/>
  <c r="A49" i="11"/>
  <c r="A50" i="11"/>
  <c r="A51" i="11"/>
  <c r="A52" i="11"/>
  <c r="A53" i="11"/>
  <c r="A54" i="11"/>
  <c r="A55" i="11"/>
  <c r="A56" i="11"/>
  <c r="A57" i="11"/>
  <c r="A58" i="11"/>
  <c r="A59" i="11"/>
  <c r="A60" i="11"/>
  <c r="A61" i="11"/>
  <c r="A62" i="11"/>
  <c r="A63" i="11"/>
  <c r="A64" i="11"/>
  <c r="A65" i="11"/>
  <c r="A66" i="11"/>
  <c r="A67" i="11"/>
  <c r="A68" i="11"/>
  <c r="A69" i="11"/>
  <c r="A70" i="11"/>
  <c r="A71" i="11"/>
  <c r="A72" i="11"/>
  <c r="A73" i="11"/>
  <c r="A74" i="11"/>
  <c r="A75" i="11"/>
  <c r="A76" i="11"/>
  <c r="A77" i="11"/>
  <c r="A78" i="11"/>
  <c r="A79" i="11"/>
  <c r="A80" i="11"/>
  <c r="A81" i="11"/>
  <c r="A82" i="11"/>
  <c r="A83" i="11"/>
  <c r="A84" i="11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56" i="10"/>
  <c r="B57" i="10"/>
  <c r="B58" i="10"/>
  <c r="B59" i="10"/>
  <c r="B60" i="10"/>
  <c r="B61" i="10"/>
  <c r="B62" i="10"/>
  <c r="B63" i="10"/>
  <c r="B64" i="10"/>
  <c r="B65" i="10"/>
  <c r="B66" i="10"/>
  <c r="B67" i="10"/>
  <c r="B68" i="10"/>
  <c r="B69" i="10"/>
  <c r="B70" i="10"/>
  <c r="B71" i="10"/>
  <c r="B72" i="10"/>
  <c r="B73" i="10"/>
  <c r="B74" i="10"/>
  <c r="B75" i="10"/>
  <c r="B76" i="10"/>
  <c r="B77" i="10"/>
  <c r="B78" i="10"/>
  <c r="B79" i="10"/>
  <c r="B80" i="10"/>
  <c r="B81" i="10"/>
  <c r="B82" i="10"/>
  <c r="B83" i="10"/>
  <c r="B84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69" i="10"/>
  <c r="A70" i="10"/>
  <c r="A71" i="10"/>
  <c r="A72" i="10"/>
  <c r="A73" i="10"/>
  <c r="A74" i="10"/>
  <c r="A75" i="10"/>
  <c r="A76" i="10"/>
  <c r="A77" i="10"/>
  <c r="A78" i="10"/>
  <c r="A79" i="10"/>
  <c r="A80" i="10"/>
  <c r="A81" i="10"/>
  <c r="A82" i="10"/>
  <c r="A83" i="10"/>
  <c r="A84" i="10"/>
  <c r="K22" i="9"/>
  <c r="K23" i="9"/>
  <c r="K24" i="9"/>
  <c r="K25" i="9"/>
  <c r="K26" i="9"/>
  <c r="K27" i="9"/>
  <c r="K28" i="9"/>
  <c r="K29" i="9"/>
  <c r="K30" i="9"/>
  <c r="K31" i="9"/>
  <c r="K32" i="9"/>
  <c r="K33" i="9"/>
  <c r="K34" i="9"/>
  <c r="K35" i="9"/>
  <c r="K36" i="9"/>
  <c r="K37" i="9"/>
  <c r="K38" i="9"/>
  <c r="K39" i="9"/>
  <c r="K40" i="9"/>
  <c r="K41" i="9"/>
  <c r="K42" i="9"/>
  <c r="K43" i="9"/>
  <c r="K44" i="9"/>
  <c r="K45" i="9"/>
  <c r="K46" i="9"/>
  <c r="K47" i="9"/>
  <c r="K48" i="9"/>
  <c r="K49" i="9"/>
  <c r="K50" i="9"/>
  <c r="K51" i="9"/>
  <c r="K52" i="9"/>
  <c r="K53" i="9"/>
  <c r="K54" i="9"/>
  <c r="K55" i="9"/>
  <c r="K56" i="9"/>
  <c r="K57" i="9"/>
  <c r="K58" i="9"/>
  <c r="K59" i="9"/>
  <c r="K60" i="9"/>
  <c r="K61" i="9"/>
  <c r="K62" i="9"/>
  <c r="K63" i="9"/>
  <c r="K64" i="9"/>
  <c r="K65" i="9"/>
  <c r="K66" i="9"/>
  <c r="K67" i="9"/>
  <c r="K68" i="9"/>
  <c r="K69" i="9"/>
  <c r="K70" i="9"/>
  <c r="K71" i="9"/>
  <c r="K72" i="9"/>
  <c r="K73" i="9"/>
  <c r="K74" i="9"/>
  <c r="K75" i="9"/>
  <c r="K76" i="9"/>
  <c r="K77" i="9"/>
  <c r="K78" i="9"/>
  <c r="K79" i="9"/>
  <c r="K80" i="9"/>
  <c r="K81" i="9"/>
  <c r="K82" i="9"/>
  <c r="K83" i="9"/>
  <c r="K84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F79" i="9"/>
  <c r="F80" i="9"/>
  <c r="F81" i="9"/>
  <c r="F82" i="9"/>
  <c r="F83" i="9"/>
  <c r="F84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74" i="9"/>
  <c r="B75" i="9"/>
  <c r="B76" i="9"/>
  <c r="B77" i="9"/>
  <c r="B78" i="9"/>
  <c r="B79" i="9"/>
  <c r="B80" i="9"/>
  <c r="B81" i="9"/>
  <c r="B82" i="9"/>
  <c r="B83" i="9"/>
  <c r="B84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41" i="9"/>
  <c r="A42" i="9"/>
  <c r="A43" i="9"/>
  <c r="A44" i="9"/>
  <c r="A45" i="9"/>
  <c r="A46" i="9"/>
  <c r="A47" i="9"/>
  <c r="A48" i="9"/>
  <c r="A49" i="9"/>
  <c r="A50" i="9"/>
  <c r="A51" i="9"/>
  <c r="A52" i="9"/>
  <c r="A53" i="9"/>
  <c r="A54" i="9"/>
  <c r="A55" i="9"/>
  <c r="A56" i="9"/>
  <c r="A57" i="9"/>
  <c r="A58" i="9"/>
  <c r="A59" i="9"/>
  <c r="A60" i="9"/>
  <c r="A61" i="9"/>
  <c r="A62" i="9"/>
  <c r="A63" i="9"/>
  <c r="A64" i="9"/>
  <c r="A65" i="9"/>
  <c r="A66" i="9"/>
  <c r="A67" i="9"/>
  <c r="A68" i="9"/>
  <c r="A69" i="9"/>
  <c r="A70" i="9"/>
  <c r="A71" i="9"/>
  <c r="A72" i="9"/>
  <c r="A73" i="9"/>
  <c r="A74" i="9"/>
  <c r="A75" i="9"/>
  <c r="A76" i="9"/>
  <c r="A77" i="9"/>
  <c r="A78" i="9"/>
  <c r="A79" i="9"/>
  <c r="A80" i="9"/>
  <c r="A81" i="9"/>
  <c r="A82" i="9"/>
  <c r="A83" i="9"/>
  <c r="A84" i="9"/>
  <c r="A47" i="5"/>
  <c r="A43" i="5"/>
  <c r="A44" i="5"/>
  <c r="A48" i="5"/>
  <c r="A46" i="5"/>
  <c r="A45" i="5"/>
  <c r="C43" i="5" l="1"/>
  <c r="C47" i="5"/>
  <c r="C48" i="5"/>
  <c r="C46" i="5"/>
  <c r="C45" i="5"/>
  <c r="C44" i="5"/>
  <c r="R8" i="2" l="1"/>
  <c r="Q8" i="2" s="1"/>
  <c r="J46" i="5"/>
  <c r="I46" i="5"/>
  <c r="E47" i="5"/>
  <c r="G46" i="5"/>
  <c r="K46" i="5"/>
  <c r="K47" i="5"/>
  <c r="E46" i="5"/>
  <c r="I47" i="5"/>
  <c r="H46" i="5"/>
  <c r="H47" i="5"/>
  <c r="G47" i="5"/>
  <c r="J47" i="5"/>
  <c r="F47" i="5" l="1"/>
  <c r="F46" i="5"/>
  <c r="Q84" i="12"/>
  <c r="K84" i="12"/>
  <c r="T84" i="12" s="1"/>
  <c r="Q83" i="12"/>
  <c r="K83" i="12"/>
  <c r="U83" i="12"/>
  <c r="Q82" i="12"/>
  <c r="K82" i="12"/>
  <c r="Q81" i="12"/>
  <c r="K81" i="12"/>
  <c r="U81" i="12"/>
  <c r="Q80" i="12"/>
  <c r="K80" i="12"/>
  <c r="Q79" i="12"/>
  <c r="K79" i="12"/>
  <c r="U79" i="12"/>
  <c r="U78" i="12"/>
  <c r="Q78" i="12"/>
  <c r="K78" i="12"/>
  <c r="Q77" i="12"/>
  <c r="K77" i="12"/>
  <c r="R77" i="12"/>
  <c r="Q76" i="12"/>
  <c r="K76" i="12"/>
  <c r="S76" i="12"/>
  <c r="Q75" i="12"/>
  <c r="K75" i="12"/>
  <c r="U75" i="12"/>
  <c r="Q74" i="12"/>
  <c r="K74" i="12"/>
  <c r="Q73" i="12"/>
  <c r="K73" i="12"/>
  <c r="T73" i="12" s="1"/>
  <c r="Q72" i="12"/>
  <c r="K72" i="12"/>
  <c r="U72" i="12"/>
  <c r="Q71" i="12"/>
  <c r="K71" i="12"/>
  <c r="T71" i="12" s="1"/>
  <c r="Q70" i="12"/>
  <c r="K70" i="12"/>
  <c r="T70" i="12" s="1"/>
  <c r="Q69" i="12"/>
  <c r="K69" i="12"/>
  <c r="U69" i="12"/>
  <c r="Q68" i="12"/>
  <c r="K68" i="12"/>
  <c r="T68" i="12"/>
  <c r="Q67" i="12"/>
  <c r="K67" i="12"/>
  <c r="U67" i="12"/>
  <c r="Q66" i="12"/>
  <c r="K66" i="12"/>
  <c r="T66" i="12"/>
  <c r="U65" i="12"/>
  <c r="Q65" i="12"/>
  <c r="K65" i="12"/>
  <c r="U64" i="12"/>
  <c r="Q64" i="12"/>
  <c r="K64" i="12"/>
  <c r="T64" i="12" s="1"/>
  <c r="U63" i="12"/>
  <c r="Q63" i="12"/>
  <c r="K63" i="12"/>
  <c r="R63" i="12"/>
  <c r="U62" i="12"/>
  <c r="Q62" i="12"/>
  <c r="K62" i="12"/>
  <c r="T62" i="12"/>
  <c r="U61" i="12"/>
  <c r="Q61" i="12"/>
  <c r="K61" i="12"/>
  <c r="S61" i="12"/>
  <c r="U60" i="12"/>
  <c r="Q60" i="12"/>
  <c r="K60" i="12"/>
  <c r="S60" i="12"/>
  <c r="U59" i="12"/>
  <c r="Q59" i="12"/>
  <c r="K59" i="12"/>
  <c r="S59" i="12"/>
  <c r="U58" i="12"/>
  <c r="K58" i="12"/>
  <c r="K57" i="12"/>
  <c r="S57" i="12"/>
  <c r="K56" i="12"/>
  <c r="U56" i="12"/>
  <c r="K55" i="12"/>
  <c r="U55" i="12"/>
  <c r="K54" i="12"/>
  <c r="R54" i="12"/>
  <c r="K53" i="12"/>
  <c r="U53" i="12"/>
  <c r="K52" i="12"/>
  <c r="U52" i="12"/>
  <c r="K51" i="12"/>
  <c r="U51" i="12"/>
  <c r="K50" i="12"/>
  <c r="R50" i="12"/>
  <c r="K49" i="12"/>
  <c r="S49" i="12"/>
  <c r="K48" i="12"/>
  <c r="U48" i="12"/>
  <c r="K47" i="12"/>
  <c r="U47" i="12"/>
  <c r="K46" i="12"/>
  <c r="K45" i="12"/>
  <c r="U45" i="12"/>
  <c r="K44" i="12"/>
  <c r="U44" i="12"/>
  <c r="K43" i="12"/>
  <c r="K42" i="12"/>
  <c r="R42" i="12"/>
  <c r="U41" i="12"/>
  <c r="K41" i="12"/>
  <c r="S41" i="12"/>
  <c r="K40" i="12"/>
  <c r="U40" i="12"/>
  <c r="K39" i="12"/>
  <c r="U39" i="12"/>
  <c r="K38" i="12"/>
  <c r="U38" i="12"/>
  <c r="K37" i="12"/>
  <c r="K36" i="12"/>
  <c r="U36" i="12"/>
  <c r="K35" i="12"/>
  <c r="U35" i="12"/>
  <c r="K34" i="12"/>
  <c r="R34" i="12"/>
  <c r="K33" i="12"/>
  <c r="S33" i="12"/>
  <c r="K32" i="12"/>
  <c r="K31" i="12"/>
  <c r="U31" i="12"/>
  <c r="K30" i="12"/>
  <c r="U30" i="12"/>
  <c r="K29" i="12"/>
  <c r="K28" i="12"/>
  <c r="U28" i="12"/>
  <c r="K27" i="12"/>
  <c r="U27" i="12"/>
  <c r="K26" i="12"/>
  <c r="K25" i="12"/>
  <c r="S25" i="12"/>
  <c r="K24" i="12"/>
  <c r="K23" i="12"/>
  <c r="U23" i="12"/>
  <c r="K22" i="12"/>
  <c r="U22" i="12"/>
  <c r="Q21" i="12"/>
  <c r="K21" i="12"/>
  <c r="F21" i="12"/>
  <c r="C21" i="12"/>
  <c r="B21" i="12"/>
  <c r="A21" i="12"/>
  <c r="V16" i="12"/>
  <c r="V15" i="12"/>
  <c r="V14" i="12"/>
  <c r="V13" i="12"/>
  <c r="V12" i="12"/>
  <c r="B4" i="12"/>
  <c r="A1" i="12" s="1"/>
  <c r="Q84" i="11"/>
  <c r="K84" i="11"/>
  <c r="Q83" i="11"/>
  <c r="K83" i="11"/>
  <c r="U83" i="11"/>
  <c r="Q82" i="11"/>
  <c r="K82" i="11"/>
  <c r="Q81" i="11"/>
  <c r="K81" i="11"/>
  <c r="U81" i="11"/>
  <c r="Q80" i="11"/>
  <c r="K80" i="11"/>
  <c r="R80" i="11"/>
  <c r="Q79" i="11"/>
  <c r="K79" i="11"/>
  <c r="R79" i="11"/>
  <c r="U78" i="11"/>
  <c r="Q78" i="11"/>
  <c r="K78" i="11"/>
  <c r="Q77" i="11"/>
  <c r="K77" i="11"/>
  <c r="U77" i="11"/>
  <c r="Q76" i="11"/>
  <c r="K76" i="11"/>
  <c r="U76" i="11"/>
  <c r="Q75" i="11"/>
  <c r="K75" i="11"/>
  <c r="U75" i="11"/>
  <c r="Q74" i="11"/>
  <c r="K74" i="11"/>
  <c r="R74" i="11"/>
  <c r="Q73" i="11"/>
  <c r="K73" i="11"/>
  <c r="U73" i="11"/>
  <c r="Q72" i="11"/>
  <c r="K72" i="11"/>
  <c r="Q71" i="11"/>
  <c r="K71" i="11"/>
  <c r="S71" i="11"/>
  <c r="Q70" i="11"/>
  <c r="K70" i="11"/>
  <c r="Q69" i="11"/>
  <c r="K69" i="11"/>
  <c r="U69" i="11"/>
  <c r="Q68" i="11"/>
  <c r="K68" i="11"/>
  <c r="Q67" i="11"/>
  <c r="K67" i="11"/>
  <c r="U67" i="11"/>
  <c r="Q66" i="11"/>
  <c r="K66" i="11"/>
  <c r="U65" i="11"/>
  <c r="Q65" i="11"/>
  <c r="K65" i="11"/>
  <c r="U64" i="11"/>
  <c r="Q64" i="11"/>
  <c r="K64" i="11"/>
  <c r="U63" i="11"/>
  <c r="Q63" i="11"/>
  <c r="K63" i="11"/>
  <c r="R63" i="11"/>
  <c r="U62" i="11"/>
  <c r="Q62" i="11"/>
  <c r="K62" i="11"/>
  <c r="U61" i="11"/>
  <c r="Q61" i="11"/>
  <c r="K61" i="11"/>
  <c r="T61" i="11" s="1"/>
  <c r="U60" i="11"/>
  <c r="Q60" i="11"/>
  <c r="K60" i="11"/>
  <c r="U59" i="11"/>
  <c r="Q59" i="11"/>
  <c r="K59" i="11"/>
  <c r="R59" i="11"/>
  <c r="U58" i="11"/>
  <c r="K58" i="11"/>
  <c r="S58" i="11"/>
  <c r="K57" i="11"/>
  <c r="U57" i="11"/>
  <c r="K56" i="11"/>
  <c r="K55" i="11"/>
  <c r="U55" i="11"/>
  <c r="K54" i="11"/>
  <c r="R54" i="11"/>
  <c r="K53" i="11"/>
  <c r="T53" i="11"/>
  <c r="K52" i="11"/>
  <c r="U52" i="11"/>
  <c r="K51" i="11"/>
  <c r="U51" i="11"/>
  <c r="K50" i="11"/>
  <c r="T50" i="11"/>
  <c r="K49" i="11"/>
  <c r="U49" i="11"/>
  <c r="K48" i="11"/>
  <c r="K47" i="11"/>
  <c r="S47" i="11"/>
  <c r="K46" i="11"/>
  <c r="T46" i="11" s="1"/>
  <c r="K45" i="11"/>
  <c r="K44" i="11"/>
  <c r="K43" i="11"/>
  <c r="U43" i="11"/>
  <c r="K42" i="11"/>
  <c r="R42" i="11"/>
  <c r="U41" i="11"/>
  <c r="K41" i="11"/>
  <c r="K40" i="11"/>
  <c r="K39" i="11"/>
  <c r="U39" i="11"/>
  <c r="K38" i="11"/>
  <c r="U38" i="11"/>
  <c r="K37" i="11"/>
  <c r="K36" i="11"/>
  <c r="K35" i="11"/>
  <c r="U35" i="11"/>
  <c r="K34" i="11"/>
  <c r="R34" i="11"/>
  <c r="K33" i="11"/>
  <c r="U33" i="11"/>
  <c r="K32" i="11"/>
  <c r="K31" i="11"/>
  <c r="R31" i="11"/>
  <c r="K30" i="11"/>
  <c r="K29" i="11"/>
  <c r="U29" i="11"/>
  <c r="K28" i="11"/>
  <c r="K27" i="11"/>
  <c r="U27" i="11"/>
  <c r="K26" i="11"/>
  <c r="U26" i="11"/>
  <c r="K25" i="11"/>
  <c r="T25" i="11"/>
  <c r="K24" i="11"/>
  <c r="K23" i="11"/>
  <c r="U23" i="11"/>
  <c r="K22" i="11"/>
  <c r="S22" i="11"/>
  <c r="Q21" i="11"/>
  <c r="K21" i="11"/>
  <c r="F21" i="11"/>
  <c r="U21" i="11" s="1"/>
  <c r="C21" i="11"/>
  <c r="B21" i="11"/>
  <c r="A21" i="11"/>
  <c r="V16" i="11"/>
  <c r="V15" i="11"/>
  <c r="V14" i="11"/>
  <c r="V13" i="11"/>
  <c r="V12" i="11"/>
  <c r="B4" i="11"/>
  <c r="A1" i="11" s="1"/>
  <c r="Q84" i="10"/>
  <c r="K84" i="10"/>
  <c r="Q83" i="10"/>
  <c r="K83" i="10"/>
  <c r="Q82" i="10"/>
  <c r="K82" i="10"/>
  <c r="Q81" i="10"/>
  <c r="K81" i="10"/>
  <c r="U81" i="10"/>
  <c r="Q80" i="10"/>
  <c r="K80" i="10"/>
  <c r="U80" i="10"/>
  <c r="Q79" i="10"/>
  <c r="K79" i="10"/>
  <c r="T79" i="10" s="1"/>
  <c r="U78" i="10"/>
  <c r="Q78" i="10"/>
  <c r="K78" i="10"/>
  <c r="Q77" i="10"/>
  <c r="K77" i="10"/>
  <c r="U77" i="10"/>
  <c r="Q76" i="10"/>
  <c r="K76" i="10"/>
  <c r="U76" i="10"/>
  <c r="Q75" i="10"/>
  <c r="K75" i="10"/>
  <c r="S75" i="10"/>
  <c r="Q74" i="10"/>
  <c r="K74" i="10"/>
  <c r="U74" i="10"/>
  <c r="Q73" i="10"/>
  <c r="K73" i="10"/>
  <c r="R73" i="10"/>
  <c r="Q72" i="10"/>
  <c r="K72" i="10"/>
  <c r="Q71" i="10"/>
  <c r="K71" i="10"/>
  <c r="Q70" i="10"/>
  <c r="K70" i="10"/>
  <c r="U70" i="10"/>
  <c r="Q69" i="10"/>
  <c r="K69" i="10"/>
  <c r="U69" i="10"/>
  <c r="Q68" i="10"/>
  <c r="K68" i="10"/>
  <c r="R68" i="10"/>
  <c r="Q67" i="10"/>
  <c r="K67" i="10"/>
  <c r="U67" i="10"/>
  <c r="Q66" i="10"/>
  <c r="K66" i="10"/>
  <c r="R66" i="10"/>
  <c r="U65" i="10"/>
  <c r="Q65" i="10"/>
  <c r="K65" i="10"/>
  <c r="U64" i="10"/>
  <c r="Q64" i="10"/>
  <c r="K64" i="10"/>
  <c r="R64" i="10"/>
  <c r="U63" i="10"/>
  <c r="Q63" i="10"/>
  <c r="K63" i="10"/>
  <c r="T63" i="10" s="1"/>
  <c r="U62" i="10"/>
  <c r="Q62" i="10"/>
  <c r="K62" i="10"/>
  <c r="R62" i="10"/>
  <c r="U61" i="10"/>
  <c r="Q61" i="10"/>
  <c r="K61" i="10"/>
  <c r="S61" i="10"/>
  <c r="U60" i="10"/>
  <c r="Q60" i="10"/>
  <c r="K60" i="10"/>
  <c r="U59" i="10"/>
  <c r="Q59" i="10"/>
  <c r="K59" i="10"/>
  <c r="R59" i="10"/>
  <c r="U58" i="10"/>
  <c r="K58" i="10"/>
  <c r="K57" i="10"/>
  <c r="T57" i="10" s="1"/>
  <c r="K56" i="10"/>
  <c r="K55" i="10"/>
  <c r="R55" i="10"/>
  <c r="K54" i="10"/>
  <c r="S54" i="10"/>
  <c r="K53" i="10"/>
  <c r="R53" i="10"/>
  <c r="K52" i="10"/>
  <c r="U52" i="10"/>
  <c r="K51" i="10"/>
  <c r="U51" i="10"/>
  <c r="K50" i="10"/>
  <c r="U50" i="10"/>
  <c r="K49" i="10"/>
  <c r="R49" i="10"/>
  <c r="K48" i="10"/>
  <c r="K47" i="10"/>
  <c r="U47" i="10"/>
  <c r="K46" i="10"/>
  <c r="K45" i="10"/>
  <c r="R45" i="10"/>
  <c r="K44" i="10"/>
  <c r="R44" i="10"/>
  <c r="K43" i="10"/>
  <c r="U43" i="10"/>
  <c r="K42" i="10"/>
  <c r="S42" i="10"/>
  <c r="U41" i="10"/>
  <c r="K41" i="10"/>
  <c r="K40" i="10"/>
  <c r="U40" i="10"/>
  <c r="K39" i="10"/>
  <c r="T39" i="10"/>
  <c r="K38" i="10"/>
  <c r="T38" i="10" s="1"/>
  <c r="K37" i="10"/>
  <c r="S37" i="10"/>
  <c r="K36" i="10"/>
  <c r="K35" i="10"/>
  <c r="R35" i="10"/>
  <c r="K34" i="10"/>
  <c r="S34" i="10"/>
  <c r="K33" i="10"/>
  <c r="U33" i="10"/>
  <c r="K32" i="10"/>
  <c r="S32" i="10"/>
  <c r="K31" i="10"/>
  <c r="U31" i="10"/>
  <c r="K30" i="10"/>
  <c r="T30" i="10"/>
  <c r="K29" i="10"/>
  <c r="S29" i="10"/>
  <c r="K28" i="10"/>
  <c r="U28" i="10"/>
  <c r="K27" i="10"/>
  <c r="K26" i="10"/>
  <c r="S26" i="10"/>
  <c r="K25" i="10"/>
  <c r="U25" i="10"/>
  <c r="K24" i="10"/>
  <c r="R24" i="10"/>
  <c r="K23" i="10"/>
  <c r="U23" i="10"/>
  <c r="K22" i="10"/>
  <c r="T22" i="10"/>
  <c r="Q21" i="10"/>
  <c r="K21" i="10"/>
  <c r="F21" i="10"/>
  <c r="U21" i="10" s="1"/>
  <c r="C21" i="10"/>
  <c r="B21" i="10"/>
  <c r="A21" i="10"/>
  <c r="V16" i="10"/>
  <c r="V15" i="10"/>
  <c r="V14" i="10"/>
  <c r="V13" i="10"/>
  <c r="V12" i="10"/>
  <c r="B4" i="10"/>
  <c r="Q84" i="9"/>
  <c r="U84" i="9"/>
  <c r="Q83" i="9"/>
  <c r="U83" i="9"/>
  <c r="Q82" i="9"/>
  <c r="S82" i="9"/>
  <c r="Q81" i="9"/>
  <c r="Q80" i="9"/>
  <c r="Q79" i="9"/>
  <c r="U79" i="9"/>
  <c r="Q78" i="9"/>
  <c r="S78" i="9"/>
  <c r="Q77" i="9"/>
  <c r="R77" i="9"/>
  <c r="Q76" i="9"/>
  <c r="Q75" i="9"/>
  <c r="S75" i="9"/>
  <c r="Q74" i="9"/>
  <c r="Q73" i="9"/>
  <c r="R73" i="9"/>
  <c r="Q72" i="9"/>
  <c r="U72" i="9"/>
  <c r="Q71" i="9"/>
  <c r="U71" i="9"/>
  <c r="Q70" i="9"/>
  <c r="Q69" i="9"/>
  <c r="U69" i="9"/>
  <c r="Q68" i="9"/>
  <c r="Q67" i="9"/>
  <c r="U67" i="9"/>
  <c r="U66" i="9"/>
  <c r="Q66" i="9"/>
  <c r="Q65" i="9"/>
  <c r="Q64" i="9"/>
  <c r="R64" i="9"/>
  <c r="Q63" i="9"/>
  <c r="R63" i="9"/>
  <c r="U62" i="9"/>
  <c r="Q62" i="9"/>
  <c r="R62" i="9"/>
  <c r="Q61" i="9"/>
  <c r="U61" i="9"/>
  <c r="U60" i="9"/>
  <c r="Q60" i="9"/>
  <c r="R60" i="9"/>
  <c r="U59" i="9"/>
  <c r="Q59" i="9"/>
  <c r="R59" i="9"/>
  <c r="U58" i="9"/>
  <c r="U57" i="9"/>
  <c r="S57" i="9"/>
  <c r="U55" i="9"/>
  <c r="U54" i="9"/>
  <c r="S54" i="9"/>
  <c r="U53" i="9"/>
  <c r="R52" i="9"/>
  <c r="U51" i="9"/>
  <c r="R51" i="9"/>
  <c r="U50" i="9"/>
  <c r="U49" i="9"/>
  <c r="S49" i="9"/>
  <c r="U47" i="9"/>
  <c r="U46" i="9"/>
  <c r="S46" i="9"/>
  <c r="U45" i="9"/>
  <c r="U43" i="9"/>
  <c r="S43" i="9"/>
  <c r="U42" i="9"/>
  <c r="S41" i="9"/>
  <c r="U39" i="9"/>
  <c r="U38" i="9"/>
  <c r="U37" i="9"/>
  <c r="R36" i="9"/>
  <c r="S35" i="9"/>
  <c r="S33" i="9"/>
  <c r="U31" i="9"/>
  <c r="U30" i="9"/>
  <c r="U29" i="9"/>
  <c r="R28" i="9"/>
  <c r="S27" i="9"/>
  <c r="U26" i="9"/>
  <c r="S25" i="9"/>
  <c r="U23" i="9"/>
  <c r="U22" i="9"/>
  <c r="K21" i="9"/>
  <c r="F21" i="9"/>
  <c r="U21" i="9" s="1"/>
  <c r="C21" i="9"/>
  <c r="B21" i="9"/>
  <c r="A21" i="9"/>
  <c r="V16" i="9"/>
  <c r="V15" i="9"/>
  <c r="V14" i="9"/>
  <c r="V13" i="9"/>
  <c r="V12" i="9"/>
  <c r="B4" i="9"/>
  <c r="D86" i="8"/>
  <c r="C86" i="8"/>
  <c r="B86" i="8"/>
  <c r="A86" i="8"/>
  <c r="D85" i="8"/>
  <c r="C85" i="8"/>
  <c r="B85" i="8"/>
  <c r="A85" i="8"/>
  <c r="D84" i="8"/>
  <c r="C84" i="8"/>
  <c r="B84" i="8"/>
  <c r="A84" i="8"/>
  <c r="D83" i="8"/>
  <c r="C83" i="8"/>
  <c r="B83" i="8"/>
  <c r="A83" i="8"/>
  <c r="D82" i="8"/>
  <c r="C82" i="8"/>
  <c r="B82" i="8"/>
  <c r="A82" i="8"/>
  <c r="D81" i="8"/>
  <c r="C81" i="8"/>
  <c r="B81" i="8"/>
  <c r="A81" i="8"/>
  <c r="D80" i="8"/>
  <c r="C80" i="8"/>
  <c r="B80" i="8"/>
  <c r="A80" i="8"/>
  <c r="D79" i="8"/>
  <c r="C79" i="8"/>
  <c r="B79" i="8"/>
  <c r="A79" i="8"/>
  <c r="D78" i="8"/>
  <c r="C78" i="8"/>
  <c r="B78" i="8"/>
  <c r="A78" i="8"/>
  <c r="D77" i="8"/>
  <c r="C77" i="8"/>
  <c r="B77" i="8"/>
  <c r="A77" i="8"/>
  <c r="D76" i="8"/>
  <c r="C76" i="8"/>
  <c r="B76" i="8"/>
  <c r="A76" i="8"/>
  <c r="D75" i="8"/>
  <c r="C75" i="8"/>
  <c r="B75" i="8"/>
  <c r="A75" i="8"/>
  <c r="D74" i="8"/>
  <c r="C74" i="8"/>
  <c r="B74" i="8"/>
  <c r="A74" i="8"/>
  <c r="D73" i="8"/>
  <c r="C73" i="8"/>
  <c r="B73" i="8"/>
  <c r="A73" i="8"/>
  <c r="D72" i="8"/>
  <c r="C72" i="8"/>
  <c r="B72" i="8"/>
  <c r="A72" i="8"/>
  <c r="D71" i="8"/>
  <c r="C71" i="8"/>
  <c r="B71" i="8"/>
  <c r="A71" i="8"/>
  <c r="D70" i="8"/>
  <c r="C70" i="8"/>
  <c r="B70" i="8"/>
  <c r="A70" i="8"/>
  <c r="D69" i="8"/>
  <c r="C69" i="8"/>
  <c r="B69" i="8"/>
  <c r="A69" i="8"/>
  <c r="D68" i="8"/>
  <c r="C68" i="8"/>
  <c r="B68" i="8"/>
  <c r="A68" i="8"/>
  <c r="D67" i="8"/>
  <c r="C67" i="8"/>
  <c r="B67" i="8"/>
  <c r="A67" i="8"/>
  <c r="D66" i="8"/>
  <c r="C66" i="8"/>
  <c r="B66" i="8"/>
  <c r="A66" i="8"/>
  <c r="D65" i="8"/>
  <c r="C65" i="8"/>
  <c r="B65" i="8"/>
  <c r="A65" i="8"/>
  <c r="D64" i="8"/>
  <c r="C64" i="8"/>
  <c r="B64" i="8"/>
  <c r="A64" i="8"/>
  <c r="D63" i="8"/>
  <c r="C63" i="8"/>
  <c r="B63" i="8"/>
  <c r="A63" i="8"/>
  <c r="D62" i="8"/>
  <c r="C62" i="8"/>
  <c r="B62" i="8"/>
  <c r="A62" i="8"/>
  <c r="D61" i="8"/>
  <c r="C61" i="8"/>
  <c r="B61" i="8"/>
  <c r="A61" i="8"/>
  <c r="D60" i="8"/>
  <c r="C60" i="8"/>
  <c r="B60" i="8"/>
  <c r="A60" i="8"/>
  <c r="D59" i="8"/>
  <c r="C59" i="8"/>
  <c r="B59" i="8"/>
  <c r="A59" i="8"/>
  <c r="D58" i="8"/>
  <c r="C58" i="8"/>
  <c r="B58" i="8"/>
  <c r="A58" i="8"/>
  <c r="D57" i="8"/>
  <c r="C57" i="8"/>
  <c r="B57" i="8"/>
  <c r="A57" i="8"/>
  <c r="D56" i="8"/>
  <c r="C56" i="8"/>
  <c r="B56" i="8"/>
  <c r="A56" i="8"/>
  <c r="D55" i="8"/>
  <c r="C55" i="8"/>
  <c r="B55" i="8"/>
  <c r="A55" i="8"/>
  <c r="D54" i="8"/>
  <c r="C54" i="8"/>
  <c r="B54" i="8"/>
  <c r="A54" i="8"/>
  <c r="D53" i="8"/>
  <c r="C53" i="8"/>
  <c r="B53" i="8"/>
  <c r="A53" i="8"/>
  <c r="D52" i="8"/>
  <c r="C52" i="8"/>
  <c r="B52" i="8"/>
  <c r="A52" i="8"/>
  <c r="D51" i="8"/>
  <c r="C51" i="8"/>
  <c r="B51" i="8"/>
  <c r="A51" i="8"/>
  <c r="D50" i="8"/>
  <c r="C50" i="8"/>
  <c r="B50" i="8"/>
  <c r="A50" i="8"/>
  <c r="D49" i="8"/>
  <c r="C49" i="8"/>
  <c r="B49" i="8"/>
  <c r="A49" i="8"/>
  <c r="D48" i="8"/>
  <c r="C48" i="8"/>
  <c r="B48" i="8"/>
  <c r="A48" i="8"/>
  <c r="D47" i="8"/>
  <c r="C47" i="8"/>
  <c r="B47" i="8"/>
  <c r="A47" i="8"/>
  <c r="D46" i="8"/>
  <c r="C46" i="8"/>
  <c r="B46" i="8"/>
  <c r="A46" i="8"/>
  <c r="D45" i="8"/>
  <c r="C45" i="8"/>
  <c r="B45" i="8"/>
  <c r="A45" i="8"/>
  <c r="D44" i="8"/>
  <c r="C44" i="8"/>
  <c r="B44" i="8"/>
  <c r="A44" i="8"/>
  <c r="D43" i="8"/>
  <c r="C43" i="8"/>
  <c r="B43" i="8"/>
  <c r="A43" i="8"/>
  <c r="D42" i="8"/>
  <c r="C42" i="8"/>
  <c r="B42" i="8"/>
  <c r="A42" i="8"/>
  <c r="D41" i="8"/>
  <c r="C41" i="8"/>
  <c r="B41" i="8"/>
  <c r="A41" i="8"/>
  <c r="D40" i="8"/>
  <c r="C40" i="8"/>
  <c r="B40" i="8"/>
  <c r="A40" i="8"/>
  <c r="D39" i="8"/>
  <c r="C39" i="8"/>
  <c r="B39" i="8"/>
  <c r="A39" i="8"/>
  <c r="D38" i="8"/>
  <c r="C38" i="8"/>
  <c r="B38" i="8"/>
  <c r="A38" i="8"/>
  <c r="D37" i="8"/>
  <c r="C37" i="8"/>
  <c r="B37" i="8"/>
  <c r="A37" i="8"/>
  <c r="D36" i="8"/>
  <c r="C36" i="8"/>
  <c r="B36" i="8"/>
  <c r="A36" i="8"/>
  <c r="D35" i="8"/>
  <c r="C35" i="8"/>
  <c r="B35" i="8"/>
  <c r="A35" i="8"/>
  <c r="D34" i="8"/>
  <c r="C34" i="8"/>
  <c r="B34" i="8"/>
  <c r="A34" i="8"/>
  <c r="D33" i="8"/>
  <c r="C33" i="8"/>
  <c r="B33" i="8"/>
  <c r="A33" i="8"/>
  <c r="D32" i="8"/>
  <c r="C32" i="8"/>
  <c r="B32" i="8"/>
  <c r="A32" i="8"/>
  <c r="D31" i="8"/>
  <c r="C31" i="8"/>
  <c r="B31" i="8"/>
  <c r="A31" i="8"/>
  <c r="D30" i="8"/>
  <c r="C30" i="8"/>
  <c r="B30" i="8"/>
  <c r="A30" i="8"/>
  <c r="D29" i="8"/>
  <c r="C29" i="8"/>
  <c r="B29" i="8"/>
  <c r="A29" i="8"/>
  <c r="D28" i="8"/>
  <c r="C28" i="8"/>
  <c r="B28" i="8"/>
  <c r="A28" i="8"/>
  <c r="D27" i="8"/>
  <c r="C27" i="8"/>
  <c r="B27" i="8"/>
  <c r="A27" i="8"/>
  <c r="D26" i="8"/>
  <c r="C26" i="8"/>
  <c r="B26" i="8"/>
  <c r="A26" i="8"/>
  <c r="D25" i="8"/>
  <c r="C25" i="8"/>
  <c r="B25" i="8"/>
  <c r="A25" i="8"/>
  <c r="D24" i="8"/>
  <c r="C24" i="8"/>
  <c r="B24" i="8"/>
  <c r="A24" i="8"/>
  <c r="D23" i="8"/>
  <c r="C23" i="8"/>
  <c r="B23" i="8"/>
  <c r="A23" i="8"/>
  <c r="D22" i="8"/>
  <c r="C22" i="8"/>
  <c r="B22" i="8"/>
  <c r="A22" i="8"/>
  <c r="D21" i="8"/>
  <c r="C21" i="8"/>
  <c r="B21" i="8"/>
  <c r="A21" i="8"/>
  <c r="D20" i="8"/>
  <c r="C20" i="8"/>
  <c r="B20" i="8"/>
  <c r="A20" i="8"/>
  <c r="D19" i="8"/>
  <c r="C19" i="8"/>
  <c r="B19" i="8"/>
  <c r="A19" i="8"/>
  <c r="D18" i="8"/>
  <c r="C18" i="8"/>
  <c r="B18" i="8"/>
  <c r="A18" i="8"/>
  <c r="D17" i="8"/>
  <c r="C17" i="8"/>
  <c r="B17" i="8"/>
  <c r="A17" i="8"/>
  <c r="D16" i="8"/>
  <c r="C16" i="8"/>
  <c r="B16" i="8"/>
  <c r="A16" i="8"/>
  <c r="D15" i="8"/>
  <c r="C15" i="8"/>
  <c r="B15" i="8"/>
  <c r="A15" i="8"/>
  <c r="D14" i="8"/>
  <c r="C14" i="8"/>
  <c r="B14" i="8"/>
  <c r="A14" i="8"/>
  <c r="D13" i="8"/>
  <c r="C13" i="8"/>
  <c r="B13" i="8"/>
  <c r="A13" i="8"/>
  <c r="D12" i="8"/>
  <c r="C12" i="8"/>
  <c r="B12" i="8"/>
  <c r="A12" i="8"/>
  <c r="D11" i="8"/>
  <c r="C11" i="8"/>
  <c r="B11" i="8"/>
  <c r="A11" i="8"/>
  <c r="D10" i="8"/>
  <c r="C10" i="8"/>
  <c r="B10" i="8"/>
  <c r="A10" i="8"/>
  <c r="D9" i="8"/>
  <c r="C9" i="8"/>
  <c r="B9" i="8"/>
  <c r="A9" i="8"/>
  <c r="D8" i="8"/>
  <c r="C8" i="8"/>
  <c r="B8" i="8"/>
  <c r="A8" i="8"/>
  <c r="D7" i="8"/>
  <c r="C7" i="8"/>
  <c r="B7" i="8"/>
  <c r="A7" i="8"/>
  <c r="D6" i="8"/>
  <c r="C6" i="8"/>
  <c r="B6" i="8"/>
  <c r="A6" i="8"/>
  <c r="D5" i="8"/>
  <c r="C5" i="8"/>
  <c r="B5" i="8"/>
  <c r="A5" i="8"/>
  <c r="D3" i="8"/>
  <c r="C3" i="8"/>
  <c r="A3" i="8"/>
  <c r="E86" i="7"/>
  <c r="C86" i="7"/>
  <c r="B86" i="7"/>
  <c r="A86" i="7"/>
  <c r="E85" i="7"/>
  <c r="C85" i="7"/>
  <c r="B85" i="7"/>
  <c r="A85" i="7"/>
  <c r="E84" i="7"/>
  <c r="C84" i="7"/>
  <c r="B84" i="7"/>
  <c r="A84" i="7"/>
  <c r="E83" i="7"/>
  <c r="C83" i="7"/>
  <c r="B83" i="7"/>
  <c r="A83" i="7"/>
  <c r="E82" i="7"/>
  <c r="C82" i="7"/>
  <c r="B82" i="7"/>
  <c r="A82" i="7"/>
  <c r="E81" i="7"/>
  <c r="C81" i="7"/>
  <c r="B81" i="7"/>
  <c r="A81" i="7"/>
  <c r="E80" i="7"/>
  <c r="C80" i="7"/>
  <c r="B80" i="7"/>
  <c r="A80" i="7"/>
  <c r="E79" i="7"/>
  <c r="C79" i="7"/>
  <c r="B79" i="7"/>
  <c r="A79" i="7"/>
  <c r="E78" i="7"/>
  <c r="C78" i="7"/>
  <c r="B78" i="7"/>
  <c r="A78" i="7"/>
  <c r="E77" i="7"/>
  <c r="C77" i="7"/>
  <c r="B77" i="7"/>
  <c r="A77" i="7"/>
  <c r="E76" i="7"/>
  <c r="C76" i="7"/>
  <c r="B76" i="7"/>
  <c r="A76" i="7"/>
  <c r="E75" i="7"/>
  <c r="C75" i="7"/>
  <c r="B75" i="7"/>
  <c r="A75" i="7"/>
  <c r="E74" i="7"/>
  <c r="C74" i="7"/>
  <c r="B74" i="7"/>
  <c r="A74" i="7"/>
  <c r="E73" i="7"/>
  <c r="C73" i="7"/>
  <c r="B73" i="7"/>
  <c r="A73" i="7"/>
  <c r="E72" i="7"/>
  <c r="C72" i="7"/>
  <c r="B72" i="7"/>
  <c r="A72" i="7"/>
  <c r="E71" i="7"/>
  <c r="C71" i="7"/>
  <c r="B71" i="7"/>
  <c r="A71" i="7"/>
  <c r="E70" i="7"/>
  <c r="C70" i="7"/>
  <c r="B70" i="7"/>
  <c r="A70" i="7"/>
  <c r="E69" i="7"/>
  <c r="C69" i="7"/>
  <c r="B69" i="7"/>
  <c r="A69" i="7"/>
  <c r="E68" i="7"/>
  <c r="C68" i="7"/>
  <c r="B68" i="7"/>
  <c r="A68" i="7"/>
  <c r="E67" i="7"/>
  <c r="C67" i="7"/>
  <c r="B67" i="7"/>
  <c r="A67" i="7"/>
  <c r="E66" i="7"/>
  <c r="C66" i="7"/>
  <c r="B66" i="7"/>
  <c r="A66" i="7"/>
  <c r="E65" i="7"/>
  <c r="C65" i="7"/>
  <c r="B65" i="7"/>
  <c r="A65" i="7"/>
  <c r="E64" i="7"/>
  <c r="C64" i="7"/>
  <c r="B64" i="7"/>
  <c r="A64" i="7"/>
  <c r="E63" i="7"/>
  <c r="C63" i="7"/>
  <c r="B63" i="7"/>
  <c r="A63" i="7"/>
  <c r="E62" i="7"/>
  <c r="C62" i="7"/>
  <c r="B62" i="7"/>
  <c r="A62" i="7"/>
  <c r="E61" i="7"/>
  <c r="C61" i="7"/>
  <c r="B61" i="7"/>
  <c r="A61" i="7"/>
  <c r="E60" i="7"/>
  <c r="C60" i="7"/>
  <c r="B60" i="7"/>
  <c r="A60" i="7"/>
  <c r="E59" i="7"/>
  <c r="C59" i="7"/>
  <c r="B59" i="7"/>
  <c r="A59" i="7"/>
  <c r="E58" i="7"/>
  <c r="C58" i="7"/>
  <c r="B58" i="7"/>
  <c r="A58" i="7"/>
  <c r="E57" i="7"/>
  <c r="C57" i="7"/>
  <c r="B57" i="7"/>
  <c r="A57" i="7"/>
  <c r="E56" i="7"/>
  <c r="C56" i="7"/>
  <c r="B56" i="7"/>
  <c r="A56" i="7"/>
  <c r="E55" i="7"/>
  <c r="C55" i="7"/>
  <c r="B55" i="7"/>
  <c r="A55" i="7"/>
  <c r="E54" i="7"/>
  <c r="C54" i="7"/>
  <c r="B54" i="7"/>
  <c r="A54" i="7"/>
  <c r="E53" i="7"/>
  <c r="C53" i="7"/>
  <c r="B53" i="7"/>
  <c r="A53" i="7"/>
  <c r="E52" i="7"/>
  <c r="C52" i="7"/>
  <c r="B52" i="7"/>
  <c r="A52" i="7"/>
  <c r="E51" i="7"/>
  <c r="C51" i="7"/>
  <c r="B51" i="7"/>
  <c r="A51" i="7"/>
  <c r="E50" i="7"/>
  <c r="C50" i="7"/>
  <c r="B50" i="7"/>
  <c r="A50" i="7"/>
  <c r="E49" i="7"/>
  <c r="C49" i="7"/>
  <c r="B49" i="7"/>
  <c r="A49" i="7"/>
  <c r="E48" i="7"/>
  <c r="C48" i="7"/>
  <c r="B48" i="7"/>
  <c r="A48" i="7"/>
  <c r="E47" i="7"/>
  <c r="C47" i="7"/>
  <c r="B47" i="7"/>
  <c r="A47" i="7"/>
  <c r="E46" i="7"/>
  <c r="C46" i="7"/>
  <c r="B46" i="7"/>
  <c r="A46" i="7"/>
  <c r="E45" i="7"/>
  <c r="C45" i="7"/>
  <c r="B45" i="7"/>
  <c r="A45" i="7"/>
  <c r="E44" i="7"/>
  <c r="C44" i="7"/>
  <c r="B44" i="7"/>
  <c r="A44" i="7"/>
  <c r="E43" i="7"/>
  <c r="C43" i="7"/>
  <c r="B43" i="7"/>
  <c r="A43" i="7"/>
  <c r="E42" i="7"/>
  <c r="C42" i="7"/>
  <c r="B42" i="7"/>
  <c r="A42" i="7"/>
  <c r="E41" i="7"/>
  <c r="C41" i="7"/>
  <c r="B41" i="7"/>
  <c r="A41" i="7"/>
  <c r="E40" i="7"/>
  <c r="C40" i="7"/>
  <c r="B40" i="7"/>
  <c r="A40" i="7"/>
  <c r="E39" i="7"/>
  <c r="C39" i="7"/>
  <c r="B39" i="7"/>
  <c r="A39" i="7"/>
  <c r="E38" i="7"/>
  <c r="C38" i="7"/>
  <c r="B38" i="7"/>
  <c r="A38" i="7"/>
  <c r="E37" i="7"/>
  <c r="C37" i="7"/>
  <c r="B37" i="7"/>
  <c r="A37" i="7"/>
  <c r="E36" i="7"/>
  <c r="C36" i="7"/>
  <c r="B36" i="7"/>
  <c r="A36" i="7"/>
  <c r="E35" i="7"/>
  <c r="C35" i="7"/>
  <c r="B35" i="7"/>
  <c r="A35" i="7"/>
  <c r="E34" i="7"/>
  <c r="C34" i="7"/>
  <c r="B34" i="7"/>
  <c r="A34" i="7"/>
  <c r="E33" i="7"/>
  <c r="C33" i="7"/>
  <c r="B33" i="7"/>
  <c r="A33" i="7"/>
  <c r="E32" i="7"/>
  <c r="C32" i="7"/>
  <c r="B32" i="7"/>
  <c r="A32" i="7"/>
  <c r="E31" i="7"/>
  <c r="C31" i="7"/>
  <c r="B31" i="7"/>
  <c r="A31" i="7"/>
  <c r="E30" i="7"/>
  <c r="C30" i="7"/>
  <c r="B30" i="7"/>
  <c r="A30" i="7"/>
  <c r="E29" i="7"/>
  <c r="C29" i="7"/>
  <c r="B29" i="7"/>
  <c r="A29" i="7"/>
  <c r="E28" i="7"/>
  <c r="C28" i="7"/>
  <c r="B28" i="7"/>
  <c r="A28" i="7"/>
  <c r="E27" i="7"/>
  <c r="C27" i="7"/>
  <c r="B27" i="7"/>
  <c r="A27" i="7"/>
  <c r="E26" i="7"/>
  <c r="C26" i="7"/>
  <c r="B26" i="7"/>
  <c r="A26" i="7"/>
  <c r="E25" i="7"/>
  <c r="C25" i="7"/>
  <c r="B25" i="7"/>
  <c r="A25" i="7"/>
  <c r="E24" i="7"/>
  <c r="C24" i="7"/>
  <c r="B24" i="7"/>
  <c r="A24" i="7"/>
  <c r="E23" i="7"/>
  <c r="C23" i="7"/>
  <c r="B23" i="7"/>
  <c r="A23" i="7"/>
  <c r="E22" i="7"/>
  <c r="C22" i="7"/>
  <c r="B22" i="7"/>
  <c r="A22" i="7"/>
  <c r="E21" i="7"/>
  <c r="C21" i="7"/>
  <c r="B21" i="7"/>
  <c r="A21" i="7"/>
  <c r="E20" i="7"/>
  <c r="C20" i="7"/>
  <c r="B20" i="7"/>
  <c r="A20" i="7"/>
  <c r="E19" i="7"/>
  <c r="C19" i="7"/>
  <c r="B19" i="7"/>
  <c r="A19" i="7"/>
  <c r="E18" i="7"/>
  <c r="C18" i="7"/>
  <c r="B18" i="7"/>
  <c r="A18" i="7"/>
  <c r="E17" i="7"/>
  <c r="C17" i="7"/>
  <c r="B17" i="7"/>
  <c r="A17" i="7"/>
  <c r="E16" i="7"/>
  <c r="C16" i="7"/>
  <c r="B16" i="7"/>
  <c r="A16" i="7"/>
  <c r="E15" i="7"/>
  <c r="C15" i="7"/>
  <c r="B15" i="7"/>
  <c r="A15" i="7"/>
  <c r="E14" i="7"/>
  <c r="C14" i="7"/>
  <c r="B14" i="7"/>
  <c r="A14" i="7"/>
  <c r="E13" i="7"/>
  <c r="C13" i="7"/>
  <c r="B13" i="7"/>
  <c r="A13" i="7"/>
  <c r="E12" i="7"/>
  <c r="C12" i="7"/>
  <c r="B12" i="7"/>
  <c r="A12" i="7"/>
  <c r="E11" i="7"/>
  <c r="C11" i="7"/>
  <c r="B11" i="7"/>
  <c r="A11" i="7"/>
  <c r="E10" i="7"/>
  <c r="C10" i="7"/>
  <c r="B10" i="7"/>
  <c r="A10" i="7"/>
  <c r="E9" i="7"/>
  <c r="C9" i="7"/>
  <c r="B9" i="7"/>
  <c r="A9" i="7"/>
  <c r="E8" i="7"/>
  <c r="C8" i="7"/>
  <c r="B8" i="7"/>
  <c r="A8" i="7"/>
  <c r="E7" i="7"/>
  <c r="C7" i="7"/>
  <c r="B7" i="7"/>
  <c r="A7" i="7"/>
  <c r="E6" i="7"/>
  <c r="C6" i="7"/>
  <c r="B6" i="7"/>
  <c r="A6" i="7"/>
  <c r="D5" i="7"/>
  <c r="C5" i="7"/>
  <c r="B5" i="7"/>
  <c r="A5" i="7"/>
  <c r="D3" i="7"/>
  <c r="C3" i="7"/>
  <c r="A3" i="7"/>
  <c r="E86" i="8"/>
  <c r="E85" i="8"/>
  <c r="E84" i="8"/>
  <c r="E83" i="8"/>
  <c r="E82" i="8"/>
  <c r="E81" i="8"/>
  <c r="E80" i="8"/>
  <c r="E79" i="8"/>
  <c r="E78" i="8"/>
  <c r="E77" i="8"/>
  <c r="E76" i="8"/>
  <c r="E75" i="8"/>
  <c r="E74" i="8"/>
  <c r="E73" i="8"/>
  <c r="E72" i="8"/>
  <c r="E71" i="8"/>
  <c r="E70" i="8"/>
  <c r="E69" i="8"/>
  <c r="E68" i="8"/>
  <c r="E67" i="8"/>
  <c r="E66" i="8"/>
  <c r="E65" i="8"/>
  <c r="E64" i="8"/>
  <c r="E63" i="8"/>
  <c r="E62" i="8"/>
  <c r="E61" i="8"/>
  <c r="E60" i="8"/>
  <c r="E59" i="8"/>
  <c r="E58" i="8"/>
  <c r="E57" i="8"/>
  <c r="E56" i="8"/>
  <c r="E55" i="8"/>
  <c r="E54" i="8"/>
  <c r="E53" i="8"/>
  <c r="E52" i="8"/>
  <c r="E51" i="8"/>
  <c r="E50" i="8"/>
  <c r="U53" i="3"/>
  <c r="T53" i="3"/>
  <c r="S53" i="3"/>
  <c r="R53" i="3"/>
  <c r="Q53" i="3"/>
  <c r="P53" i="3"/>
  <c r="O53" i="3"/>
  <c r="N53" i="3"/>
  <c r="M53" i="3"/>
  <c r="L53" i="3"/>
  <c r="K53" i="3"/>
  <c r="J53" i="3"/>
  <c r="I53" i="3"/>
  <c r="H53" i="3"/>
  <c r="G53" i="3"/>
  <c r="F53" i="3"/>
  <c r="E53" i="3"/>
  <c r="D53" i="3"/>
  <c r="U52" i="3"/>
  <c r="T52" i="3"/>
  <c r="S52" i="3"/>
  <c r="R52" i="3"/>
  <c r="Q52" i="3"/>
  <c r="P52" i="3"/>
  <c r="O52" i="3"/>
  <c r="N52" i="3"/>
  <c r="M52" i="3"/>
  <c r="L52" i="3"/>
  <c r="K52" i="3"/>
  <c r="J52" i="3"/>
  <c r="I52" i="3"/>
  <c r="H52" i="3"/>
  <c r="G52" i="3"/>
  <c r="F52" i="3"/>
  <c r="E52" i="3"/>
  <c r="D52" i="3"/>
  <c r="U51" i="3"/>
  <c r="T51" i="3"/>
  <c r="S51" i="3"/>
  <c r="R51" i="3"/>
  <c r="Q51" i="3"/>
  <c r="P51" i="3"/>
  <c r="O51" i="3"/>
  <c r="N51" i="3"/>
  <c r="M51" i="3"/>
  <c r="L51" i="3"/>
  <c r="K51" i="3"/>
  <c r="J51" i="3"/>
  <c r="I51" i="3"/>
  <c r="H51" i="3"/>
  <c r="G51" i="3"/>
  <c r="F51" i="3"/>
  <c r="E51" i="3"/>
  <c r="D51" i="3"/>
  <c r="D44" i="3"/>
  <c r="C42" i="3"/>
  <c r="D43" i="3" s="1"/>
  <c r="R7" i="2"/>
  <c r="Q7" i="2" s="1"/>
  <c r="R6" i="2"/>
  <c r="Q6" i="2" s="1"/>
  <c r="R5" i="2"/>
  <c r="Q5" i="2" s="1"/>
  <c r="P4" i="7"/>
  <c r="A42" i="6"/>
  <c r="L46" i="5"/>
  <c r="O4" i="7"/>
  <c r="M4" i="7"/>
  <c r="A43" i="6"/>
  <c r="N4" i="7"/>
  <c r="L47" i="5"/>
  <c r="S4" i="8"/>
  <c r="A42" i="5"/>
  <c r="T4" i="8"/>
  <c r="T21" i="12" l="1"/>
  <c r="T80" i="9"/>
  <c r="S5" i="9"/>
  <c r="A1" i="9"/>
  <c r="R82" i="9"/>
  <c r="U82" i="9"/>
  <c r="U50" i="11"/>
  <c r="T45" i="10"/>
  <c r="R46" i="11"/>
  <c r="U75" i="9"/>
  <c r="R58" i="9"/>
  <c r="R59" i="12"/>
  <c r="U73" i="9"/>
  <c r="S54" i="12"/>
  <c r="T54" i="12"/>
  <c r="S45" i="9"/>
  <c r="T58" i="10"/>
  <c r="S55" i="11"/>
  <c r="R77" i="11"/>
  <c r="S79" i="12"/>
  <c r="R57" i="10"/>
  <c r="R63" i="10"/>
  <c r="T58" i="9"/>
  <c r="S59" i="10"/>
  <c r="T57" i="11"/>
  <c r="R55" i="11"/>
  <c r="U54" i="12"/>
  <c r="R79" i="12"/>
  <c r="S59" i="9"/>
  <c r="S42" i="11"/>
  <c r="R47" i="11"/>
  <c r="S77" i="11"/>
  <c r="T79" i="11"/>
  <c r="U84" i="12"/>
  <c r="U80" i="9"/>
  <c r="S63" i="10"/>
  <c r="S46" i="11"/>
  <c r="S73" i="9"/>
  <c r="U57" i="10"/>
  <c r="S49" i="10"/>
  <c r="S59" i="11"/>
  <c r="U42" i="12"/>
  <c r="S51" i="9"/>
  <c r="T57" i="9"/>
  <c r="S79" i="9"/>
  <c r="T42" i="11"/>
  <c r="T77" i="11"/>
  <c r="U79" i="11"/>
  <c r="U54" i="10"/>
  <c r="U25" i="11"/>
  <c r="S83" i="12"/>
  <c r="U46" i="11"/>
  <c r="R50" i="9"/>
  <c r="U49" i="10"/>
  <c r="R57" i="9"/>
  <c r="R50" i="10"/>
  <c r="U42" i="11"/>
  <c r="T58" i="11"/>
  <c r="U49" i="12"/>
  <c r="T51" i="11"/>
  <c r="R61" i="10"/>
  <c r="R51" i="11"/>
  <c r="S57" i="10"/>
  <c r="S51" i="11"/>
  <c r="T50" i="9"/>
  <c r="R61" i="12"/>
  <c r="T79" i="12"/>
  <c r="R71" i="9"/>
  <c r="T55" i="11"/>
  <c r="U79" i="10"/>
  <c r="U71" i="11"/>
  <c r="U34" i="12"/>
  <c r="T35" i="9"/>
  <c r="S69" i="11"/>
  <c r="R35" i="9"/>
  <c r="U73" i="10"/>
  <c r="U35" i="9"/>
  <c r="T75" i="9"/>
  <c r="S31" i="11"/>
  <c r="S74" i="11"/>
  <c r="T35" i="12"/>
  <c r="U77" i="12"/>
  <c r="R75" i="11"/>
  <c r="R39" i="12"/>
  <c r="S75" i="11"/>
  <c r="S39" i="12"/>
  <c r="S37" i="9"/>
  <c r="R75" i="10"/>
  <c r="R69" i="11"/>
  <c r="T69" i="12"/>
  <c r="T31" i="11"/>
  <c r="T33" i="9"/>
  <c r="S38" i="9"/>
  <c r="S77" i="9"/>
  <c r="U31" i="11"/>
  <c r="S34" i="11"/>
  <c r="R35" i="12"/>
  <c r="S75" i="12"/>
  <c r="U78" i="9"/>
  <c r="U39" i="10"/>
  <c r="S77" i="12"/>
  <c r="R33" i="9"/>
  <c r="R75" i="9"/>
  <c r="U77" i="9"/>
  <c r="U32" i="10"/>
  <c r="U35" i="10"/>
  <c r="R38" i="10"/>
  <c r="T34" i="11"/>
  <c r="S35" i="12"/>
  <c r="T69" i="11"/>
  <c r="T73" i="10"/>
  <c r="T77" i="9"/>
  <c r="U33" i="9"/>
  <c r="U38" i="10"/>
  <c r="U34" i="11"/>
  <c r="T65" i="10"/>
  <c r="T27" i="12"/>
  <c r="R27" i="12"/>
  <c r="R27" i="9"/>
  <c r="R23" i="11"/>
  <c r="T29" i="11"/>
  <c r="S23" i="11"/>
  <c r="R22" i="12"/>
  <c r="U27" i="9"/>
  <c r="T22" i="12"/>
  <c r="R25" i="9"/>
  <c r="U25" i="9"/>
  <c r="U63" i="9"/>
  <c r="S61" i="11"/>
  <c r="T63" i="11"/>
  <c r="S66" i="10"/>
  <c r="U22" i="11"/>
  <c r="S27" i="12"/>
  <c r="S22" i="12"/>
  <c r="T25" i="9"/>
  <c r="R61" i="11"/>
  <c r="U25" i="12"/>
  <c r="T22" i="11"/>
  <c r="T27" i="9"/>
  <c r="T23" i="11"/>
  <c r="S30" i="9"/>
  <c r="S22" i="9"/>
  <c r="S63" i="11"/>
  <c r="U26" i="10"/>
  <c r="R22" i="11"/>
  <c r="U66" i="10"/>
  <c r="U64" i="9"/>
  <c r="T64" i="11"/>
  <c r="T61" i="12"/>
  <c r="U41" i="9"/>
  <c r="R84" i="9"/>
  <c r="S24" i="10"/>
  <c r="T21" i="11"/>
  <c r="T39" i="11"/>
  <c r="U82" i="11"/>
  <c r="T82" i="11"/>
  <c r="S82" i="11"/>
  <c r="U46" i="12"/>
  <c r="T46" i="12"/>
  <c r="R46" i="12"/>
  <c r="S46" i="12"/>
  <c r="T28" i="9"/>
  <c r="T36" i="9"/>
  <c r="R44" i="9"/>
  <c r="S44" i="9"/>
  <c r="S84" i="9"/>
  <c r="U24" i="10"/>
  <c r="R27" i="10"/>
  <c r="U27" i="10"/>
  <c r="T27" i="10"/>
  <c r="S27" i="10"/>
  <c r="R39" i="11"/>
  <c r="T49" i="11"/>
  <c r="T67" i="11"/>
  <c r="R30" i="12"/>
  <c r="R38" i="12"/>
  <c r="U43" i="12"/>
  <c r="R43" i="12"/>
  <c r="S43" i="12"/>
  <c r="S28" i="9"/>
  <c r="S36" i="9"/>
  <c r="T44" i="9"/>
  <c r="T69" i="9"/>
  <c r="R43" i="10"/>
  <c r="S46" i="10"/>
  <c r="U46" i="10"/>
  <c r="R46" i="10"/>
  <c r="R69" i="10"/>
  <c r="S39" i="11"/>
  <c r="S80" i="11"/>
  <c r="U80" i="11"/>
  <c r="S30" i="12"/>
  <c r="S38" i="12"/>
  <c r="T43" i="12"/>
  <c r="T63" i="12"/>
  <c r="U34" i="9"/>
  <c r="R34" i="9"/>
  <c r="R22" i="10"/>
  <c r="S35" i="10"/>
  <c r="S69" i="10"/>
  <c r="T47" i="11"/>
  <c r="U47" i="11"/>
  <c r="R67" i="11"/>
  <c r="U74" i="11"/>
  <c r="T74" i="11"/>
  <c r="T80" i="11"/>
  <c r="R82" i="11"/>
  <c r="T30" i="12"/>
  <c r="T38" i="12"/>
  <c r="T26" i="9"/>
  <c r="T34" i="9"/>
  <c r="R69" i="9"/>
  <c r="T78" i="9"/>
  <c r="R80" i="9"/>
  <c r="U22" i="10"/>
  <c r="T35" i="10"/>
  <c r="T69" i="10"/>
  <c r="S67" i="11"/>
  <c r="U33" i="12"/>
  <c r="U57" i="12"/>
  <c r="R75" i="12"/>
  <c r="R41" i="9"/>
  <c r="R49" i="9"/>
  <c r="U74" i="9"/>
  <c r="T74" i="9"/>
  <c r="R76" i="9"/>
  <c r="U76" i="9"/>
  <c r="U72" i="11"/>
  <c r="S72" i="11"/>
  <c r="T28" i="10"/>
  <c r="T70" i="9"/>
  <c r="S70" i="9"/>
  <c r="T81" i="10"/>
  <c r="R27" i="11"/>
  <c r="R72" i="11"/>
  <c r="R55" i="12"/>
  <c r="R58" i="12"/>
  <c r="T58" i="12"/>
  <c r="S58" i="12"/>
  <c r="S28" i="10"/>
  <c r="S30" i="11"/>
  <c r="U30" i="11"/>
  <c r="U72" i="10"/>
  <c r="T72" i="10"/>
  <c r="S72" i="10"/>
  <c r="T82" i="12"/>
  <c r="S82" i="12"/>
  <c r="U82" i="12"/>
  <c r="T72" i="11"/>
  <c r="T47" i="12"/>
  <c r="R74" i="9"/>
  <c r="S53" i="9"/>
  <c r="R31" i="10"/>
  <c r="T43" i="9"/>
  <c r="R47" i="12"/>
  <c r="T55" i="12"/>
  <c r="S72" i="9"/>
  <c r="R28" i="10"/>
  <c r="T33" i="10"/>
  <c r="T83" i="11"/>
  <c r="T23" i="12"/>
  <c r="S47" i="12"/>
  <c r="T78" i="12"/>
  <c r="R78" i="12"/>
  <c r="U36" i="10"/>
  <c r="R36" i="10"/>
  <c r="S36" i="10"/>
  <c r="R47" i="10"/>
  <c r="S27" i="11"/>
  <c r="R23" i="12"/>
  <c r="R26" i="12"/>
  <c r="S26" i="12"/>
  <c r="T26" i="12"/>
  <c r="U26" i="12"/>
  <c r="S50" i="12"/>
  <c r="S55" i="12"/>
  <c r="U80" i="12"/>
  <c r="T80" i="12"/>
  <c r="R80" i="12"/>
  <c r="T63" i="9"/>
  <c r="S31" i="10"/>
  <c r="R79" i="10"/>
  <c r="R84" i="10"/>
  <c r="U84" i="10"/>
  <c r="S84" i="10"/>
  <c r="U66" i="11"/>
  <c r="T66" i="11"/>
  <c r="S66" i="11"/>
  <c r="R66" i="11"/>
  <c r="R83" i="11"/>
  <c r="U21" i="12"/>
  <c r="S23" i="12"/>
  <c r="T50" i="12"/>
  <c r="R43" i="9"/>
  <c r="T51" i="9"/>
  <c r="U68" i="9"/>
  <c r="S68" i="9"/>
  <c r="R68" i="9"/>
  <c r="T31" i="10"/>
  <c r="T60" i="10"/>
  <c r="S60" i="10"/>
  <c r="R60" i="10"/>
  <c r="R77" i="10"/>
  <c r="S79" i="10"/>
  <c r="R30" i="11"/>
  <c r="R58" i="11"/>
  <c r="S83" i="11"/>
  <c r="S42" i="12"/>
  <c r="U50" i="12"/>
  <c r="R69" i="12"/>
  <c r="U71" i="12"/>
  <c r="U74" i="12"/>
  <c r="T74" i="12"/>
  <c r="T59" i="9"/>
  <c r="S63" i="9"/>
  <c r="T26" i="10"/>
  <c r="T50" i="10"/>
  <c r="R58" i="10"/>
  <c r="S58" i="10"/>
  <c r="S77" i="10"/>
  <c r="T30" i="11"/>
  <c r="S64" i="11"/>
  <c r="R64" i="11"/>
  <c r="T42" i="12"/>
  <c r="S69" i="12"/>
  <c r="E7" i="6"/>
  <c r="T41" i="9"/>
  <c r="T49" i="9"/>
  <c r="S61" i="9"/>
  <c r="S66" i="9"/>
  <c r="R66" i="9"/>
  <c r="T84" i="9"/>
  <c r="T24" i="10"/>
  <c r="U45" i="10"/>
  <c r="S50" i="10"/>
  <c r="S73" i="10"/>
  <c r="U82" i="10"/>
  <c r="T82" i="10"/>
  <c r="S82" i="10"/>
  <c r="R82" i="10"/>
  <c r="S54" i="11"/>
  <c r="U54" i="11"/>
  <c r="T54" i="11"/>
  <c r="T59" i="12"/>
  <c r="T65" i="12"/>
  <c r="S67" i="12"/>
  <c r="T46" i="10"/>
  <c r="T21" i="10"/>
  <c r="T31" i="12"/>
  <c r="T42" i="9"/>
  <c r="R35" i="11"/>
  <c r="R31" i="12"/>
  <c r="T68" i="9"/>
  <c r="T84" i="10"/>
  <c r="T66" i="9"/>
  <c r="T52" i="9"/>
  <c r="R23" i="10"/>
  <c r="S44" i="10"/>
  <c r="R26" i="11"/>
  <c r="T33" i="11"/>
  <c r="S21" i="9"/>
  <c r="S29" i="9"/>
  <c r="R42" i="9"/>
  <c r="S52" i="9"/>
  <c r="T62" i="9"/>
  <c r="R21" i="10"/>
  <c r="S23" i="10"/>
  <c r="T25" i="10"/>
  <c r="T32" i="10"/>
  <c r="U34" i="10"/>
  <c r="T44" i="10"/>
  <c r="T54" i="10"/>
  <c r="T66" i="10"/>
  <c r="T70" i="10"/>
  <c r="R74" i="10"/>
  <c r="S26" i="11"/>
  <c r="S35" i="11"/>
  <c r="T43" i="11"/>
  <c r="R50" i="11"/>
  <c r="R52" i="11"/>
  <c r="S31" i="12"/>
  <c r="T51" i="12"/>
  <c r="R62" i="12"/>
  <c r="R64" i="12"/>
  <c r="U68" i="12"/>
  <c r="R72" i="12"/>
  <c r="T73" i="9"/>
  <c r="T79" i="9"/>
  <c r="S21" i="10"/>
  <c r="T23" i="10"/>
  <c r="R30" i="10"/>
  <c r="R32" i="10"/>
  <c r="R39" i="10"/>
  <c r="U44" i="10"/>
  <c r="T49" i="10"/>
  <c r="R54" i="10"/>
  <c r="S68" i="10"/>
  <c r="S74" i="10"/>
  <c r="T76" i="10"/>
  <c r="R80" i="10"/>
  <c r="T26" i="11"/>
  <c r="R43" i="11"/>
  <c r="S50" i="11"/>
  <c r="T71" i="11"/>
  <c r="S34" i="12"/>
  <c r="R51" i="12"/>
  <c r="S64" i="12"/>
  <c r="S66" i="12"/>
  <c r="R70" i="12"/>
  <c r="S72" i="12"/>
  <c r="T36" i="10"/>
  <c r="T34" i="10"/>
  <c r="S62" i="9"/>
  <c r="U30" i="10"/>
  <c r="S39" i="10"/>
  <c r="T74" i="10"/>
  <c r="S43" i="11"/>
  <c r="T34" i="12"/>
  <c r="T39" i="12"/>
  <c r="S51" i="12"/>
  <c r="U66" i="12"/>
  <c r="U70" i="12"/>
  <c r="T72" i="12"/>
  <c r="T77" i="12"/>
  <c r="T82" i="9"/>
  <c r="T64" i="9"/>
  <c r="T54" i="9"/>
  <c r="T46" i="9"/>
  <c r="T38" i="9"/>
  <c r="T30" i="9"/>
  <c r="T22" i="9"/>
  <c r="L10" i="6"/>
  <c r="M10" i="6"/>
  <c r="Q10" i="6"/>
  <c r="H7" i="6"/>
  <c r="O10" i="6"/>
  <c r="K10" i="6"/>
  <c r="P10" i="6"/>
  <c r="J7" i="6"/>
  <c r="R10" i="6"/>
  <c r="K7" i="6"/>
  <c r="L7" i="6"/>
  <c r="M7" i="6"/>
  <c r="O7" i="6"/>
  <c r="P7" i="6"/>
  <c r="Q7" i="6"/>
  <c r="R7" i="6"/>
  <c r="E10" i="6"/>
  <c r="J10" i="6"/>
  <c r="I7" i="6"/>
  <c r="G10" i="6"/>
  <c r="H10" i="6"/>
  <c r="I10" i="6"/>
  <c r="G7" i="6"/>
  <c r="C42" i="6"/>
  <c r="C43" i="6"/>
  <c r="C42" i="5"/>
  <c r="E26" i="8"/>
  <c r="E33" i="8"/>
  <c r="G21" i="12"/>
  <c r="G21" i="10"/>
  <c r="G21" i="11"/>
  <c r="G21" i="9"/>
  <c r="E5" i="8"/>
  <c r="E21" i="8"/>
  <c r="E37" i="8"/>
  <c r="E7" i="8"/>
  <c r="E23" i="8"/>
  <c r="E39" i="8"/>
  <c r="E8" i="8"/>
  <c r="E24" i="8"/>
  <c r="E40" i="8"/>
  <c r="E9" i="8"/>
  <c r="E12" i="8"/>
  <c r="E28" i="8"/>
  <c r="E44" i="8"/>
  <c r="E27" i="8"/>
  <c r="E43" i="8"/>
  <c r="E13" i="8"/>
  <c r="E29" i="8"/>
  <c r="E45" i="8"/>
  <c r="E14" i="8"/>
  <c r="E30" i="8"/>
  <c r="E46" i="8"/>
  <c r="E5" i="7"/>
  <c r="E15" i="8"/>
  <c r="E31" i="8"/>
  <c r="E47" i="8"/>
  <c r="E16" i="8"/>
  <c r="E32" i="8"/>
  <c r="E48" i="8"/>
  <c r="E41" i="8"/>
  <c r="E11" i="8"/>
  <c r="E17" i="8"/>
  <c r="E18" i="8"/>
  <c r="E35" i="8"/>
  <c r="E49" i="8"/>
  <c r="E19" i="8"/>
  <c r="E20" i="8"/>
  <c r="E36" i="8"/>
  <c r="E6" i="8"/>
  <c r="E22" i="8"/>
  <c r="E38" i="8"/>
  <c r="E25" i="8"/>
  <c r="E10" i="8"/>
  <c r="E42" i="8"/>
  <c r="E34" i="8"/>
  <c r="S6" i="10"/>
  <c r="F6" i="10"/>
  <c r="B6" i="10"/>
  <c r="S5" i="10"/>
  <c r="F5" i="10"/>
  <c r="B5" i="10"/>
  <c r="U4" i="10"/>
  <c r="S4" i="10"/>
  <c r="F4" i="10"/>
  <c r="A1" i="10"/>
  <c r="T48" i="10"/>
  <c r="S48" i="10"/>
  <c r="U48" i="10"/>
  <c r="R48" i="10"/>
  <c r="U48" i="9"/>
  <c r="T48" i="9"/>
  <c r="S48" i="9"/>
  <c r="R48" i="9"/>
  <c r="T41" i="10"/>
  <c r="S41" i="10"/>
  <c r="R41" i="10"/>
  <c r="U56" i="9"/>
  <c r="T56" i="9"/>
  <c r="S56" i="9"/>
  <c r="R56" i="9"/>
  <c r="U81" i="9"/>
  <c r="T81" i="9"/>
  <c r="S81" i="9"/>
  <c r="R81" i="9"/>
  <c r="U4" i="9"/>
  <c r="U65" i="9"/>
  <c r="T65" i="9"/>
  <c r="S65" i="9"/>
  <c r="R65" i="9"/>
  <c r="U24" i="9"/>
  <c r="T24" i="9"/>
  <c r="S24" i="9"/>
  <c r="R24" i="9"/>
  <c r="U32" i="9"/>
  <c r="T32" i="9"/>
  <c r="S32" i="9"/>
  <c r="R32" i="9"/>
  <c r="U71" i="10"/>
  <c r="T71" i="10"/>
  <c r="S71" i="10"/>
  <c r="R71" i="10"/>
  <c r="U40" i="9"/>
  <c r="T40" i="9"/>
  <c r="S40" i="9"/>
  <c r="R40" i="9"/>
  <c r="B5" i="9"/>
  <c r="U28" i="9"/>
  <c r="U36" i="9"/>
  <c r="U44" i="9"/>
  <c r="U52" i="9"/>
  <c r="S60" i="9"/>
  <c r="U70" i="9"/>
  <c r="S76" i="9"/>
  <c r="R79" i="9"/>
  <c r="R26" i="10"/>
  <c r="T29" i="10"/>
  <c r="R34" i="10"/>
  <c r="T37" i="10"/>
  <c r="T42" i="10"/>
  <c r="T51" i="10"/>
  <c r="T53" i="10"/>
  <c r="T59" i="10"/>
  <c r="T64" i="10"/>
  <c r="S81" i="10"/>
  <c r="R81" i="10"/>
  <c r="T76" i="11"/>
  <c r="F5" i="9"/>
  <c r="R22" i="9"/>
  <c r="R30" i="9"/>
  <c r="R38" i="9"/>
  <c r="R46" i="9"/>
  <c r="R54" i="9"/>
  <c r="T60" i="9"/>
  <c r="T76" i="9"/>
  <c r="U29" i="10"/>
  <c r="U37" i="10"/>
  <c r="U42" i="10"/>
  <c r="U53" i="10"/>
  <c r="R72" i="10"/>
  <c r="S65" i="11"/>
  <c r="R65" i="11"/>
  <c r="T65" i="11"/>
  <c r="T73" i="11"/>
  <c r="U28" i="11"/>
  <c r="T28" i="11"/>
  <c r="F5" i="12"/>
  <c r="B5" i="12"/>
  <c r="U4" i="12"/>
  <c r="S4" i="12"/>
  <c r="F4" i="12"/>
  <c r="F6" i="12"/>
  <c r="S5" i="12"/>
  <c r="B6" i="9"/>
  <c r="S69" i="9"/>
  <c r="R72" i="9"/>
  <c r="T83" i="10"/>
  <c r="S83" i="10"/>
  <c r="R83" i="10"/>
  <c r="U83" i="10"/>
  <c r="T24" i="11"/>
  <c r="S24" i="11"/>
  <c r="R24" i="11"/>
  <c r="U24" i="11"/>
  <c r="U36" i="11"/>
  <c r="T36" i="11"/>
  <c r="T56" i="11"/>
  <c r="S56" i="11"/>
  <c r="R56" i="11"/>
  <c r="U56" i="11"/>
  <c r="B6" i="12"/>
  <c r="F6" i="9"/>
  <c r="S52" i="10"/>
  <c r="R52" i="10"/>
  <c r="T61" i="10"/>
  <c r="T32" i="11"/>
  <c r="S32" i="11"/>
  <c r="R32" i="11"/>
  <c r="U32" i="11"/>
  <c r="R38" i="11"/>
  <c r="U44" i="11"/>
  <c r="T44" i="11"/>
  <c r="S44" i="11"/>
  <c r="T48" i="11"/>
  <c r="S48" i="11"/>
  <c r="R48" i="11"/>
  <c r="U48" i="11"/>
  <c r="S60" i="11"/>
  <c r="R60" i="11"/>
  <c r="R84" i="11"/>
  <c r="U84" i="11"/>
  <c r="S84" i="11"/>
  <c r="S6" i="12"/>
  <c r="U24" i="12"/>
  <c r="T24" i="12"/>
  <c r="S24" i="12"/>
  <c r="R24" i="12"/>
  <c r="U29" i="12"/>
  <c r="T29" i="12"/>
  <c r="S29" i="12"/>
  <c r="R29" i="12"/>
  <c r="S6" i="9"/>
  <c r="T72" i="9"/>
  <c r="R78" i="9"/>
  <c r="T78" i="10"/>
  <c r="S78" i="10"/>
  <c r="R28" i="11"/>
  <c r="S38" i="11"/>
  <c r="T40" i="11"/>
  <c r="S40" i="11"/>
  <c r="R40" i="11"/>
  <c r="U40" i="11"/>
  <c r="R25" i="10"/>
  <c r="R33" i="10"/>
  <c r="T56" i="10"/>
  <c r="S56" i="10"/>
  <c r="R76" i="10"/>
  <c r="S28" i="11"/>
  <c r="R36" i="11"/>
  <c r="T38" i="11"/>
  <c r="R21" i="9"/>
  <c r="R29" i="9"/>
  <c r="R37" i="9"/>
  <c r="R45" i="9"/>
  <c r="R53" i="9"/>
  <c r="S25" i="10"/>
  <c r="S33" i="10"/>
  <c r="T52" i="10"/>
  <c r="S76" i="10"/>
  <c r="R21" i="11"/>
  <c r="S21" i="11"/>
  <c r="S36" i="11"/>
  <c r="R44" i="11"/>
  <c r="T62" i="11"/>
  <c r="S62" i="11"/>
  <c r="R62" i="11"/>
  <c r="T84" i="11"/>
  <c r="F5" i="11"/>
  <c r="B5" i="11"/>
  <c r="T60" i="11"/>
  <c r="T21" i="9"/>
  <c r="R26" i="9"/>
  <c r="T29" i="9"/>
  <c r="T37" i="9"/>
  <c r="T45" i="9"/>
  <c r="T53" i="9"/>
  <c r="S71" i="9"/>
  <c r="S22" i="10"/>
  <c r="S30" i="10"/>
  <c r="S38" i="10"/>
  <c r="S43" i="10"/>
  <c r="R56" i="10"/>
  <c r="S65" i="10"/>
  <c r="R65" i="10"/>
  <c r="T68" i="10"/>
  <c r="S70" i="10"/>
  <c r="R70" i="10"/>
  <c r="R78" i="10"/>
  <c r="F4" i="11"/>
  <c r="S25" i="11"/>
  <c r="R25" i="11"/>
  <c r="S57" i="11"/>
  <c r="R57" i="11"/>
  <c r="S81" i="11"/>
  <c r="R81" i="11"/>
  <c r="T81" i="11"/>
  <c r="U32" i="12"/>
  <c r="T32" i="12"/>
  <c r="S32" i="12"/>
  <c r="R32" i="12"/>
  <c r="U37" i="12"/>
  <c r="T37" i="12"/>
  <c r="S37" i="12"/>
  <c r="R37" i="12"/>
  <c r="S26" i="9"/>
  <c r="S34" i="9"/>
  <c r="S42" i="9"/>
  <c r="S50" i="9"/>
  <c r="S58" i="9"/>
  <c r="R61" i="9"/>
  <c r="T71" i="9"/>
  <c r="S74" i="9"/>
  <c r="T43" i="10"/>
  <c r="S45" i="10"/>
  <c r="T47" i="10"/>
  <c r="S47" i="10"/>
  <c r="U56" i="10"/>
  <c r="U68" i="10"/>
  <c r="U75" i="10"/>
  <c r="T75" i="10"/>
  <c r="S4" i="11"/>
  <c r="R29" i="11"/>
  <c r="S29" i="11"/>
  <c r="S33" i="11"/>
  <c r="R33" i="11"/>
  <c r="S49" i="11"/>
  <c r="R49" i="11"/>
  <c r="R53" i="11"/>
  <c r="U53" i="11"/>
  <c r="S53" i="11"/>
  <c r="T59" i="11"/>
  <c r="S79" i="11"/>
  <c r="R23" i="9"/>
  <c r="R31" i="9"/>
  <c r="R39" i="9"/>
  <c r="R47" i="9"/>
  <c r="R55" i="9"/>
  <c r="R40" i="10"/>
  <c r="U4" i="11"/>
  <c r="R37" i="11"/>
  <c r="S37" i="11"/>
  <c r="S41" i="11"/>
  <c r="R41" i="11"/>
  <c r="R45" i="11"/>
  <c r="U45" i="11"/>
  <c r="S45" i="11"/>
  <c r="R68" i="11"/>
  <c r="U68" i="11"/>
  <c r="S68" i="11"/>
  <c r="U70" i="11"/>
  <c r="T70" i="11"/>
  <c r="S70" i="11"/>
  <c r="R70" i="11"/>
  <c r="S23" i="9"/>
  <c r="S31" i="9"/>
  <c r="S39" i="9"/>
  <c r="S47" i="9"/>
  <c r="S55" i="9"/>
  <c r="T61" i="9"/>
  <c r="S64" i="9"/>
  <c r="R67" i="9"/>
  <c r="S80" i="9"/>
  <c r="R83" i="9"/>
  <c r="S40" i="10"/>
  <c r="T67" i="10"/>
  <c r="S67" i="10"/>
  <c r="R67" i="10"/>
  <c r="S5" i="11"/>
  <c r="S76" i="11"/>
  <c r="R76" i="11"/>
  <c r="F4" i="9"/>
  <c r="T23" i="9"/>
  <c r="T31" i="9"/>
  <c r="T39" i="9"/>
  <c r="T47" i="9"/>
  <c r="T55" i="9"/>
  <c r="S67" i="9"/>
  <c r="R70" i="9"/>
  <c r="S83" i="9"/>
  <c r="T40" i="10"/>
  <c r="T62" i="10"/>
  <c r="S62" i="10"/>
  <c r="B6" i="11"/>
  <c r="T37" i="11"/>
  <c r="T45" i="11"/>
  <c r="S4" i="9"/>
  <c r="T67" i="9"/>
  <c r="T83" i="9"/>
  <c r="R29" i="10"/>
  <c r="R37" i="10"/>
  <c r="R42" i="10"/>
  <c r="R51" i="10"/>
  <c r="F6" i="11"/>
  <c r="U37" i="11"/>
  <c r="T41" i="11"/>
  <c r="T68" i="11"/>
  <c r="S51" i="10"/>
  <c r="S53" i="10"/>
  <c r="U55" i="10"/>
  <c r="T55" i="10"/>
  <c r="S55" i="10"/>
  <c r="S6" i="11"/>
  <c r="T78" i="11"/>
  <c r="S78" i="11"/>
  <c r="R78" i="11"/>
  <c r="R71" i="11"/>
  <c r="T25" i="12"/>
  <c r="T33" i="12"/>
  <c r="T41" i="12"/>
  <c r="T49" i="12"/>
  <c r="T57" i="12"/>
  <c r="T60" i="12"/>
  <c r="S63" i="12"/>
  <c r="R66" i="12"/>
  <c r="U73" i="12"/>
  <c r="T76" i="12"/>
  <c r="R82" i="12"/>
  <c r="U76" i="12"/>
  <c r="R40" i="12"/>
  <c r="R48" i="12"/>
  <c r="R56" i="12"/>
  <c r="S40" i="12"/>
  <c r="S48" i="12"/>
  <c r="S56" i="12"/>
  <c r="S62" i="12"/>
  <c r="R65" i="12"/>
  <c r="T75" i="12"/>
  <c r="S78" i="12"/>
  <c r="R81" i="12"/>
  <c r="S52" i="11"/>
  <c r="R73" i="11"/>
  <c r="R21" i="12"/>
  <c r="T40" i="12"/>
  <c r="R45" i="12"/>
  <c r="T48" i="12"/>
  <c r="R53" i="12"/>
  <c r="T56" i="12"/>
  <c r="S65" i="12"/>
  <c r="R68" i="12"/>
  <c r="S81" i="12"/>
  <c r="R84" i="12"/>
  <c r="T52" i="11"/>
  <c r="S73" i="11"/>
  <c r="S21" i="12"/>
  <c r="S45" i="12"/>
  <c r="S53" i="12"/>
  <c r="S68" i="12"/>
  <c r="R71" i="12"/>
  <c r="T81" i="12"/>
  <c r="S84" i="12"/>
  <c r="T45" i="12"/>
  <c r="T53" i="12"/>
  <c r="S71" i="12"/>
  <c r="R74" i="12"/>
  <c r="S74" i="12"/>
  <c r="R67" i="12"/>
  <c r="S80" i="12"/>
  <c r="R83" i="12"/>
  <c r="R28" i="12"/>
  <c r="R36" i="12"/>
  <c r="R44" i="12"/>
  <c r="R52" i="12"/>
  <c r="S64" i="10"/>
  <c r="T77" i="10"/>
  <c r="S80" i="10"/>
  <c r="T27" i="11"/>
  <c r="T35" i="11"/>
  <c r="S28" i="12"/>
  <c r="S36" i="12"/>
  <c r="S44" i="12"/>
  <c r="S52" i="12"/>
  <c r="T67" i="12"/>
  <c r="S70" i="12"/>
  <c r="R73" i="12"/>
  <c r="T83" i="12"/>
  <c r="T80" i="10"/>
  <c r="T75" i="11"/>
  <c r="R25" i="12"/>
  <c r="T28" i="12"/>
  <c r="R33" i="12"/>
  <c r="T36" i="12"/>
  <c r="R41" i="12"/>
  <c r="T44" i="12"/>
  <c r="R49" i="12"/>
  <c r="T52" i="12"/>
  <c r="R57" i="12"/>
  <c r="R60" i="12"/>
  <c r="S73" i="12"/>
  <c r="R76" i="12"/>
  <c r="F13" i="12"/>
  <c r="N77" i="7"/>
  <c r="S86" i="8"/>
  <c r="M29" i="7"/>
  <c r="F12" i="11"/>
  <c r="M73" i="7"/>
  <c r="P45" i="7"/>
  <c r="T22" i="8"/>
  <c r="N25" i="7"/>
  <c r="M19" i="7"/>
  <c r="T18" i="8"/>
  <c r="O57" i="7"/>
  <c r="O37" i="7"/>
  <c r="M33" i="7"/>
  <c r="P54" i="7"/>
  <c r="O17" i="7"/>
  <c r="P67" i="7"/>
  <c r="O44" i="7"/>
  <c r="N63" i="7"/>
  <c r="P84" i="7"/>
  <c r="P86" i="7"/>
  <c r="M54" i="7"/>
  <c r="N18" i="7"/>
  <c r="P48" i="7"/>
  <c r="U13" i="12"/>
  <c r="M34" i="7"/>
  <c r="S53" i="8"/>
  <c r="F14" i="12"/>
  <c r="R14" i="11"/>
  <c r="N85" i="7"/>
  <c r="M65" i="7"/>
  <c r="O67" i="7"/>
  <c r="N20" i="7"/>
  <c r="N12" i="7"/>
  <c r="T47" i="8"/>
  <c r="P35" i="7"/>
  <c r="P31" i="7"/>
  <c r="M52" i="7"/>
  <c r="P14" i="7"/>
  <c r="P66" i="7"/>
  <c r="S37" i="8"/>
  <c r="O74" i="7"/>
  <c r="O35" i="7"/>
  <c r="P76" i="7"/>
  <c r="U15" i="11"/>
  <c r="P82" i="7"/>
  <c r="T35" i="8"/>
  <c r="O83" i="7"/>
  <c r="P38" i="7"/>
  <c r="M86" i="7"/>
  <c r="M77" i="7"/>
  <c r="S14" i="11"/>
  <c r="S74" i="8"/>
  <c r="T39" i="8"/>
  <c r="S61" i="8"/>
  <c r="M15" i="7"/>
  <c r="N27" i="7"/>
  <c r="S26" i="8"/>
  <c r="T76" i="8"/>
  <c r="P75" i="7"/>
  <c r="N71" i="7"/>
  <c r="O8" i="7"/>
  <c r="S38" i="8"/>
  <c r="S47" i="8"/>
  <c r="G15" i="12"/>
  <c r="S46" i="8"/>
  <c r="G15" i="11"/>
  <c r="S12" i="12"/>
  <c r="S17" i="8"/>
  <c r="O62" i="7"/>
  <c r="P61" i="7"/>
  <c r="O21" i="7"/>
  <c r="M46" i="7"/>
  <c r="P22" i="7"/>
  <c r="M58" i="7"/>
  <c r="P7" i="7"/>
  <c r="M15" i="12"/>
  <c r="O29" i="7"/>
  <c r="M12" i="12"/>
  <c r="J15" i="12"/>
  <c r="O60" i="7"/>
  <c r="S31" i="8"/>
  <c r="P12" i="7"/>
  <c r="L12" i="11"/>
  <c r="N11" i="7"/>
  <c r="P52" i="7"/>
  <c r="S59" i="8"/>
  <c r="O12" i="7"/>
  <c r="N66" i="7"/>
  <c r="T36" i="8"/>
  <c r="P5" i="7"/>
  <c r="S16" i="11"/>
  <c r="O51" i="7"/>
  <c r="M63" i="7"/>
  <c r="T13" i="8"/>
  <c r="M10" i="7"/>
  <c r="S41" i="8"/>
  <c r="O66" i="7"/>
  <c r="T32" i="8"/>
  <c r="K16" i="11"/>
  <c r="N48" i="7"/>
  <c r="R13" i="12"/>
  <c r="P28" i="7"/>
  <c r="S62" i="8"/>
  <c r="P24" i="7"/>
  <c r="O84" i="7"/>
  <c r="M69" i="7"/>
  <c r="N6" i="7"/>
  <c r="S12" i="8"/>
  <c r="T44" i="8"/>
  <c r="P77" i="7"/>
  <c r="O64" i="7"/>
  <c r="M12" i="11"/>
  <c r="P85" i="7"/>
  <c r="E15" i="11"/>
  <c r="G16" i="11"/>
  <c r="N47" i="7"/>
  <c r="P8" i="7"/>
  <c r="O26" i="7"/>
  <c r="O79" i="7"/>
  <c r="K13" i="11"/>
  <c r="T72" i="8"/>
  <c r="F14" i="11"/>
  <c r="P50" i="7"/>
  <c r="P49" i="7"/>
  <c r="M57" i="7"/>
  <c r="T12" i="8"/>
  <c r="M7" i="7"/>
  <c r="N50" i="7"/>
  <c r="P16" i="7"/>
  <c r="F15" i="12"/>
  <c r="P71" i="7"/>
  <c r="M79" i="7"/>
  <c r="R13" i="11"/>
  <c r="M75" i="7"/>
  <c r="T54" i="8"/>
  <c r="M48" i="7"/>
  <c r="P32" i="7"/>
  <c r="P53" i="7"/>
  <c r="M13" i="11"/>
  <c r="L13" i="12"/>
  <c r="N51" i="7"/>
  <c r="P57" i="7"/>
  <c r="P6" i="7"/>
  <c r="T57" i="8"/>
  <c r="N30" i="7"/>
  <c r="E15" i="12"/>
  <c r="O9" i="7"/>
  <c r="O75" i="7"/>
  <c r="F12" i="12"/>
  <c r="P34" i="7"/>
  <c r="N73" i="7"/>
  <c r="M9" i="7"/>
  <c r="N26" i="7"/>
  <c r="T11" i="8"/>
  <c r="O32" i="7"/>
  <c r="O81" i="7"/>
  <c r="T69" i="8"/>
  <c r="S42" i="8"/>
  <c r="S8" i="8"/>
  <c r="M12" i="7"/>
  <c r="T16" i="8"/>
  <c r="T64" i="8"/>
  <c r="T83" i="8"/>
  <c r="T42" i="8"/>
  <c r="T63" i="8"/>
  <c r="J12" i="12"/>
  <c r="T16" i="11"/>
  <c r="P47" i="7"/>
  <c r="P46" i="7"/>
  <c r="S34" i="8"/>
  <c r="S16" i="12"/>
  <c r="J14" i="12"/>
  <c r="T58" i="8"/>
  <c r="N33" i="7"/>
  <c r="O71" i="7"/>
  <c r="P33" i="7"/>
  <c r="S18" i="8"/>
  <c r="M53" i="7"/>
  <c r="E14" i="12"/>
  <c r="N75" i="7"/>
  <c r="N65" i="7"/>
  <c r="O48" i="7"/>
  <c r="N82" i="7"/>
  <c r="E16" i="11"/>
  <c r="O18" i="7"/>
  <c r="O54" i="7"/>
  <c r="O63" i="7"/>
  <c r="T33" i="8"/>
  <c r="N16" i="7"/>
  <c r="S13" i="8"/>
  <c r="O5" i="7"/>
  <c r="M76" i="7"/>
  <c r="N7" i="7"/>
  <c r="M40" i="7"/>
  <c r="M82" i="7"/>
  <c r="P13" i="7"/>
  <c r="T65" i="8"/>
  <c r="P20" i="7"/>
  <c r="T46" i="8"/>
  <c r="O61" i="7"/>
  <c r="R12" i="12"/>
  <c r="N29" i="7"/>
  <c r="P23" i="7"/>
  <c r="K14" i="12"/>
  <c r="P39" i="7"/>
  <c r="M13" i="12"/>
  <c r="O59" i="7"/>
  <c r="D15" i="12"/>
  <c r="S11" i="8"/>
  <c r="T56" i="8"/>
  <c r="N62" i="7"/>
  <c r="O20" i="7"/>
  <c r="N9" i="7"/>
  <c r="D14" i="12"/>
  <c r="S52" i="8"/>
  <c r="M32" i="7"/>
  <c r="N55" i="7"/>
  <c r="T30" i="8"/>
  <c r="M18" i="7"/>
  <c r="K16" i="12"/>
  <c r="J15" i="11"/>
  <c r="O36" i="7"/>
  <c r="N14" i="7"/>
  <c r="G13" i="11"/>
  <c r="S57" i="8"/>
  <c r="S75" i="8"/>
  <c r="S19" i="8"/>
  <c r="M66" i="7"/>
  <c r="T27" i="8"/>
  <c r="S67" i="8"/>
  <c r="P63" i="7"/>
  <c r="P83" i="7"/>
  <c r="S72" i="8"/>
  <c r="R14" i="12"/>
  <c r="N37" i="7"/>
  <c r="T60" i="8"/>
  <c r="M36" i="7"/>
  <c r="T49" i="8"/>
  <c r="M68" i="7"/>
  <c r="T31" i="8"/>
  <c r="S43" i="8"/>
  <c r="P55" i="7"/>
  <c r="K15" i="12"/>
  <c r="J13" i="11"/>
  <c r="T15" i="8"/>
  <c r="T85" i="8"/>
  <c r="M49" i="7"/>
  <c r="P37" i="7"/>
  <c r="T13" i="11"/>
  <c r="P40" i="7"/>
  <c r="O76" i="7"/>
  <c r="S24" i="8"/>
  <c r="O33" i="7"/>
  <c r="M28" i="7"/>
  <c r="O72" i="7"/>
  <c r="S56" i="8"/>
  <c r="R15" i="11"/>
  <c r="N81" i="7"/>
  <c r="S5" i="8"/>
  <c r="T43" i="8"/>
  <c r="N53" i="7"/>
  <c r="N86" i="7"/>
  <c r="N64" i="7"/>
  <c r="T12" i="12"/>
  <c r="J16" i="12"/>
  <c r="M56" i="7"/>
  <c r="T79" i="8"/>
  <c r="N36" i="7"/>
  <c r="S48" i="8"/>
  <c r="O55" i="7"/>
  <c r="S54" i="8"/>
  <c r="T6" i="8"/>
  <c r="M20" i="7"/>
  <c r="O80" i="7"/>
  <c r="E12" i="12"/>
  <c r="R15" i="12"/>
  <c r="N45" i="7"/>
  <c r="S85" i="8"/>
  <c r="T15" i="12"/>
  <c r="F16" i="11"/>
  <c r="P41" i="7"/>
  <c r="E16" i="12"/>
  <c r="U12" i="11"/>
  <c r="T84" i="8"/>
  <c r="M14" i="11"/>
  <c r="M64" i="7"/>
  <c r="M67" i="7"/>
  <c r="T66" i="8"/>
  <c r="K13" i="12"/>
  <c r="M16" i="7"/>
  <c r="N80" i="7"/>
  <c r="D13" i="12"/>
  <c r="N44" i="7"/>
  <c r="P17" i="7"/>
  <c r="T67" i="8"/>
  <c r="S40" i="8"/>
  <c r="K12" i="11"/>
  <c r="T68" i="8"/>
  <c r="P65" i="7"/>
  <c r="M30" i="7"/>
  <c r="N8" i="7"/>
  <c r="N58" i="7"/>
  <c r="M60" i="7"/>
  <c r="T28" i="8"/>
  <c r="S7" i="8"/>
  <c r="T14" i="11"/>
  <c r="S83" i="8"/>
  <c r="M55" i="7"/>
  <c r="N54" i="7"/>
  <c r="M6" i="7"/>
  <c r="T73" i="8"/>
  <c r="S13" i="12"/>
  <c r="N31" i="7"/>
  <c r="P44" i="7"/>
  <c r="N34" i="7"/>
  <c r="P26" i="7"/>
  <c r="P21" i="7"/>
  <c r="P72" i="7"/>
  <c r="T25" i="8"/>
  <c r="T75" i="8"/>
  <c r="T12" i="11"/>
  <c r="P9" i="7"/>
  <c r="O77" i="7"/>
  <c r="S23" i="8"/>
  <c r="S45" i="8"/>
  <c r="N22" i="7"/>
  <c r="S9" i="8"/>
  <c r="O13" i="7"/>
  <c r="P58" i="7"/>
  <c r="M27" i="7"/>
  <c r="S35" i="8"/>
  <c r="O34" i="7"/>
  <c r="N60" i="7"/>
  <c r="O10" i="7"/>
  <c r="P15" i="7"/>
  <c r="O25" i="7"/>
  <c r="S82" i="8"/>
  <c r="O42" i="7"/>
  <c r="D14" i="11"/>
  <c r="P79" i="7"/>
  <c r="S22" i="8"/>
  <c r="O47" i="7"/>
  <c r="T29" i="8"/>
  <c r="N83" i="7"/>
  <c r="T71" i="8"/>
  <c r="N49" i="7"/>
  <c r="O82" i="7"/>
  <c r="O50" i="7"/>
  <c r="L16" i="12"/>
  <c r="M5" i="7"/>
  <c r="E14" i="11"/>
  <c r="S16" i="8"/>
  <c r="N43" i="7"/>
  <c r="M16" i="12"/>
  <c r="M16" i="11"/>
  <c r="D13" i="11"/>
  <c r="O39" i="7"/>
  <c r="U16" i="12"/>
  <c r="S76" i="8"/>
  <c r="T59" i="8"/>
  <c r="M42" i="7"/>
  <c r="P43" i="7"/>
  <c r="N35" i="7"/>
  <c r="T26" i="8"/>
  <c r="S84" i="8"/>
  <c r="M74" i="7"/>
  <c r="M44" i="7"/>
  <c r="P81" i="7"/>
  <c r="T9" i="8"/>
  <c r="N24" i="7"/>
  <c r="N59" i="7"/>
  <c r="M78" i="7"/>
  <c r="O49" i="7"/>
  <c r="S6" i="8"/>
  <c r="O16" i="7"/>
  <c r="S32" i="8"/>
  <c r="P64" i="7"/>
  <c r="T10" i="8"/>
  <c r="P60" i="7"/>
  <c r="T14" i="8"/>
  <c r="N46" i="7"/>
  <c r="N72" i="7"/>
  <c r="S65" i="8"/>
  <c r="T23" i="8"/>
  <c r="S14" i="8"/>
  <c r="P70" i="7"/>
  <c r="D16" i="11"/>
  <c r="D15" i="11"/>
  <c r="M22" i="7"/>
  <c r="T80" i="8"/>
  <c r="S25" i="8"/>
  <c r="M31" i="7"/>
  <c r="P78" i="7"/>
  <c r="P51" i="7"/>
  <c r="T37" i="8"/>
  <c r="T74" i="8"/>
  <c r="P19" i="7"/>
  <c r="G12" i="12"/>
  <c r="M15" i="11"/>
  <c r="M14" i="12"/>
  <c r="M14" i="7"/>
  <c r="S10" i="8"/>
  <c r="N21" i="7"/>
  <c r="S80" i="8"/>
  <c r="O23" i="7"/>
  <c r="T53" i="8"/>
  <c r="O85" i="7"/>
  <c r="J12" i="11"/>
  <c r="S12" i="11"/>
  <c r="N5" i="7"/>
  <c r="N69" i="7"/>
  <c r="P59" i="7"/>
  <c r="N38" i="7"/>
  <c r="T20" i="8"/>
  <c r="N39" i="7"/>
  <c r="S28" i="8"/>
  <c r="S73" i="8"/>
  <c r="N70" i="7"/>
  <c r="T77" i="8"/>
  <c r="P69" i="7"/>
  <c r="T15" i="11"/>
  <c r="P18" i="7"/>
  <c r="N19" i="7"/>
  <c r="M70" i="7"/>
  <c r="M23" i="7"/>
  <c r="G14" i="11"/>
  <c r="T38" i="8"/>
  <c r="T61" i="8"/>
  <c r="P62" i="7"/>
  <c r="E13" i="11"/>
  <c r="P80" i="7"/>
  <c r="M71" i="7"/>
  <c r="R16" i="11"/>
  <c r="T21" i="8"/>
  <c r="N17" i="7"/>
  <c r="S15" i="11"/>
  <c r="T82" i="8"/>
  <c r="D16" i="12"/>
  <c r="S49" i="8"/>
  <c r="O24" i="7"/>
  <c r="T7" i="8"/>
  <c r="T13" i="12"/>
  <c r="D12" i="12"/>
  <c r="T34" i="8"/>
  <c r="T86" i="8"/>
  <c r="P36" i="7"/>
  <c r="P56" i="7"/>
  <c r="O68" i="7"/>
  <c r="N78" i="7"/>
  <c r="M38" i="7"/>
  <c r="O28" i="7"/>
  <c r="S20" i="8"/>
  <c r="O15" i="7"/>
  <c r="M47" i="7"/>
  <c r="S27" i="8"/>
  <c r="S68" i="8"/>
  <c r="L13" i="11"/>
  <c r="S60" i="8"/>
  <c r="R12" i="11"/>
  <c r="S14" i="12"/>
  <c r="T78" i="8"/>
  <c r="L15" i="11"/>
  <c r="M39" i="7"/>
  <c r="M61" i="7"/>
  <c r="M26" i="7"/>
  <c r="T41" i="8"/>
  <c r="M51" i="7"/>
  <c r="N74" i="7"/>
  <c r="O43" i="7"/>
  <c r="N61" i="7"/>
  <c r="N42" i="7"/>
  <c r="S69" i="8"/>
  <c r="S29" i="8"/>
  <c r="P42" i="7"/>
  <c r="O73" i="7"/>
  <c r="M62" i="7"/>
  <c r="N79" i="7"/>
  <c r="S33" i="8"/>
  <c r="T62" i="8"/>
  <c r="N23" i="7"/>
  <c r="M50" i="7"/>
  <c r="S50" i="8"/>
  <c r="O38" i="7"/>
  <c r="M43" i="7"/>
  <c r="O86" i="7"/>
  <c r="S30" i="8"/>
  <c r="D12" i="11"/>
  <c r="G13" i="12"/>
  <c r="T48" i="8"/>
  <c r="O56" i="7"/>
  <c r="P29" i="7"/>
  <c r="S13" i="11"/>
  <c r="S51" i="8"/>
  <c r="N84" i="7"/>
  <c r="S44" i="8"/>
  <c r="N32" i="7"/>
  <c r="S81" i="8"/>
  <c r="P25" i="7"/>
  <c r="O30" i="7"/>
  <c r="J14" i="11"/>
  <c r="O40" i="7"/>
  <c r="O65" i="7"/>
  <c r="M11" i="7"/>
  <c r="G14" i="12"/>
  <c r="O31" i="7"/>
  <c r="S70" i="8"/>
  <c r="N76" i="7"/>
  <c r="N57" i="7"/>
  <c r="M8" i="7"/>
  <c r="O58" i="7"/>
  <c r="N67" i="7"/>
  <c r="L16" i="11"/>
  <c r="M45" i="7"/>
  <c r="O52" i="7"/>
  <c r="T17" i="8"/>
  <c r="T5" i="8"/>
  <c r="N15" i="7"/>
  <c r="O27" i="7"/>
  <c r="M84" i="7"/>
  <c r="N28" i="7"/>
  <c r="N10" i="7"/>
  <c r="N52" i="7"/>
  <c r="S77" i="8"/>
  <c r="O22" i="7"/>
  <c r="S39" i="8"/>
  <c r="G12" i="11"/>
  <c r="M83" i="7"/>
  <c r="M21" i="7"/>
  <c r="F16" i="12"/>
  <c r="M17" i="7"/>
  <c r="T81" i="8"/>
  <c r="F13" i="11"/>
  <c r="N56" i="7"/>
  <c r="O69" i="7"/>
  <c r="P73" i="7"/>
  <c r="M59" i="7"/>
  <c r="P68" i="7"/>
  <c r="T16" i="12"/>
  <c r="M35" i="7"/>
  <c r="S63" i="8"/>
  <c r="S15" i="12"/>
  <c r="T19" i="8"/>
  <c r="T55" i="8"/>
  <c r="L14" i="11"/>
  <c r="S71" i="8"/>
  <c r="P30" i="7"/>
  <c r="O41" i="7"/>
  <c r="O46" i="7"/>
  <c r="O14" i="7"/>
  <c r="P27" i="7"/>
  <c r="T8" i="8"/>
  <c r="O78" i="7"/>
  <c r="S58" i="8"/>
  <c r="U14" i="12"/>
  <c r="O7" i="7"/>
  <c r="N40" i="7"/>
  <c r="L12" i="12"/>
  <c r="P11" i="7"/>
  <c r="S21" i="8"/>
  <c r="T14" i="12"/>
  <c r="N13" i="7"/>
  <c r="M85" i="7"/>
  <c r="R16" i="12"/>
  <c r="O19" i="7"/>
  <c r="K15" i="11"/>
  <c r="J13" i="12"/>
  <c r="J16" i="11"/>
  <c r="M81" i="7"/>
  <c r="E13" i="12"/>
  <c r="O6" i="7"/>
  <c r="K12" i="12"/>
  <c r="P10" i="7"/>
  <c r="M72" i="7"/>
  <c r="U16" i="11"/>
  <c r="S36" i="8"/>
  <c r="U14" i="11"/>
  <c r="K14" i="11"/>
  <c r="N68" i="7"/>
  <c r="S55" i="8"/>
  <c r="O53" i="7"/>
  <c r="T52" i="8"/>
  <c r="S78" i="8"/>
  <c r="M37" i="7"/>
  <c r="T51" i="8"/>
  <c r="S79" i="8"/>
  <c r="O45" i="7"/>
  <c r="N41" i="7"/>
  <c r="T50" i="8"/>
  <c r="T40" i="8"/>
  <c r="M24" i="7"/>
  <c r="O11" i="7"/>
  <c r="S64" i="8"/>
  <c r="P74" i="7"/>
  <c r="U15" i="12"/>
  <c r="G16" i="12"/>
  <c r="O70" i="7"/>
  <c r="M13" i="7"/>
  <c r="F15" i="11"/>
  <c r="E12" i="11"/>
  <c r="M41" i="7"/>
  <c r="S66" i="8"/>
  <c r="M25" i="7"/>
  <c r="T45" i="8"/>
  <c r="L14" i="12"/>
  <c r="L15" i="12"/>
  <c r="T24" i="8"/>
  <c r="U13" i="11"/>
  <c r="U12" i="12"/>
  <c r="M80" i="7"/>
  <c r="T70" i="8"/>
  <c r="S15" i="8"/>
  <c r="U10" i="6" l="1"/>
  <c r="N10" i="6"/>
  <c r="F7" i="6"/>
  <c r="U7" i="6"/>
  <c r="S7" i="6"/>
  <c r="T7" i="6"/>
  <c r="N7" i="6"/>
  <c r="T10" i="6"/>
  <c r="S10" i="6"/>
  <c r="F10" i="6"/>
  <c r="N15" i="12"/>
  <c r="E17" i="11"/>
  <c r="S17" i="12"/>
  <c r="O16" i="12"/>
  <c r="Y16" i="12" s="1"/>
  <c r="H16" i="12"/>
  <c r="X16" i="12" s="1"/>
  <c r="O15" i="11"/>
  <c r="Y15" i="11" s="1"/>
  <c r="H15" i="11"/>
  <c r="X15" i="11" s="1"/>
  <c r="F17" i="11"/>
  <c r="U17" i="12"/>
  <c r="N13" i="12"/>
  <c r="S17" i="11"/>
  <c r="H14" i="12"/>
  <c r="X14" i="12" s="1"/>
  <c r="O14" i="12"/>
  <c r="Y14" i="12" s="1"/>
  <c r="M17" i="12"/>
  <c r="T17" i="11"/>
  <c r="D17" i="12"/>
  <c r="K17" i="11"/>
  <c r="J17" i="11"/>
  <c r="N12" i="11"/>
  <c r="E17" i="12"/>
  <c r="N12" i="12"/>
  <c r="J17" i="12"/>
  <c r="U17" i="11"/>
  <c r="T17" i="12"/>
  <c r="F17" i="12"/>
  <c r="O14" i="11"/>
  <c r="Y14" i="11" s="1"/>
  <c r="H14" i="11"/>
  <c r="X14" i="11" s="1"/>
  <c r="R17" i="11"/>
  <c r="S87" i="8"/>
  <c r="N14" i="12"/>
  <c r="L17" i="11"/>
  <c r="N15" i="11"/>
  <c r="H15" i="12"/>
  <c r="X15" i="12" s="1"/>
  <c r="O15" i="12"/>
  <c r="Y15" i="12" s="1"/>
  <c r="N14" i="11"/>
  <c r="O13" i="12"/>
  <c r="Y13" i="12" s="1"/>
  <c r="H13" i="12"/>
  <c r="X13" i="12" s="1"/>
  <c r="O16" i="11"/>
  <c r="Y16" i="11" s="1"/>
  <c r="H16" i="11"/>
  <c r="X16" i="11" s="1"/>
  <c r="M17" i="11"/>
  <c r="H13" i="11"/>
  <c r="X13" i="11" s="1"/>
  <c r="O13" i="11"/>
  <c r="Y13" i="11" s="1"/>
  <c r="D17" i="11"/>
  <c r="N16" i="12"/>
  <c r="R17" i="12"/>
  <c r="N13" i="11"/>
  <c r="O12" i="12"/>
  <c r="Y12" i="12" s="1"/>
  <c r="H12" i="12"/>
  <c r="X12" i="12" s="1"/>
  <c r="G17" i="12"/>
  <c r="N16" i="11"/>
  <c r="P87" i="7"/>
  <c r="O12" i="11"/>
  <c r="Y12" i="11" s="1"/>
  <c r="G17" i="11"/>
  <c r="H12" i="11"/>
  <c r="X12" i="11" s="1"/>
  <c r="K17" i="12"/>
  <c r="L17" i="12"/>
  <c r="M87" i="7"/>
  <c r="T87" i="8"/>
  <c r="N87" i="7"/>
  <c r="O87" i="7"/>
  <c r="J45" i="5"/>
  <c r="E45" i="5"/>
  <c r="I45" i="5"/>
  <c r="K45" i="5"/>
  <c r="G45" i="5"/>
  <c r="H45" i="5"/>
  <c r="S13" i="9"/>
  <c r="G14" i="10"/>
  <c r="F13" i="10"/>
  <c r="D12" i="9"/>
  <c r="G12" i="9"/>
  <c r="G14" i="9"/>
  <c r="L16" i="9"/>
  <c r="G12" i="10"/>
  <c r="H48" i="5"/>
  <c r="U14" i="10"/>
  <c r="L13" i="9"/>
  <c r="T16" i="9"/>
  <c r="J16" i="10"/>
  <c r="J14" i="9"/>
  <c r="D15" i="10"/>
  <c r="M13" i="9"/>
  <c r="T12" i="10"/>
  <c r="G16" i="10"/>
  <c r="L15" i="9"/>
  <c r="J12" i="9"/>
  <c r="J16" i="9"/>
  <c r="S15" i="10"/>
  <c r="T15" i="9"/>
  <c r="D13" i="10"/>
  <c r="S16" i="9"/>
  <c r="J15" i="9"/>
  <c r="G13" i="10"/>
  <c r="D12" i="10"/>
  <c r="G13" i="9"/>
  <c r="T16" i="10"/>
  <c r="J13" i="9"/>
  <c r="S16" i="10"/>
  <c r="U16" i="9"/>
  <c r="E16" i="10"/>
  <c r="K12" i="10"/>
  <c r="E15" i="10"/>
  <c r="E16" i="9"/>
  <c r="I48" i="5"/>
  <c r="E13" i="10"/>
  <c r="L14" i="10"/>
  <c r="K14" i="10"/>
  <c r="K15" i="10"/>
  <c r="S14" i="9"/>
  <c r="S14" i="10"/>
  <c r="S12" i="9"/>
  <c r="F13" i="9"/>
  <c r="L12" i="10"/>
  <c r="R13" i="10"/>
  <c r="D14" i="9"/>
  <c r="M16" i="10"/>
  <c r="R16" i="10"/>
  <c r="G15" i="10"/>
  <c r="U14" i="9"/>
  <c r="T15" i="10"/>
  <c r="M14" i="9"/>
  <c r="F12" i="9"/>
  <c r="M16" i="9"/>
  <c r="D16" i="9"/>
  <c r="T14" i="10"/>
  <c r="G16" i="9"/>
  <c r="S12" i="10"/>
  <c r="F15" i="10"/>
  <c r="K16" i="9"/>
  <c r="E14" i="10"/>
  <c r="M13" i="10"/>
  <c r="M12" i="10"/>
  <c r="U15" i="10"/>
  <c r="L16" i="10"/>
  <c r="S15" i="9"/>
  <c r="T14" i="9"/>
  <c r="E12" i="10"/>
  <c r="M14" i="10"/>
  <c r="M12" i="9"/>
  <c r="R14" i="10"/>
  <c r="F14" i="10"/>
  <c r="U15" i="9"/>
  <c r="M15" i="10"/>
  <c r="L14" i="9"/>
  <c r="F15" i="9"/>
  <c r="U16" i="10"/>
  <c r="E12" i="9"/>
  <c r="J13" i="10"/>
  <c r="G15" i="9"/>
  <c r="E15" i="9"/>
  <c r="R13" i="9"/>
  <c r="E14" i="9"/>
  <c r="F16" i="9"/>
  <c r="R14" i="9"/>
  <c r="U13" i="9"/>
  <c r="J14" i="10"/>
  <c r="T12" i="9"/>
  <c r="R12" i="10"/>
  <c r="K16" i="10"/>
  <c r="K13" i="10"/>
  <c r="K48" i="5"/>
  <c r="F12" i="10"/>
  <c r="T13" i="10"/>
  <c r="U12" i="9"/>
  <c r="F14" i="9"/>
  <c r="K12" i="9"/>
  <c r="J48" i="5"/>
  <c r="R16" i="9"/>
  <c r="R12" i="9"/>
  <c r="M15" i="9"/>
  <c r="E48" i="5"/>
  <c r="J12" i="10"/>
  <c r="T13" i="9"/>
  <c r="F16" i="10"/>
  <c r="L15" i="10"/>
  <c r="D16" i="10"/>
  <c r="U12" i="10"/>
  <c r="R15" i="10"/>
  <c r="D15" i="9"/>
  <c r="L13" i="10"/>
  <c r="S13" i="10"/>
  <c r="K14" i="9"/>
  <c r="E13" i="9"/>
  <c r="K13" i="9"/>
  <c r="G48" i="5"/>
  <c r="D13" i="9"/>
  <c r="L12" i="9"/>
  <c r="J15" i="10"/>
  <c r="D14" i="10"/>
  <c r="R15" i="9"/>
  <c r="U13" i="10"/>
  <c r="K15" i="9"/>
  <c r="F45" i="5" l="1"/>
  <c r="F48" i="5"/>
  <c r="N13" i="10"/>
  <c r="K17" i="10"/>
  <c r="M17" i="10"/>
  <c r="N16" i="9"/>
  <c r="U17" i="9"/>
  <c r="T17" i="10"/>
  <c r="F17" i="10"/>
  <c r="H12" i="9"/>
  <c r="X12" i="9" s="1"/>
  <c r="G17" i="9"/>
  <c r="O12" i="9"/>
  <c r="Y12" i="9" s="1"/>
  <c r="N13" i="9"/>
  <c r="N16" i="10"/>
  <c r="H14" i="9"/>
  <c r="X14" i="9" s="1"/>
  <c r="O14" i="9"/>
  <c r="Y14" i="9" s="1"/>
  <c r="O15" i="10"/>
  <c r="Y15" i="10" s="1"/>
  <c r="H15" i="10"/>
  <c r="X15" i="10" s="1"/>
  <c r="U17" i="10"/>
  <c r="M17" i="9"/>
  <c r="O13" i="10"/>
  <c r="Y13" i="10" s="1"/>
  <c r="H13" i="10"/>
  <c r="X13" i="10" s="1"/>
  <c r="N14" i="10"/>
  <c r="J17" i="10"/>
  <c r="N12" i="10"/>
  <c r="G17" i="10"/>
  <c r="O12" i="10"/>
  <c r="Y12" i="10" s="1"/>
  <c r="H12" i="10"/>
  <c r="X12" i="10" s="1"/>
  <c r="D17" i="9"/>
  <c r="R17" i="9"/>
  <c r="L17" i="9"/>
  <c r="R17" i="10"/>
  <c r="N14" i="9"/>
  <c r="O16" i="9"/>
  <c r="Y16" i="9" s="1"/>
  <c r="H16" i="9"/>
  <c r="X16" i="9" s="1"/>
  <c r="D17" i="10"/>
  <c r="O15" i="9"/>
  <c r="Y15" i="9" s="1"/>
  <c r="H15" i="9"/>
  <c r="X15" i="9" s="1"/>
  <c r="N15" i="9"/>
  <c r="L17" i="10"/>
  <c r="N15" i="10"/>
  <c r="T17" i="9"/>
  <c r="O14" i="10"/>
  <c r="Y14" i="10" s="1"/>
  <c r="H14" i="10"/>
  <c r="X14" i="10" s="1"/>
  <c r="O16" i="10"/>
  <c r="Y16" i="10" s="1"/>
  <c r="H16" i="10"/>
  <c r="X16" i="10" s="1"/>
  <c r="S17" i="10"/>
  <c r="N12" i="9"/>
  <c r="J17" i="9"/>
  <c r="H13" i="9"/>
  <c r="X13" i="9" s="1"/>
  <c r="O13" i="9"/>
  <c r="Y13" i="9" s="1"/>
  <c r="F17" i="9"/>
  <c r="S17" i="9"/>
  <c r="E17" i="9"/>
  <c r="K17" i="9"/>
  <c r="E17" i="10"/>
  <c r="O17" i="11"/>
  <c r="H17" i="11"/>
  <c r="O17" i="12"/>
  <c r="H17" i="12"/>
  <c r="L45" i="5"/>
  <c r="O43" i="6"/>
  <c r="J43" i="5"/>
  <c r="E43" i="5"/>
  <c r="E43" i="6"/>
  <c r="M43" i="6"/>
  <c r="R43" i="6"/>
  <c r="J43" i="6"/>
  <c r="L43" i="6"/>
  <c r="G43" i="6"/>
  <c r="G43" i="5"/>
  <c r="H43" i="6"/>
  <c r="H43" i="5"/>
  <c r="I43" i="5"/>
  <c r="I43" i="6"/>
  <c r="K43" i="5"/>
  <c r="Q43" i="6"/>
  <c r="K43" i="6"/>
  <c r="P43" i="6"/>
  <c r="J42" i="6"/>
  <c r="H44" i="5"/>
  <c r="Q42" i="6"/>
  <c r="L42" i="6"/>
  <c r="H42" i="6"/>
  <c r="J42" i="5"/>
  <c r="K42" i="6"/>
  <c r="G42" i="6"/>
  <c r="E44" i="5"/>
  <c r="J44" i="5"/>
  <c r="K42" i="5"/>
  <c r="O42" i="6"/>
  <c r="K44" i="5"/>
  <c r="G44" i="5"/>
  <c r="I44" i="5"/>
  <c r="I42" i="6"/>
  <c r="R42" i="6"/>
  <c r="H42" i="5"/>
  <c r="G42" i="5"/>
  <c r="M42" i="6"/>
  <c r="P42" i="6"/>
  <c r="I42" i="5"/>
  <c r="L48" i="5"/>
  <c r="E42" i="5"/>
  <c r="E42" i="6"/>
  <c r="N43" i="6" l="1"/>
  <c r="F43" i="6"/>
  <c r="F43" i="5"/>
  <c r="F44" i="5"/>
  <c r="Q44" i="6"/>
  <c r="K49" i="5"/>
  <c r="G49" i="5"/>
  <c r="G44" i="6"/>
  <c r="L44" i="6"/>
  <c r="J44" i="6"/>
  <c r="R44" i="6"/>
  <c r="H49" i="5"/>
  <c r="H44" i="6"/>
  <c r="J49" i="5"/>
  <c r="O44" i="6"/>
  <c r="M44" i="6"/>
  <c r="E49" i="5"/>
  <c r="F42" i="5"/>
  <c r="F49" i="5" s="1"/>
  <c r="E44" i="6"/>
  <c r="F42" i="6"/>
  <c r="K44" i="6"/>
  <c r="N42" i="6"/>
  <c r="I49" i="5"/>
  <c r="I44" i="6"/>
  <c r="P44" i="6"/>
  <c r="X17" i="12"/>
  <c r="X17" i="11"/>
  <c r="Y17" i="12"/>
  <c r="N17" i="12"/>
  <c r="O17" i="9"/>
  <c r="H17" i="9"/>
  <c r="H17" i="10"/>
  <c r="O17" i="10"/>
  <c r="Y17" i="11"/>
  <c r="N17" i="11"/>
  <c r="T43" i="6"/>
  <c r="L43" i="5"/>
  <c r="U43" i="6"/>
  <c r="T42" i="6"/>
  <c r="L44" i="5"/>
  <c r="U42" i="6"/>
  <c r="L42" i="5"/>
  <c r="F44" i="6" l="1"/>
  <c r="N44" i="6"/>
  <c r="L49" i="5"/>
  <c r="X17" i="9"/>
  <c r="X17" i="10"/>
  <c r="S44" i="6"/>
  <c r="T44" i="6"/>
  <c r="U44" i="6"/>
  <c r="N17" i="10"/>
  <c r="Y17" i="10"/>
  <c r="N17" i="9"/>
  <c r="Y17" i="9"/>
  <c r="S43" i="6"/>
  <c r="S42" i="6"/>
  <c r="K59" i="8"/>
  <c r="N59" i="8"/>
  <c r="F59" i="8"/>
  <c r="P59" i="8" l="1"/>
  <c r="L59" i="8"/>
  <c r="H59" i="7"/>
  <c r="M59" i="8"/>
  <c r="I59" i="7"/>
  <c r="J59" i="7"/>
  <c r="F59" i="7"/>
  <c r="J59" i="8" l="1"/>
  <c r="O59" i="8" s="1"/>
  <c r="K59" i="7"/>
  <c r="H59" i="8"/>
  <c r="I59" i="8"/>
  <c r="F5" i="7"/>
  <c r="G59" i="7"/>
  <c r="L59" i="7" l="1"/>
  <c r="G59" i="8"/>
  <c r="R59" i="8" s="1"/>
  <c r="H5" i="7"/>
  <c r="Q59" i="8" l="1"/>
  <c r="H5" i="8"/>
  <c r="I5" i="7"/>
  <c r="I5" i="8" l="1"/>
  <c r="J5" i="7"/>
  <c r="K5" i="7" l="1"/>
  <c r="J5" i="8"/>
  <c r="L5" i="8"/>
  <c r="K5" i="8"/>
  <c r="N5" i="8"/>
  <c r="M5" i="8"/>
  <c r="F5" i="8"/>
  <c r="P5" i="8" l="1"/>
  <c r="O5" i="8"/>
  <c r="G5" i="7"/>
  <c r="L5" i="7" l="1"/>
  <c r="G5" i="8"/>
  <c r="R5" i="8" s="1"/>
  <c r="I62" i="7"/>
  <c r="H62" i="7"/>
  <c r="J62" i="7"/>
  <c r="F62" i="7"/>
  <c r="J62" i="8" l="1"/>
  <c r="K62" i="7"/>
  <c r="I62" i="8"/>
  <c r="H62" i="8"/>
  <c r="Q5" i="8"/>
  <c r="F69" i="7"/>
  <c r="N76" i="8"/>
  <c r="F74" i="7"/>
  <c r="H39" i="7"/>
  <c r="I69" i="7"/>
  <c r="K76" i="8"/>
  <c r="I74" i="7"/>
  <c r="F39" i="7"/>
  <c r="J69" i="7"/>
  <c r="I39" i="7"/>
  <c r="J74" i="7"/>
  <c r="H69" i="7"/>
  <c r="H74" i="7"/>
  <c r="J39" i="7"/>
  <c r="L76" i="8"/>
  <c r="M76" i="8"/>
  <c r="K39" i="7" l="1"/>
  <c r="J39" i="8"/>
  <c r="I39" i="8"/>
  <c r="H39" i="8"/>
  <c r="K69" i="7"/>
  <c r="J69" i="8"/>
  <c r="H69" i="8"/>
  <c r="I69" i="8"/>
  <c r="K74" i="7"/>
  <c r="J74" i="8"/>
  <c r="I74" i="8"/>
  <c r="H74" i="8"/>
  <c r="F76" i="8"/>
  <c r="P76" i="8" l="1"/>
  <c r="K83" i="8"/>
  <c r="F83" i="7"/>
  <c r="I83" i="7"/>
  <c r="F10" i="7"/>
  <c r="H10" i="7"/>
  <c r="H83" i="7"/>
  <c r="M83" i="8"/>
  <c r="I10" i="7"/>
  <c r="J83" i="7"/>
  <c r="J10" i="7"/>
  <c r="N83" i="8"/>
  <c r="L83" i="8"/>
  <c r="J10" i="8" l="1"/>
  <c r="K10" i="7"/>
  <c r="I10" i="8"/>
  <c r="H10" i="8"/>
  <c r="I83" i="8"/>
  <c r="K83" i="7"/>
  <c r="J83" i="8"/>
  <c r="H83" i="8"/>
  <c r="F83" i="8"/>
  <c r="O83" i="8" l="1"/>
  <c r="P83" i="8"/>
  <c r="G83" i="7"/>
  <c r="L83" i="7" l="1"/>
  <c r="G83" i="8"/>
  <c r="I48" i="7"/>
  <c r="F37" i="7"/>
  <c r="H71" i="7"/>
  <c r="F30" i="7"/>
  <c r="F84" i="8"/>
  <c r="J8" i="7"/>
  <c r="I33" i="7"/>
  <c r="I13" i="7"/>
  <c r="H14" i="7"/>
  <c r="J37" i="7"/>
  <c r="H45" i="7"/>
  <c r="J30" i="7"/>
  <c r="H9" i="7"/>
  <c r="F13" i="7"/>
  <c r="J71" i="7"/>
  <c r="H33" i="7"/>
  <c r="H51" i="7"/>
  <c r="L84" i="8"/>
  <c r="H30" i="7"/>
  <c r="F9" i="7"/>
  <c r="H6" i="7"/>
  <c r="J48" i="7"/>
  <c r="N84" i="8"/>
  <c r="H48" i="7"/>
  <c r="F16" i="7"/>
  <c r="F6" i="7"/>
  <c r="I26" i="7"/>
  <c r="F51" i="7"/>
  <c r="I45" i="7"/>
  <c r="F26" i="7"/>
  <c r="J26" i="7"/>
  <c r="F14" i="7"/>
  <c r="J51" i="7"/>
  <c r="I6" i="7"/>
  <c r="F67" i="7"/>
  <c r="I30" i="7"/>
  <c r="I37" i="7"/>
  <c r="H8" i="7"/>
  <c r="J6" i="7"/>
  <c r="J14" i="7"/>
  <c r="H16" i="7"/>
  <c r="I14" i="7"/>
  <c r="J45" i="7"/>
  <c r="I51" i="7"/>
  <c r="F48" i="7"/>
  <c r="M84" i="8"/>
  <c r="J13" i="7"/>
  <c r="F45" i="7"/>
  <c r="H37" i="7"/>
  <c r="J33" i="7"/>
  <c r="I71" i="7"/>
  <c r="F33" i="7"/>
  <c r="H26" i="7"/>
  <c r="F8" i="7"/>
  <c r="F71" i="7"/>
  <c r="J16" i="7"/>
  <c r="J67" i="7"/>
  <c r="H67" i="7"/>
  <c r="J9" i="7"/>
  <c r="H13" i="7"/>
  <c r="I9" i="7"/>
  <c r="I16" i="7"/>
  <c r="I8" i="7"/>
  <c r="I67" i="7"/>
  <c r="P84" i="8" l="1"/>
  <c r="I6" i="8"/>
  <c r="H6" i="8"/>
  <c r="K6" i="7"/>
  <c r="J6" i="8"/>
  <c r="H13" i="8"/>
  <c r="J13" i="8"/>
  <c r="K13" i="7"/>
  <c r="I13" i="8"/>
  <c r="I45" i="8"/>
  <c r="J45" i="8"/>
  <c r="K45" i="7"/>
  <c r="H45" i="8"/>
  <c r="K14" i="7"/>
  <c r="I14" i="8"/>
  <c r="J14" i="8"/>
  <c r="H14" i="8"/>
  <c r="H71" i="8"/>
  <c r="J71" i="8"/>
  <c r="K71" i="7"/>
  <c r="I71" i="8"/>
  <c r="H51" i="8"/>
  <c r="J51" i="8"/>
  <c r="K51" i="7"/>
  <c r="I51" i="8"/>
  <c r="I9" i="8"/>
  <c r="K9" i="7"/>
  <c r="H9" i="8"/>
  <c r="J9" i="8"/>
  <c r="J26" i="8"/>
  <c r="K26" i="7"/>
  <c r="I26" i="8"/>
  <c r="H26" i="8"/>
  <c r="H33" i="8"/>
  <c r="K33" i="7"/>
  <c r="J33" i="8"/>
  <c r="I33" i="8"/>
  <c r="I67" i="8"/>
  <c r="K67" i="7"/>
  <c r="J67" i="8"/>
  <c r="H67" i="8"/>
  <c r="H16" i="8"/>
  <c r="K16" i="7"/>
  <c r="J16" i="8"/>
  <c r="I16" i="8"/>
  <c r="K8" i="7"/>
  <c r="H8" i="8"/>
  <c r="J8" i="8"/>
  <c r="I8" i="8"/>
  <c r="I37" i="8"/>
  <c r="K37" i="7"/>
  <c r="J37" i="8"/>
  <c r="H37" i="8"/>
  <c r="J30" i="8"/>
  <c r="K30" i="7"/>
  <c r="I30" i="8"/>
  <c r="H30" i="8"/>
  <c r="H48" i="8"/>
  <c r="J48" i="8"/>
  <c r="I48" i="8"/>
  <c r="K48" i="7"/>
  <c r="Q83" i="8"/>
  <c r="R83" i="8"/>
  <c r="F84" i="7"/>
  <c r="H77" i="7"/>
  <c r="I17" i="7"/>
  <c r="J68" i="7"/>
  <c r="I32" i="7"/>
  <c r="J32" i="7"/>
  <c r="F77" i="7"/>
  <c r="F17" i="7"/>
  <c r="H84" i="7"/>
  <c r="J84" i="7"/>
  <c r="H17" i="7"/>
  <c r="F15" i="7"/>
  <c r="H38" i="7"/>
  <c r="F68" i="7"/>
  <c r="F78" i="7"/>
  <c r="K84" i="8"/>
  <c r="H32" i="7"/>
  <c r="H15" i="7"/>
  <c r="J17" i="7"/>
  <c r="J15" i="7"/>
  <c r="J38" i="7"/>
  <c r="I77" i="7"/>
  <c r="I15" i="7"/>
  <c r="I68" i="7"/>
  <c r="F32" i="7"/>
  <c r="F38" i="7"/>
  <c r="I78" i="7"/>
  <c r="I38" i="7"/>
  <c r="J77" i="7"/>
  <c r="J78" i="7"/>
  <c r="I84" i="7"/>
  <c r="H78" i="7"/>
  <c r="H68" i="7"/>
  <c r="I84" i="8" l="1"/>
  <c r="H84" i="8"/>
  <c r="J84" i="8"/>
  <c r="O84" i="8" s="1"/>
  <c r="K84" i="7"/>
  <c r="I15" i="8"/>
  <c r="K15" i="7"/>
  <c r="H15" i="8"/>
  <c r="J15" i="8"/>
  <c r="I68" i="8"/>
  <c r="K68" i="7"/>
  <c r="H68" i="8"/>
  <c r="J68" i="8"/>
  <c r="K17" i="7"/>
  <c r="J17" i="8"/>
  <c r="I17" i="8"/>
  <c r="H17" i="8"/>
  <c r="K77" i="7"/>
  <c r="I77" i="8"/>
  <c r="J77" i="8"/>
  <c r="H77" i="8"/>
  <c r="H38" i="8"/>
  <c r="I38" i="8"/>
  <c r="J38" i="8"/>
  <c r="K38" i="7"/>
  <c r="H32" i="8"/>
  <c r="J32" i="8"/>
  <c r="K32" i="7"/>
  <c r="I32" i="8"/>
  <c r="J78" i="8"/>
  <c r="I78" i="8"/>
  <c r="K78" i="7"/>
  <c r="H78" i="8"/>
  <c r="N73" i="8"/>
  <c r="F73" i="8"/>
  <c r="M73" i="8"/>
  <c r="K73" i="8"/>
  <c r="G84" i="7"/>
  <c r="P73" i="8" l="1"/>
  <c r="G84" i="8"/>
  <c r="L84" i="7"/>
  <c r="L73" i="8"/>
  <c r="Q84" i="8" l="1"/>
  <c r="R84" i="8"/>
  <c r="I27" i="7"/>
  <c r="I40" i="7"/>
  <c r="I85" i="7"/>
  <c r="J72" i="7"/>
  <c r="I72" i="7"/>
  <c r="N54" i="8"/>
  <c r="F40" i="7"/>
  <c r="H27" i="7"/>
  <c r="F34" i="7"/>
  <c r="F54" i="8"/>
  <c r="H34" i="7"/>
  <c r="J27" i="7"/>
  <c r="J29" i="7"/>
  <c r="F27" i="7"/>
  <c r="J34" i="7"/>
  <c r="I29" i="7"/>
  <c r="J11" i="7"/>
  <c r="H11" i="7"/>
  <c r="H66" i="7"/>
  <c r="H40" i="7"/>
  <c r="H42" i="7"/>
  <c r="F11" i="7"/>
  <c r="J42" i="7"/>
  <c r="J85" i="7"/>
  <c r="L54" i="8"/>
  <c r="H29" i="7"/>
  <c r="I42" i="7"/>
  <c r="F85" i="7"/>
  <c r="J66" i="7"/>
  <c r="H85" i="7"/>
  <c r="F42" i="7"/>
  <c r="F66" i="7"/>
  <c r="H72" i="7"/>
  <c r="F29" i="7"/>
  <c r="M54" i="8"/>
  <c r="I66" i="7"/>
  <c r="I34" i="7"/>
  <c r="I11" i="7"/>
  <c r="J40" i="7"/>
  <c r="F72" i="7"/>
  <c r="P54" i="8" l="1"/>
  <c r="J66" i="8"/>
  <c r="K66" i="7"/>
  <c r="I66" i="8"/>
  <c r="H66" i="8"/>
  <c r="K34" i="7"/>
  <c r="I34" i="8"/>
  <c r="J34" i="8"/>
  <c r="H34" i="8"/>
  <c r="I29" i="8"/>
  <c r="J29" i="8"/>
  <c r="H29" i="8"/>
  <c r="K29" i="7"/>
  <c r="I11" i="8"/>
  <c r="H11" i="8"/>
  <c r="K11" i="7"/>
  <c r="J11" i="8"/>
  <c r="K85" i="7"/>
  <c r="H85" i="8"/>
  <c r="I85" i="8"/>
  <c r="J85" i="8"/>
  <c r="K40" i="7"/>
  <c r="J40" i="8"/>
  <c r="I40" i="8"/>
  <c r="H40" i="8"/>
  <c r="K72" i="7"/>
  <c r="I72" i="8"/>
  <c r="H72" i="8"/>
  <c r="J72" i="8"/>
  <c r="K42" i="7"/>
  <c r="I42" i="8"/>
  <c r="J42" i="8"/>
  <c r="H42" i="8"/>
  <c r="I27" i="8"/>
  <c r="H27" i="8"/>
  <c r="J27" i="8"/>
  <c r="K27" i="7"/>
  <c r="N68" i="8"/>
  <c r="K68" i="8"/>
  <c r="K54" i="8"/>
  <c r="L68" i="8"/>
  <c r="M68" i="8"/>
  <c r="F68" i="8"/>
  <c r="P68" i="8" l="1"/>
  <c r="O68" i="8"/>
  <c r="G68" i="7"/>
  <c r="L68" i="7" l="1"/>
  <c r="G68" i="8"/>
  <c r="K42" i="8"/>
  <c r="N42" i="8"/>
  <c r="L42" i="8"/>
  <c r="M42" i="8"/>
  <c r="Q68" i="8" l="1"/>
  <c r="R68" i="8"/>
  <c r="F42" i="8"/>
  <c r="P42" i="8" l="1"/>
  <c r="O42" i="8"/>
  <c r="G42" i="7"/>
  <c r="L42" i="7" l="1"/>
  <c r="G42" i="8"/>
  <c r="K10" i="8"/>
  <c r="F10" i="8"/>
  <c r="M10" i="8"/>
  <c r="N10" i="8"/>
  <c r="P10" i="8" l="1"/>
  <c r="O10" i="8"/>
  <c r="Q42" i="8"/>
  <c r="R42" i="8"/>
  <c r="G10" i="7"/>
  <c r="L10" i="8"/>
  <c r="L10" i="7" l="1"/>
  <c r="G10" i="8"/>
  <c r="N25" i="8"/>
  <c r="F25" i="8"/>
  <c r="K25" i="8"/>
  <c r="L25" i="8"/>
  <c r="P25" i="8" l="1"/>
  <c r="Q10" i="8"/>
  <c r="R10" i="8"/>
  <c r="M80" i="8"/>
  <c r="M25" i="8"/>
  <c r="N80" i="8"/>
  <c r="K80" i="8"/>
  <c r="F80" i="8"/>
  <c r="P80" i="8" l="1"/>
  <c r="M24" i="8"/>
  <c r="K24" i="8"/>
  <c r="F24" i="8"/>
  <c r="N24" i="8"/>
  <c r="L24" i="8"/>
  <c r="L80" i="8"/>
  <c r="P24" i="8" l="1"/>
  <c r="M62" i="8"/>
  <c r="N62" i="8"/>
  <c r="F62" i="8"/>
  <c r="L62" i="8"/>
  <c r="O62" i="8" l="1"/>
  <c r="P62" i="8"/>
  <c r="G62" i="7"/>
  <c r="L62" i="7" l="1"/>
  <c r="G62" i="8"/>
  <c r="Q62" i="8" s="1"/>
  <c r="K63" i="8"/>
  <c r="M63" i="8"/>
  <c r="N63" i="8"/>
  <c r="F63" i="8"/>
  <c r="K62" i="8"/>
  <c r="P63" i="8" l="1"/>
  <c r="R62" i="8"/>
  <c r="M78" i="8"/>
  <c r="L63" i="8"/>
  <c r="K78" i="8"/>
  <c r="F78" i="8"/>
  <c r="N78" i="8"/>
  <c r="O78" i="8" l="1"/>
  <c r="P78" i="8"/>
  <c r="L78" i="8"/>
  <c r="G78" i="7"/>
  <c r="L78" i="7" l="1"/>
  <c r="G78" i="8"/>
  <c r="K15" i="8"/>
  <c r="F15" i="8"/>
  <c r="M15" i="8"/>
  <c r="L15" i="8"/>
  <c r="O15" i="8" l="1"/>
  <c r="Q78" i="8"/>
  <c r="R78" i="8"/>
  <c r="N15" i="8"/>
  <c r="P15" i="8" l="1"/>
  <c r="G15" i="7"/>
  <c r="L15" i="7" l="1"/>
  <c r="G15" i="8"/>
  <c r="K30" i="8"/>
  <c r="M30" i="8"/>
  <c r="L30" i="8"/>
  <c r="N30" i="8"/>
  <c r="Q15" i="8" l="1"/>
  <c r="R15" i="8"/>
  <c r="F30" i="8"/>
  <c r="P30" i="8" l="1"/>
  <c r="O30" i="8"/>
  <c r="G30" i="7"/>
  <c r="L30" i="7" l="1"/>
  <c r="G30" i="8"/>
  <c r="K77" i="8"/>
  <c r="N77" i="8"/>
  <c r="F77" i="8"/>
  <c r="L77" i="8"/>
  <c r="P77" i="8" l="1"/>
  <c r="O77" i="8"/>
  <c r="Q30" i="8"/>
  <c r="R30" i="8"/>
  <c r="M77" i="8"/>
  <c r="G77" i="7"/>
  <c r="L77" i="7" l="1"/>
  <c r="G77" i="8"/>
  <c r="N40" i="8"/>
  <c r="M40" i="8"/>
  <c r="L40" i="8"/>
  <c r="K40" i="8"/>
  <c r="Q77" i="8" l="1"/>
  <c r="R77" i="8"/>
  <c r="F40" i="8"/>
  <c r="P40" i="8" l="1"/>
  <c r="O40" i="8"/>
  <c r="G40" i="7"/>
  <c r="L40" i="7" l="1"/>
  <c r="G40" i="8"/>
  <c r="K60" i="8"/>
  <c r="L60" i="8"/>
  <c r="M60" i="8"/>
  <c r="N60" i="8"/>
  <c r="Q40" i="8" l="1"/>
  <c r="R40" i="8"/>
  <c r="F60" i="8"/>
  <c r="P60" i="8" l="1"/>
  <c r="K18" i="8"/>
  <c r="F18" i="8"/>
  <c r="N18" i="8"/>
  <c r="M18" i="8"/>
  <c r="L18" i="8"/>
  <c r="P18" i="8" l="1"/>
  <c r="F16" i="8"/>
  <c r="N16" i="8"/>
  <c r="L16" i="8"/>
  <c r="K16" i="8"/>
  <c r="P16" i="8" l="1"/>
  <c r="O16" i="8"/>
  <c r="G16" i="7"/>
  <c r="M16" i="8"/>
  <c r="L16" i="7" l="1"/>
  <c r="G16" i="8"/>
  <c r="K27" i="8"/>
  <c r="M27" i="8"/>
  <c r="N27" i="8"/>
  <c r="L27" i="8"/>
  <c r="Q16" i="8" l="1"/>
  <c r="R16" i="8"/>
  <c r="F27" i="8"/>
  <c r="O27" i="8" l="1"/>
  <c r="P27" i="8"/>
  <c r="G27" i="7"/>
  <c r="L27" i="7" l="1"/>
  <c r="G27" i="8"/>
  <c r="F76" i="7"/>
  <c r="H76" i="7"/>
  <c r="I76" i="7"/>
  <c r="G76" i="7"/>
  <c r="G76" i="8" l="1"/>
  <c r="H76" i="8"/>
  <c r="I76" i="8"/>
  <c r="Q27" i="8"/>
  <c r="R27" i="8"/>
  <c r="L76" i="7"/>
  <c r="F72" i="8"/>
  <c r="J76" i="7"/>
  <c r="M72" i="8"/>
  <c r="L72" i="8"/>
  <c r="K72" i="8"/>
  <c r="O72" i="8" l="1"/>
  <c r="J76" i="8"/>
  <c r="O76" i="8" s="1"/>
  <c r="K76" i="7"/>
  <c r="Q76" i="8"/>
  <c r="R76" i="8"/>
  <c r="N72" i="8"/>
  <c r="P72" i="8" l="1"/>
  <c r="G72" i="7"/>
  <c r="L72" i="7" l="1"/>
  <c r="G72" i="8"/>
  <c r="F41" i="7"/>
  <c r="I56" i="7"/>
  <c r="J56" i="7"/>
  <c r="K79" i="8"/>
  <c r="I70" i="7"/>
  <c r="N79" i="8"/>
  <c r="H41" i="7"/>
  <c r="I41" i="7"/>
  <c r="J7" i="7"/>
  <c r="J41" i="7"/>
  <c r="F56" i="7"/>
  <c r="H7" i="7"/>
  <c r="I7" i="7"/>
  <c r="F7" i="7"/>
  <c r="H70" i="7"/>
  <c r="M79" i="8"/>
  <c r="L79" i="8"/>
  <c r="J70" i="7"/>
  <c r="F70" i="7"/>
  <c r="H56" i="7"/>
  <c r="H70" i="8" l="1"/>
  <c r="I70" i="8"/>
  <c r="K70" i="7"/>
  <c r="J70" i="8"/>
  <c r="J56" i="8"/>
  <c r="I56" i="8"/>
  <c r="H56" i="8"/>
  <c r="K56" i="7"/>
  <c r="H7" i="8"/>
  <c r="I7" i="8"/>
  <c r="K7" i="7"/>
  <c r="J7" i="8"/>
  <c r="H41" i="8"/>
  <c r="I41" i="8"/>
  <c r="J41" i="8"/>
  <c r="K41" i="7"/>
  <c r="Q72" i="8"/>
  <c r="R72" i="8"/>
  <c r="F79" i="8"/>
  <c r="P79" i="8" l="1"/>
  <c r="J28" i="7"/>
  <c r="M82" i="8"/>
  <c r="F82" i="8"/>
  <c r="F65" i="7"/>
  <c r="I65" i="7"/>
  <c r="I28" i="7"/>
  <c r="L82" i="8"/>
  <c r="J65" i="7"/>
  <c r="J58" i="7"/>
  <c r="F58" i="7"/>
  <c r="I50" i="7"/>
  <c r="H58" i="7"/>
  <c r="H65" i="7"/>
  <c r="J50" i="7"/>
  <c r="F28" i="7"/>
  <c r="F50" i="7"/>
  <c r="I58" i="7"/>
  <c r="H28" i="7"/>
  <c r="N82" i="8"/>
  <c r="H50" i="7"/>
  <c r="P82" i="8" l="1"/>
  <c r="I65" i="8"/>
  <c r="J65" i="8"/>
  <c r="H65" i="8"/>
  <c r="K65" i="7"/>
  <c r="I58" i="8"/>
  <c r="J58" i="8"/>
  <c r="H58" i="8"/>
  <c r="K58" i="7"/>
  <c r="I50" i="8"/>
  <c r="H50" i="8"/>
  <c r="K50" i="7"/>
  <c r="J50" i="8"/>
  <c r="H28" i="8"/>
  <c r="K28" i="7"/>
  <c r="I28" i="8"/>
  <c r="J28" i="8"/>
  <c r="N71" i="8"/>
  <c r="L71" i="8"/>
  <c r="I35" i="7"/>
  <c r="M71" i="8"/>
  <c r="H35" i="7"/>
  <c r="K82" i="8"/>
  <c r="K71" i="8"/>
  <c r="F35" i="7"/>
  <c r="J35" i="7"/>
  <c r="H35" i="8" l="1"/>
  <c r="J35" i="8"/>
  <c r="K35" i="7"/>
  <c r="I35" i="8"/>
  <c r="F71" i="8"/>
  <c r="O71" i="8" l="1"/>
  <c r="P71" i="8"/>
  <c r="G71" i="7"/>
  <c r="L71" i="7" l="1"/>
  <c r="G71" i="8"/>
  <c r="J31" i="7"/>
  <c r="H55" i="7"/>
  <c r="K55" i="8"/>
  <c r="F31" i="7"/>
  <c r="I31" i="7"/>
  <c r="L55" i="8"/>
  <c r="F20" i="7"/>
  <c r="N55" i="8"/>
  <c r="J20" i="7"/>
  <c r="F55" i="7"/>
  <c r="H20" i="7"/>
  <c r="J55" i="7"/>
  <c r="I55" i="7"/>
  <c r="I20" i="7"/>
  <c r="H31" i="7"/>
  <c r="M55" i="8"/>
  <c r="J31" i="8" l="1"/>
  <c r="I31" i="8"/>
  <c r="H31" i="8"/>
  <c r="K31" i="7"/>
  <c r="H55" i="8"/>
  <c r="K55" i="7"/>
  <c r="I55" i="8"/>
  <c r="J55" i="8"/>
  <c r="I20" i="8"/>
  <c r="J20" i="8"/>
  <c r="K20" i="7"/>
  <c r="H20" i="8"/>
  <c r="Q71" i="8"/>
  <c r="R71" i="8"/>
  <c r="F55" i="8"/>
  <c r="O55" i="8" l="1"/>
  <c r="P55" i="8"/>
  <c r="G55" i="7"/>
  <c r="L55" i="7" l="1"/>
  <c r="G55" i="8"/>
  <c r="M50" i="8"/>
  <c r="N50" i="8"/>
  <c r="F50" i="8"/>
  <c r="K50" i="8"/>
  <c r="P50" i="8" l="1"/>
  <c r="O50" i="8"/>
  <c r="Q55" i="8"/>
  <c r="R55" i="8"/>
  <c r="G50" i="7"/>
  <c r="L50" i="8"/>
  <c r="L50" i="7" l="1"/>
  <c r="G50" i="8"/>
  <c r="N65" i="8"/>
  <c r="L65" i="8"/>
  <c r="M65" i="8"/>
  <c r="F65" i="8"/>
  <c r="P65" i="8" l="1"/>
  <c r="O65" i="8"/>
  <c r="Q50" i="8"/>
  <c r="R50" i="8"/>
  <c r="G65" i="7"/>
  <c r="K65" i="8"/>
  <c r="L65" i="7" l="1"/>
  <c r="G65" i="8"/>
  <c r="L21" i="8"/>
  <c r="K21" i="8"/>
  <c r="N21" i="8"/>
  <c r="M21" i="8"/>
  <c r="Q65" i="8" l="1"/>
  <c r="R65" i="8"/>
  <c r="F21" i="8"/>
  <c r="P21" i="8" l="1"/>
  <c r="K20" i="8"/>
  <c r="N20" i="8"/>
  <c r="F20" i="8"/>
  <c r="M20" i="8"/>
  <c r="L20" i="8"/>
  <c r="P20" i="8" l="1"/>
  <c r="O20" i="8"/>
  <c r="G20" i="7"/>
  <c r="L20" i="7" l="1"/>
  <c r="G20" i="8"/>
  <c r="L11" i="8"/>
  <c r="K11" i="8"/>
  <c r="N11" i="8"/>
  <c r="M11" i="8"/>
  <c r="Q20" i="8" l="1"/>
  <c r="R20" i="8"/>
  <c r="F11" i="8"/>
  <c r="O11" i="8" l="1"/>
  <c r="P11" i="8"/>
  <c r="G11" i="7"/>
  <c r="L11" i="7" l="1"/>
  <c r="G11" i="8"/>
  <c r="K28" i="8"/>
  <c r="M28" i="8"/>
  <c r="N28" i="8"/>
  <c r="L28" i="8"/>
  <c r="Q11" i="8" l="1"/>
  <c r="R11" i="8"/>
  <c r="F28" i="8"/>
  <c r="P28" i="8" l="1"/>
  <c r="O28" i="8"/>
  <c r="G28" i="7"/>
  <c r="L28" i="7" l="1"/>
  <c r="G28" i="8"/>
  <c r="M23" i="8"/>
  <c r="L23" i="8"/>
  <c r="K23" i="8"/>
  <c r="N23" i="8"/>
  <c r="Q28" i="8" l="1"/>
  <c r="R28" i="8"/>
  <c r="F23" i="8"/>
  <c r="P23" i="8" l="1"/>
  <c r="H23" i="7"/>
  <c r="J23" i="7"/>
  <c r="I23" i="7"/>
  <c r="G23" i="7"/>
  <c r="G23" i="8" l="1"/>
  <c r="I23" i="8"/>
  <c r="J23" i="8"/>
  <c r="O23" i="8" s="1"/>
  <c r="H23" i="8"/>
  <c r="L23" i="7"/>
  <c r="F23" i="7"/>
  <c r="H54" i="7"/>
  <c r="F54" i="7"/>
  <c r="J54" i="7"/>
  <c r="G54" i="7"/>
  <c r="G54" i="8" l="1"/>
  <c r="K54" i="7"/>
  <c r="J54" i="8"/>
  <c r="O54" i="8" s="1"/>
  <c r="H54" i="8"/>
  <c r="K23" i="7"/>
  <c r="Q23" i="8"/>
  <c r="R23" i="8"/>
  <c r="L54" i="7"/>
  <c r="J75" i="7"/>
  <c r="H22" i="7"/>
  <c r="K75" i="8"/>
  <c r="N75" i="8"/>
  <c r="J22" i="7"/>
  <c r="I54" i="7"/>
  <c r="F75" i="7"/>
  <c r="L75" i="8"/>
  <c r="H75" i="7"/>
  <c r="I75" i="7"/>
  <c r="I22" i="7"/>
  <c r="F22" i="7"/>
  <c r="M75" i="8"/>
  <c r="K22" i="7" l="1"/>
  <c r="H22" i="8"/>
  <c r="J22" i="8"/>
  <c r="I22" i="8"/>
  <c r="H75" i="8"/>
  <c r="J75" i="8"/>
  <c r="K75" i="7"/>
  <c r="I75" i="8"/>
  <c r="I54" i="8"/>
  <c r="Q54" i="8"/>
  <c r="R54" i="8"/>
  <c r="F75" i="8"/>
  <c r="O75" i="8" l="1"/>
  <c r="P75" i="8"/>
  <c r="G75" i="7"/>
  <c r="L75" i="7" l="1"/>
  <c r="G75" i="8"/>
  <c r="I49" i="7"/>
  <c r="F19" i="7"/>
  <c r="H53" i="7"/>
  <c r="F53" i="7"/>
  <c r="H64" i="7"/>
  <c r="I19" i="7"/>
  <c r="H19" i="7"/>
  <c r="N69" i="8"/>
  <c r="J64" i="7"/>
  <c r="J49" i="7"/>
  <c r="I64" i="7"/>
  <c r="F81" i="7"/>
  <c r="J81" i="7"/>
  <c r="H81" i="7"/>
  <c r="I81" i="7"/>
  <c r="I53" i="7"/>
  <c r="J53" i="7"/>
  <c r="F64" i="7"/>
  <c r="M69" i="8"/>
  <c r="L69" i="8"/>
  <c r="J19" i="7"/>
  <c r="H49" i="7"/>
  <c r="F49" i="7"/>
  <c r="K69" i="8"/>
  <c r="I53" i="8" l="1"/>
  <c r="H53" i="8"/>
  <c r="K53" i="7"/>
  <c r="J53" i="8"/>
  <c r="H64" i="8"/>
  <c r="J64" i="8"/>
  <c r="K64" i="7"/>
  <c r="I64" i="8"/>
  <c r="I19" i="8"/>
  <c r="K19" i="7"/>
  <c r="H19" i="8"/>
  <c r="J19" i="8"/>
  <c r="H81" i="8"/>
  <c r="I81" i="8"/>
  <c r="K81" i="7"/>
  <c r="J81" i="8"/>
  <c r="H49" i="8"/>
  <c r="K49" i="7"/>
  <c r="J49" i="8"/>
  <c r="I49" i="8"/>
  <c r="Q75" i="8"/>
  <c r="R75" i="8"/>
  <c r="F69" i="8"/>
  <c r="O69" i="8" l="1"/>
  <c r="P69" i="8"/>
  <c r="G69" i="7"/>
  <c r="L69" i="7" l="1"/>
  <c r="G69" i="8"/>
  <c r="N46" i="8"/>
  <c r="L46" i="8"/>
  <c r="M46" i="8"/>
  <c r="K46" i="8"/>
  <c r="Q69" i="8" l="1"/>
  <c r="R69" i="8"/>
  <c r="F46" i="8"/>
  <c r="P46" i="8" l="1"/>
  <c r="N64" i="8"/>
  <c r="M64" i="8"/>
  <c r="F64" i="8"/>
  <c r="L64" i="8"/>
  <c r="K64" i="8"/>
  <c r="O64" i="8" l="1"/>
  <c r="P64" i="8"/>
  <c r="G64" i="7"/>
  <c r="L64" i="7" l="1"/>
  <c r="G64" i="8"/>
  <c r="K38" i="8"/>
  <c r="M38" i="8"/>
  <c r="N38" i="8"/>
  <c r="L38" i="8"/>
  <c r="Q64" i="8" l="1"/>
  <c r="R64" i="8"/>
  <c r="F38" i="8"/>
  <c r="O38" i="8" l="1"/>
  <c r="P38" i="8"/>
  <c r="G38" i="7"/>
  <c r="L38" i="7" l="1"/>
  <c r="G38" i="8"/>
  <c r="N6" i="8"/>
  <c r="K6" i="8"/>
  <c r="L6" i="8"/>
  <c r="F6" i="8"/>
  <c r="O6" i="8" l="1"/>
  <c r="P6" i="8"/>
  <c r="Q38" i="8"/>
  <c r="R38" i="8"/>
  <c r="M6" i="8"/>
  <c r="G6" i="7"/>
  <c r="L6" i="7" l="1"/>
  <c r="G6" i="8"/>
  <c r="M17" i="8"/>
  <c r="F17" i="8"/>
  <c r="N17" i="8"/>
  <c r="K17" i="8"/>
  <c r="O17" i="8" l="1"/>
  <c r="P17" i="8"/>
  <c r="Q6" i="8"/>
  <c r="R6" i="8"/>
  <c r="G17" i="7"/>
  <c r="L17" i="8"/>
  <c r="L17" i="7" l="1"/>
  <c r="G17" i="8"/>
  <c r="L74" i="8"/>
  <c r="N74" i="8"/>
  <c r="M74" i="8"/>
  <c r="K74" i="8"/>
  <c r="Q17" i="8" l="1"/>
  <c r="R17" i="8"/>
  <c r="F74" i="8"/>
  <c r="P74" i="8" l="1"/>
  <c r="O74" i="8"/>
  <c r="G74" i="7"/>
  <c r="L74" i="7" l="1"/>
  <c r="G74" i="8"/>
  <c r="F7" i="8"/>
  <c r="L7" i="8"/>
  <c r="K7" i="8"/>
  <c r="N7" i="8"/>
  <c r="O7" i="8" l="1"/>
  <c r="P7" i="8"/>
  <c r="Q74" i="8"/>
  <c r="R74" i="8"/>
  <c r="M7" i="8"/>
  <c r="G7" i="7"/>
  <c r="L7" i="7" l="1"/>
  <c r="G7" i="8"/>
  <c r="K22" i="8"/>
  <c r="N22" i="8"/>
  <c r="M22" i="8"/>
  <c r="F22" i="8"/>
  <c r="O22" i="8" l="1"/>
  <c r="P22" i="8"/>
  <c r="Q7" i="8"/>
  <c r="R7" i="8"/>
  <c r="L22" i="8"/>
  <c r="G22" i="7"/>
  <c r="L22" i="7" l="1"/>
  <c r="G22" i="8"/>
  <c r="J63" i="7"/>
  <c r="I63" i="7"/>
  <c r="H63" i="7"/>
  <c r="G63" i="7"/>
  <c r="G63" i="8" l="1"/>
  <c r="J63" i="8"/>
  <c r="O63" i="8" s="1"/>
  <c r="I63" i="8"/>
  <c r="H63" i="8"/>
  <c r="Q22" i="8"/>
  <c r="R22" i="8"/>
  <c r="L63" i="7"/>
  <c r="J18" i="7"/>
  <c r="H18" i="7"/>
  <c r="F18" i="7"/>
  <c r="F63" i="7"/>
  <c r="I18" i="7"/>
  <c r="K18" i="7" l="1"/>
  <c r="J18" i="8"/>
  <c r="O18" i="8" s="1"/>
  <c r="H18" i="8"/>
  <c r="I18" i="8"/>
  <c r="K63" i="7"/>
  <c r="Q63" i="8"/>
  <c r="R63" i="8"/>
  <c r="J82" i="7"/>
  <c r="H82" i="7"/>
  <c r="I82" i="7"/>
  <c r="F82" i="7"/>
  <c r="G18" i="7"/>
  <c r="K82" i="7" l="1"/>
  <c r="H82" i="8"/>
  <c r="I82" i="8"/>
  <c r="J82" i="8"/>
  <c r="O82" i="8" s="1"/>
  <c r="G18" i="8"/>
  <c r="L18" i="7"/>
  <c r="I21" i="7"/>
  <c r="J21" i="7"/>
  <c r="G21" i="7"/>
  <c r="G82" i="7"/>
  <c r="H21" i="7"/>
  <c r="G21" i="8" l="1"/>
  <c r="J21" i="8"/>
  <c r="O21" i="8" s="1"/>
  <c r="H21" i="8"/>
  <c r="I21" i="8"/>
  <c r="G82" i="8"/>
  <c r="L82" i="7"/>
  <c r="Q18" i="8"/>
  <c r="R18" i="8"/>
  <c r="L21" i="7"/>
  <c r="J25" i="7"/>
  <c r="F25" i="7"/>
  <c r="F21" i="7"/>
  <c r="I25" i="7"/>
  <c r="G25" i="7"/>
  <c r="G25" i="8" l="1"/>
  <c r="K25" i="7"/>
  <c r="J25" i="8"/>
  <c r="O25" i="8" s="1"/>
  <c r="I25" i="8"/>
  <c r="K21" i="7"/>
  <c r="Q82" i="8"/>
  <c r="R82" i="8"/>
  <c r="Q21" i="8"/>
  <c r="R21" i="8"/>
  <c r="L85" i="8"/>
  <c r="N85" i="8"/>
  <c r="H25" i="7"/>
  <c r="F85" i="8"/>
  <c r="M85" i="8"/>
  <c r="P85" i="8" l="1"/>
  <c r="O85" i="8"/>
  <c r="H25" i="8"/>
  <c r="Q25" i="8" s="1"/>
  <c r="L25" i="7"/>
  <c r="K85" i="8"/>
  <c r="G85" i="7"/>
  <c r="R25" i="8" l="1"/>
  <c r="L85" i="7"/>
  <c r="G85" i="8"/>
  <c r="K51" i="8"/>
  <c r="L51" i="8"/>
  <c r="M51" i="8"/>
  <c r="N51" i="8"/>
  <c r="Q85" i="8" l="1"/>
  <c r="R85" i="8"/>
  <c r="F51" i="8"/>
  <c r="O51" i="8" l="1"/>
  <c r="P51" i="8"/>
  <c r="G51" i="7"/>
  <c r="L51" i="7" l="1"/>
  <c r="G51" i="8"/>
  <c r="M13" i="8"/>
  <c r="H12" i="7"/>
  <c r="F13" i="8"/>
  <c r="J12" i="7"/>
  <c r="N13" i="8"/>
  <c r="L13" i="8"/>
  <c r="I12" i="7"/>
  <c r="F12" i="7"/>
  <c r="P13" i="8" l="1"/>
  <c r="O13" i="8"/>
  <c r="I12" i="8"/>
  <c r="H12" i="8"/>
  <c r="K12" i="7"/>
  <c r="J12" i="8"/>
  <c r="Q51" i="8"/>
  <c r="R51" i="8"/>
  <c r="K13" i="8"/>
  <c r="G13" i="7"/>
  <c r="L13" i="7" l="1"/>
  <c r="G13" i="8"/>
  <c r="H52" i="7"/>
  <c r="L12" i="8"/>
  <c r="F52" i="7"/>
  <c r="N12" i="8"/>
  <c r="I52" i="7"/>
  <c r="M12" i="8"/>
  <c r="K12" i="8"/>
  <c r="J52" i="7"/>
  <c r="J52" i="8" l="1"/>
  <c r="I52" i="8"/>
  <c r="H52" i="8"/>
  <c r="K52" i="7"/>
  <c r="Q13" i="8"/>
  <c r="R13" i="8"/>
  <c r="F12" i="8"/>
  <c r="P12" i="8" l="1"/>
  <c r="O12" i="8"/>
  <c r="G12" i="7"/>
  <c r="L12" i="7" l="1"/>
  <c r="G12" i="8"/>
  <c r="M49" i="8"/>
  <c r="L49" i="8"/>
  <c r="K49" i="8"/>
  <c r="N49" i="8"/>
  <c r="Q12" i="8" l="1"/>
  <c r="R12" i="8"/>
  <c r="F49" i="8"/>
  <c r="P49" i="8" l="1"/>
  <c r="O49" i="8"/>
  <c r="G49" i="7"/>
  <c r="L49" i="7" l="1"/>
  <c r="G49" i="8"/>
  <c r="K47" i="8"/>
  <c r="N47" i="8"/>
  <c r="L47" i="8"/>
  <c r="M47" i="8"/>
  <c r="Q49" i="8" l="1"/>
  <c r="R49" i="8"/>
  <c r="F47" i="8"/>
  <c r="P47" i="8" l="1"/>
  <c r="F66" i="8"/>
  <c r="L66" i="8"/>
  <c r="M66" i="8"/>
  <c r="K66" i="8"/>
  <c r="N66" i="8"/>
  <c r="P66" i="8" l="1"/>
  <c r="O66" i="8"/>
  <c r="G66" i="7"/>
  <c r="L66" i="7" l="1"/>
  <c r="G66" i="8"/>
  <c r="G47" i="7"/>
  <c r="J47" i="7"/>
  <c r="I47" i="7"/>
  <c r="F47" i="7"/>
  <c r="G47" i="8" l="1"/>
  <c r="K47" i="7"/>
  <c r="I47" i="8"/>
  <c r="J47" i="8"/>
  <c r="O47" i="8" s="1"/>
  <c r="Q66" i="8"/>
  <c r="R66" i="8"/>
  <c r="F80" i="7"/>
  <c r="I80" i="7"/>
  <c r="H80" i="7"/>
  <c r="H47" i="7"/>
  <c r="J80" i="7"/>
  <c r="H9" i="5" l="1"/>
  <c r="H9" i="6"/>
  <c r="I9" i="6"/>
  <c r="I9" i="5"/>
  <c r="E9" i="5"/>
  <c r="I80" i="8"/>
  <c r="K80" i="7"/>
  <c r="J9" i="5" s="1"/>
  <c r="H80" i="8"/>
  <c r="J80" i="8"/>
  <c r="O80" i="8" s="1"/>
  <c r="H47" i="8"/>
  <c r="Q47" i="8" s="1"/>
  <c r="L47" i="7"/>
  <c r="R47" i="8"/>
  <c r="H24" i="7"/>
  <c r="I24" i="7"/>
  <c r="J24" i="7"/>
  <c r="G80" i="7"/>
  <c r="F24" i="7"/>
  <c r="F9" i="5" l="1"/>
  <c r="K24" i="7"/>
  <c r="I24" i="8"/>
  <c r="J24" i="8"/>
  <c r="O24" i="8" s="1"/>
  <c r="H24" i="8"/>
  <c r="G80" i="8"/>
  <c r="L80" i="7"/>
  <c r="J79" i="7"/>
  <c r="F79" i="7"/>
  <c r="I79" i="7"/>
  <c r="H79" i="7"/>
  <c r="G24" i="7"/>
  <c r="K79" i="7" l="1"/>
  <c r="I79" i="8"/>
  <c r="H79" i="8"/>
  <c r="J79" i="8"/>
  <c r="O79" i="8" s="1"/>
  <c r="G24" i="8"/>
  <c r="L24" i="7"/>
  <c r="Q80" i="8"/>
  <c r="R80" i="8"/>
  <c r="J86" i="7"/>
  <c r="H46" i="7"/>
  <c r="I36" i="7"/>
  <c r="J36" i="7"/>
  <c r="F36" i="7"/>
  <c r="H44" i="7"/>
  <c r="I57" i="7"/>
  <c r="I44" i="7"/>
  <c r="J57" i="7"/>
  <c r="J44" i="7"/>
  <c r="G79" i="7"/>
  <c r="F57" i="7"/>
  <c r="I86" i="7"/>
  <c r="I46" i="7"/>
  <c r="H36" i="7"/>
  <c r="F86" i="7"/>
  <c r="F44" i="7"/>
  <c r="F46" i="7"/>
  <c r="H86" i="7"/>
  <c r="J46" i="7"/>
  <c r="H57" i="7"/>
  <c r="J46" i="8" l="1"/>
  <c r="O46" i="8" s="1"/>
  <c r="K46" i="7"/>
  <c r="H46" i="8"/>
  <c r="I46" i="8"/>
  <c r="K57" i="7"/>
  <c r="I57" i="8"/>
  <c r="H57" i="8"/>
  <c r="J57" i="8"/>
  <c r="I36" i="8"/>
  <c r="J36" i="8"/>
  <c r="K36" i="7"/>
  <c r="H36" i="8"/>
  <c r="H44" i="8"/>
  <c r="I44" i="8"/>
  <c r="K44" i="7"/>
  <c r="J44" i="8"/>
  <c r="K86" i="7"/>
  <c r="H86" i="8"/>
  <c r="I86" i="8"/>
  <c r="J86" i="8"/>
  <c r="G79" i="8"/>
  <c r="L79" i="7"/>
  <c r="Q24" i="8"/>
  <c r="R24" i="8"/>
  <c r="F73" i="7"/>
  <c r="H61" i="7"/>
  <c r="H73" i="7"/>
  <c r="F61" i="7"/>
  <c r="J61" i="7"/>
  <c r="I61" i="7"/>
  <c r="I73" i="7"/>
  <c r="G46" i="7"/>
  <c r="J73" i="7"/>
  <c r="I73" i="8" l="1"/>
  <c r="I87" i="7"/>
  <c r="H73" i="8"/>
  <c r="H87" i="7"/>
  <c r="J73" i="8"/>
  <c r="O73" i="8" s="1"/>
  <c r="J87" i="7"/>
  <c r="K73" i="7"/>
  <c r="F87" i="7"/>
  <c r="I61" i="8"/>
  <c r="H61" i="8"/>
  <c r="K61" i="7"/>
  <c r="J61" i="8"/>
  <c r="G46" i="8"/>
  <c r="L46" i="7"/>
  <c r="Q79" i="8"/>
  <c r="R79" i="8"/>
  <c r="G73" i="7"/>
  <c r="F70" i="8"/>
  <c r="K70" i="8"/>
  <c r="N70" i="8"/>
  <c r="L70" i="8"/>
  <c r="K87" i="7" l="1"/>
  <c r="P70" i="8"/>
  <c r="O70" i="8"/>
  <c r="G73" i="8"/>
  <c r="L73" i="7"/>
  <c r="Q46" i="8"/>
  <c r="R46" i="8"/>
  <c r="M70" i="8"/>
  <c r="Q73" i="8" l="1"/>
  <c r="R73" i="8"/>
  <c r="G70" i="7"/>
  <c r="L70" i="7" l="1"/>
  <c r="G70" i="8"/>
  <c r="M39" i="8"/>
  <c r="K39" i="8"/>
  <c r="L39" i="8"/>
  <c r="N39" i="8"/>
  <c r="Q70" i="8" l="1"/>
  <c r="R70" i="8"/>
  <c r="F39" i="8"/>
  <c r="P39" i="8" l="1"/>
  <c r="O39" i="8"/>
  <c r="G39" i="7"/>
  <c r="L39" i="7" l="1"/>
  <c r="G39" i="8"/>
  <c r="M53" i="8"/>
  <c r="K53" i="8"/>
  <c r="L53" i="8"/>
  <c r="N53" i="8"/>
  <c r="Q39" i="8" l="1"/>
  <c r="R39" i="8"/>
  <c r="F53" i="8"/>
  <c r="O53" i="8" l="1"/>
  <c r="P53" i="8"/>
  <c r="G53" i="7"/>
  <c r="L53" i="7" l="1"/>
  <c r="G53" i="8"/>
  <c r="M57" i="8"/>
  <c r="K57" i="8"/>
  <c r="L57" i="8"/>
  <c r="N57" i="8"/>
  <c r="Q53" i="8" l="1"/>
  <c r="R53" i="8"/>
  <c r="F57" i="8"/>
  <c r="O57" i="8" l="1"/>
  <c r="P57" i="8"/>
  <c r="G57" i="7"/>
  <c r="L57" i="7" l="1"/>
  <c r="G57" i="8"/>
  <c r="K45" i="8"/>
  <c r="L45" i="8"/>
  <c r="M45" i="8"/>
  <c r="N45" i="8"/>
  <c r="Q57" i="8" l="1"/>
  <c r="R57" i="8"/>
  <c r="F45" i="8"/>
  <c r="O45" i="8" l="1"/>
  <c r="P45" i="8"/>
  <c r="G45" i="7"/>
  <c r="L45" i="7" l="1"/>
  <c r="G45" i="8"/>
  <c r="N8" i="8"/>
  <c r="M8" i="8"/>
  <c r="K8" i="8"/>
  <c r="L8" i="8"/>
  <c r="Q45" i="8" l="1"/>
  <c r="R45" i="8"/>
  <c r="F8" i="8"/>
  <c r="P8" i="8" l="1"/>
  <c r="O8" i="8"/>
  <c r="G8" i="7"/>
  <c r="L8" i="7" l="1"/>
  <c r="G8" i="8"/>
  <c r="K81" i="8"/>
  <c r="M81" i="8"/>
  <c r="L81" i="8"/>
  <c r="N81" i="8"/>
  <c r="Q8" i="8" l="1"/>
  <c r="R8" i="8"/>
  <c r="F81" i="8"/>
  <c r="P81" i="8" l="1"/>
  <c r="O81" i="8"/>
  <c r="G81" i="7"/>
  <c r="L81" i="7" l="1"/>
  <c r="G81" i="8"/>
  <c r="M26" i="8"/>
  <c r="N26" i="8"/>
  <c r="L26" i="8"/>
  <c r="K26" i="8"/>
  <c r="Q81" i="8" l="1"/>
  <c r="R81" i="8"/>
  <c r="F26" i="8"/>
  <c r="P26" i="8" l="1"/>
  <c r="O26" i="8"/>
  <c r="G26" i="7"/>
  <c r="L26" i="7" l="1"/>
  <c r="G26" i="8"/>
  <c r="M48" i="8"/>
  <c r="K48" i="8"/>
  <c r="L48" i="8"/>
  <c r="N48" i="8"/>
  <c r="Q26" i="8" l="1"/>
  <c r="R26" i="8"/>
  <c r="F48" i="8"/>
  <c r="P48" i="8" l="1"/>
  <c r="O48" i="8"/>
  <c r="G48" i="7"/>
  <c r="L48" i="7" l="1"/>
  <c r="G48" i="8"/>
  <c r="K56" i="8"/>
  <c r="M56" i="8"/>
  <c r="L56" i="8"/>
  <c r="N56" i="8"/>
  <c r="Q48" i="8" l="1"/>
  <c r="R48" i="8"/>
  <c r="F56" i="8"/>
  <c r="P56" i="8" l="1"/>
  <c r="O56" i="8"/>
  <c r="G56" i="7"/>
  <c r="L56" i="7" l="1"/>
  <c r="G56" i="8"/>
  <c r="M44" i="8"/>
  <c r="L44" i="8"/>
  <c r="N44" i="8"/>
  <c r="K44" i="8"/>
  <c r="Q56" i="8" l="1"/>
  <c r="R56" i="8"/>
  <c r="F44" i="8"/>
  <c r="P44" i="8" l="1"/>
  <c r="O44" i="8"/>
  <c r="G44" i="7"/>
  <c r="L44" i="7" l="1"/>
  <c r="G44" i="8"/>
  <c r="F60" i="7"/>
  <c r="J60" i="7"/>
  <c r="I60" i="7"/>
  <c r="G60" i="7"/>
  <c r="I6" i="5" l="1"/>
  <c r="I6" i="6"/>
  <c r="E6" i="5"/>
  <c r="H6" i="6"/>
  <c r="H6" i="5"/>
  <c r="G60" i="8"/>
  <c r="K60" i="7"/>
  <c r="J6" i="5" s="1"/>
  <c r="E8" i="5"/>
  <c r="I60" i="8"/>
  <c r="H8" i="6"/>
  <c r="H8" i="5"/>
  <c r="J60" i="8"/>
  <c r="O60" i="8" s="1"/>
  <c r="I8" i="6"/>
  <c r="I8" i="5"/>
  <c r="Q44" i="8"/>
  <c r="R44" i="8"/>
  <c r="H60" i="7"/>
  <c r="L61" i="8"/>
  <c r="N61" i="8"/>
  <c r="K61" i="8"/>
  <c r="M61" i="8"/>
  <c r="H11" i="6" l="1"/>
  <c r="F6" i="5"/>
  <c r="J8" i="5"/>
  <c r="K8" i="6"/>
  <c r="M8" i="6"/>
  <c r="L8" i="6"/>
  <c r="J8" i="6"/>
  <c r="H60" i="8"/>
  <c r="Q60" i="8" s="1"/>
  <c r="L60" i="7"/>
  <c r="I11" i="6"/>
  <c r="F8" i="5"/>
  <c r="F61" i="8"/>
  <c r="R60" i="8" l="1"/>
  <c r="S8" i="6"/>
  <c r="N8" i="6"/>
  <c r="O61" i="8"/>
  <c r="O8" i="6" s="1"/>
  <c r="P61" i="8"/>
  <c r="P8" i="6" s="1"/>
  <c r="E8" i="6"/>
  <c r="G61" i="7"/>
  <c r="G8" i="5" l="1"/>
  <c r="G8" i="6"/>
  <c r="L61" i="7"/>
  <c r="K8" i="5" s="1"/>
  <c r="L8" i="5" s="1"/>
  <c r="F8" i="6"/>
  <c r="G61" i="8"/>
  <c r="N35" i="8"/>
  <c r="M35" i="8"/>
  <c r="L35" i="8"/>
  <c r="K35" i="8"/>
  <c r="Q61" i="8" l="1"/>
  <c r="Q8" i="6" s="1"/>
  <c r="T8" i="6" s="1"/>
  <c r="R61" i="8"/>
  <c r="R8" i="6" s="1"/>
  <c r="U8" i="6" s="1"/>
  <c r="F35" i="8"/>
  <c r="P35" i="8" l="1"/>
  <c r="O35" i="8"/>
  <c r="G35" i="7"/>
  <c r="L35" i="7" l="1"/>
  <c r="G35" i="8"/>
  <c r="N19" i="8"/>
  <c r="L19" i="8"/>
  <c r="K19" i="8"/>
  <c r="M19" i="8"/>
  <c r="Q35" i="8" l="1"/>
  <c r="R35" i="8"/>
  <c r="F19" i="8"/>
  <c r="P19" i="8" l="1"/>
  <c r="O19" i="8"/>
  <c r="G19" i="7"/>
  <c r="L19" i="7" l="1"/>
  <c r="G19" i="8"/>
  <c r="K86" i="8"/>
  <c r="M86" i="8"/>
  <c r="N86" i="8"/>
  <c r="L86" i="8"/>
  <c r="Q19" i="8" l="1"/>
  <c r="R19" i="8"/>
  <c r="F86" i="8"/>
  <c r="O86" i="8" l="1"/>
  <c r="P86" i="8"/>
  <c r="G86" i="7"/>
  <c r="L86" i="7" l="1"/>
  <c r="G86" i="8"/>
  <c r="N58" i="8"/>
  <c r="L58" i="8"/>
  <c r="H43" i="7"/>
  <c r="J43" i="7"/>
  <c r="I43" i="7"/>
  <c r="F43" i="7"/>
  <c r="M58" i="8"/>
  <c r="K58" i="8"/>
  <c r="I10" i="5" l="1"/>
  <c r="E10" i="5"/>
  <c r="H10" i="5"/>
  <c r="E7" i="5"/>
  <c r="H7" i="5"/>
  <c r="I7" i="5"/>
  <c r="K43" i="7"/>
  <c r="J43" i="8"/>
  <c r="J87" i="8" s="1"/>
  <c r="H43" i="8"/>
  <c r="H87" i="8" s="1"/>
  <c r="I43" i="8"/>
  <c r="I87" i="8" s="1"/>
  <c r="Q86" i="8"/>
  <c r="R86" i="8"/>
  <c r="F58" i="8"/>
  <c r="J7" i="5" l="1"/>
  <c r="J10" i="5"/>
  <c r="H11" i="5"/>
  <c r="F10" i="5"/>
  <c r="I11" i="5"/>
  <c r="F7" i="5"/>
  <c r="E11" i="5"/>
  <c r="O58" i="8"/>
  <c r="P58" i="8"/>
  <c r="G58" i="7"/>
  <c r="F11" i="5" l="1"/>
  <c r="J11" i="5"/>
  <c r="L58" i="7"/>
  <c r="G58" i="8"/>
  <c r="K31" i="8"/>
  <c r="N31" i="8"/>
  <c r="L31" i="8"/>
  <c r="M31" i="8"/>
  <c r="Q58" i="8" l="1"/>
  <c r="R58" i="8"/>
  <c r="F31" i="8"/>
  <c r="O31" i="8" l="1"/>
  <c r="P31" i="8"/>
  <c r="G31" i="7"/>
  <c r="L31" i="7" l="1"/>
  <c r="G31" i="8"/>
  <c r="K9" i="8"/>
  <c r="M9" i="8"/>
  <c r="N9" i="8"/>
  <c r="L9" i="8"/>
  <c r="Q31" i="8" l="1"/>
  <c r="R31" i="8"/>
  <c r="F9" i="8"/>
  <c r="O9" i="8" l="1"/>
  <c r="P9" i="8"/>
  <c r="G9" i="7"/>
  <c r="L9" i="7" l="1"/>
  <c r="G9" i="8"/>
  <c r="M14" i="8"/>
  <c r="N14" i="8"/>
  <c r="K14" i="8"/>
  <c r="L14" i="8"/>
  <c r="Q9" i="8" l="1"/>
  <c r="R9" i="8"/>
  <c r="F14" i="8"/>
  <c r="O14" i="8" l="1"/>
  <c r="P14" i="8"/>
  <c r="G14" i="7"/>
  <c r="L14" i="7" l="1"/>
  <c r="G14" i="8"/>
  <c r="N37" i="8"/>
  <c r="L37" i="8"/>
  <c r="K37" i="8"/>
  <c r="M37" i="8"/>
  <c r="Q14" i="8" l="1"/>
  <c r="R14" i="8"/>
  <c r="F37" i="8"/>
  <c r="P37" i="8" l="1"/>
  <c r="O37" i="8"/>
  <c r="R6" i="6"/>
  <c r="G37" i="7"/>
  <c r="L37" i="7" l="1"/>
  <c r="G37" i="8"/>
  <c r="L32" i="8"/>
  <c r="K32" i="8"/>
  <c r="N32" i="8"/>
  <c r="M32" i="8"/>
  <c r="Q37" i="8" l="1"/>
  <c r="R37" i="8"/>
  <c r="F32" i="8"/>
  <c r="O32" i="8" l="1"/>
  <c r="P32" i="8"/>
  <c r="G32" i="7"/>
  <c r="L32" i="7" l="1"/>
  <c r="G32" i="8"/>
  <c r="L67" i="8"/>
  <c r="M67" i="8"/>
  <c r="K67" i="8"/>
  <c r="N67" i="8"/>
  <c r="Q32" i="8" l="1"/>
  <c r="R32" i="8"/>
  <c r="F67" i="8"/>
  <c r="P67" i="8" l="1"/>
  <c r="O67" i="8"/>
  <c r="G67" i="7"/>
  <c r="G87" i="7" l="1"/>
  <c r="L67" i="7"/>
  <c r="G67" i="8"/>
  <c r="M41" i="8"/>
  <c r="N41" i="8"/>
  <c r="L41" i="8"/>
  <c r="K41" i="8"/>
  <c r="J9" i="6" l="1"/>
  <c r="K9" i="6"/>
  <c r="L9" i="6"/>
  <c r="M9" i="6"/>
  <c r="Q67" i="8"/>
  <c r="R67" i="8"/>
  <c r="G6" i="6"/>
  <c r="G6" i="5"/>
  <c r="F41" i="8"/>
  <c r="S9" i="6" l="1"/>
  <c r="E9" i="6"/>
  <c r="F9" i="6" s="1"/>
  <c r="N9" i="6"/>
  <c r="P41" i="8"/>
  <c r="P9" i="6" s="1"/>
  <c r="O41" i="8"/>
  <c r="O9" i="6" s="1"/>
  <c r="G41" i="7"/>
  <c r="G9" i="6" l="1"/>
  <c r="G11" i="6" s="1"/>
  <c r="G9" i="5"/>
  <c r="L41" i="7"/>
  <c r="K9" i="5" s="1"/>
  <c r="L9" i="5" s="1"/>
  <c r="G41" i="8"/>
  <c r="F29" i="8"/>
  <c r="K29" i="8"/>
  <c r="L29" i="8"/>
  <c r="N29" i="8"/>
  <c r="O29" i="8" l="1"/>
  <c r="P29" i="8"/>
  <c r="Q41" i="8"/>
  <c r="Q9" i="6" s="1"/>
  <c r="T9" i="6" s="1"/>
  <c r="R41" i="8"/>
  <c r="R9" i="6" s="1"/>
  <c r="M29" i="8"/>
  <c r="G29" i="7"/>
  <c r="U9" i="6" l="1"/>
  <c r="R11" i="6"/>
  <c r="L29" i="7"/>
  <c r="G29" i="8"/>
  <c r="N52" i="8"/>
  <c r="L52" i="8"/>
  <c r="K52" i="8"/>
  <c r="M52" i="8"/>
  <c r="Q29" i="8" l="1"/>
  <c r="R29" i="8"/>
  <c r="F52" i="8"/>
  <c r="P52" i="8" l="1"/>
  <c r="O52" i="8"/>
  <c r="G52" i="7"/>
  <c r="L52" i="7" l="1"/>
  <c r="G52" i="8"/>
  <c r="M43" i="8"/>
  <c r="N43" i="8"/>
  <c r="K43" i="8"/>
  <c r="L43" i="8"/>
  <c r="Q52" i="8" l="1"/>
  <c r="R52" i="8"/>
  <c r="F43" i="8"/>
  <c r="O43" i="8" l="1"/>
  <c r="P43" i="8"/>
  <c r="G43" i="7"/>
  <c r="G10" i="5" l="1"/>
  <c r="L43" i="7"/>
  <c r="K10" i="5" s="1"/>
  <c r="L10" i="5" s="1"/>
  <c r="G43" i="8"/>
  <c r="N33" i="8"/>
  <c r="M33" i="8"/>
  <c r="K33" i="8"/>
  <c r="L33" i="8"/>
  <c r="Q43" i="8" l="1"/>
  <c r="R43" i="8"/>
  <c r="F33" i="8"/>
  <c r="P33" i="8" l="1"/>
  <c r="O33" i="8"/>
  <c r="G33" i="7"/>
  <c r="L33" i="7" l="1"/>
  <c r="G33" i="8"/>
  <c r="N34" i="8"/>
  <c r="K34" i="8"/>
  <c r="M34" i="8"/>
  <c r="L34" i="8"/>
  <c r="Q33" i="8" l="1"/>
  <c r="R33" i="8"/>
  <c r="F34" i="8"/>
  <c r="P34" i="8" l="1"/>
  <c r="O34" i="8"/>
  <c r="G34" i="7"/>
  <c r="L34" i="7" l="1"/>
  <c r="G34" i="8"/>
  <c r="N36" i="8"/>
  <c r="M36" i="8"/>
  <c r="K36" i="8"/>
  <c r="L36" i="8"/>
  <c r="L87" i="8" l="1"/>
  <c r="K6" i="6" s="1"/>
  <c r="K87" i="8"/>
  <c r="J6" i="6" s="1"/>
  <c r="N87" i="8"/>
  <c r="M6" i="6" s="1"/>
  <c r="M11" i="6" s="1"/>
  <c r="M87" i="8"/>
  <c r="L6" i="6" s="1"/>
  <c r="L11" i="6" s="1"/>
  <c r="Q34" i="8"/>
  <c r="R34" i="8"/>
  <c r="F36" i="8"/>
  <c r="O36" i="8" l="1"/>
  <c r="O87" i="8" s="1"/>
  <c r="O6" i="6" s="1"/>
  <c r="O11" i="6" s="1"/>
  <c r="P36" i="8"/>
  <c r="P87" i="8" s="1"/>
  <c r="P6" i="6" s="1"/>
  <c r="P11" i="6" s="1"/>
  <c r="F87" i="8"/>
  <c r="E6" i="6" s="1"/>
  <c r="S6" i="6"/>
  <c r="J11" i="6"/>
  <c r="S11" i="6" s="1"/>
  <c r="N6" i="6"/>
  <c r="N11" i="6" s="1"/>
  <c r="K11" i="6"/>
  <c r="G36" i="7"/>
  <c r="G7" i="5" l="1"/>
  <c r="G11" i="5" s="1"/>
  <c r="L36" i="7"/>
  <c r="L87" i="7" s="1"/>
  <c r="E11" i="6"/>
  <c r="F6" i="6"/>
  <c r="F11" i="6" s="1"/>
  <c r="U6" i="6"/>
  <c r="G36" i="8"/>
  <c r="K6" i="5" l="1"/>
  <c r="L6" i="5" s="1"/>
  <c r="K7" i="5"/>
  <c r="L7" i="5" s="1"/>
  <c r="Q36" i="8"/>
  <c r="Q87" i="8" s="1"/>
  <c r="Q6" i="6" s="1"/>
  <c r="G87" i="8"/>
  <c r="R36" i="8"/>
  <c r="R87" i="8" s="1"/>
  <c r="U11" i="6"/>
  <c r="K11" i="5" l="1"/>
  <c r="L11" i="5" s="1"/>
  <c r="Q11" i="6"/>
  <c r="T11" i="6" s="1"/>
  <c r="T6" i="6"/>
</calcChain>
</file>

<file path=xl/sharedStrings.xml><?xml version="1.0" encoding="utf-8"?>
<sst xmlns="http://schemas.openxmlformats.org/spreadsheetml/2006/main" count="1769" uniqueCount="443">
  <si>
    <t>Guest 계정 활성화로 임의의 사용자 로그인 가능 하므로 취약</t>
  </si>
  <si>
    <t>콘솔에 로그인을 허용하는 권한을 Users에게 설정해 취약</t>
  </si>
  <si>
    <t>windows 2016 기본 미설치</t>
  </si>
  <si>
    <t>암호화 수준 “구성되지 않음” 설정</t>
  </si>
  <si>
    <t>잔여취약점
(미조치+위험수용)</t>
  </si>
  <si>
    <t>공유 권한 및 사용자 그룹 설정</t>
  </si>
  <si>
    <t>터미널 서비스 암호화 수준 설정</t>
  </si>
  <si>
    <t>관리자 그룹에 최소한의 사용자 포함</t>
  </si>
  <si>
    <t xml:space="preserve">취약점(Vulnerability) </t>
  </si>
  <si>
    <t>■ 영역별/장비별 보안수준 통계</t>
  </si>
  <si>
    <t>LAN Manager 인증 수준</t>
  </si>
  <si>
    <t>HTTP/FTP/SMTP 배너 차단</t>
  </si>
  <si>
    <t>Dos 공격 방어 레지스트리 설정</t>
  </si>
  <si>
    <t>익명 SID/이름 변환 허용 해제</t>
  </si>
  <si>
    <t>특정 서버로만 설정 되어 양호</t>
  </si>
  <si>
    <t>SID를 사용하여 관리자 이름을 찾을 수 없도록 정책 사용 안 함 설정으로 양호</t>
  </si>
  <si>
    <t>Everyone 사용 권한을 익명 사용자에게 적용 정책 사용 안 함 설정으로 양호</t>
  </si>
  <si>
    <t>비밀번호 해독 가능한 텍스트 형태가 아닌 암호화된 형태로 저장하도록 설정 하여 양호</t>
  </si>
  <si>
    <t>“계정 잠금 기간”, “잠금 기간 원래대로 설정 기간”  미설정 으로 취약</t>
  </si>
  <si>
    <t>"계정 로그온 이벤트 감사 속성" 및 "계정 관리 감사" 정책 미설정으로 취약</t>
  </si>
  <si>
    <t>Administrator 계정 이름 기본 설정 과 동일 하므로 취약</t>
  </si>
  <si>
    <t>관리자 그룹에 관리자만 추가하여 관리 권한 사용자를 최소화 하여 양호</t>
  </si>
  <si>
    <t>SYSTEM, Administrator 계정 만 권한 설정으로 양호</t>
  </si>
  <si>
    <t>계정 잠금 임계값 미설정으로 사용자 계정 정보 노출 위험 있으므로 취약</t>
  </si>
  <si>
    <t>활성 상태지만 유휴 터미널 서비스 세션에 시간 제한 미설정으로 취약</t>
  </si>
  <si>
    <t>SNMP 서비스 미설치</t>
  </si>
  <si>
    <t>최신 서비스팩 미설치로 취약</t>
  </si>
  <si>
    <t>원격 연결 미허용으로 양호</t>
  </si>
  <si>
    <t>DNS 서비스 구동 점검</t>
  </si>
  <si>
    <t>IIS 미사용으로 양호</t>
  </si>
  <si>
    <t>하드디스크 기본 공유 제거</t>
  </si>
  <si>
    <t>백신 프로그램 미설치로 취약</t>
  </si>
  <si>
    <t>FTP 접근 제어 설정</t>
  </si>
  <si>
    <t>불필요한 계정 제거로 양호</t>
  </si>
  <si>
    <t>SAM 파일 접근 통제 설정</t>
  </si>
  <si>
    <t>보안수준 
(이행 전)</t>
  </si>
  <si>
    <t>8_1. 위험도 평가표</t>
  </si>
  <si>
    <t>5. 자산등급 점수 범위</t>
  </si>
  <si>
    <t>시작 프로그램 목록 분석</t>
  </si>
  <si>
    <t>백신 프로그램 업데이트</t>
  </si>
  <si>
    <t>이벤트 로그 관리 설정</t>
  </si>
  <si>
    <t>Autologon 기능 제어</t>
  </si>
  <si>
    <t>7. 위험도 점수 범위</t>
  </si>
  <si>
    <t>6. 위협도 점수 범위</t>
  </si>
  <si>
    <t>본진단 결과 (이행 전)</t>
  </si>
  <si>
    <t>Y=0(보호대책 있음)</t>
  </si>
  <si>
    <t>파일 및 디렉토리 보호</t>
  </si>
  <si>
    <t>■ Check List</t>
  </si>
  <si>
    <t>N=1(보호대책 없음)</t>
  </si>
  <si>
    <t>■ 취약점 진단 항목별 통계</t>
  </si>
  <si>
    <t>Guest 계정 비활성화</t>
  </si>
  <si>
    <t>보안수준 
(이행 후)</t>
  </si>
  <si>
    <t>계정 잠금 임계값 설정</t>
  </si>
  <si>
    <t>HIDDEN 필드입니다</t>
  </si>
  <si>
    <t>8_2. 위험평가 방법론</t>
  </si>
  <si>
    <t>마지막으로 로그인한 사용자 이름이 표시 되어 공격자에게 계정 정보 노출 가능성 있어 취약</t>
  </si>
  <si>
    <t>예약된 작업에 의심스러운 명령이 등록되어 있는지 점검</t>
  </si>
  <si>
    <t>DNS 사용 및 동적 업데이트 "없음" 설정으로 양호</t>
  </si>
  <si>
    <t>"최대 암호 사용 기간" 90일 이하 설정으로 취약</t>
  </si>
  <si>
    <t>해독 가능한 암호화를 사용하여 암호 저장 해제</t>
  </si>
  <si>
    <t>콘솔 로그온 시 로컬 계정에서 빈 암호 사용 제한</t>
  </si>
  <si>
    <t>공유 권한에 모든 사용자 권한 없으므로 양호</t>
  </si>
  <si>
    <t>"최근 암호 기억" 4개 미만 설정으로 취약</t>
  </si>
  <si>
    <t>"최소 암호 사용 기간" 0일 설정으로 취약</t>
  </si>
  <si>
    <t>화면보호기 서비스 미설정으로 pc 노출로 취약</t>
  </si>
  <si>
    <t>사용자가 프린터 드라이버를 설치할 수 없게 함</t>
  </si>
  <si>
    <t>최대 로그 크기 20480KB 설정으로 양호</t>
  </si>
  <si>
    <t>No.</t>
  </si>
  <si>
    <t>위험도</t>
  </si>
  <si>
    <t>L</t>
  </si>
  <si>
    <t>기밀성</t>
  </si>
  <si>
    <t>담당자</t>
  </si>
  <si>
    <t>자산</t>
  </si>
  <si>
    <t>비고</t>
  </si>
  <si>
    <t>등급</t>
  </si>
  <si>
    <t>수준</t>
  </si>
  <si>
    <t>양호</t>
  </si>
  <si>
    <t>무결성</t>
  </si>
  <si>
    <t>N/A</t>
  </si>
  <si>
    <t>분류</t>
  </si>
  <si>
    <t>NW</t>
  </si>
  <si>
    <t>부서</t>
  </si>
  <si>
    <t>결과</t>
  </si>
  <si>
    <t>V'</t>
  </si>
  <si>
    <t>평가</t>
  </si>
  <si>
    <t>버전</t>
  </si>
  <si>
    <t>IP</t>
  </si>
  <si>
    <t>M</t>
  </si>
  <si>
    <t>Y</t>
  </si>
  <si>
    <t>구분</t>
  </si>
  <si>
    <t>DoA</t>
  </si>
  <si>
    <t>-</t>
  </si>
  <si>
    <t>모델명</t>
  </si>
  <si>
    <t>이행율</t>
  </si>
  <si>
    <t>계</t>
  </si>
  <si>
    <t>박성민</t>
  </si>
  <si>
    <t>전체</t>
  </si>
  <si>
    <t>미조치</t>
  </si>
  <si>
    <t>H</t>
  </si>
  <si>
    <t>P</t>
  </si>
  <si>
    <t>N</t>
  </si>
  <si>
    <t>중요도</t>
  </si>
  <si>
    <t>점수</t>
  </si>
  <si>
    <t>최고</t>
  </si>
  <si>
    <t>본사</t>
  </si>
  <si>
    <t>최저</t>
  </si>
  <si>
    <t>가용성</t>
  </si>
  <si>
    <t>김도현</t>
  </si>
  <si>
    <t>취약</t>
  </si>
  <si>
    <t>R/A</t>
  </si>
  <si>
    <t>조치</t>
  </si>
  <si>
    <t>위협(Threats)</t>
  </si>
  <si>
    <t>개선방안 및 보호대책</t>
  </si>
  <si>
    <t>① 부분별 진단 결과</t>
  </si>
  <si>
    <t>점수(Hidden)</t>
  </si>
  <si>
    <t>전체점수
(이행후)</t>
  </si>
  <si>
    <t>1) 시스템 현황</t>
  </si>
  <si>
    <t>1. 분류 Code</t>
  </si>
  <si>
    <t>1) 영역별 보안수준</t>
  </si>
  <si>
    <t>평가점수 (이행 전)</t>
  </si>
  <si>
    <t>OS 종류 및 버전</t>
  </si>
  <si>
    <t>전체 보안 수준</t>
  </si>
  <si>
    <t>전체점수(이행 전)</t>
  </si>
  <si>
    <t>3. 점검결과 점수</t>
  </si>
  <si>
    <t>이행 진단 통계</t>
  </si>
  <si>
    <t>평가점수 (이행 후)</t>
  </si>
  <si>
    <t>② 상세 진단 현황</t>
  </si>
  <si>
    <t>전체점수(이행 후)</t>
  </si>
  <si>
    <t>취약점 진단항목</t>
  </si>
  <si>
    <t>8. 위험도 평가표</t>
  </si>
  <si>
    <t>평가점수
(이행후)</t>
  </si>
  <si>
    <t>전체점수
(이행전)</t>
  </si>
  <si>
    <t>평가점수
(이행전)</t>
  </si>
  <si>
    <t>2) 장비별 보안수준</t>
  </si>
  <si>
    <t>영역별 수준 그래프</t>
  </si>
  <si>
    <t>Microsoft</t>
  </si>
  <si>
    <t>백신 프로그램 설치</t>
  </si>
  <si>
    <t>2) 진단 결과</t>
  </si>
  <si>
    <t>로컬 로그온 허용</t>
  </si>
  <si>
    <t>불필요한 계정 제거</t>
  </si>
  <si>
    <t>전채 보안 수준</t>
  </si>
  <si>
    <t>불필요한 서비스 제거</t>
  </si>
  <si>
    <t>HostName</t>
  </si>
  <si>
    <t>현황 및 문제점</t>
  </si>
  <si>
    <t>전체점수(이행전)</t>
  </si>
  <si>
    <t>계정 잠금 기간 설정</t>
  </si>
  <si>
    <t>IP Address</t>
  </si>
  <si>
    <t>데이터 소스 미등록</t>
  </si>
  <si>
    <t>등록된 작업 없음</t>
  </si>
  <si>
    <t>점검 대상 아님</t>
  </si>
  <si>
    <t>패치 미설치로 취약</t>
  </si>
  <si>
    <t>IIS 미설치로 취약</t>
  </si>
  <si>
    <t>“암호는 복잡성을 만족해야 함” 사용 안 함 설정 으로 취약</t>
  </si>
  <si>
    <t>로그 기록에 개한 정기적 검토 및 보고가 이루어 지지 않아 취약</t>
  </si>
  <si>
    <t>빈 암호 를 가진 로컬 계정에서 원격 로그온 시 보안으로 양호</t>
  </si>
  <si>
    <t>“NetBIOS over TCP/IP 사용 안 함” 기본값 설정</t>
  </si>
  <si>
    <t>원격 시스템에서 강제로 시스템 종료</t>
  </si>
  <si>
    <t>이동식 미디어 포맷 및 꺼내기 허용</t>
  </si>
  <si>
    <t>원격터미널 접속 타임아웃 설정</t>
  </si>
  <si>
    <t>하드디스크에 기본 공유가 설정되어 취약</t>
  </si>
  <si>
    <t>보안 채널 데이터 디지털 암호화 또는 서명</t>
  </si>
  <si>
    <t>원격터미널 접속 가능한 사용자 그룹 제한</t>
  </si>
  <si>
    <t>불필요한 서비스가 일부 구동중으로 취약</t>
  </si>
  <si>
    <t>DNS Zone Transfer 설정</t>
  </si>
  <si>
    <t>원격 레지스트리 서비스 를 중지시켜 양호</t>
  </si>
  <si>
    <t>2. 중요도, 자산등급, 위협도 점수</t>
  </si>
  <si>
    <t>NetBIOS 바인딩 서비스 구동 점검</t>
  </si>
  <si>
    <t>"최소 암호 길이" 미설정 으로 취약</t>
  </si>
  <si>
    <t>Everyone 접근 권한 미설정으로 양호</t>
  </si>
  <si>
    <t>W-26</t>
  </si>
  <si>
    <t>W-27</t>
  </si>
  <si>
    <t>W-58</t>
  </si>
  <si>
    <t>W-31</t>
  </si>
  <si>
    <t>W-59</t>
  </si>
  <si>
    <t>W-61</t>
  </si>
  <si>
    <t>서비스 미설치</t>
  </si>
  <si>
    <t>W-22</t>
  </si>
  <si>
    <t>W-60</t>
  </si>
  <si>
    <t>W-24</t>
  </si>
  <si>
    <t>W-23</t>
  </si>
  <si>
    <t>W-28</t>
  </si>
  <si>
    <t>W-62</t>
  </si>
  <si>
    <t>W-21</t>
  </si>
  <si>
    <t>W-32</t>
  </si>
  <si>
    <t>W-34</t>
  </si>
  <si>
    <t>W-42</t>
  </si>
  <si>
    <t>W-35</t>
  </si>
  <si>
    <t>W-37</t>
  </si>
  <si>
    <t>W-45</t>
  </si>
  <si>
    <t>W-44</t>
  </si>
  <si>
    <t>W-43</t>
  </si>
  <si>
    <t>W-38</t>
  </si>
  <si>
    <t>서비스 관리</t>
  </si>
  <si>
    <t>Y(즉시조치)</t>
  </si>
  <si>
    <t>접근 관리</t>
  </si>
  <si>
    <t>자산 평가</t>
  </si>
  <si>
    <t>W-41</t>
  </si>
  <si>
    <t>기능 관리</t>
  </si>
  <si>
    <t>이행여부</t>
  </si>
  <si>
    <t>보안 관리</t>
  </si>
  <si>
    <t>전체점수</t>
  </si>
  <si>
    <t>진단 항목</t>
  </si>
  <si>
    <t>평가이행전</t>
  </si>
  <si>
    <t>중요도 점수</t>
  </si>
  <si>
    <t>W-36</t>
  </si>
  <si>
    <t>W-39</t>
  </si>
  <si>
    <t>W-33</t>
  </si>
  <si>
    <t>W-40</t>
  </si>
  <si>
    <t>OS/SW</t>
  </si>
  <si>
    <t>설치위치</t>
  </si>
  <si>
    <t>제조업체</t>
  </si>
  <si>
    <t>패치 관리</t>
  </si>
  <si>
    <t>결과 점수</t>
  </si>
  <si>
    <t>호스트명</t>
  </si>
  <si>
    <t>점수 범위</t>
  </si>
  <si>
    <t>평가점수</t>
  </si>
  <si>
    <t>4. DoA</t>
  </si>
  <si>
    <t>계정 관리</t>
  </si>
  <si>
    <t>진단 결과</t>
  </si>
  <si>
    <t>위험수용</t>
  </si>
  <si>
    <t>취약점 진단</t>
  </si>
  <si>
    <t>즉시조치</t>
  </si>
  <si>
    <t>운영자산 명</t>
  </si>
  <si>
    <t>전체이행전</t>
  </si>
  <si>
    <t>위험 등급</t>
  </si>
  <si>
    <t>진단결과</t>
  </si>
  <si>
    <t>설치 위치</t>
  </si>
  <si>
    <t>전체항목</t>
  </si>
  <si>
    <t>점검 결과</t>
  </si>
  <si>
    <t>Code</t>
  </si>
  <si>
    <t>진단 통계</t>
  </si>
  <si>
    <t>진단항목</t>
  </si>
  <si>
    <t>자산명/용도</t>
  </si>
  <si>
    <t>이행 결과</t>
  </si>
  <si>
    <t>※ 자산 평가</t>
  </si>
  <si>
    <t>평가이행후</t>
  </si>
  <si>
    <t>위험평가</t>
  </si>
  <si>
    <t>중요도점수</t>
  </si>
  <si>
    <t>로그 관리</t>
  </si>
  <si>
    <t>■ 자산목록</t>
  </si>
  <si>
    <t>해당없음</t>
  </si>
  <si>
    <t>자산등급</t>
  </si>
  <si>
    <t>보호대책</t>
  </si>
  <si>
    <t>장비 구분</t>
  </si>
  <si>
    <t>보안수준</t>
  </si>
  <si>
    <t>조치 현황</t>
  </si>
  <si>
    <t>전체이행후</t>
  </si>
  <si>
    <t>W-10</t>
  </si>
  <si>
    <t>W-46</t>
  </si>
  <si>
    <t>W-08</t>
  </si>
  <si>
    <t>W-01</t>
  </si>
  <si>
    <t>W-57</t>
  </si>
  <si>
    <t>W-52</t>
  </si>
  <si>
    <t>W-49</t>
  </si>
  <si>
    <t>W-11</t>
  </si>
  <si>
    <t>W-15</t>
  </si>
  <si>
    <t>W-16</t>
  </si>
  <si>
    <t>W-02</t>
  </si>
  <si>
    <t>W-03</t>
  </si>
  <si>
    <t>W-09</t>
  </si>
  <si>
    <t>W-06</t>
  </si>
  <si>
    <t>W-53</t>
  </si>
  <si>
    <t>W-20</t>
  </si>
  <si>
    <t>W-17</t>
  </si>
  <si>
    <t>W-05</t>
  </si>
  <si>
    <t>W-18</t>
  </si>
  <si>
    <t>W-19</t>
  </si>
  <si>
    <t>W-48</t>
  </si>
  <si>
    <t>W-55</t>
  </si>
  <si>
    <t>W-56</t>
  </si>
  <si>
    <t>W-04</t>
  </si>
  <si>
    <t>W-47</t>
  </si>
  <si>
    <t>W-12</t>
  </si>
  <si>
    <t>W-14</t>
  </si>
  <si>
    <t>W-07</t>
  </si>
  <si>
    <t>W-54</t>
  </si>
  <si>
    <t>W-51</t>
  </si>
  <si>
    <t>W-50</t>
  </si>
  <si>
    <t>W-13</t>
  </si>
  <si>
    <t>W-25</t>
  </si>
  <si>
    <t>W-64</t>
  </si>
  <si>
    <t>W-29</t>
  </si>
  <si>
    <t>W-30</t>
  </si>
  <si>
    <t>W-63</t>
  </si>
  <si>
    <t>지사 DNS서버</t>
    <phoneticPr fontId="27" type="noConversion"/>
  </si>
  <si>
    <t>정하늘</t>
  </si>
  <si>
    <t>DMZ</t>
    <phoneticPr fontId="27" type="noConversion"/>
  </si>
  <si>
    <t>ㄴ</t>
    <phoneticPr fontId="27" type="noConversion"/>
  </si>
  <si>
    <t>서비스 관리</t>
    <phoneticPr fontId="27" type="noConversion"/>
  </si>
  <si>
    <t>보안 관리</t>
    <phoneticPr fontId="27" type="noConversion"/>
  </si>
  <si>
    <t>계정 잠금 임계값 5 설정</t>
    <phoneticPr fontId="27" type="noConversion"/>
  </si>
  <si>
    <t>Guest 계정 사용 안 함 설정</t>
    <phoneticPr fontId="27" type="noConversion"/>
  </si>
  <si>
    <t>"계정 잠금 기간" 및 "다음 시간 후 계정 잠금 수를 원래대로 설정" 정책  60분 설정</t>
    <phoneticPr fontId="27" type="noConversion"/>
  </si>
  <si>
    <t>"암호는 복잡성을 만족해야 함" 정책 사용 설정</t>
    <phoneticPr fontId="27" type="noConversion"/>
  </si>
  <si>
    <t>"최소 암호 길이" 정책을 "8문자"로 설정</t>
    <phoneticPr fontId="27" type="noConversion"/>
  </si>
  <si>
    <t>"최대 암호 사용 기간" 의 다음 이후 암호 만료 기간 "90일" 설정</t>
    <phoneticPr fontId="27" type="noConversion"/>
  </si>
  <si>
    <t>"최소 암호 사용 기간"을 "1일"로 설정</t>
    <phoneticPr fontId="27" type="noConversion"/>
  </si>
  <si>
    <t>"대화형 로그온:마지막 사용자 이름 표시 안 함"을 "사용"설정</t>
    <phoneticPr fontId="27" type="noConversion"/>
  </si>
  <si>
    <t>"로컬 로그온 허용" 정책에 Administrators 계정만 설정</t>
    <phoneticPr fontId="27" type="noConversion"/>
  </si>
  <si>
    <t>"최근 암호 기억"을 "4개 암호 기억됨"으로 설정</t>
    <phoneticPr fontId="27" type="noConversion"/>
  </si>
  <si>
    <t>"이 컴퓨터에 대한 원격 연결 허용"에 관리자 외 권한 높은 사용자 지정</t>
    <phoneticPr fontId="27" type="noConversion"/>
  </si>
  <si>
    <t>사용권한에서 Everyone 제거 후 Administrators 만 추가</t>
    <phoneticPr fontId="27" type="noConversion"/>
  </si>
  <si>
    <t>기본값인 활성 상태</t>
    <phoneticPr fontId="27" type="noConversion"/>
  </si>
  <si>
    <t>불필요한 서비스 사용 안 함 설정</t>
    <phoneticPr fontId="27" type="noConversion"/>
  </si>
  <si>
    <t>"NetBIOS over TCP/IP 사용 안함" 설정</t>
    <phoneticPr fontId="27" type="noConversion"/>
  </si>
  <si>
    <t>"클라이언트 연결 암호화 수준 설정"을 "높은 수준" 으로 설정</t>
    <phoneticPr fontId="27" type="noConversion"/>
  </si>
  <si>
    <t>IIS 미설치로 양호</t>
    <phoneticPr fontId="27" type="noConversion"/>
  </si>
  <si>
    <t>"활성 상태지만 유휴 터미널 서비스 세션에 시간 제한 설정"에서 "유휴 세션 제한"을 30분 설정</t>
    <phoneticPr fontId="27" type="noConversion"/>
  </si>
  <si>
    <t>윈도우 업데이트 진행 필요</t>
    <phoneticPr fontId="27" type="noConversion"/>
  </si>
  <si>
    <t xml:space="preserve">windows Defender 업데이트 및 활성화 </t>
    <phoneticPr fontId="27" type="noConversion"/>
  </si>
  <si>
    <t>로컬 감사 정책 권고 기준 설정</t>
    <phoneticPr fontId="27" type="noConversion"/>
  </si>
  <si>
    <t>Remote Registry 사용 안 함 및 서비스 중지 설정</t>
    <phoneticPr fontId="27" type="noConversion"/>
  </si>
  <si>
    <t xml:space="preserve">windows Defender 업데이트 및 활성화 </t>
    <phoneticPr fontId="27" type="noConversion"/>
  </si>
  <si>
    <t>DC(도메인 컨트롤러)에서는 화면보호기 설정 불가함</t>
    <phoneticPr fontId="27" type="noConversion"/>
  </si>
  <si>
    <t>windows server 2016 최신 서비스팩 지원하지 않음</t>
    <phoneticPr fontId="27" type="noConversion"/>
  </si>
  <si>
    <t>인터뷰</t>
  </si>
  <si>
    <t>해당 없음</t>
    <phoneticPr fontId="27" type="noConversion"/>
  </si>
  <si>
    <r>
      <t>로그 기록에 대한 검토 진행,</t>
    </r>
    <r>
      <rPr>
        <sz val="8"/>
        <color rgb="FFFF0000"/>
        <rFont val="맑은 고딕"/>
        <family val="3"/>
        <charset val="129"/>
      </rPr>
      <t xml:space="preserve"> 분석결과에 대한 일일 및 월간 보고서 작성 및 보고 안함</t>
    </r>
    <phoneticPr fontId="27" type="noConversion"/>
  </si>
  <si>
    <t>보안이 강화된 비밀번호로 변경</t>
    <phoneticPr fontId="27" type="noConversion"/>
  </si>
  <si>
    <t>항목코드</t>
  </si>
  <si>
    <t>Administrator 계정 이름 변경 등 보안성 강화</t>
  </si>
  <si>
    <t>Administrator 기본 계정 이름 변경 및 보안성이 있는 비밀번호 설정</t>
  </si>
  <si>
    <t>현재 계정 현황 확인 후 불필요한 계정 삭제</t>
  </si>
  <si>
    <t>계정 잠금 임계값을 5 이하의 값으로 설정</t>
  </si>
  <si>
    <t>“해독 가능한 암호화를 사용하여 암호 저장”을 “사용 안 함”으로 설정</t>
  </si>
  <si>
    <t>마지막 사용자 이름 표시 안 함</t>
  </si>
  <si>
    <t>Administrators 그룹에 포함된 불필요한 계정 제거</t>
  </si>
  <si>
    <t>Everyone 사용 권한을 익명 사용자에 적용</t>
  </si>
  <si>
    <t>“Everyone 사용 권한을 익명 사용자에게 적용”정책을 “사용 안 함”으로 설정</t>
  </si>
  <si>
    <t>“계정 잠금 기간” 및 “잠금 기간 원래대로 설정 기간” 60분 이상으로 설정</t>
  </si>
  <si>
    <t>비밀번호 관리 정책 설정</t>
  </si>
  <si>
    <t>비밀번호 복잡성, 최소 비밀번호 길이, 최대/최소 사용 기간을 기준에 맞게 설정</t>
  </si>
  <si>
    <t>※ Windows NT: 마지막으로 로그온한 사용자 이름 표시 안 함 설정 ※ Windows 2000: 로그온 스크린에 마지막 사용자 이름 표시 안 함 사용 설정 ※ Windows 2003, 2008, 2012, 2016, 2019, 2022: 대화형 로그온: 마지막 사용자 이름 표시 안 함 사용 설정</t>
  </si>
  <si>
    <t>Administrators, IUSR_ 외 다른 계정 및 그룹의 로컬 로그온 제한</t>
  </si>
  <si>
    <t>“네트워크 액세스: 익명 SID/이름 변환 허용” 정책 “사용 안 함” 설정</t>
  </si>
  <si>
    <t>“계정: 콘솔 로그온 시 로컬 계정에서 빈 암호 사용 제한” 정책을 “사용”으로 설정</t>
  </si>
  <si>
    <t>관리자 계정과 이외의 계정을 생성, 권한을 제한 사용 설정</t>
  </si>
  <si>
    <t>사용자 개인키 사용 시 암호 입력</t>
  </si>
  <si>
    <t>“시스템 암호화: 컴퓨터에 저장된 사용자 키에 대해 강력한 키 보호 사용” 정책을 “키를 사용할 때마다 암호를 매 번 입력해야 함”으로 적용</t>
  </si>
  <si>
    <t>공유 디렉터리 접근 권한에서 Everyone 권한 제거 후 필요한 계정 추가</t>
  </si>
  <si>
    <t>기본 공유 중지 후 레지스트리 값 설정(IPC$, 일반 공유 제외)</t>
  </si>
  <si>
    <t>서비스 중지 후 “사용 안 함” 설정</t>
  </si>
  <si>
    <t>불필요한 IIS 서비스 구동 점검</t>
  </si>
  <si>
    <t>IIS 서비스가 불필요한 경우 IIS 서비스 중지</t>
  </si>
  <si>
    <t>네트워크 제어판을 이용하여 TCP/IP와 NetBIOS 간의 바인딩(binding) 제거</t>
  </si>
  <si>
    <t>암호화되지 않는 FTP 서비스 비활성화</t>
  </si>
  <si>
    <t>FTP 서비스가 필요하지 않다면 서비스 중지 또는 Secure FTP 응용 프로그램 사용</t>
  </si>
  <si>
    <t>FTP 디렉토리 접근권한 설정</t>
  </si>
  <si>
    <t>FTP 홈 디렉터리에서 Everyone 권한 삭제, 각 사용자에게 적절한 권한 부여</t>
  </si>
  <si>
    <t>공유 서비스에 대한 익명 접근 제한 설정</t>
  </si>
  <si>
    <t>공유 서비스를 사용하지 않는 경우 서비스 중지, 사용할 경우 익명 인증 사용 안 함 설정 적용</t>
  </si>
  <si>
    <t>특정 IP주소에서만 FTP 서버에 접속하도록 접근 제어 설정</t>
  </si>
  <si>
    <t>불필요 시 서비스 중지/사용 안 함 설정, 사용하는 경우 영역 전송을 특정 서버로 제한하거나 “영역 전송 허용”에 체크 해제</t>
  </si>
  <si>
    <t>RDS(Remote Data Services)제거</t>
  </si>
  <si>
    <t>사용하지 않는 경우 IIS 서비스 중지/사용 안 함, 사용할 경우 레지스트리 키 값 제거 또는 관련 패치 적용</t>
  </si>
  <si>
    <t>최신 Windows OS Build 버전 적용</t>
  </si>
  <si>
    <t>설치에 따른 영향도 확인 후 최신 Build 설치(설치 후 시스템 재시작 필요)</t>
  </si>
  <si>
    <t>원격 데스크톱 서비스의 가동을 ‘중지’ 및 ‘사용 안 함’ 설정을 하거나, 부득이하게 사용할 경우 암호화 수준 설정 적용</t>
  </si>
  <si>
    <t>불필요한 SNMP 서비스 구동 점검</t>
  </si>
  <si>
    <t>불필요 시 서비스 중지/사용 안 함</t>
  </si>
  <si>
    <t>SNMP Community String 복잡성 설정</t>
  </si>
  <si>
    <t>불필요 시 서비스 중지/사용 안 함, 사용 시 기본 Community String 변경</t>
  </si>
  <si>
    <t>SNMP Access Control 설정</t>
  </si>
  <si>
    <t>불필요 시 서비스 중지/사용 안 함, 사용 시 SNMP 패킷 수령 호스트 지정</t>
  </si>
  <si>
    <t>DNS 서비스의 동적 업데이트 비활성화 설정</t>
  </si>
  <si>
    <t>사용하지 않는 경우 IIS 서비스 중지/사용 안 함, 사용 시 속성값 수정</t>
  </si>
  <si>
    <t>Telnet 서비스 비활성화</t>
  </si>
  <si>
    <t>불필요 시 서비스 중지/사용 안 함 설정, 사용 시 인증 방법으로 NTLM만 사용</t>
  </si>
  <si>
    <t>불필요한 ODBC/OLE-DB 데이터 소스와 드라이브 제거</t>
  </si>
  <si>
    <t>사용하지 않는 불필요한 ODBC 데이터 소스 제거</t>
  </si>
  <si>
    <t>Timeout 제어 설정 적용</t>
  </si>
  <si>
    <t>예약 작업에 대한 주기적인 확인</t>
  </si>
  <si>
    <t>주기적 보안 패치 및 벤더 권고사항 적용</t>
  </si>
  <si>
    <t>주기적인 보안 패치 확인 및 설치 적용</t>
  </si>
  <si>
    <t>백신 프로그램 환경설정 메뉴를 통해 DB 및 엔진의 최신 업데이트를 하도록 설정</t>
  </si>
  <si>
    <t>정책에 따른 시스템 로깅 설정</t>
  </si>
  <si>
    <t>이벤트에 대한 감사 설정</t>
  </si>
  <si>
    <t>NTP 및 시각 동기화 설정</t>
  </si>
  <si>
    <t>최대 로그 크기 “10,204KB”, “90일 이후 이벤트 덮어씀” 설정</t>
  </si>
  <si>
    <t>이벤트 로그 파일 접근 통제 설정</t>
  </si>
  <si>
    <t>로그 디렉터리의 접근 권한에 Everyone 제거</t>
  </si>
  <si>
    <t>원격으로 액세스할 수 있는 레지스트리 경로</t>
  </si>
  <si>
    <t>불필요 시 서비스 중지 및 사용 안 함으로 설정</t>
  </si>
  <si>
    <t>SAM 파일 권한 확인 후 Administrator, System 그룹 외 다른 그룹에 설정된 권한 제거</t>
  </si>
  <si>
    <t>화면 보호기 설정</t>
  </si>
  <si>
    <t>화면 보호기 사용, 대기 시간 10분 이하, 해제를 위한 암호 사용</t>
  </si>
  <si>
    <t>로그온하지 않고 시스템 종료 허용</t>
  </si>
  <si>
    <t>“시스템 종료: 로그온하지 않고 시스템 종료” 정책을 “사용 안 함” 설정</t>
  </si>
  <si>
    <t>“원격 시스템에서 강제로 시스템 종료” 정책에 “Administrators” 외 다른 계정 및 그룹 제거</t>
  </si>
  <si>
    <t>보안 감사를 로그 할 수 없는 경우 즉시 시스템 종료</t>
  </si>
  <si>
    <t>“보안 감사를 로그 할 수 없는 경우 즉시 시스템 종료” 정책을 “사용 안 함”으로 설정</t>
  </si>
  <si>
    <t>SAM 계정과 공유의 익명 열거 허용 안 함</t>
  </si>
  <si>
    <t>레지스트리 값 또는, 로컬 보안 정책 설정</t>
  </si>
  <si>
    <t>해당 레지스트리 값이 존재하는 경우 0으로 설정</t>
  </si>
  <si>
    <t>“이동식 NTFS 미디어 꺼내기 허용” 정책을 “Administrators”로 설정</t>
  </si>
  <si>
    <t>레지스트리 값을 추가 또는 수정</t>
  </si>
  <si>
    <t>“사용자가 프린터 드라이버를 설치할 수 없게 함” 정책을 “사용”으로 설정</t>
  </si>
  <si>
    <t>SMB 세션 중단 관리 설정</t>
  </si>
  <si>
    <t>Ÿ “로그인 시간이 만료되면 클라이언트 연결 끊기” 정책 “사용” 설정 Ÿ “세션 연결을 중단하기 전에 필요한 유휴 시간” 정책 “15분” 이하로 설정</t>
  </si>
  <si>
    <t>로그온 시 경고 메시지 설정</t>
  </si>
  <si>
    <t>로그인 메시지 제목 및 메시지 내용에 경고 문구 삽입</t>
  </si>
  <si>
    <t>사용자별 홈 디렉터리 권한 설정</t>
  </si>
  <si>
    <t>Everyone 권한 제거</t>
  </si>
  <si>
    <t>- Windows 2000 : LAN Manager 인증 7수준 - &gt; NTLMv2 응답만 보내기 - Windows 2003, 2008, 2012, 2016, 2019 : 네트워크 보안: LAN Manager 인증 수준 - &gt; NTMLv2 응답만 보내기</t>
  </si>
  <si>
    <t>보안 채널 데이터를 디지털 암호화·서명 관련 3개 정책 → 사용</t>
  </si>
  <si>
    <t>FAT 파일 시스템을 사용 시 가능한 NTFS 파일 시스템 변환 설정</t>
  </si>
  <si>
    <t>시작 프로그램 목록의 정기적인 검사 실시 및 불필요한 서비스 비활성화 설정</t>
  </si>
  <si>
    <t>도메인 컨트롤러-사용자의 시간 동기화</t>
  </si>
  <si>
    <t>Kerberos 사용 시 컴퓨터 시계 동기화 최대 허용 오차값 5분 이하로 설정</t>
  </si>
  <si>
    <t>윈도우 방화벽 설정</t>
  </si>
  <si>
    <t>Windows 방화벽 “사용”으로 설정</t>
  </si>
  <si>
    <t>windows</t>
    <phoneticPr fontId="27" type="noConversion"/>
  </si>
  <si>
    <t>이재원</t>
    <phoneticPr fontId="27" type="noConversion"/>
  </si>
  <si>
    <t>본사 DHCP 서버</t>
    <phoneticPr fontId="27" type="noConversion"/>
  </si>
  <si>
    <t>지사</t>
    <phoneticPr fontId="27" type="noConversion"/>
  </si>
  <si>
    <t>지사</t>
    <phoneticPr fontId="27" type="noConversion"/>
  </si>
  <si>
    <t>지사 DHCP서버</t>
    <phoneticPr fontId="27" type="noConversion"/>
  </si>
  <si>
    <t>내부망</t>
    <phoneticPr fontId="27" type="noConversion"/>
  </si>
  <si>
    <t>기본적으로 Guest 계정이 비활성화 되어있음</t>
    <phoneticPr fontId="27" type="noConversion"/>
  </si>
  <si>
    <t>Administrator 계정 이름을 dh!HQ@cp#DDD로 변경</t>
    <phoneticPr fontId="27" type="noConversion"/>
  </si>
  <si>
    <t>불필요한 계정 없음</t>
    <phoneticPr fontId="27" type="noConversion"/>
  </si>
  <si>
    <t>계정 잠금 임계값 5로 설정</t>
    <phoneticPr fontId="27" type="noConversion"/>
  </si>
  <si>
    <t>"해독 가능한 암호화를 사용하여 암호 저장" 정책이 "사용 안함"으로 설정되어 양호</t>
    <phoneticPr fontId="27" type="noConversion"/>
  </si>
  <si>
    <t>“계정 잠금 기간”, “잠금 기간 원래대로 설정 기간”  60분으로 양호</t>
    <phoneticPr fontId="27" type="noConversion"/>
  </si>
  <si>
    <t>로컬 로그온 허용 정책에 Administrators 만 존재하여 양호</t>
    <phoneticPr fontId="27" type="noConversion"/>
  </si>
  <si>
    <t>"익명 SID/이름 변환 허용" 정책이 "사용 안함"으로 설정되어 양호</t>
    <phoneticPr fontId="27" type="noConversion"/>
  </si>
  <si>
    <t>"콘솔 로그온 시 로컬 계정에서 빈 암호 사용 제한"정책이 "사용"으로 양호</t>
    <phoneticPr fontId="27" type="noConversion"/>
  </si>
  <si>
    <t>원격 접속 가능한 계정 생성되어있고, 원격 접속 사용자 그룹에 불필요한 계정이 등록되지않아 양호</t>
    <phoneticPr fontId="27" type="noConversion"/>
  </si>
  <si>
    <t>사용자 개인 키를 사용할 때마다 암호 입력을 받으므로 양호</t>
    <phoneticPr fontId="27" type="noConversion"/>
  </si>
  <si>
    <t>일반 공유 디렉토리 없으므로 양호</t>
    <phoneticPr fontId="27" type="noConversion"/>
  </si>
  <si>
    <t>해당사항 없으므로 N/A</t>
    <phoneticPr fontId="27" type="noConversion"/>
  </si>
  <si>
    <t>DNS_HQ_Win</t>
    <phoneticPr fontId="27" type="noConversion"/>
  </si>
  <si>
    <t>DNS_BR_Win</t>
    <phoneticPr fontId="27" type="noConversion"/>
  </si>
  <si>
    <t>DHCP_BR_Win</t>
    <phoneticPr fontId="27" type="noConversion"/>
  </si>
  <si>
    <t>DHCP_HQ_Win</t>
    <phoneticPr fontId="27" type="noConversion"/>
  </si>
  <si>
    <t>본사 DNS 서버</t>
    <phoneticPr fontId="27" type="noConversion"/>
  </si>
  <si>
    <t>10.10.40.17</t>
    <phoneticPr fontId="27" type="noConversion"/>
  </si>
  <si>
    <t>10.10.40.2</t>
    <phoneticPr fontId="27" type="noConversion"/>
  </si>
  <si>
    <t>10.200.40.17</t>
    <phoneticPr fontId="27" type="noConversion"/>
  </si>
  <si>
    <t>10.200.40.2</t>
    <phoneticPr fontId="27" type="noConversion"/>
  </si>
  <si>
    <t>DMZ</t>
    <phoneticPr fontId="27" type="noConversion"/>
  </si>
  <si>
    <t>"마지막 사용자 이름 표시 안 함"이 "사용 " 으로 설정되어 양호</t>
    <phoneticPr fontId="27" type="noConversion"/>
  </si>
  <si>
    <t>“최소 암호 사용 기간” 5일 설정 으로 양호</t>
    <phoneticPr fontId="2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</si>
</sst>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0.0%"/>
    <numFmt numFmtId="177" formatCode="#,##0_ "/>
    <numFmt numFmtId="178" formatCode="000\-000"/>
  </numFmts>
  <fonts count="32">
    <font>
      <sz val="11"/>
      <color rgb="FF000000"/>
      <name val="돋움"/>
    </font>
    <font>
      <u/>
      <sz val="11"/>
      <color rgb="FF0000FF"/>
      <name val="돋움"/>
      <family val="3"/>
      <charset val="129"/>
    </font>
    <font>
      <sz val="11"/>
      <color rgb="FF000000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9"/>
      <color rgb="FFFFFFFF"/>
      <name val="맑은 고딕"/>
      <family val="3"/>
      <charset val="129"/>
    </font>
    <font>
      <b/>
      <sz val="8"/>
      <color rgb="FFFFFFFF"/>
      <name val="맑은 고딕"/>
      <family val="3"/>
      <charset val="129"/>
    </font>
    <font>
      <b/>
      <sz val="9"/>
      <color rgb="FFF2F2F2"/>
      <name val="맑은 고딕"/>
      <family val="3"/>
      <charset val="129"/>
    </font>
    <font>
      <b/>
      <sz val="8"/>
      <color rgb="FFF2F2F2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sz val="8"/>
      <color rgb="FFFFFFFF"/>
      <name val="맑은 고딕"/>
      <family val="3"/>
      <charset val="129"/>
    </font>
    <font>
      <sz val="8"/>
      <color rgb="FFFF0000"/>
      <name val="맑은 고딕"/>
      <family val="3"/>
      <charset val="129"/>
    </font>
    <font>
      <b/>
      <sz val="16"/>
      <color rgb="FFFF0000"/>
      <name val="맑은 고딕"/>
      <family val="3"/>
      <charset val="129"/>
    </font>
    <font>
      <sz val="11"/>
      <color rgb="FFFFFFFF"/>
      <name val="돋움"/>
      <family val="3"/>
      <charset val="129"/>
    </font>
    <font>
      <b/>
      <u/>
      <sz val="8"/>
      <color rgb="FF000000"/>
      <name val="맑은 고딕"/>
      <family val="3"/>
      <charset val="129"/>
    </font>
    <font>
      <b/>
      <u/>
      <sz val="8"/>
      <color rgb="FF0000FF"/>
      <name val="맑은 고딕"/>
      <family val="3"/>
      <charset val="129"/>
    </font>
    <font>
      <u/>
      <sz val="11"/>
      <color rgb="FF0000FF"/>
      <name val="돋움"/>
      <family val="3"/>
      <charset val="129"/>
    </font>
    <font>
      <u/>
      <sz val="8"/>
      <color rgb="FF0000FF"/>
      <name val="돋움"/>
      <family val="3"/>
      <charset val="129"/>
    </font>
    <font>
      <u/>
      <sz val="8"/>
      <color rgb="FF0000FF"/>
      <name val="맑은 고딕"/>
      <family val="3"/>
      <charset val="129"/>
    </font>
    <font>
      <sz val="11"/>
      <color rgb="FF000000"/>
      <name val="돋움"/>
      <family val="3"/>
      <charset val="129"/>
    </font>
    <font>
      <sz val="8"/>
      <name val="돋움"/>
      <family val="3"/>
      <charset val="129"/>
    </font>
    <font>
      <sz val="8"/>
      <name val="맑은 고딕"/>
      <family val="3"/>
      <charset val="129"/>
    </font>
    <font>
      <b/>
      <u/>
      <sz val="8"/>
      <color theme="0"/>
      <name val="맑은 고딕"/>
      <family val="3"/>
      <charset val="129"/>
    </font>
    <font>
      <u/>
      <sz val="11"/>
      <color theme="0"/>
      <name val="돋움"/>
      <family val="3"/>
      <charset val="129"/>
    </font>
    <font>
      <sz val="11"/>
      <name val="Carlito"/>
    </font>
  </fonts>
  <fills count="1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8CB3E4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CD5B5"/>
        <bgColor indexed="64"/>
      </patternFill>
    </fill>
    <fill>
      <patternFill patternType="solid">
        <fgColor rgb="FF073190"/>
        <bgColor indexed="64"/>
      </patternFill>
    </fill>
    <fill>
      <patternFill patternType="solid">
        <fgColor rgb="FF3C6FE0"/>
        <bgColor indexed="64"/>
      </patternFill>
    </fill>
    <fill>
      <patternFill patternType="solid">
        <fgColor rgb="FF92AEEE"/>
        <bgColor indexed="64"/>
      </patternFill>
    </fill>
    <fill>
      <patternFill patternType="solid">
        <fgColor rgb="FFC9D7F7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rgb="FFFF0000"/>
        <bgColor indexed="64"/>
      </patternFill>
    </fill>
  </fills>
  <borders count="9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rgb="FFFFFFFF"/>
      </left>
      <right style="medium">
        <color rgb="FFFFFFFF"/>
      </right>
      <top style="thin">
        <color rgb="FFFFFFFF"/>
      </top>
      <bottom style="medium">
        <color auto="1"/>
      </bottom>
      <diagonal/>
    </border>
    <border>
      <left style="medium">
        <color rgb="FFFFFFFF"/>
      </left>
      <right style="thin">
        <color auto="1"/>
      </right>
      <top style="thin">
        <color rgb="FFFFFFFF"/>
      </top>
      <bottom style="medium">
        <color auto="1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auto="1"/>
      </bottom>
      <diagonal/>
    </border>
    <border>
      <left/>
      <right style="medium">
        <color rgb="FFFFFFFF"/>
      </right>
      <top/>
      <bottom style="medium">
        <color auto="1"/>
      </bottom>
      <diagonal/>
    </border>
    <border>
      <left style="medium">
        <color rgb="FFFFFFFF"/>
      </left>
      <right/>
      <top/>
      <bottom style="medium">
        <color auto="1"/>
      </bottom>
      <diagonal/>
    </border>
    <border>
      <left style="medium">
        <color rgb="FFFFFFFF"/>
      </left>
      <right style="medium">
        <color auto="1"/>
      </right>
      <top style="medium">
        <color rgb="FFFFFFFF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rgb="FFFFFFFF"/>
      </left>
      <right/>
      <top style="medium">
        <color rgb="FFFFFFFF"/>
      </top>
      <bottom style="thin">
        <color auto="1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n">
        <color auto="1"/>
      </bottom>
      <diagonal/>
    </border>
    <border>
      <left/>
      <right/>
      <top style="medium">
        <color rgb="FFFFFFFF"/>
      </top>
      <bottom style="thin">
        <color auto="1"/>
      </bottom>
      <diagonal/>
    </border>
    <border>
      <left style="medium">
        <color rgb="FFFFFFFF"/>
      </left>
      <right style="medium">
        <color auto="1"/>
      </right>
      <top style="medium">
        <color rgb="FFFFFFFF"/>
      </top>
      <bottom style="thin">
        <color auto="1"/>
      </bottom>
      <diagonal/>
    </border>
    <border>
      <left style="medium">
        <color rgb="FFFFFFFF"/>
      </left>
      <right/>
      <top/>
      <bottom style="thin">
        <color auto="1"/>
      </bottom>
      <diagonal/>
    </border>
    <border>
      <left style="medium">
        <color rgb="FFFFFFFF"/>
      </left>
      <right style="medium">
        <color rgb="FFFFFFFF"/>
      </right>
      <top/>
      <bottom style="thin">
        <color auto="1"/>
      </bottom>
      <diagonal/>
    </border>
    <border>
      <left style="medium">
        <color rgb="FFFFFFFF"/>
      </left>
      <right style="medium">
        <color rgb="FFFFFFFF"/>
      </right>
      <top style="medium">
        <color auto="1"/>
      </top>
      <bottom style="medium">
        <color rgb="FFFFFFFF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rgb="FFFFFFFF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rgb="FFFFFFFF"/>
      </top>
      <bottom style="medium">
        <color rgb="FFFFFFFF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double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double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rgb="FFFFFFFF"/>
      </left>
      <right/>
      <top style="medium">
        <color auto="1"/>
      </top>
      <bottom style="thin">
        <color auto="1"/>
      </bottom>
      <diagonal/>
    </border>
    <border>
      <left style="medium">
        <color rgb="FFFFFFFF"/>
      </left>
      <right style="medium">
        <color rgb="FFFFFFFF"/>
      </right>
      <top style="medium">
        <color auto="1"/>
      </top>
      <bottom style="thin">
        <color auto="1"/>
      </bottom>
      <diagonal/>
    </border>
    <border>
      <left style="medium">
        <color rgb="FFFFFFFF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double">
        <color auto="1"/>
      </top>
      <bottom style="medium">
        <color auto="1"/>
      </bottom>
      <diagonal/>
    </border>
    <border>
      <left style="medium">
        <color auto="1"/>
      </left>
      <right style="medium">
        <color rgb="FFFFFFFF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rgb="FFFFFFFF"/>
      </right>
      <top style="thin">
        <color auto="1"/>
      </top>
      <bottom style="medium">
        <color auto="1"/>
      </bottom>
      <diagonal/>
    </border>
    <border>
      <left style="medium">
        <color rgb="FFFFFFFF"/>
      </left>
      <right style="medium">
        <color rgb="FFFFFFFF"/>
      </right>
      <top style="thin">
        <color auto="1"/>
      </top>
      <bottom style="medium">
        <color auto="1"/>
      </bottom>
      <diagonal/>
    </border>
    <border>
      <left style="medium">
        <color rgb="FFFFFFFF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rgb="FFFFFFFF"/>
      </right>
      <top style="medium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rgb="FFFFFFFF"/>
      </bottom>
      <diagonal/>
    </border>
    <border>
      <left/>
      <right/>
      <top style="medium">
        <color auto="1"/>
      </top>
      <bottom style="medium">
        <color rgb="FFFFFFFF"/>
      </bottom>
      <diagonal/>
    </border>
    <border>
      <left/>
      <right style="medium">
        <color rgb="FFFFFFFF"/>
      </right>
      <top style="medium">
        <color auto="1"/>
      </top>
      <bottom style="medium">
        <color rgb="FFFFFFFF"/>
      </bottom>
      <diagonal/>
    </border>
    <border>
      <left style="medium">
        <color auto="1"/>
      </left>
      <right style="medium">
        <color rgb="FFFFFFFF"/>
      </right>
      <top style="medium">
        <color rgb="FFFFFFFF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rgb="FFFFFFFF"/>
      </left>
      <right style="medium">
        <color auto="1"/>
      </right>
      <top style="medium">
        <color auto="1"/>
      </top>
      <bottom style="medium">
        <color rgb="FFFFFFFF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rgb="FFFFFFFF"/>
      </left>
      <right/>
      <top style="medium">
        <color auto="1"/>
      </top>
      <bottom style="medium">
        <color rgb="FFFFFFFF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rgb="FFFFFFFF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rgb="FFFFFFFF"/>
      </right>
      <top style="thin">
        <color auto="1"/>
      </top>
      <bottom style="thin">
        <color auto="1"/>
      </bottom>
      <diagonal/>
    </border>
    <border>
      <left style="medium">
        <color rgb="FFFFFFFF"/>
      </left>
      <right style="thin">
        <color auto="1"/>
      </right>
      <top style="medium">
        <color auto="1"/>
      </top>
      <bottom style="medium">
        <color rgb="FFFFFFFF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rgb="FFFFFFFF"/>
      </bottom>
      <diagonal/>
    </border>
    <border>
      <left style="thin">
        <color auto="1"/>
      </left>
      <right/>
      <top style="medium">
        <color auto="1"/>
      </top>
      <bottom style="medium">
        <color rgb="FFFFFFFF"/>
      </bottom>
      <diagonal/>
    </border>
    <border>
      <left style="medium">
        <color rgb="FFFFFFFF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rgb="FFFFFFFF"/>
      </left>
      <right style="medium">
        <color rgb="FFFFFFFF"/>
      </right>
      <top style="medium">
        <color auto="1"/>
      </top>
      <bottom/>
      <diagonal/>
    </border>
    <border>
      <left/>
      <right style="medium">
        <color rgb="FFFFFFFF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rgb="FFFFFFFF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rgb="FFFFFFFF"/>
      </top>
      <bottom style="medium">
        <color rgb="FFFFFFFF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rgb="FFFFFFFF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double">
        <color auto="1"/>
      </top>
      <bottom style="medium">
        <color auto="1"/>
      </bottom>
      <diagonal/>
    </border>
    <border>
      <left/>
      <right style="thin">
        <color auto="1"/>
      </right>
      <top style="double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rgb="FFFFFFFF"/>
      </right>
      <top style="medium">
        <color auto="1"/>
      </top>
      <bottom style="thin">
        <color auto="1"/>
      </bottom>
      <diagonal/>
    </border>
    <border>
      <left/>
      <right style="medium">
        <color rgb="FFFFFFFF"/>
      </right>
      <top/>
      <bottom/>
      <diagonal/>
    </border>
  </borders>
  <cellStyleXfs count="6">
    <xf numFmtId="0" fontId="0" fillId="0" borderId="0">
      <alignment vertical="center"/>
    </xf>
    <xf numFmtId="9" fontId="26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6" fillId="0" borderId="0">
      <alignment vertical="center"/>
    </xf>
    <xf numFmtId="0" fontId="31" fillId="0" borderId="0"/>
  </cellStyleXfs>
  <cellXfs count="332">
    <xf numFmtId="0" fontId="0" fillId="0" borderId="0" xfId="0">
      <alignment vertical="center"/>
    </xf>
    <xf numFmtId="9" fontId="3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>
      <alignment vertical="center"/>
    </xf>
    <xf numFmtId="0" fontId="4" fillId="0" borderId="0" xfId="0" applyFont="1" applyAlignment="1">
      <alignment vertical="top" wrapText="1"/>
    </xf>
    <xf numFmtId="0" fontId="6" fillId="2" borderId="0" xfId="0" applyFont="1" applyFill="1" applyAlignment="1">
      <alignment vertical="top" wrapText="1"/>
    </xf>
    <xf numFmtId="9" fontId="4" fillId="0" borderId="0" xfId="0" applyNumberFormat="1" applyFont="1" applyAlignment="1">
      <alignment horizontal="center" vertical="center" wrapText="1"/>
    </xf>
    <xf numFmtId="0" fontId="7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0" xfId="0" applyFont="1">
      <alignment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9" fillId="0" borderId="0" xfId="0" applyFont="1">
      <alignment vertical="center"/>
    </xf>
    <xf numFmtId="0" fontId="11" fillId="0" borderId="0" xfId="0" applyFont="1">
      <alignment vertical="center"/>
    </xf>
    <xf numFmtId="0" fontId="10" fillId="0" borderId="0" xfId="0" applyFont="1" applyAlignment="1">
      <alignment horizontal="left" vertical="center"/>
    </xf>
    <xf numFmtId="0" fontId="10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left" vertical="center" wrapText="1"/>
    </xf>
    <xf numFmtId="0" fontId="11" fillId="0" borderId="0" xfId="0" applyFont="1" applyAlignment="1">
      <alignment horizontal="left" vertical="center"/>
    </xf>
    <xf numFmtId="0" fontId="10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176" fontId="8" fillId="0" borderId="1" xfId="0" applyNumberFormat="1" applyFont="1" applyBorder="1" applyAlignment="1">
      <alignment horizontal="center" vertical="center" wrapText="1"/>
    </xf>
    <xf numFmtId="0" fontId="11" fillId="2" borderId="1" xfId="0" applyFont="1" applyFill="1" applyBorder="1" applyAlignment="1">
      <alignment vertical="center" wrapText="1"/>
    </xf>
    <xf numFmtId="0" fontId="12" fillId="5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12" fillId="5" borderId="2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8" fillId="6" borderId="0" xfId="0" applyFont="1" applyFill="1">
      <alignment vertical="center"/>
    </xf>
    <xf numFmtId="0" fontId="11" fillId="0" borderId="2" xfId="0" applyFont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0" fontId="10" fillId="7" borderId="4" xfId="0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10" fillId="4" borderId="1" xfId="0" applyFont="1" applyFill="1" applyBorder="1" applyAlignment="1" applyProtection="1">
      <alignment horizontal="center" vertical="center" wrapText="1"/>
      <protection locked="0"/>
    </xf>
    <xf numFmtId="0" fontId="10" fillId="4" borderId="5" xfId="0" applyFont="1" applyFill="1" applyBorder="1" applyAlignment="1" applyProtection="1">
      <alignment horizontal="center" vertical="center" wrapText="1"/>
      <protection locked="0"/>
    </xf>
    <xf numFmtId="0" fontId="4" fillId="0" borderId="6" xfId="0" applyFont="1" applyBorder="1">
      <alignment vertical="center"/>
    </xf>
    <xf numFmtId="0" fontId="11" fillId="0" borderId="0" xfId="0" applyFont="1" applyAlignment="1">
      <alignment horizontal="center" vertical="center" wrapText="1"/>
    </xf>
    <xf numFmtId="0" fontId="7" fillId="0" borderId="6" xfId="0" applyFont="1" applyBorder="1">
      <alignment vertical="center"/>
    </xf>
    <xf numFmtId="0" fontId="10" fillId="0" borderId="0" xfId="0" applyFont="1" applyAlignment="1">
      <alignment horizontal="left" vertical="center" indent="2"/>
    </xf>
    <xf numFmtId="176" fontId="11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/>
    </xf>
    <xf numFmtId="0" fontId="11" fillId="0" borderId="1" xfId="1" applyNumberFormat="1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/>
    </xf>
    <xf numFmtId="176" fontId="11" fillId="0" borderId="1" xfId="1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176" fontId="8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76" fontId="11" fillId="0" borderId="2" xfId="0" applyNumberFormat="1" applyFont="1" applyBorder="1" applyAlignment="1">
      <alignment horizontal="center" vertical="center"/>
    </xf>
    <xf numFmtId="176" fontId="8" fillId="0" borderId="7" xfId="0" applyNumberFormat="1" applyFont="1" applyBorder="1" applyAlignment="1">
      <alignment horizontal="center" vertical="center"/>
    </xf>
    <xf numFmtId="176" fontId="8" fillId="0" borderId="8" xfId="0" applyNumberFormat="1" applyFont="1" applyBorder="1" applyAlignment="1">
      <alignment horizontal="center" vertical="center"/>
    </xf>
    <xf numFmtId="0" fontId="10" fillId="4" borderId="0" xfId="0" applyFont="1" applyFill="1" applyAlignment="1" applyProtection="1">
      <alignment horizontal="center" vertical="center" wrapText="1"/>
      <protection locked="0"/>
    </xf>
    <xf numFmtId="0" fontId="10" fillId="0" borderId="9" xfId="0" applyFont="1" applyBorder="1" applyAlignment="1">
      <alignment horizontal="center" vertical="center" wrapText="1"/>
    </xf>
    <xf numFmtId="0" fontId="2" fillId="2" borderId="0" xfId="3" applyFill="1" applyAlignment="1">
      <alignment horizontal="center" vertical="center"/>
    </xf>
    <xf numFmtId="0" fontId="2" fillId="2" borderId="0" xfId="3" applyFill="1">
      <alignment vertical="center"/>
    </xf>
    <xf numFmtId="0" fontId="2" fillId="0" borderId="0" xfId="3">
      <alignment vertical="center"/>
    </xf>
    <xf numFmtId="0" fontId="2" fillId="0" borderId="0" xfId="3" applyAlignment="1">
      <alignment horizontal="center" vertical="center"/>
    </xf>
    <xf numFmtId="0" fontId="13" fillId="9" borderId="10" xfId="0" applyFont="1" applyFill="1" applyBorder="1" applyAlignment="1">
      <alignment horizontal="center" vertical="center"/>
    </xf>
    <xf numFmtId="0" fontId="13" fillId="9" borderId="11" xfId="0" applyFont="1" applyFill="1" applyBorder="1" applyAlignment="1">
      <alignment horizontal="center" vertical="center"/>
    </xf>
    <xf numFmtId="0" fontId="13" fillId="9" borderId="12" xfId="0" applyFont="1" applyFill="1" applyBorder="1" applyAlignment="1">
      <alignment horizontal="center" vertical="center" wrapText="1"/>
    </xf>
    <xf numFmtId="0" fontId="13" fillId="9" borderId="13" xfId="0" applyFont="1" applyFill="1" applyBorder="1" applyAlignment="1">
      <alignment horizontal="center" vertical="center" wrapText="1"/>
    </xf>
    <xf numFmtId="0" fontId="13" fillId="9" borderId="14" xfId="0" applyFont="1" applyFill="1" applyBorder="1" applyAlignment="1">
      <alignment horizontal="center" vertical="center" wrapText="1"/>
    </xf>
    <xf numFmtId="0" fontId="13" fillId="9" borderId="15" xfId="0" applyFont="1" applyFill="1" applyBorder="1" applyAlignment="1">
      <alignment horizontal="center" vertical="center" wrapText="1"/>
    </xf>
    <xf numFmtId="176" fontId="8" fillId="0" borderId="16" xfId="0" applyNumberFormat="1" applyFont="1" applyBorder="1" applyAlignment="1">
      <alignment horizontal="center" vertical="center" wrapText="1"/>
    </xf>
    <xf numFmtId="177" fontId="7" fillId="7" borderId="17" xfId="0" applyNumberFormat="1" applyFont="1" applyFill="1" applyBorder="1" applyAlignment="1">
      <alignment horizontal="center" vertical="center" wrapText="1"/>
    </xf>
    <xf numFmtId="176" fontId="7" fillId="7" borderId="18" xfId="0" applyNumberFormat="1" applyFont="1" applyFill="1" applyBorder="1" applyAlignment="1">
      <alignment horizontal="center" vertical="center" wrapText="1"/>
    </xf>
    <xf numFmtId="176" fontId="11" fillId="0" borderId="16" xfId="0" applyNumberFormat="1" applyFont="1" applyBorder="1" applyAlignment="1">
      <alignment horizontal="center" vertical="center" wrapText="1"/>
    </xf>
    <xf numFmtId="0" fontId="10" fillId="7" borderId="19" xfId="0" applyFont="1" applyFill="1" applyBorder="1" applyAlignment="1">
      <alignment horizontal="center" vertical="center" wrapText="1"/>
    </xf>
    <xf numFmtId="0" fontId="10" fillId="7" borderId="17" xfId="0" applyFont="1" applyFill="1" applyBorder="1" applyAlignment="1">
      <alignment horizontal="center" vertical="center" wrapText="1"/>
    </xf>
    <xf numFmtId="176" fontId="10" fillId="7" borderId="18" xfId="0" applyNumberFormat="1" applyFont="1" applyFill="1" applyBorder="1" applyAlignment="1">
      <alignment horizontal="center" vertical="center" wrapText="1"/>
    </xf>
    <xf numFmtId="0" fontId="14" fillId="10" borderId="20" xfId="0" applyFont="1" applyFill="1" applyBorder="1" applyAlignment="1">
      <alignment horizontal="center" vertical="center" wrapText="1"/>
    </xf>
    <xf numFmtId="0" fontId="14" fillId="10" borderId="21" xfId="0" applyFont="1" applyFill="1" applyBorder="1" applyAlignment="1">
      <alignment horizontal="center" vertical="center" wrapText="1"/>
    </xf>
    <xf numFmtId="0" fontId="14" fillId="10" borderId="22" xfId="0" applyFont="1" applyFill="1" applyBorder="1" applyAlignment="1">
      <alignment horizontal="center" vertical="center" wrapText="1"/>
    </xf>
    <xf numFmtId="0" fontId="7" fillId="11" borderId="21" xfId="0" applyFont="1" applyFill="1" applyBorder="1" applyAlignment="1">
      <alignment horizontal="center" vertical="center" wrapText="1"/>
    </xf>
    <xf numFmtId="0" fontId="7" fillId="11" borderId="22" xfId="0" applyFont="1" applyFill="1" applyBorder="1" applyAlignment="1">
      <alignment horizontal="center" vertical="center" wrapText="1"/>
    </xf>
    <xf numFmtId="0" fontId="7" fillId="11" borderId="20" xfId="0" applyFont="1" applyFill="1" applyBorder="1" applyAlignment="1">
      <alignment horizontal="center" vertical="center" wrapText="1"/>
    </xf>
    <xf numFmtId="9" fontId="7" fillId="12" borderId="21" xfId="0" applyNumberFormat="1" applyFont="1" applyFill="1" applyBorder="1" applyAlignment="1">
      <alignment horizontal="center" vertical="center" wrapText="1"/>
    </xf>
    <xf numFmtId="9" fontId="7" fillId="12" borderId="6" xfId="0" applyNumberFormat="1" applyFont="1" applyFill="1" applyBorder="1" applyAlignment="1">
      <alignment horizontal="center" vertical="center" wrapText="1"/>
    </xf>
    <xf numFmtId="9" fontId="7" fillId="12" borderId="20" xfId="0" applyNumberFormat="1" applyFont="1" applyFill="1" applyBorder="1" applyAlignment="1">
      <alignment horizontal="center" vertical="center" wrapText="1"/>
    </xf>
    <xf numFmtId="9" fontId="7" fillId="12" borderId="23" xfId="0" applyNumberFormat="1" applyFont="1" applyFill="1" applyBorder="1" applyAlignment="1">
      <alignment horizontal="center" vertical="center" wrapText="1"/>
    </xf>
    <xf numFmtId="0" fontId="7" fillId="7" borderId="17" xfId="0" applyFont="1" applyFill="1" applyBorder="1" applyAlignment="1">
      <alignment horizontal="center" vertical="center" wrapText="1"/>
    </xf>
    <xf numFmtId="176" fontId="7" fillId="7" borderId="17" xfId="0" applyNumberFormat="1" applyFont="1" applyFill="1" applyBorder="1" applyAlignment="1">
      <alignment horizontal="center" vertical="center" wrapText="1"/>
    </xf>
    <xf numFmtId="0" fontId="15" fillId="9" borderId="24" xfId="0" applyFont="1" applyFill="1" applyBorder="1" applyAlignment="1">
      <alignment horizontal="center" vertical="center" wrapText="1"/>
    </xf>
    <xf numFmtId="0" fontId="15" fillId="9" borderId="25" xfId="0" applyFont="1" applyFill="1" applyBorder="1" applyAlignment="1">
      <alignment horizontal="center" vertical="center" wrapText="1"/>
    </xf>
    <xf numFmtId="0" fontId="15" fillId="9" borderId="6" xfId="0" applyFont="1" applyFill="1" applyBorder="1" applyAlignment="1">
      <alignment horizontal="center" vertical="center" wrapText="1"/>
    </xf>
    <xf numFmtId="0" fontId="15" fillId="9" borderId="20" xfId="0" applyFont="1" applyFill="1" applyBorder="1" applyAlignment="1">
      <alignment horizontal="center" vertical="center" wrapText="1"/>
    </xf>
    <xf numFmtId="0" fontId="15" fillId="9" borderId="21" xfId="0" applyFont="1" applyFill="1" applyBorder="1" applyAlignment="1">
      <alignment horizontal="center" vertical="center" wrapText="1"/>
    </xf>
    <xf numFmtId="0" fontId="15" fillId="9" borderId="23" xfId="0" applyFont="1" applyFill="1" applyBorder="1" applyAlignment="1">
      <alignment horizontal="center" vertical="center" wrapText="1"/>
    </xf>
    <xf numFmtId="176" fontId="11" fillId="0" borderId="16" xfId="1" applyNumberFormat="1" applyFont="1" applyBorder="1" applyAlignment="1">
      <alignment horizontal="center" vertical="center" wrapText="1"/>
    </xf>
    <xf numFmtId="176" fontId="10" fillId="7" borderId="17" xfId="0" applyNumberFormat="1" applyFont="1" applyFill="1" applyBorder="1" applyAlignment="1">
      <alignment horizontal="center" vertical="center" wrapText="1"/>
    </xf>
    <xf numFmtId="0" fontId="15" fillId="9" borderId="25" xfId="0" applyFont="1" applyFill="1" applyBorder="1" applyAlignment="1">
      <alignment horizontal="center" vertical="center"/>
    </xf>
    <xf numFmtId="0" fontId="15" fillId="9" borderId="24" xfId="0" applyFont="1" applyFill="1" applyBorder="1" applyAlignment="1">
      <alignment horizontal="center" vertical="center"/>
    </xf>
    <xf numFmtId="0" fontId="15" fillId="9" borderId="6" xfId="0" applyFont="1" applyFill="1" applyBorder="1" applyAlignment="1">
      <alignment horizontal="center" vertical="center"/>
    </xf>
    <xf numFmtId="0" fontId="15" fillId="9" borderId="21" xfId="0" applyFont="1" applyFill="1" applyBorder="1" applyAlignment="1">
      <alignment horizontal="center" vertical="center"/>
    </xf>
    <xf numFmtId="0" fontId="15" fillId="9" borderId="26" xfId="0" applyFont="1" applyFill="1" applyBorder="1" applyAlignment="1">
      <alignment horizontal="center" vertical="center"/>
    </xf>
    <xf numFmtId="0" fontId="11" fillId="0" borderId="27" xfId="0" applyFont="1" applyBorder="1" applyAlignment="1">
      <alignment horizontal="center" vertical="center" wrapText="1"/>
    </xf>
    <xf numFmtId="0" fontId="10" fillId="7" borderId="17" xfId="0" applyFont="1" applyFill="1" applyBorder="1" applyAlignment="1">
      <alignment vertical="center" wrapText="1"/>
    </xf>
    <xf numFmtId="0" fontId="10" fillId="7" borderId="17" xfId="0" applyFont="1" applyFill="1" applyBorder="1">
      <alignment vertical="center"/>
    </xf>
    <xf numFmtId="0" fontId="10" fillId="7" borderId="17" xfId="0" applyFont="1" applyFill="1" applyBorder="1" applyAlignment="1">
      <alignment horizontal="center" vertical="center"/>
    </xf>
    <xf numFmtId="0" fontId="10" fillId="7" borderId="18" xfId="0" applyFont="1" applyFill="1" applyBorder="1" applyAlignment="1">
      <alignment horizontal="center" vertical="center"/>
    </xf>
    <xf numFmtId="0" fontId="15" fillId="9" borderId="20" xfId="0" applyFont="1" applyFill="1" applyBorder="1" applyAlignment="1">
      <alignment horizontal="center" vertical="center"/>
    </xf>
    <xf numFmtId="0" fontId="15" fillId="9" borderId="28" xfId="0" applyFont="1" applyFill="1" applyBorder="1" applyAlignment="1">
      <alignment horizontal="center" vertical="center"/>
    </xf>
    <xf numFmtId="0" fontId="15" fillId="9" borderId="29" xfId="0" applyFont="1" applyFill="1" applyBorder="1" applyAlignment="1">
      <alignment horizontal="center" vertical="center"/>
    </xf>
    <xf numFmtId="0" fontId="15" fillId="9" borderId="30" xfId="0" applyFont="1" applyFill="1" applyBorder="1" applyAlignment="1">
      <alignment horizontal="center" vertical="center"/>
    </xf>
    <xf numFmtId="0" fontId="15" fillId="9" borderId="31" xfId="0" applyFont="1" applyFill="1" applyBorder="1" applyAlignment="1">
      <alignment horizontal="center" vertical="center"/>
    </xf>
    <xf numFmtId="0" fontId="13" fillId="10" borderId="24" xfId="0" applyFont="1" applyFill="1" applyBorder="1" applyAlignment="1">
      <alignment horizontal="center" vertical="center"/>
    </xf>
    <xf numFmtId="0" fontId="13" fillId="10" borderId="21" xfId="0" applyFont="1" applyFill="1" applyBorder="1" applyAlignment="1">
      <alignment horizontal="center" vertical="center"/>
    </xf>
    <xf numFmtId="0" fontId="13" fillId="10" borderId="6" xfId="0" applyFont="1" applyFill="1" applyBorder="1" applyAlignment="1">
      <alignment horizontal="center" vertical="center"/>
    </xf>
    <xf numFmtId="0" fontId="13" fillId="10" borderId="20" xfId="0" applyFont="1" applyFill="1" applyBorder="1" applyAlignment="1">
      <alignment horizontal="center" vertical="center"/>
    </xf>
    <xf numFmtId="0" fontId="10" fillId="11" borderId="21" xfId="0" applyFont="1" applyFill="1" applyBorder="1" applyAlignment="1">
      <alignment horizontal="center" vertical="center"/>
    </xf>
    <xf numFmtId="0" fontId="10" fillId="11" borderId="20" xfId="0" applyFont="1" applyFill="1" applyBorder="1" applyAlignment="1">
      <alignment horizontal="center" vertical="center"/>
    </xf>
    <xf numFmtId="0" fontId="10" fillId="11" borderId="23" xfId="0" applyFont="1" applyFill="1" applyBorder="1" applyAlignment="1">
      <alignment horizontal="center" vertical="center"/>
    </xf>
    <xf numFmtId="176" fontId="11" fillId="0" borderId="16" xfId="0" applyNumberFormat="1" applyFont="1" applyBorder="1" applyAlignment="1">
      <alignment horizontal="center" vertical="center"/>
    </xf>
    <xf numFmtId="0" fontId="10" fillId="7" borderId="32" xfId="0" applyFont="1" applyFill="1" applyBorder="1" applyAlignment="1">
      <alignment horizontal="center" vertical="center"/>
    </xf>
    <xf numFmtId="0" fontId="10" fillId="7" borderId="33" xfId="0" applyFont="1" applyFill="1" applyBorder="1" applyAlignment="1">
      <alignment horizontal="center" vertical="center"/>
    </xf>
    <xf numFmtId="176" fontId="10" fillId="7" borderId="32" xfId="1" applyNumberFormat="1" applyFont="1" applyFill="1" applyBorder="1" applyAlignment="1">
      <alignment horizontal="center" vertical="center"/>
    </xf>
    <xf numFmtId="176" fontId="10" fillId="7" borderId="33" xfId="1" applyNumberFormat="1" applyFont="1" applyFill="1" applyBorder="1" applyAlignment="1">
      <alignment horizontal="center" vertical="center"/>
    </xf>
    <xf numFmtId="176" fontId="10" fillId="7" borderId="34" xfId="1" applyNumberFormat="1" applyFont="1" applyFill="1" applyBorder="1" applyAlignment="1">
      <alignment horizontal="center" vertical="center"/>
    </xf>
    <xf numFmtId="0" fontId="10" fillId="11" borderId="6" xfId="0" applyFont="1" applyFill="1" applyBorder="1" applyAlignment="1">
      <alignment horizontal="center" vertical="center"/>
    </xf>
    <xf numFmtId="0" fontId="15" fillId="9" borderId="35" xfId="0" applyFont="1" applyFill="1" applyBorder="1" applyAlignment="1" applyProtection="1">
      <alignment horizontal="center" vertical="center" wrapText="1"/>
      <protection locked="0"/>
    </xf>
    <xf numFmtId="0" fontId="15" fillId="9" borderId="36" xfId="0" applyFont="1" applyFill="1" applyBorder="1" applyAlignment="1" applyProtection="1">
      <alignment horizontal="center" vertical="center" wrapText="1"/>
      <protection locked="0"/>
    </xf>
    <xf numFmtId="0" fontId="15" fillId="9" borderId="37" xfId="0" applyFont="1" applyFill="1" applyBorder="1" applyAlignment="1" applyProtection="1">
      <alignment horizontal="center" vertical="center" wrapText="1"/>
      <protection locked="0"/>
    </xf>
    <xf numFmtId="0" fontId="15" fillId="9" borderId="38" xfId="0" applyFont="1" applyFill="1" applyBorder="1" applyAlignment="1" applyProtection="1">
      <alignment horizontal="center" vertical="center" wrapText="1"/>
      <protection locked="0"/>
    </xf>
    <xf numFmtId="14" fontId="16" fillId="2" borderId="0" xfId="3" applyNumberFormat="1" applyFont="1" applyFill="1" applyAlignment="1">
      <alignment horizontal="center" vertical="center"/>
    </xf>
    <xf numFmtId="0" fontId="10" fillId="7" borderId="39" xfId="0" applyFont="1" applyFill="1" applyBorder="1" applyAlignment="1">
      <alignment horizontal="center" vertical="center"/>
    </xf>
    <xf numFmtId="0" fontId="13" fillId="9" borderId="25" xfId="0" applyFont="1" applyFill="1" applyBorder="1" applyAlignment="1">
      <alignment horizontal="center" vertical="center"/>
    </xf>
    <xf numFmtId="0" fontId="13" fillId="9" borderId="6" xfId="0" applyFont="1" applyFill="1" applyBorder="1" applyAlignment="1">
      <alignment horizontal="center" vertical="center"/>
    </xf>
    <xf numFmtId="0" fontId="13" fillId="9" borderId="24" xfId="0" applyFont="1" applyFill="1" applyBorder="1" applyAlignment="1">
      <alignment horizontal="center" vertical="center"/>
    </xf>
    <xf numFmtId="0" fontId="13" fillId="9" borderId="21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7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vertical="center" wrapText="1"/>
    </xf>
    <xf numFmtId="0" fontId="10" fillId="7" borderId="1" xfId="0" applyFont="1" applyFill="1" applyBorder="1" applyAlignment="1">
      <alignment horizontal="left" vertical="center"/>
    </xf>
    <xf numFmtId="0" fontId="10" fillId="7" borderId="1" xfId="0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center" vertical="center"/>
    </xf>
    <xf numFmtId="0" fontId="11" fillId="0" borderId="1" xfId="0" applyFont="1" applyBorder="1" applyAlignment="1" applyProtection="1">
      <alignment horizontal="center" vertical="center" wrapText="1"/>
      <protection locked="0"/>
    </xf>
    <xf numFmtId="0" fontId="11" fillId="0" borderId="1" xfId="0" applyFont="1" applyBorder="1" applyAlignment="1">
      <alignment horizontal="center" vertical="center" wrapText="1" shrinkToFit="1"/>
    </xf>
    <xf numFmtId="0" fontId="11" fillId="0" borderId="1" xfId="0" quotePrefix="1" applyFont="1" applyBorder="1" applyAlignment="1">
      <alignment horizontal="center" vertical="center" wrapText="1" shrinkToFit="1"/>
    </xf>
    <xf numFmtId="0" fontId="11" fillId="0" borderId="1" xfId="0" applyFont="1" applyBorder="1" applyAlignment="1">
      <alignment horizontal="center" vertical="center" shrinkToFit="1"/>
    </xf>
    <xf numFmtId="0" fontId="9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178" fontId="11" fillId="0" borderId="1" xfId="0" applyNumberFormat="1" applyFont="1" applyBorder="1" applyAlignment="1">
      <alignment vertical="center" wrapText="1"/>
    </xf>
    <xf numFmtId="178" fontId="11" fillId="0" borderId="1" xfId="0" applyNumberFormat="1" applyFont="1" applyBorder="1">
      <alignment vertical="center"/>
    </xf>
    <xf numFmtId="0" fontId="18" fillId="6" borderId="1" xfId="4" applyFont="1" applyFill="1" applyBorder="1" applyAlignment="1">
      <alignment horizontal="center" vertical="center"/>
    </xf>
    <xf numFmtId="0" fontId="18" fillId="6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1" fillId="0" borderId="1" xfId="4" applyFont="1" applyBorder="1" applyAlignment="1">
      <alignment horizontal="center" vertical="center"/>
    </xf>
    <xf numFmtId="0" fontId="22" fillId="9" borderId="20" xfId="0" applyFont="1" applyFill="1" applyBorder="1" applyAlignment="1">
      <alignment horizontal="center" vertical="center"/>
    </xf>
    <xf numFmtId="0" fontId="23" fillId="0" borderId="1" xfId="2" applyFont="1" applyBorder="1" applyAlignment="1">
      <alignment horizontal="center" vertical="center"/>
    </xf>
    <xf numFmtId="0" fontId="24" fillId="9" borderId="20" xfId="2" applyFont="1" applyFill="1" applyBorder="1" applyAlignment="1">
      <alignment horizontal="center" vertical="center"/>
    </xf>
    <xf numFmtId="0" fontId="25" fillId="0" borderId="1" xfId="2" applyFont="1" applyBorder="1" applyAlignment="1">
      <alignment horizontal="center" vertical="center"/>
    </xf>
    <xf numFmtId="0" fontId="25" fillId="0" borderId="16" xfId="2" applyFont="1" applyBorder="1" applyAlignment="1">
      <alignment horizontal="center" vertical="center"/>
    </xf>
    <xf numFmtId="0" fontId="11" fillId="0" borderId="0" xfId="0" applyFont="1" applyAlignment="1" applyProtection="1">
      <alignment horizontal="center" vertical="center" wrapText="1"/>
      <protection locked="0"/>
    </xf>
    <xf numFmtId="0" fontId="11" fillId="0" borderId="0" xfId="0" applyFont="1" applyAlignment="1">
      <alignment horizontal="center" vertical="center" wrapText="1" shrinkToFit="1"/>
    </xf>
    <xf numFmtId="0" fontId="11" fillId="0" borderId="0" xfId="0" quotePrefix="1" applyFont="1" applyAlignment="1">
      <alignment horizontal="center" vertical="center" wrapText="1" shrinkToFit="1"/>
    </xf>
    <xf numFmtId="0" fontId="11" fillId="0" borderId="0" xfId="0" applyFont="1" applyAlignment="1">
      <alignment horizontal="center" vertical="center" shrinkToFit="1"/>
    </xf>
    <xf numFmtId="0" fontId="28" fillId="0" borderId="1" xfId="4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13" fillId="9" borderId="5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29" fillId="9" borderId="21" xfId="0" applyFont="1" applyFill="1" applyBorder="1" applyAlignment="1">
      <alignment horizontal="center" vertical="center"/>
    </xf>
    <xf numFmtId="0" fontId="30" fillId="9" borderId="23" xfId="2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" fillId="2" borderId="0" xfId="3" applyFill="1" applyAlignment="1">
      <alignment horizontal="center" vertical="center"/>
    </xf>
    <xf numFmtId="0" fontId="13" fillId="9" borderId="40" xfId="0" applyFont="1" applyFill="1" applyBorder="1" applyAlignment="1">
      <alignment horizontal="center" vertical="center"/>
    </xf>
    <xf numFmtId="0" fontId="13" fillId="9" borderId="41" xfId="0" applyFont="1" applyFill="1" applyBorder="1" applyAlignment="1">
      <alignment horizontal="center" vertical="center"/>
    </xf>
    <xf numFmtId="0" fontId="13" fillId="9" borderId="37" xfId="0" applyFont="1" applyFill="1" applyBorder="1" applyAlignment="1">
      <alignment horizontal="center" vertical="center"/>
    </xf>
    <xf numFmtId="0" fontId="13" fillId="9" borderId="42" xfId="0" applyFont="1" applyFill="1" applyBorder="1" applyAlignment="1">
      <alignment horizontal="center" vertical="center"/>
    </xf>
    <xf numFmtId="0" fontId="13" fillId="9" borderId="43" xfId="0" applyFont="1" applyFill="1" applyBorder="1" applyAlignment="1">
      <alignment horizontal="center" vertical="center"/>
    </xf>
    <xf numFmtId="0" fontId="13" fillId="9" borderId="44" xfId="0" applyFont="1" applyFill="1" applyBorder="1" applyAlignment="1">
      <alignment horizontal="center" vertical="center"/>
    </xf>
    <xf numFmtId="0" fontId="13" fillId="9" borderId="45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2" fillId="5" borderId="9" xfId="0" applyFont="1" applyFill="1" applyBorder="1" applyAlignment="1">
      <alignment horizontal="center" vertical="center"/>
    </xf>
    <xf numFmtId="0" fontId="12" fillId="5" borderId="7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 vertical="center"/>
    </xf>
    <xf numFmtId="0" fontId="12" fillId="5" borderId="5" xfId="0" applyFont="1" applyFill="1" applyBorder="1" applyAlignment="1">
      <alignment horizontal="center" vertical="center"/>
    </xf>
    <xf numFmtId="0" fontId="12" fillId="5" borderId="46" xfId="0" applyFont="1" applyFill="1" applyBorder="1" applyAlignment="1">
      <alignment horizontal="center" vertical="center"/>
    </xf>
    <xf numFmtId="0" fontId="12" fillId="5" borderId="47" xfId="0" applyFont="1" applyFill="1" applyBorder="1" applyAlignment="1">
      <alignment horizontal="center" vertical="center"/>
    </xf>
    <xf numFmtId="0" fontId="20" fillId="5" borderId="1" xfId="0" applyFont="1" applyFill="1" applyBorder="1" applyAlignment="1">
      <alignment horizontal="center" vertical="center"/>
    </xf>
    <xf numFmtId="0" fontId="13" fillId="9" borderId="48" xfId="0" applyFont="1" applyFill="1" applyBorder="1" applyAlignment="1">
      <alignment horizontal="center" vertical="center" wrapText="1"/>
    </xf>
    <xf numFmtId="0" fontId="13" fillId="9" borderId="49" xfId="0" applyFont="1" applyFill="1" applyBorder="1" applyAlignment="1">
      <alignment horizontal="center" vertical="center" wrapText="1"/>
    </xf>
    <xf numFmtId="0" fontId="13" fillId="9" borderId="50" xfId="0" applyFont="1" applyFill="1" applyBorder="1" applyAlignment="1">
      <alignment horizontal="center" vertical="center" wrapText="1"/>
    </xf>
    <xf numFmtId="0" fontId="13" fillId="9" borderId="29" xfId="0" applyFont="1" applyFill="1" applyBorder="1" applyAlignment="1">
      <alignment horizontal="center" vertical="center" wrapText="1"/>
    </xf>
    <xf numFmtId="0" fontId="13" fillId="9" borderId="44" xfId="0" applyFont="1" applyFill="1" applyBorder="1" applyAlignment="1">
      <alignment horizontal="center" vertical="center" wrapText="1"/>
    </xf>
    <xf numFmtId="0" fontId="13" fillId="9" borderId="45" xfId="0" applyFont="1" applyFill="1" applyBorder="1" applyAlignment="1">
      <alignment horizontal="center" vertical="center" wrapText="1"/>
    </xf>
    <xf numFmtId="0" fontId="13" fillId="9" borderId="52" xfId="0" applyFont="1" applyFill="1" applyBorder="1" applyAlignment="1">
      <alignment horizontal="center" vertical="center" wrapText="1"/>
    </xf>
    <xf numFmtId="0" fontId="13" fillId="9" borderId="53" xfId="0" applyFont="1" applyFill="1" applyBorder="1" applyAlignment="1">
      <alignment horizontal="center" vertical="center" wrapText="1"/>
    </xf>
    <xf numFmtId="0" fontId="13" fillId="9" borderId="13" xfId="0" applyFont="1" applyFill="1" applyBorder="1" applyAlignment="1">
      <alignment horizontal="center" vertical="center" wrapText="1"/>
    </xf>
    <xf numFmtId="0" fontId="13" fillId="9" borderId="26" xfId="0" applyFont="1" applyFill="1" applyBorder="1" applyAlignment="1">
      <alignment horizontal="center" vertical="center" wrapText="1"/>
    </xf>
    <xf numFmtId="0" fontId="13" fillId="9" borderId="54" xfId="0" applyFont="1" applyFill="1" applyBorder="1" applyAlignment="1">
      <alignment horizontal="center" vertical="center" wrapText="1"/>
    </xf>
    <xf numFmtId="0" fontId="7" fillId="0" borderId="55" xfId="0" applyFont="1" applyBorder="1" applyAlignment="1">
      <alignment horizontal="center" vertical="center"/>
    </xf>
    <xf numFmtId="0" fontId="7" fillId="0" borderId="46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7" borderId="56" xfId="0" applyFont="1" applyFill="1" applyBorder="1" applyAlignment="1">
      <alignment horizontal="center" vertical="center" wrapText="1"/>
    </xf>
    <xf numFmtId="0" fontId="7" fillId="7" borderId="57" xfId="0" applyFont="1" applyFill="1" applyBorder="1" applyAlignment="1">
      <alignment horizontal="center" vertical="center" wrapText="1"/>
    </xf>
    <xf numFmtId="0" fontId="7" fillId="7" borderId="58" xfId="0" applyFont="1" applyFill="1" applyBorder="1" applyAlignment="1">
      <alignment horizontal="center" vertical="center" wrapText="1"/>
    </xf>
    <xf numFmtId="0" fontId="13" fillId="9" borderId="59" xfId="0" applyFont="1" applyFill="1" applyBorder="1" applyAlignment="1">
      <alignment horizontal="center" vertical="center" wrapText="1"/>
    </xf>
    <xf numFmtId="0" fontId="13" fillId="9" borderId="0" xfId="0" applyFont="1" applyFill="1" applyAlignment="1">
      <alignment horizontal="center" vertical="center" wrapText="1"/>
    </xf>
    <xf numFmtId="0" fontId="13" fillId="9" borderId="89" xfId="0" applyFont="1" applyFill="1" applyBorder="1" applyAlignment="1">
      <alignment horizontal="center" vertical="center" wrapText="1"/>
    </xf>
    <xf numFmtId="0" fontId="1" fillId="0" borderId="1" xfId="2" applyBorder="1" applyAlignment="1">
      <alignment horizontal="center" vertical="center"/>
    </xf>
    <xf numFmtId="0" fontId="2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0" fillId="7" borderId="19" xfId="0" applyFont="1" applyFill="1" applyBorder="1" applyAlignment="1">
      <alignment horizontal="center" vertical="center" wrapText="1"/>
    </xf>
    <xf numFmtId="0" fontId="10" fillId="7" borderId="17" xfId="0" applyFont="1" applyFill="1" applyBorder="1" applyAlignment="1">
      <alignment horizontal="center" vertical="center" wrapText="1"/>
    </xf>
    <xf numFmtId="0" fontId="14" fillId="10" borderId="60" xfId="0" applyFont="1" applyFill="1" applyBorder="1" applyAlignment="1">
      <alignment horizontal="center" vertical="center" wrapText="1"/>
    </xf>
    <xf numFmtId="0" fontId="14" fillId="10" borderId="61" xfId="0" applyFont="1" applyFill="1" applyBorder="1" applyAlignment="1">
      <alignment horizontal="center" vertical="center" wrapText="1"/>
    </xf>
    <xf numFmtId="0" fontId="7" fillId="11" borderId="62" xfId="0" applyFont="1" applyFill="1" applyBorder="1" applyAlignment="1">
      <alignment horizontal="center" vertical="center" wrapText="1"/>
    </xf>
    <xf numFmtId="0" fontId="7" fillId="11" borderId="49" xfId="0" applyFont="1" applyFill="1" applyBorder="1" applyAlignment="1">
      <alignment horizontal="center" vertical="center" wrapText="1"/>
    </xf>
    <xf numFmtId="0" fontId="7" fillId="11" borderId="50" xfId="0" applyFont="1" applyFill="1" applyBorder="1" applyAlignment="1">
      <alignment horizontal="center" vertical="center" wrapText="1"/>
    </xf>
    <xf numFmtId="0" fontId="7" fillId="12" borderId="49" xfId="0" applyFont="1" applyFill="1" applyBorder="1" applyAlignment="1">
      <alignment horizontal="center" vertical="center" wrapText="1"/>
    </xf>
    <xf numFmtId="0" fontId="7" fillId="12" borderId="28" xfId="0" applyFont="1" applyFill="1" applyBorder="1" applyAlignment="1">
      <alignment horizontal="center" vertical="center" wrapText="1"/>
    </xf>
    <xf numFmtId="0" fontId="15" fillId="9" borderId="43" xfId="0" applyFont="1" applyFill="1" applyBorder="1" applyAlignment="1">
      <alignment horizontal="center" vertical="center" wrapText="1"/>
    </xf>
    <xf numFmtId="0" fontId="15" fillId="9" borderId="44" xfId="0" applyFont="1" applyFill="1" applyBorder="1" applyAlignment="1">
      <alignment horizontal="center" vertical="center" wrapText="1"/>
    </xf>
    <xf numFmtId="0" fontId="15" fillId="9" borderId="71" xfId="0" applyFont="1" applyFill="1" applyBorder="1" applyAlignment="1">
      <alignment horizontal="center" vertical="center" wrapText="1"/>
    </xf>
    <xf numFmtId="0" fontId="15" fillId="9" borderId="60" xfId="0" applyFont="1" applyFill="1" applyBorder="1" applyAlignment="1">
      <alignment horizontal="center" vertical="center" wrapText="1"/>
    </xf>
    <xf numFmtId="0" fontId="15" fillId="9" borderId="72" xfId="0" applyFont="1" applyFill="1" applyBorder="1" applyAlignment="1">
      <alignment horizontal="center" vertical="center" wrapText="1"/>
    </xf>
    <xf numFmtId="0" fontId="21" fillId="0" borderId="66" xfId="2" applyFont="1" applyBorder="1" applyAlignment="1">
      <alignment horizontal="center" vertical="center" wrapText="1"/>
    </xf>
    <xf numFmtId="0" fontId="15" fillId="9" borderId="63" xfId="0" applyFont="1" applyFill="1" applyBorder="1" applyAlignment="1">
      <alignment horizontal="center" vertical="center" wrapText="1"/>
    </xf>
    <xf numFmtId="0" fontId="15" fillId="9" borderId="64" xfId="0" applyFont="1" applyFill="1" applyBorder="1" applyAlignment="1">
      <alignment horizontal="center" vertical="center" wrapText="1"/>
    </xf>
    <xf numFmtId="0" fontId="15" fillId="9" borderId="65" xfId="0" applyFont="1" applyFill="1" applyBorder="1" applyAlignment="1">
      <alignment horizontal="center" vertical="center" wrapText="1"/>
    </xf>
    <xf numFmtId="0" fontId="15" fillId="9" borderId="66" xfId="0" applyFont="1" applyFill="1" applyBorder="1" applyAlignment="1">
      <alignment horizontal="center" vertical="center" wrapText="1"/>
    </xf>
    <xf numFmtId="0" fontId="15" fillId="9" borderId="1" xfId="0" applyFont="1" applyFill="1" applyBorder="1" applyAlignment="1">
      <alignment horizontal="center" vertical="center" wrapText="1"/>
    </xf>
    <xf numFmtId="0" fontId="15" fillId="9" borderId="67" xfId="0" applyFont="1" applyFill="1" applyBorder="1" applyAlignment="1">
      <alignment horizontal="center" vertical="center" wrapText="1"/>
    </xf>
    <xf numFmtId="0" fontId="15" fillId="9" borderId="68" xfId="0" applyFont="1" applyFill="1" applyBorder="1" applyAlignment="1">
      <alignment horizontal="center" vertical="center" wrapText="1"/>
    </xf>
    <xf numFmtId="0" fontId="15" fillId="9" borderId="69" xfId="0" applyFont="1" applyFill="1" applyBorder="1" applyAlignment="1">
      <alignment horizontal="center" vertical="center" wrapText="1"/>
    </xf>
    <xf numFmtId="0" fontId="15" fillId="9" borderId="70" xfId="0" applyFont="1" applyFill="1" applyBorder="1" applyAlignment="1">
      <alignment horizontal="center" vertical="center" wrapText="1"/>
    </xf>
    <xf numFmtId="0" fontId="15" fillId="9" borderId="63" xfId="0" applyFont="1" applyFill="1" applyBorder="1" applyAlignment="1">
      <alignment horizontal="center" vertical="center"/>
    </xf>
    <xf numFmtId="0" fontId="15" fillId="9" borderId="65" xfId="0" applyFont="1" applyFill="1" applyBorder="1" applyAlignment="1">
      <alignment horizontal="center" vertical="center"/>
    </xf>
    <xf numFmtId="0" fontId="15" fillId="9" borderId="66" xfId="0" applyFont="1" applyFill="1" applyBorder="1" applyAlignment="1">
      <alignment horizontal="center" vertical="center"/>
    </xf>
    <xf numFmtId="0" fontId="15" fillId="9" borderId="67" xfId="0" applyFont="1" applyFill="1" applyBorder="1" applyAlignment="1">
      <alignment horizontal="center" vertical="center"/>
    </xf>
    <xf numFmtId="0" fontId="15" fillId="9" borderId="73" xfId="0" applyFont="1" applyFill="1" applyBorder="1" applyAlignment="1">
      <alignment horizontal="center" vertical="center"/>
    </xf>
    <xf numFmtId="0" fontId="15" fillId="9" borderId="25" xfId="0" applyFont="1" applyFill="1" applyBorder="1" applyAlignment="1">
      <alignment horizontal="center" vertical="center"/>
    </xf>
    <xf numFmtId="0" fontId="15" fillId="9" borderId="43" xfId="0" applyFont="1" applyFill="1" applyBorder="1" applyAlignment="1">
      <alignment horizontal="center" vertical="center"/>
    </xf>
    <xf numFmtId="0" fontId="15" fillId="9" borderId="45" xfId="0" applyFont="1" applyFill="1" applyBorder="1" applyAlignment="1">
      <alignment horizontal="center" vertical="center"/>
    </xf>
    <xf numFmtId="0" fontId="15" fillId="9" borderId="24" xfId="0" applyFont="1" applyFill="1" applyBorder="1" applyAlignment="1">
      <alignment horizontal="center" vertical="center"/>
    </xf>
    <xf numFmtId="0" fontId="15" fillId="9" borderId="74" xfId="0" applyFont="1" applyFill="1" applyBorder="1" applyAlignment="1">
      <alignment horizontal="center" vertical="center"/>
    </xf>
    <xf numFmtId="0" fontId="15" fillId="9" borderId="62" xfId="0" applyFont="1" applyFill="1" applyBorder="1" applyAlignment="1">
      <alignment horizontal="center" vertical="center"/>
    </xf>
    <xf numFmtId="0" fontId="15" fillId="9" borderId="49" xfId="0" applyFont="1" applyFill="1" applyBorder="1" applyAlignment="1">
      <alignment horizontal="center" vertical="center"/>
    </xf>
    <xf numFmtId="0" fontId="15" fillId="9" borderId="44" xfId="0" applyFont="1" applyFill="1" applyBorder="1" applyAlignment="1">
      <alignment horizontal="center" vertical="center"/>
    </xf>
    <xf numFmtId="0" fontId="15" fillId="9" borderId="61" xfId="0" applyFont="1" applyFill="1" applyBorder="1" applyAlignment="1">
      <alignment horizontal="center" vertical="center"/>
    </xf>
    <xf numFmtId="0" fontId="15" fillId="9" borderId="75" xfId="0" applyFont="1" applyFill="1" applyBorder="1" applyAlignment="1">
      <alignment horizontal="center" vertical="center"/>
    </xf>
    <xf numFmtId="0" fontId="15" fillId="9" borderId="6" xfId="0" applyFont="1" applyFill="1" applyBorder="1" applyAlignment="1">
      <alignment horizontal="center" vertical="center"/>
    </xf>
    <xf numFmtId="0" fontId="10" fillId="0" borderId="61" xfId="0" applyFont="1" applyBorder="1" applyAlignment="1">
      <alignment horizontal="center" vertical="center" wrapText="1"/>
    </xf>
    <xf numFmtId="0" fontId="10" fillId="0" borderId="76" xfId="0" applyFont="1" applyBorder="1" applyAlignment="1">
      <alignment horizontal="center" vertical="center" wrapText="1"/>
    </xf>
    <xf numFmtId="0" fontId="15" fillId="9" borderId="70" xfId="0" applyFont="1" applyFill="1" applyBorder="1" applyAlignment="1">
      <alignment horizontal="center" vertical="center"/>
    </xf>
    <xf numFmtId="0" fontId="15" fillId="9" borderId="77" xfId="0" applyFont="1" applyFill="1" applyBorder="1" applyAlignment="1">
      <alignment horizontal="center" vertical="center"/>
    </xf>
    <xf numFmtId="0" fontId="10" fillId="0" borderId="64" xfId="0" applyFont="1" applyBorder="1" applyAlignment="1">
      <alignment horizontal="center" vertical="center" wrapText="1"/>
    </xf>
    <xf numFmtId="0" fontId="10" fillId="0" borderId="78" xfId="0" applyFont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5" fillId="9" borderId="79" xfId="0" applyFont="1" applyFill="1" applyBorder="1" applyAlignment="1">
      <alignment horizontal="center" vertical="center"/>
    </xf>
    <xf numFmtId="0" fontId="10" fillId="0" borderId="16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5" fillId="9" borderId="80" xfId="0" applyFont="1" applyFill="1" applyBorder="1" applyAlignment="1">
      <alignment horizontal="center" vertical="center"/>
    </xf>
    <xf numFmtId="0" fontId="10" fillId="0" borderId="18" xfId="0" applyFont="1" applyBorder="1" applyAlignment="1">
      <alignment horizontal="center" vertical="center" wrapText="1"/>
    </xf>
    <xf numFmtId="0" fontId="15" fillId="9" borderId="29" xfId="0" applyFont="1" applyFill="1" applyBorder="1" applyAlignment="1">
      <alignment horizontal="center" vertical="center"/>
    </xf>
    <xf numFmtId="0" fontId="15" fillId="9" borderId="81" xfId="0" applyFont="1" applyFill="1" applyBorder="1" applyAlignment="1">
      <alignment horizontal="center" vertical="center"/>
    </xf>
    <xf numFmtId="0" fontId="15" fillId="10" borderId="62" xfId="0" applyFont="1" applyFill="1" applyBorder="1" applyAlignment="1">
      <alignment horizontal="center" vertical="center"/>
    </xf>
    <xf numFmtId="0" fontId="15" fillId="10" borderId="49" xfId="0" applyFont="1" applyFill="1" applyBorder="1" applyAlignment="1">
      <alignment horizontal="center" vertical="center"/>
    </xf>
    <xf numFmtId="0" fontId="15" fillId="9" borderId="38" xfId="0" applyFont="1" applyFill="1" applyBorder="1" applyAlignment="1">
      <alignment horizontal="center" vertical="center"/>
    </xf>
    <xf numFmtId="0" fontId="15" fillId="9" borderId="82" xfId="0" applyFont="1" applyFill="1" applyBorder="1" applyAlignment="1">
      <alignment horizontal="center" vertical="center"/>
    </xf>
    <xf numFmtId="0" fontId="10" fillId="11" borderId="49" xfId="0" applyFont="1" applyFill="1" applyBorder="1" applyAlignment="1">
      <alignment horizontal="center" vertical="center"/>
    </xf>
    <xf numFmtId="0" fontId="10" fillId="11" borderId="28" xfId="0" applyFont="1" applyFill="1" applyBorder="1" applyAlignment="1">
      <alignment horizontal="center" vertical="center"/>
    </xf>
    <xf numFmtId="0" fontId="10" fillId="1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1" fillId="0" borderId="55" xfId="0" applyFont="1" applyBorder="1" applyAlignment="1">
      <alignment horizontal="center" vertical="center"/>
    </xf>
    <xf numFmtId="0" fontId="11" fillId="0" borderId="46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83" xfId="0" applyFont="1" applyBorder="1" applyAlignment="1">
      <alignment horizontal="center" vertical="center"/>
    </xf>
    <xf numFmtId="0" fontId="11" fillId="0" borderId="84" xfId="0" applyFont="1" applyBorder="1" applyAlignment="1">
      <alignment horizontal="center" vertical="center"/>
    </xf>
    <xf numFmtId="0" fontId="10" fillId="7" borderId="85" xfId="0" applyFont="1" applyFill="1" applyBorder="1" applyAlignment="1">
      <alignment horizontal="center" vertical="center"/>
    </xf>
    <xf numFmtId="0" fontId="10" fillId="7" borderId="39" xfId="0" applyFont="1" applyFill="1" applyBorder="1" applyAlignment="1">
      <alignment horizontal="center" vertical="center"/>
    </xf>
    <xf numFmtId="0" fontId="10" fillId="7" borderId="86" xfId="0" applyFont="1" applyFill="1" applyBorder="1" applyAlignment="1">
      <alignment horizontal="center" vertical="center"/>
    </xf>
    <xf numFmtId="0" fontId="11" fillId="0" borderId="75" xfId="0" applyFont="1" applyBorder="1" applyAlignment="1">
      <alignment horizontal="center" vertical="center"/>
    </xf>
    <xf numFmtId="0" fontId="11" fillId="0" borderId="87" xfId="0" applyFont="1" applyBorder="1" applyAlignment="1">
      <alignment horizontal="center" vertical="center"/>
    </xf>
    <xf numFmtId="0" fontId="15" fillId="9" borderId="63" xfId="0" applyFont="1" applyFill="1" applyBorder="1" applyAlignment="1" applyProtection="1">
      <alignment horizontal="center" vertical="center" wrapText="1"/>
      <protection locked="0"/>
    </xf>
    <xf numFmtId="0" fontId="15" fillId="9" borderId="65" xfId="0" applyFont="1" applyFill="1" applyBorder="1" applyAlignment="1" applyProtection="1">
      <alignment horizontal="center" vertical="center" wrapText="1"/>
      <protection locked="0"/>
    </xf>
    <xf numFmtId="0" fontId="15" fillId="9" borderId="35" xfId="0" applyFont="1" applyFill="1" applyBorder="1" applyAlignment="1" applyProtection="1">
      <alignment horizontal="center" vertical="center" wrapText="1"/>
      <protection locked="0"/>
    </xf>
    <xf numFmtId="0" fontId="15" fillId="9" borderId="36" xfId="0" applyFont="1" applyFill="1" applyBorder="1" applyAlignment="1" applyProtection="1">
      <alignment horizontal="center" vertical="center" wrapText="1"/>
      <protection locked="0"/>
    </xf>
    <xf numFmtId="0" fontId="15" fillId="9" borderId="88" xfId="0" applyFont="1" applyFill="1" applyBorder="1" applyAlignment="1" applyProtection="1">
      <alignment horizontal="center" vertical="center" wrapText="1"/>
      <protection locked="0"/>
    </xf>
    <xf numFmtId="0" fontId="10" fillId="5" borderId="2" xfId="0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left" vertical="center" wrapText="1"/>
    </xf>
    <xf numFmtId="0" fontId="11" fillId="0" borderId="46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left" vertical="center" wrapText="1"/>
    </xf>
    <xf numFmtId="0" fontId="28" fillId="0" borderId="2" xfId="0" applyFont="1" applyBorder="1" applyAlignment="1">
      <alignment horizontal="left" vertical="center" wrapText="1"/>
    </xf>
    <xf numFmtId="0" fontId="28" fillId="0" borderId="46" xfId="0" applyFont="1" applyBorder="1" applyAlignment="1">
      <alignment horizontal="left" vertical="center" wrapText="1"/>
    </xf>
    <xf numFmtId="0" fontId="28" fillId="0" borderId="5" xfId="0" applyFont="1" applyBorder="1" applyAlignment="1">
      <alignment horizontal="left" vertical="center" wrapText="1"/>
    </xf>
    <xf numFmtId="0" fontId="18" fillId="0" borderId="2" xfId="0" applyFont="1" applyBorder="1" applyAlignment="1">
      <alignment horizontal="left" vertical="center" wrapText="1"/>
    </xf>
    <xf numFmtId="0" fontId="18" fillId="0" borderId="46" xfId="0" applyFont="1" applyBorder="1" applyAlignment="1">
      <alignment horizontal="left" vertical="center" wrapText="1"/>
    </xf>
    <xf numFmtId="0" fontId="18" fillId="0" borderId="5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/>
    </xf>
    <xf numFmtId="0" fontId="11" fillId="0" borderId="46" xfId="0" applyFont="1" applyBorder="1" applyAlignment="1">
      <alignment horizontal="left" vertical="center"/>
    </xf>
    <xf numFmtId="0" fontId="11" fillId="0" borderId="5" xfId="0" applyFont="1" applyBorder="1" applyAlignment="1">
      <alignment horizontal="left" vertical="center"/>
    </xf>
    <xf numFmtId="0" fontId="11" fillId="14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1" fillId="14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 applyProtection="1">
      <alignment horizontal="center" vertical="center" wrapText="1"/>
      <protection locked="0"/>
    </xf>
    <xf numFmtId="0" fontId="11" fillId="0" borderId="1" xfId="0" applyFont="1" applyFill="1" applyBorder="1" applyAlignment="1">
      <alignment horizontal="center" vertical="center" wrapText="1" shrinkToFit="1"/>
    </xf>
    <xf numFmtId="0" fontId="11" fillId="0" borderId="1" xfId="0" quotePrefix="1" applyFont="1" applyFill="1" applyBorder="1" applyAlignment="1">
      <alignment horizontal="center" vertical="center" wrapText="1" shrinkToFit="1"/>
    </xf>
    <xf numFmtId="0" fontId="11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shrinkToFit="1"/>
    </xf>
    <xf numFmtId="0" fontId="10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/>
    </xf>
    <xf numFmtId="0" fontId="11" fillId="0" borderId="0" xfId="0" applyFont="1" applyFill="1">
      <alignment vertical="center"/>
    </xf>
    <xf numFmtId="0" fontId="28" fillId="0" borderId="1" xfId="4" applyFont="1" applyFill="1" applyBorder="1" applyAlignment="1">
      <alignment horizontal="center" vertical="center"/>
    </xf>
    <xf numFmtId="0" fontId="11" fillId="14" borderId="2" xfId="0" applyFont="1" applyFill="1" applyBorder="1" applyAlignment="1">
      <alignment horizontal="left" vertical="center" wrapText="1"/>
    </xf>
    <xf numFmtId="0" fontId="11" fillId="14" borderId="46" xfId="0" applyFont="1" applyFill="1" applyBorder="1" applyAlignment="1">
      <alignment horizontal="left" vertical="center" wrapText="1"/>
    </xf>
    <xf numFmtId="0" fontId="11" fillId="14" borderId="5" xfId="0" applyFont="1" applyFill="1" applyBorder="1" applyAlignment="1">
      <alignment horizontal="left" vertical="center" wrapText="1"/>
    </xf>
    <xf numFmtId="0" fontId="11" fillId="14" borderId="1" xfId="4" applyFont="1" applyFill="1" applyBorder="1" applyAlignment="1">
      <alignment horizontal="center" vertical="center"/>
    </xf>
    <xf numFmtId="0" fontId="8" fillId="14" borderId="0" xfId="0" applyFont="1" applyFill="1">
      <alignment vertical="center"/>
    </xf>
    <xf numFmtId="0" fontId="11" fillId="14" borderId="1" xfId="0" applyFont="1" applyFill="1" applyBorder="1" applyAlignment="1">
      <alignment horizontal="left" vertical="center" wrapText="1"/>
    </xf>
    <xf numFmtId="0" fontId="8" fillId="14" borderId="1" xfId="0" applyFont="1" applyFill="1" applyBorder="1" applyAlignment="1">
      <alignment horizontal="center" vertical="center"/>
    </xf>
    <xf numFmtId="0" fontId="8" fillId="14" borderId="0" xfId="0" applyFont="1" applyFill="1" applyAlignment="1">
      <alignment horizontal="center" vertical="center"/>
    </xf>
  </cellXfs>
  <cellStyles count="6">
    <cellStyle name="Normal" xfId="5"/>
    <cellStyle name="백분율" xfId="1" builtinId="5"/>
    <cellStyle name="표준" xfId="0" builtinId="0"/>
    <cellStyle name="표준 4 2" xfId="3"/>
    <cellStyle name="표준_정보통신부_취약점진단결과_우체국금융_서버_0708_v0.7" xfId="4"/>
    <cellStyle name="하이퍼링크" xfId="2" builtinId="8"/>
  </cellStyles>
  <dxfs count="164"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rgb="FFD9D9D9"/>
        </patternFill>
      </fill>
    </dxf>
    <dxf>
      <font>
        <color rgb="FF1F497D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rgb="FFD9D9D9"/>
        </patternFill>
      </fill>
    </dxf>
    <dxf>
      <font>
        <color rgb="FF1F497D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1F497D"/>
      </font>
      <fill>
        <patternFill>
          <bgColor rgb="FFDCE6F2"/>
        </patternFill>
      </fill>
    </dxf>
    <dxf>
      <font>
        <color rgb="FFFF0000"/>
      </font>
      <fill>
        <patternFill>
          <bgColor rgb="FFF3DCDB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rgb="FFD9D9D9"/>
        </patternFill>
      </fill>
    </dxf>
    <dxf>
      <font>
        <color rgb="FF1F497D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rgb="FFD9D9D9"/>
        </patternFill>
      </fill>
    </dxf>
    <dxf>
      <font>
        <color rgb="FF1F497D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1F497D"/>
      </font>
      <fill>
        <patternFill>
          <bgColor rgb="FFDCE6F2"/>
        </patternFill>
      </fill>
    </dxf>
    <dxf>
      <font>
        <color rgb="FFFF0000"/>
      </font>
      <fill>
        <patternFill>
          <bgColor rgb="FFF3DCDB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rgb="FFD9D9D9"/>
        </patternFill>
      </fill>
    </dxf>
    <dxf>
      <font>
        <color rgb="FF1F497D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rgb="FFD9D9D9"/>
        </patternFill>
      </fill>
    </dxf>
    <dxf>
      <font>
        <color rgb="FF1F497D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1F497D"/>
      </font>
      <fill>
        <patternFill>
          <bgColor rgb="FFDCE6F2"/>
        </patternFill>
      </fill>
    </dxf>
    <dxf>
      <font>
        <color rgb="FFFF0000"/>
      </font>
      <fill>
        <patternFill>
          <bgColor rgb="FFF3DCDB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rgb="FFD9D9D9"/>
        </patternFill>
      </fill>
    </dxf>
    <dxf>
      <font>
        <color rgb="FF1F497D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rgb="FFD9D9D9"/>
        </patternFill>
      </fill>
    </dxf>
    <dxf>
      <font>
        <color rgb="FF1F497D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000000"/>
      </font>
      <fill>
        <patternFill>
          <bgColor rgb="FF92D05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1F497D"/>
      </font>
      <fill>
        <patternFill>
          <bgColor rgb="FFDCE6F2"/>
        </patternFill>
      </fill>
    </dxf>
    <dxf>
      <font>
        <color rgb="FFFF0000"/>
      </font>
      <fill>
        <patternFill>
          <bgColor rgb="FFF3DCDB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ill>
        <patternFill>
          <bgColor rgb="FF92D05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000000"/>
      </font>
      <fill>
        <patternFill>
          <bgColor rgb="FF92D050"/>
        </patternFill>
      </fill>
    </dxf>
    <dxf>
      <font>
        <color rgb="FF00000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ill>
        <patternFill>
          <bgColor rgb="FF92D05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000000"/>
      </font>
      <fill>
        <patternFill>
          <bgColor rgb="FF92D050"/>
        </patternFill>
      </fill>
    </dxf>
    <dxf>
      <font>
        <color rgb="FF000000"/>
      </font>
    </dxf>
    <dxf>
      <fill>
        <patternFill>
          <bgColor rgb="FFFAC09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 wrap="none" lIns="0" tIns="0" rIns="0" bIns="0" anchor="ctr" anchorCtr="1"/>
          <a:lstStyle/>
          <a:p>
            <a:pPr algn="l">
              <a:defRPr sz="1400" b="0" i="0" u="none"/>
            </a:pPr>
            <a:r>
              <a:rPr lang="en-US" sz="1400" b="0" i="0" u="none"/>
              <a:t>Network </a:t>
            </a:r>
            <a:r>
              <a:rPr lang="ko-KR" altLang="en-US" sz="1400" b="0" i="0" u="none"/>
              <a:t>보안수준</a:t>
            </a:r>
            <a:endParaRPr lang="ko-KR" altLang="en-US"/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'취약점 진단 통계'!$A$3</c:f>
              <c:strCache>
                <c:ptCount val="1"/>
                <c:pt idx="0">
                  <c:v>1) 영역별 보안수준</c:v>
                </c:pt>
              </c:strCache>
            </c:strRef>
          </c:tx>
          <c:spPr>
            <a:solidFill>
              <a:schemeClr val="accent3"/>
            </a:solidFill>
            <a:ln w="9525">
              <a:solidFill>
                <a:schemeClr val="accent3"/>
              </a:solidFill>
            </a:ln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1118-4958-8561-FD6C172442D1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1118-4958-8561-FD6C172442D1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1118-4958-8561-FD6C172442D1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1118-4958-8561-FD6C172442D1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1118-4958-8561-FD6C172442D1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6-1118-4958-8561-FD6C172442D1}"/>
              </c:ext>
            </c:extLst>
          </c:dPt>
          <c:dLbls>
            <c:dLbl>
              <c:idx val="5"/>
              <c:spPr>
                <a:noFill/>
                <a:ln w="9525">
                  <a:noFill/>
                </a:ln>
                <a:effectLst/>
              </c:spPr>
              <c:txPr>
                <a:bodyPr rot="0" vert="horz" wrap="none" lIns="0" tIns="0" rIns="0" bIns="0" anchor="ctr" anchorCtr="1"/>
                <a:lstStyle/>
                <a:p>
                  <a:pPr algn="l">
                    <a:defRPr sz="1100" b="1" i="0" u="none">
                      <a:solidFill>
                        <a:sysClr val="windowText" lastClr="000000"/>
                      </a:solidFill>
                    </a:defRPr>
                  </a:pPr>
                  <a:endParaRPr lang="ko-K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6-1118-4958-8561-FD6C172442D1}"/>
                </c:ext>
              </c:extLst>
            </c:dLbl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b="0" i="0" u="none">
                    <a:solidFill>
                      <a:sysClr val="windowText" lastClr="000000"/>
                    </a:solidFill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layout/>
                <c15:showLeaderLines val="0"/>
              </c:ext>
            </c:extLst>
          </c:dLbls>
          <c:cat>
            <c:strRef>
              <c:f>'취약점 진단 통계'!$A$6:$D$11</c:f>
              <c:strCache>
                <c:ptCount val="6"/>
                <c:pt idx="0">
                  <c:v>계정 관리</c:v>
                </c:pt>
                <c:pt idx="1">
                  <c:v>서비스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보안 관리</c:v>
                </c:pt>
                <c:pt idx="5">
                  <c:v>계</c:v>
                </c:pt>
              </c:strCache>
            </c:strRef>
          </c:cat>
          <c:val>
            <c:numRef>
              <c:f>'취약점 진단 통계'!$L$6:$L$11</c:f>
              <c:numCache>
                <c:formatCode>0.0%</c:formatCode>
                <c:ptCount val="6"/>
                <c:pt idx="0">
                  <c:v>0.55000000000000004</c:v>
                </c:pt>
                <c:pt idx="1">
                  <c:v>0.21705426356589147</c:v>
                </c:pt>
                <c:pt idx="2">
                  <c:v>0.25</c:v>
                </c:pt>
                <c:pt idx="3">
                  <c:v>0.33333333333333331</c:v>
                </c:pt>
                <c:pt idx="4">
                  <c:v>0.25</c:v>
                </c:pt>
                <c:pt idx="5">
                  <c:v>0.30513595166163143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118-4958-8561-FD6C172442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06859520"/>
        <c:axId val="306656320"/>
      </c:barChart>
      <c:catAx>
        <c:axId val="3068595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 wrap="none" lIns="0" tIns="0" rIns="0" bIns="0" anchor="ctr" anchorCtr="1"/>
          <a:lstStyle/>
          <a:p>
            <a:pPr algn="l">
              <a:defRPr sz="900" b="0" i="0" u="none"/>
            </a:pPr>
            <a:endParaRPr lang="ko-KR"/>
          </a:p>
        </c:txPr>
        <c:crossAx val="306656320"/>
        <c:crosses val="autoZero"/>
        <c:auto val="1"/>
        <c:lblAlgn val="ctr"/>
        <c:lblOffset val="100"/>
        <c:tickMarkSkip val="1"/>
        <c:noMultiLvlLbl val="0"/>
      </c:catAx>
      <c:valAx>
        <c:axId val="306656320"/>
        <c:scaling>
          <c:orientation val="minMax"/>
          <c:max val="1"/>
          <c:min val="0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txPr>
          <a:bodyPr rot="0" vert="horz" wrap="none" lIns="0" tIns="0" rIns="0" bIns="0" anchor="ctr" anchorCtr="1"/>
          <a:lstStyle/>
          <a:p>
            <a:pPr algn="l">
              <a:defRPr sz="900" b="0" i="0" u="none"/>
            </a:pPr>
            <a:endParaRPr lang="ko-KR"/>
          </a:p>
        </c:txPr>
        <c:crossAx val="306859520"/>
        <c:crosses val="autoZero"/>
        <c:crossBetween val="between"/>
      </c:valAx>
      <c:spPr>
        <a:noFill/>
        <a:ln w="9525" cap="flat" cmpd="sng" algn="ctr">
          <a:noFill/>
          <a:prstDash val="solid"/>
          <a:round/>
          <a:headEnd w="med" len="med"/>
          <a:tailEnd w="med" len="med"/>
        </a:ln>
      </c:spPr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  <c:extLst>
    <c:ext uri="CC8EB2C9-7E31-499d-B8F2-F6CE61031016">
      <ho:hncChartStyle xmlns:ho="http://schemas.haansoft.com/office/8.0" layoutIndex="-1" colorIndex="-1" styleIndex="-1"/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 wrap="none" lIns="0" tIns="0" rIns="0" bIns="0" anchor="ctr" anchorCtr="1"/>
          <a:lstStyle/>
          <a:p>
            <a:pPr algn="l">
              <a:defRPr sz="1400" b="1" i="0" u="none">
                <a:solidFill>
                  <a:sysClr val="windowText" lastClr="000000"/>
                </a:solidFill>
                <a:latin typeface="+mn-lt"/>
                <a:ea typeface="+mn-ea"/>
                <a:cs typeface="+mn-ea"/>
                <a:sym typeface="+mn-ea"/>
              </a:defRPr>
            </a:pPr>
            <a:r>
              <a:rPr sz="1400" b="1" i="0" u="none">
                <a:solidFill>
                  <a:sysClr val="windowText" lastClr="000000"/>
                </a:solidFill>
                <a:latin typeface="+mn-lt"/>
                <a:ea typeface="+mn-ea"/>
                <a:cs typeface="+mn-ea"/>
                <a:sym typeface="+mn-ea"/>
              </a:rPr>
              <a:t>Network 보안수준</a:t>
            </a:r>
            <a:endParaRPr/>
          </a:p>
        </c:rich>
      </c:tx>
      <c:layout>
        <c:manualLayout>
          <c:xMode val="edge"/>
          <c:yMode val="edge"/>
          <c:x val="0.45771634578704834"/>
          <c:y val="0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3.7917032837867737E-2"/>
          <c:y val="0.12186256051063538"/>
          <c:w val="0.95429074764251709"/>
          <c:h val="0.70855122804641724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'취약점 진단 통계 (이행)'!$T$5</c:f>
              <c:strCache>
                <c:ptCount val="1"/>
                <c:pt idx="0">
                  <c:v>보안수준 
(이행 전)</c:v>
                </c:pt>
              </c:strCache>
            </c:strRef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88E1-49A1-A248-71CF4399F2C8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88E1-49A1-A248-71CF4399F2C8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88E1-49A1-A248-71CF4399F2C8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88E1-49A1-A248-71CF4399F2C8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88E1-49A1-A248-71CF4399F2C8}"/>
              </c:ext>
            </c:extLst>
          </c:dPt>
          <c:dLbls>
            <c:dLbl>
              <c:idx val="1"/>
              <c:layout>
                <c:manualLayout>
                  <c:x val="-5.2290000000000001E-17"/>
                  <c:y val="5.197222530841827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8E1-49A1-A248-71CF4399F2C8}"/>
                </c:ext>
              </c:extLst>
            </c:dLbl>
            <c:dLbl>
              <c:idx val="3"/>
              <c:layout>
                <c:manualLayout>
                  <c:x val="-1.0457E-16"/>
                  <c:y val="4.528334736824035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8E1-49A1-A248-71CF4399F2C8}"/>
                </c:ext>
              </c:extLst>
            </c:dLbl>
            <c:dLbl>
              <c:idx val="5"/>
              <c:spPr>
                <a:noFill/>
                <a:ln w="9525">
                  <a:noFill/>
                </a:ln>
                <a:effectLst/>
              </c:spPr>
              <c:txPr>
                <a:bodyPr rot="0" vert="horz" wrap="none" lIns="0" tIns="0" rIns="0" bIns="0" anchor="ctr" anchorCtr="1"/>
                <a:lstStyle/>
                <a:p>
                  <a:pPr algn="l">
                    <a:defRPr sz="1200" b="1" i="0" u="none">
                      <a:solidFill>
                        <a:schemeClr val="bg1"/>
                      </a:solidFill>
                      <a:latin typeface="+mn-lt"/>
                      <a:ea typeface="+mn-ea"/>
                      <a:cs typeface="+mn-ea"/>
                      <a:sym typeface="+mn-ea"/>
                    </a:defRPr>
                  </a:pPr>
                  <a:endParaRPr lang="ko-KR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88E1-49A1-A248-71CF4399F2C8}"/>
                </c:ext>
              </c:extLst>
            </c:dLbl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1100" b="0" i="0" u="none">
                    <a:solidFill>
                      <a:schemeClr val="bg1"/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'취약점 진단 통계 (이행)'!$A$6:$D$11</c:f>
              <c:strCache>
                <c:ptCount val="6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  <c:pt idx="5">
                  <c:v>계</c:v>
                </c:pt>
              </c:strCache>
            </c:strRef>
          </c:cat>
          <c:val>
            <c:numRef>
              <c:f>'취약점 진단 통계 (이행)'!$T$6:$T$11</c:f>
              <c:numCache>
                <c:formatCode>0.0%</c:formatCode>
                <c:ptCount val="6"/>
                <c:pt idx="0">
                  <c:v>1.0571428571428572</c:v>
                </c:pt>
                <c:pt idx="1">
                  <c:v>0</c:v>
                </c:pt>
                <c:pt idx="2">
                  <c:v>0.5</c:v>
                </c:pt>
                <c:pt idx="3">
                  <c:v>0.7857142857142857</c:v>
                </c:pt>
                <c:pt idx="4">
                  <c:v>0</c:v>
                </c:pt>
                <c:pt idx="5">
                  <c:v>0.94791666666666663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8E1-49A1-A248-71CF4399F2C8}"/>
            </c:ext>
          </c:extLst>
        </c:ser>
        <c:ser>
          <c:idx val="0"/>
          <c:order val="1"/>
          <c:tx>
            <c:strRef>
              <c:f>'취약점 진단 통계 (이행)'!$U$5</c:f>
              <c:strCache>
                <c:ptCount val="1"/>
                <c:pt idx="0">
                  <c:v>보안수준 
(이행 후)</c:v>
                </c:pt>
              </c:strCache>
            </c:strRef>
          </c:tx>
          <c:spPr>
            <a:solidFill>
              <a:schemeClr val="accent6"/>
            </a:solidFill>
            <a:ln w="9525">
              <a:noFill/>
            </a:ln>
            <a:effectLst/>
          </c:spPr>
          <c:invertIfNegative val="0"/>
          <c:dLbls>
            <c:dLbl>
              <c:idx val="5"/>
              <c:spPr>
                <a:noFill/>
                <a:ln w="9525">
                  <a:noFill/>
                </a:ln>
                <a:effectLst/>
              </c:spPr>
              <c:txPr>
                <a:bodyPr rot="0" vert="horz" wrap="none" lIns="0" tIns="0" rIns="0" bIns="0" anchor="ctr" anchorCtr="1"/>
                <a:lstStyle/>
                <a:p>
                  <a:pPr algn="l">
                    <a:defRPr sz="1200" b="1" i="0" u="none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ea"/>
                      <a:sym typeface="+mn-ea"/>
                    </a:defRPr>
                  </a:pPr>
                  <a:endParaRPr lang="ko-K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88E1-49A1-A248-71CF4399F2C8}"/>
                </c:ext>
              </c:extLst>
            </c:dLbl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1100" b="0" i="0" u="none">
                    <a:solidFill>
                      <a:sysClr val="windowText" lastClr="000000"/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'취약점 진단 통계 (이행)'!$A$6:$D$11</c:f>
              <c:strCache>
                <c:ptCount val="6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  <c:pt idx="5">
                  <c:v>계</c:v>
                </c:pt>
              </c:strCache>
            </c:strRef>
          </c:cat>
          <c:val>
            <c:numRef>
              <c:f>'취약점 진단 통계 (이행)'!$U$6:$U$11</c:f>
              <c:numCache>
                <c:formatCode>0.0%</c:formatCode>
                <c:ptCount val="6"/>
                <c:pt idx="0">
                  <c:v>1.3714285714285714</c:v>
                </c:pt>
                <c:pt idx="1">
                  <c:v>0</c:v>
                </c:pt>
                <c:pt idx="2">
                  <c:v>1</c:v>
                </c:pt>
                <c:pt idx="3">
                  <c:v>1.2</c:v>
                </c:pt>
                <c:pt idx="4">
                  <c:v>0</c:v>
                </c:pt>
                <c:pt idx="5">
                  <c:v>1.3255813953488371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8E1-49A1-A248-71CF4399F2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6859520"/>
        <c:axId val="306656320"/>
      </c:barChart>
      <c:catAx>
        <c:axId val="306859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1" i="0" u="none">
                <a:solidFill>
                  <a:sysClr val="windowText" lastClr="000000"/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6656320"/>
        <c:crosses val="autoZero"/>
        <c:auto val="1"/>
        <c:lblAlgn val="ctr"/>
        <c:lblOffset val="100"/>
        <c:tickMarkSkip val="1"/>
        <c:noMultiLvlLbl val="0"/>
      </c:catAx>
      <c:valAx>
        <c:axId val="306656320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ysClr val="windowText" lastClr="000000"/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6859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 w="9525">
          <a:noFill/>
        </a:ln>
        <a:effectLst/>
      </c:spPr>
      <c:txPr>
        <a:bodyPr rot="0" vert="horz" wrap="none" lIns="0" tIns="0" rIns="0" bIns="0" anchor="ctr" anchorCtr="1"/>
        <a:lstStyle/>
        <a:p>
          <a:pPr algn="l">
            <a:defRPr sz="900" b="0" i="0" u="none">
              <a:solidFill>
                <a:sysClr val="windowText" lastClr="000000"/>
              </a:solidFill>
              <a:latin typeface="+mn-lt"/>
              <a:ea typeface="+mn-ea"/>
              <a:cs typeface="+mn-ea"/>
              <a:sym typeface="+mn-ea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0" vert="horz" wrap="none" lIns="0" tIns="0" rIns="0" bIns="0" anchor="ctr" anchorCtr="1"/>
    <a:lstStyle/>
    <a:p>
      <a:pPr algn="l">
        <a:defRPr b="0" i="0" u="none"/>
      </a:pPr>
      <a:endParaRPr lang="ko-KR"/>
    </a:p>
  </c:txPr>
  <c:printSettings>
    <c:headerFooter/>
    <c:pageMargins b="0.75" l="0.7" r="0.7" t="0.75" header="0.3" footer="0.3"/>
    <c:pageSetup/>
  </c:printSettings>
  <c:extLst>
    <c:ext uri="CC8EB2C9-7E31-499d-B8F2-F6CE61031016">
      <ho:hncChartStyle xmlns:ho="http://schemas.haansoft.com/office/8.0" layoutIndex="-1" colorIndex="-1" styleIndex="-1"/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DHCP_HQ_Win!$D$10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layout/>
                <c15:showLeaderLines val="0"/>
              </c:ext>
            </c:extLst>
          </c:dLbls>
          <c:val>
            <c:numRef>
              <c:f>DHCP_HQ_Win!$H$12:$H$16</c:f>
              <c:numCache>
                <c:formatCode>0.0%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0.14285714285714285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03-4CFE-9516-8E4F74BC01D6}"/>
            </c:ext>
          </c:extLst>
        </c:ser>
        <c:ser>
          <c:idx val="1"/>
          <c:order val="1"/>
          <c:tx>
            <c:strRef>
              <c:f>DHCP_HQ_Win!$J$10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 w="9525">
              <a:noFill/>
            </a:ln>
            <a:effectLst/>
          </c:spPr>
          <c:invertIfNegative val="0"/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layout/>
                <c15:showLeaderLines val="0"/>
              </c:ext>
            </c:extLst>
          </c:dLbls>
          <c:val>
            <c:numRef>
              <c:f>DHCP_HQ_Win!$O$12:$O$16</c:f>
              <c:numCache>
                <c:formatCode>0.0%</c:formatCode>
                <c:ptCount val="5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2.5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03-4CFE-9516-8E4F74BC01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07462656"/>
        <c:axId val="306658624"/>
      </c:barChart>
      <c:valAx>
        <c:axId val="306658624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high"/>
        <c:spPr>
          <a:noFill/>
          <a:ln w="9525">
            <a:noFill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7462656"/>
        <c:crosses val="autoZero"/>
        <c:crossBetween val="between"/>
        <c:majorUnit val="0.2"/>
      </c:valAx>
      <c:catAx>
        <c:axId val="307462656"/>
        <c:scaling>
          <c:orientation val="maxMin"/>
        </c:scaling>
        <c:delete val="0"/>
        <c:axPos val="l"/>
        <c:numFmt formatCode="0.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6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6658624"/>
        <c:crosses val="autoZero"/>
        <c:auto val="1"/>
        <c:lblAlgn val="ctr"/>
        <c:lblOffset val="100"/>
        <c:tickMarkSkip val="1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 w="9525">
          <a:noFill/>
        </a:ln>
        <a:effectLst/>
      </c:spPr>
      <c:txPr>
        <a:bodyPr rot="0" vert="horz" wrap="none" lIns="0" tIns="0" rIns="0" bIns="0" anchor="ctr" anchorCtr="1"/>
        <a:lstStyle/>
        <a:p>
          <a:pPr algn="l"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ea"/>
              <a:sym typeface="+mn-ea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noFill/>
      <a:round/>
    </a:ln>
    <a:effectLst/>
  </c:spPr>
  <c:txPr>
    <a:bodyPr rot="0" vert="horz" wrap="none" lIns="0" tIns="0" rIns="0" bIns="0" anchor="ctr" anchorCtr="1"/>
    <a:lstStyle/>
    <a:p>
      <a:pPr algn="l">
        <a:defRPr b="0" i="0" u="none"/>
      </a:pPr>
      <a:endParaRPr lang="ko-KR"/>
    </a:p>
  </c:txPr>
  <c:printSettings>
    <c:headerFooter/>
    <c:pageMargins b="0.75" l="0.7" r="0.7" t="0.75" header="0.3" footer="0.3"/>
    <c:pageSetup/>
  </c:printSettings>
  <c:extLst>
    <c:ext uri="CC8EB2C9-7E31-499d-B8F2-F6CE61031016">
      <ho:hncChartStyle xmlns:ho="http://schemas.haansoft.com/office/8.0" layoutIndex="-1" colorIndex="-1" styleIndex="-1"/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DNS_HQ_Win!$D$10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layout/>
                <c15:showLeaderLines val="0"/>
              </c:ext>
            </c:extLst>
          </c:dLbls>
          <c:val>
            <c:numRef>
              <c:f>DNS_HQ_Win!$H$12:$H$16</c:f>
              <c:numCache>
                <c:formatCode>0.0%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FF-420B-8ABE-C7AAF26CC629}"/>
            </c:ext>
          </c:extLst>
        </c:ser>
        <c:ser>
          <c:idx val="1"/>
          <c:order val="1"/>
          <c:tx>
            <c:strRef>
              <c:f>DNS_HQ_Win!$J$10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 w="9525">
              <a:noFill/>
            </a:ln>
            <a:effectLst/>
          </c:spPr>
          <c:invertIfNegative val="0"/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layout/>
                <c15:showLeaderLines val="0"/>
              </c:ext>
            </c:extLst>
          </c:dLbls>
          <c:val>
            <c:numRef>
              <c:f>DNS_HQ_Win!$O$12:$O$16</c:f>
              <c:numCache>
                <c:formatCode>0.0%</c:formatCode>
                <c:ptCount val="5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FF-420B-8ABE-C7AAF26CC6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07462656"/>
        <c:axId val="306658624"/>
      </c:barChart>
      <c:valAx>
        <c:axId val="306658624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high"/>
        <c:spPr>
          <a:noFill/>
          <a:ln w="9525">
            <a:noFill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7462656"/>
        <c:crosses val="autoZero"/>
        <c:crossBetween val="between"/>
        <c:majorUnit val="0.2"/>
      </c:valAx>
      <c:catAx>
        <c:axId val="307462656"/>
        <c:scaling>
          <c:orientation val="maxMin"/>
        </c:scaling>
        <c:delete val="0"/>
        <c:axPos val="l"/>
        <c:numFmt formatCode="0.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6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6658624"/>
        <c:crosses val="autoZero"/>
        <c:auto val="1"/>
        <c:lblAlgn val="ctr"/>
        <c:lblOffset val="100"/>
        <c:tickMarkSkip val="1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 w="9525">
          <a:noFill/>
        </a:ln>
        <a:effectLst/>
      </c:spPr>
      <c:txPr>
        <a:bodyPr rot="0" vert="horz" wrap="none" lIns="0" tIns="0" rIns="0" bIns="0" anchor="ctr" anchorCtr="1"/>
        <a:lstStyle/>
        <a:p>
          <a:pPr algn="l"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ea"/>
              <a:sym typeface="+mn-ea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noFill/>
      <a:round/>
    </a:ln>
    <a:effectLst/>
  </c:spPr>
  <c:txPr>
    <a:bodyPr rot="0" vert="horz" wrap="none" lIns="0" tIns="0" rIns="0" bIns="0" anchor="ctr" anchorCtr="1"/>
    <a:lstStyle/>
    <a:p>
      <a:pPr algn="l">
        <a:defRPr b="0" i="0" u="none"/>
      </a:pPr>
      <a:endParaRPr lang="ko-KR"/>
    </a:p>
  </c:txPr>
  <c:printSettings>
    <c:headerFooter/>
    <c:pageMargins b="0.75" l="0.7" r="0.7" t="0.75" header="0.3" footer="0.3"/>
    <c:pageSetup/>
  </c:printSettings>
  <c:extLst>
    <c:ext uri="CC8EB2C9-7E31-499d-B8F2-F6CE61031016">
      <ho:hncChartStyle xmlns:ho="http://schemas.haansoft.com/office/8.0" layoutIndex="-1" colorIndex="-1" styleIndex="-1"/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DHCP_BR_Win!$D$10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layout/>
                <c15:showLeaderLines val="0"/>
              </c:ext>
            </c:extLst>
          </c:dLbls>
          <c:val>
            <c:numRef>
              <c:f>DHCP_BR_Win!$H$12:$H$16</c:f>
              <c:numCache>
                <c:formatCode>0.0%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A3-42AC-BB9D-F7A023531CAA}"/>
            </c:ext>
          </c:extLst>
        </c:ser>
        <c:ser>
          <c:idx val="1"/>
          <c:order val="1"/>
          <c:tx>
            <c:strRef>
              <c:f>DHCP_BR_Win!$J$10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 w="9525">
              <a:noFill/>
            </a:ln>
            <a:effectLst/>
          </c:spPr>
          <c:invertIfNegative val="0"/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layout/>
                <c15:showLeaderLines val="0"/>
              </c:ext>
            </c:extLst>
          </c:dLbls>
          <c:val>
            <c:numRef>
              <c:f>DHCP_BR_Win!$O$12:$O$16</c:f>
              <c:numCache>
                <c:formatCode>0.0%</c:formatCode>
                <c:ptCount val="5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A3-42AC-BB9D-F7A023531C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07462656"/>
        <c:axId val="306658624"/>
      </c:barChart>
      <c:valAx>
        <c:axId val="306658624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high"/>
        <c:spPr>
          <a:noFill/>
          <a:ln w="9525">
            <a:noFill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7462656"/>
        <c:crosses val="autoZero"/>
        <c:crossBetween val="between"/>
        <c:majorUnit val="0.2"/>
      </c:valAx>
      <c:catAx>
        <c:axId val="307462656"/>
        <c:scaling>
          <c:orientation val="maxMin"/>
        </c:scaling>
        <c:delete val="0"/>
        <c:axPos val="l"/>
        <c:numFmt formatCode="0.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6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6658624"/>
        <c:crosses val="autoZero"/>
        <c:auto val="1"/>
        <c:lblAlgn val="ctr"/>
        <c:lblOffset val="100"/>
        <c:tickMarkSkip val="1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 w="9525">
          <a:noFill/>
        </a:ln>
        <a:effectLst/>
      </c:spPr>
      <c:txPr>
        <a:bodyPr rot="0" vert="horz" wrap="none" lIns="0" tIns="0" rIns="0" bIns="0" anchor="ctr" anchorCtr="1"/>
        <a:lstStyle/>
        <a:p>
          <a:pPr algn="l"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ea"/>
              <a:sym typeface="+mn-ea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noFill/>
      <a:round/>
    </a:ln>
    <a:effectLst/>
  </c:spPr>
  <c:txPr>
    <a:bodyPr rot="0" vert="horz" wrap="none" lIns="0" tIns="0" rIns="0" bIns="0" anchor="ctr" anchorCtr="1"/>
    <a:lstStyle/>
    <a:p>
      <a:pPr algn="l">
        <a:defRPr b="0" i="0" u="none"/>
      </a:pPr>
      <a:endParaRPr lang="ko-KR"/>
    </a:p>
  </c:txPr>
  <c:printSettings>
    <c:headerFooter/>
    <c:pageMargins b="0.75" l="0.7" r="0.7" t="0.75" header="0.3" footer="0.3"/>
    <c:pageSetup/>
  </c:printSettings>
  <c:extLst>
    <c:ext uri="CC8EB2C9-7E31-499d-B8F2-F6CE61031016">
      <ho:hncChartStyle xmlns:ho="http://schemas.haansoft.com/office/8.0" layoutIndex="-1" colorIndex="-1" styleIndex="-1"/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DNS_BR_Win!$D$10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layout/>
                <c15:showLeaderLines val="0"/>
              </c:ext>
            </c:extLst>
          </c:dLbls>
          <c:val>
            <c:numRef>
              <c:f>DNS_BR_Win!$H$12:$H$16</c:f>
              <c:numCache>
                <c:formatCode>0.0%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FD-4342-A7B7-4F4CC068A262}"/>
            </c:ext>
          </c:extLst>
        </c:ser>
        <c:ser>
          <c:idx val="1"/>
          <c:order val="1"/>
          <c:tx>
            <c:strRef>
              <c:f>DNS_BR_Win!$J$10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 w="9525">
              <a:noFill/>
            </a:ln>
            <a:effectLst/>
          </c:spPr>
          <c:invertIfNegative val="0"/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layout/>
                <c15:showLeaderLines val="0"/>
              </c:ext>
            </c:extLst>
          </c:dLbls>
          <c:val>
            <c:numRef>
              <c:f>DNS_BR_Win!$O$12:$O$16</c:f>
              <c:numCache>
                <c:formatCode>0.0%</c:formatCode>
                <c:ptCount val="5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FD-4342-A7B7-4F4CC068A2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07462656"/>
        <c:axId val="306658624"/>
      </c:barChart>
      <c:valAx>
        <c:axId val="306658624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high"/>
        <c:spPr>
          <a:noFill/>
          <a:ln w="9525">
            <a:noFill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7462656"/>
        <c:crosses val="autoZero"/>
        <c:crossBetween val="between"/>
        <c:majorUnit val="0.2"/>
      </c:valAx>
      <c:catAx>
        <c:axId val="307462656"/>
        <c:scaling>
          <c:orientation val="maxMin"/>
        </c:scaling>
        <c:delete val="0"/>
        <c:axPos val="l"/>
        <c:numFmt formatCode="0.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6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6658624"/>
        <c:crosses val="autoZero"/>
        <c:auto val="1"/>
        <c:lblAlgn val="ctr"/>
        <c:lblOffset val="100"/>
        <c:tickMarkSkip val="1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 w="9525">
          <a:noFill/>
        </a:ln>
        <a:effectLst/>
      </c:spPr>
      <c:txPr>
        <a:bodyPr rot="0" vert="horz" wrap="none" lIns="0" tIns="0" rIns="0" bIns="0" anchor="ctr" anchorCtr="1"/>
        <a:lstStyle/>
        <a:p>
          <a:pPr algn="l"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ea"/>
              <a:sym typeface="+mn-ea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noFill/>
      <a:round/>
    </a:ln>
    <a:effectLst/>
  </c:spPr>
  <c:txPr>
    <a:bodyPr rot="0" vert="horz" wrap="none" lIns="0" tIns="0" rIns="0" bIns="0" anchor="ctr" anchorCtr="1"/>
    <a:lstStyle/>
    <a:p>
      <a:pPr algn="l">
        <a:defRPr b="0" i="0" u="none"/>
      </a:pPr>
      <a:endParaRPr lang="ko-KR"/>
    </a:p>
  </c:txPr>
  <c:printSettings>
    <c:headerFooter/>
    <c:pageMargins b="0.75" l="0.7" r="0.7" t="0.75" header="0.3" footer="0.3"/>
    <c:pageSetup/>
  </c:printSettings>
  <c:extLst>
    <c:ext uri="CC8EB2C9-7E31-499d-B8F2-F6CE61031016">
      <ho:hncChartStyle xmlns:ho="http://schemas.haansoft.com/office/8.0" layoutIndex="-1" colorIndex="-1" styleIndex="-1"/>
    </c:ext>
  </c:extLst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</xdr:colOff>
      <xdr:row>4</xdr:row>
      <xdr:rowOff>352425</xdr:rowOff>
    </xdr:from>
    <xdr:to>
      <xdr:col>9</xdr:col>
      <xdr:colOff>809625</xdr:colOff>
      <xdr:row>8</xdr:row>
      <xdr:rowOff>342899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71475" y="1876425"/>
          <a:ext cx="8829675" cy="15144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n-US" altLang="ko-KR" sz="1050" b="1">
            <a:solidFill>
              <a:sysClr val="windowText" lastClr="000000"/>
            </a:solidFill>
          </a:endParaRPr>
        </a:p>
        <a:p>
          <a:pPr algn="ctr"/>
          <a:r>
            <a:rPr lang="ko-KR" altLang="en-US" sz="2800" b="1" baseline="0">
              <a:solidFill>
                <a:sysClr val="windowText" lastClr="000000"/>
              </a:solidFill>
              <a:latin typeface="+mj-ea"/>
              <a:ea typeface="+mj-ea"/>
            </a:rPr>
            <a:t>윈도우 </a:t>
          </a:r>
          <a:r>
            <a:rPr lang="ko-KR" altLang="en-US" sz="2800" b="1">
              <a:solidFill>
                <a:sysClr val="windowText" lastClr="000000"/>
              </a:solidFill>
              <a:latin typeface="+mj-ea"/>
              <a:ea typeface="+mj-ea"/>
            </a:rPr>
            <a:t>취약점 진단 </a:t>
          </a:r>
          <a:r>
            <a:rPr lang="en-US" altLang="ko-KR" sz="2800" b="1">
              <a:solidFill>
                <a:sysClr val="windowText" lastClr="000000"/>
              </a:solidFill>
              <a:latin typeface="+mj-ea"/>
              <a:ea typeface="+mj-ea"/>
            </a:rPr>
            <a:t/>
          </a:r>
          <a:br>
            <a:rPr lang="en-US" altLang="ko-KR" sz="2800" b="1">
              <a:solidFill>
                <a:sysClr val="windowText" lastClr="000000"/>
              </a:solidFill>
              <a:latin typeface="+mj-ea"/>
              <a:ea typeface="+mj-ea"/>
            </a:rPr>
          </a:br>
          <a:r>
            <a:rPr lang="ko-KR" altLang="en-US" sz="2800" b="1">
              <a:solidFill>
                <a:sysClr val="windowText" lastClr="000000"/>
              </a:solidFill>
              <a:latin typeface="+mj-ea"/>
              <a:ea typeface="+mj-ea"/>
            </a:rPr>
            <a:t>상세 결과보고서</a:t>
          </a:r>
          <a:endParaRPr lang="en-US" altLang="ko-KR" sz="2800" b="1">
            <a:solidFill>
              <a:sysClr val="windowText" lastClr="000000"/>
            </a:solidFill>
            <a:latin typeface="+mj-ea"/>
            <a:ea typeface="+mj-ea"/>
          </a:endParaRPr>
        </a:p>
        <a:p>
          <a:pPr algn="ctr"/>
          <a:r>
            <a:rPr lang="ko-KR" altLang="en-US" sz="1400" b="1">
              <a:solidFill>
                <a:sysClr val="windowText" lastClr="000000"/>
              </a:solidFill>
            </a:rPr>
            <a:t>주요정보통신기반시설 취약점 분석</a:t>
          </a:r>
          <a:r>
            <a:rPr lang="en-US" altLang="ko-KR" sz="1400" b="1">
              <a:solidFill>
                <a:sysClr val="windowText" lastClr="000000"/>
              </a:solidFill>
            </a:rPr>
            <a:t>·</a:t>
          </a:r>
          <a:r>
            <a:rPr lang="ko-KR" altLang="en-US" sz="1400" b="1">
              <a:solidFill>
                <a:sysClr val="windowText" lastClr="000000"/>
              </a:solidFill>
            </a:rPr>
            <a:t>평가</a:t>
          </a:r>
          <a:endParaRPr lang="en-US" altLang="ko-KR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723900</xdr:colOff>
      <xdr:row>5</xdr:row>
      <xdr:rowOff>28575</xdr:rowOff>
    </xdr:from>
    <xdr:to>
      <xdr:col>9</xdr:col>
      <xdr:colOff>19050</xdr:colOff>
      <xdr:row>5</xdr:row>
      <xdr:rowOff>66675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 flipV="1">
          <a:off x="1038225" y="1933575"/>
          <a:ext cx="7372350" cy="38100"/>
        </a:xfrm>
        <a:prstGeom prst="rect">
          <a:avLst/>
        </a:prstGeom>
        <a:solidFill>
          <a:schemeClr val="bg1">
            <a:lumMod val="50000"/>
          </a:schemeClr>
        </a:solidFill>
        <a:ln>
          <a:solidFill>
            <a:schemeClr val="bg1">
              <a:lumMod val="50000"/>
            </a:schemeClr>
          </a:solidFill>
        </a:ln>
        <a:effectLst/>
        <a:scene3d>
          <a:camera prst="orthographicFront">
            <a:rot lat="0" lon="0" rev="0"/>
          </a:camera>
          <a:lightRig rig="contrasting" dir="t">
            <a:rot lat="0" lon="0" rev="7800000"/>
          </a:lightRig>
        </a:scene3d>
        <a:sp3d>
          <a:bevelT w="139700" h="1397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lstStyle/>
        <a:p>
          <a:pPr algn="ctr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1</xdr:col>
      <xdr:colOff>752475</xdr:colOff>
      <xdr:row>8</xdr:row>
      <xdr:rowOff>333375</xdr:rowOff>
    </xdr:from>
    <xdr:to>
      <xdr:col>9</xdr:col>
      <xdr:colOff>38100</xdr:colOff>
      <xdr:row>8</xdr:row>
      <xdr:rowOff>361950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 flipV="1">
          <a:off x="1066800" y="3381375"/>
          <a:ext cx="7362825" cy="28575"/>
        </a:xfrm>
        <a:prstGeom prst="rect">
          <a:avLst/>
        </a:prstGeom>
        <a:solidFill>
          <a:schemeClr val="bg1">
            <a:lumMod val="50000"/>
          </a:schemeClr>
        </a:solidFill>
        <a:ln>
          <a:solidFill>
            <a:schemeClr val="bg1">
              <a:lumMod val="50000"/>
            </a:schemeClr>
          </a:solidFill>
        </a:ln>
        <a:effectLst/>
        <a:scene3d>
          <a:camera prst="orthographicFront">
            <a:rot lat="0" lon="0" rev="0"/>
          </a:camera>
          <a:lightRig rig="contrasting" dir="t">
            <a:rot lat="0" lon="0" rev="7800000"/>
          </a:lightRig>
        </a:scene3d>
        <a:sp3d>
          <a:bevelT w="139700" h="1397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lstStyle/>
        <a:p>
          <a:pPr algn="ctr" eaLnBrk="0" latinLnBrk="0">
            <a:lnSpc>
              <a:spcPct val="100000"/>
            </a:lnSpc>
          </a:pPr>
          <a:endParaRPr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9525</xdr:colOff>
      <xdr:row>25</xdr:row>
      <xdr:rowOff>9525</xdr:rowOff>
    </xdr:from>
    <xdr:to>
      <xdr:col>10</xdr:col>
      <xdr:colOff>304800</xdr:colOff>
      <xdr:row>45</xdr:row>
      <xdr:rowOff>38100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3790950" y="4295775"/>
          <a:ext cx="4057650" cy="34575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123824</xdr:colOff>
      <xdr:row>11</xdr:row>
      <xdr:rowOff>114300</xdr:rowOff>
    </xdr:from>
    <xdr:to>
      <xdr:col>11</xdr:col>
      <xdr:colOff>409575</xdr:colOff>
      <xdr:row>35</xdr:row>
      <xdr:rowOff>47625</xdr:rowOff>
    </xdr:to>
    <xdr:graphicFrame macro="">
      <xdr:nvGraphicFramePr>
        <xdr:cNvPr id="6985" name="차트 2">
          <a:extLst>
            <a:ext uri="{FF2B5EF4-FFF2-40B4-BE49-F238E27FC236}">
              <a16:creationId xmlns:a16="http://schemas.microsoft.com/office/drawing/2014/main" id="{00000000-0008-0000-0400-0000491B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123824</xdr:colOff>
      <xdr:row>11</xdr:row>
      <xdr:rowOff>114300</xdr:rowOff>
    </xdr:from>
    <xdr:to>
      <xdr:col>20</xdr:col>
      <xdr:colOff>619125</xdr:colOff>
      <xdr:row>35</xdr:row>
      <xdr:rowOff>76200</xdr:rowOff>
    </xdr:to>
    <xdr:graphicFrame macro="">
      <xdr:nvGraphicFramePr>
        <xdr:cNvPr id="2" name="차트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28575</xdr:colOff>
      <xdr:row>11</xdr:row>
      <xdr:rowOff>38100</xdr:rowOff>
    </xdr:from>
    <xdr:to>
      <xdr:col>8</xdr:col>
      <xdr:colOff>4714875</xdr:colOff>
      <xdr:row>16</xdr:row>
      <xdr:rowOff>219075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28575</xdr:colOff>
      <xdr:row>11</xdr:row>
      <xdr:rowOff>38100</xdr:rowOff>
    </xdr:from>
    <xdr:to>
      <xdr:col>8</xdr:col>
      <xdr:colOff>4714875</xdr:colOff>
      <xdr:row>16</xdr:row>
      <xdr:rowOff>219075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28575</xdr:colOff>
      <xdr:row>11</xdr:row>
      <xdr:rowOff>38100</xdr:rowOff>
    </xdr:from>
    <xdr:to>
      <xdr:col>8</xdr:col>
      <xdr:colOff>4714875</xdr:colOff>
      <xdr:row>16</xdr:row>
      <xdr:rowOff>219075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28575</xdr:colOff>
      <xdr:row>11</xdr:row>
      <xdr:rowOff>38100</xdr:rowOff>
    </xdr:from>
    <xdr:to>
      <xdr:col>8</xdr:col>
      <xdr:colOff>4714875</xdr:colOff>
      <xdr:row>16</xdr:row>
      <xdr:rowOff>219075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noFill/>
        <a:ln>
          <a:noFill/>
        </a:ln>
      </a:spPr>
      <a:bodyPr/>
      <a:lstStyle/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K16"/>
  <sheetViews>
    <sheetView view="pageBreakPreview" zoomScaleNormal="100" zoomScaleSheetLayoutView="100" workbookViewId="0"/>
  </sheetViews>
  <sheetFormatPr defaultColWidth="8.77734375" defaultRowHeight="16.5"/>
  <cols>
    <col min="1" max="1" width="3.6640625" style="67" customWidth="1"/>
    <col min="2" max="5" width="11.6640625" style="67" customWidth="1"/>
    <col min="6" max="6" width="12.44140625" style="67" bestFit="1" customWidth="1"/>
    <col min="7" max="10" width="11.6640625" style="67" customWidth="1"/>
    <col min="11" max="11" width="3.6640625" style="66" customWidth="1"/>
    <col min="12" max="16384" width="8.77734375" style="66"/>
  </cols>
  <sheetData>
    <row r="1" spans="1:11" ht="30" customHeight="1">
      <c r="A1" s="64"/>
      <c r="B1" s="64"/>
      <c r="C1" s="64"/>
      <c r="D1" s="64"/>
      <c r="E1" s="64"/>
      <c r="F1" s="64"/>
      <c r="G1" s="64"/>
      <c r="H1" s="64"/>
      <c r="I1" s="64"/>
      <c r="J1" s="64"/>
      <c r="K1" s="65"/>
    </row>
    <row r="2" spans="1:11" ht="30" customHeight="1">
      <c r="A2" s="64"/>
      <c r="B2" s="175"/>
      <c r="C2" s="175"/>
      <c r="D2" s="175"/>
      <c r="E2" s="64"/>
      <c r="F2" s="64"/>
      <c r="G2" s="64"/>
      <c r="H2" s="64"/>
      <c r="I2" s="64"/>
      <c r="J2" s="64"/>
      <c r="K2" s="64"/>
    </row>
    <row r="3" spans="1:11" ht="30" customHeight="1">
      <c r="A3" s="64"/>
      <c r="B3" s="175"/>
      <c r="C3" s="175"/>
      <c r="D3" s="175"/>
      <c r="E3" s="64"/>
      <c r="F3" s="64"/>
      <c r="G3" s="64"/>
      <c r="H3" s="64"/>
      <c r="I3" s="64"/>
      <c r="J3" s="64"/>
      <c r="K3" s="64"/>
    </row>
    <row r="4" spans="1:11" ht="30" customHeight="1">
      <c r="A4" s="64"/>
      <c r="B4" s="64"/>
      <c r="C4" s="64"/>
      <c r="D4" s="64"/>
      <c r="E4" s="64"/>
      <c r="F4" s="64"/>
      <c r="G4" s="64"/>
      <c r="H4" s="64"/>
      <c r="I4" s="64"/>
      <c r="J4" s="64"/>
      <c r="K4" s="64"/>
    </row>
    <row r="5" spans="1:11" ht="30" customHeight="1">
      <c r="A5" s="64"/>
      <c r="B5" s="64"/>
      <c r="C5" s="64"/>
      <c r="D5" s="64"/>
      <c r="E5" s="64"/>
      <c r="F5" s="64"/>
      <c r="G5" s="64"/>
      <c r="H5" s="64"/>
      <c r="I5" s="64"/>
      <c r="J5" s="64"/>
      <c r="K5" s="64"/>
    </row>
    <row r="6" spans="1:11" ht="30" customHeight="1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</row>
    <row r="7" spans="1:11" ht="30" customHeight="1">
      <c r="A7" s="64"/>
      <c r="B7" s="64"/>
      <c r="C7" s="64"/>
      <c r="D7" s="64"/>
      <c r="E7" s="64"/>
      <c r="F7" s="64"/>
      <c r="G7" s="64"/>
      <c r="H7" s="64"/>
      <c r="I7" s="64"/>
      <c r="J7" s="64"/>
      <c r="K7" s="64"/>
    </row>
    <row r="8" spans="1:11" ht="30" customHeight="1">
      <c r="A8" s="64"/>
      <c r="B8" s="64"/>
      <c r="C8" s="64"/>
      <c r="D8" s="64"/>
      <c r="E8" s="64"/>
      <c r="F8" s="64"/>
      <c r="G8" s="64"/>
      <c r="H8" s="64"/>
      <c r="I8" s="64"/>
      <c r="J8" s="64"/>
      <c r="K8" s="64"/>
    </row>
    <row r="9" spans="1:11" ht="30" customHeight="1">
      <c r="A9" s="64"/>
      <c r="B9" s="64"/>
      <c r="C9" s="64"/>
      <c r="D9" s="64"/>
      <c r="E9" s="64"/>
      <c r="F9" s="64"/>
      <c r="G9" s="64"/>
      <c r="H9" s="64"/>
      <c r="I9" s="64"/>
      <c r="J9" s="64"/>
      <c r="K9" s="65"/>
    </row>
    <row r="10" spans="1:11" ht="30" customHeight="1">
      <c r="A10" s="64"/>
      <c r="B10" s="64"/>
      <c r="C10" s="64"/>
      <c r="D10" s="64"/>
      <c r="E10" s="64"/>
      <c r="F10" s="64"/>
      <c r="G10" s="64"/>
      <c r="H10" s="64"/>
      <c r="I10" s="64"/>
      <c r="J10" s="64"/>
      <c r="K10" s="65"/>
    </row>
    <row r="11" spans="1:11" ht="30" customHeight="1">
      <c r="A11" s="64"/>
      <c r="B11" s="64"/>
      <c r="C11" s="64"/>
      <c r="D11" s="64"/>
      <c r="E11" s="64"/>
      <c r="F11" s="134">
        <v>46219</v>
      </c>
      <c r="G11" s="64"/>
      <c r="H11" s="64"/>
      <c r="I11" s="64"/>
      <c r="J11" s="64"/>
      <c r="K11" s="65"/>
    </row>
    <row r="12" spans="1:11" ht="30" customHeight="1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5"/>
    </row>
    <row r="13" spans="1:11" ht="30" customHeight="1">
      <c r="A13" s="64"/>
      <c r="B13" s="64"/>
      <c r="C13" s="64"/>
      <c r="D13" s="64"/>
      <c r="E13" s="64"/>
      <c r="F13" s="64"/>
      <c r="G13" s="64"/>
      <c r="H13"/>
      <c r="I13" s="64"/>
      <c r="J13" s="64"/>
      <c r="K13" s="65"/>
    </row>
    <row r="14" spans="1:11" ht="30" customHeight="1">
      <c r="A14" s="176"/>
      <c r="B14" s="176"/>
      <c r="C14" s="176"/>
      <c r="D14" s="176"/>
      <c r="E14" s="176"/>
      <c r="F14" s="176"/>
      <c r="G14" s="176"/>
      <c r="H14" s="176"/>
      <c r="I14" s="176"/>
      <c r="J14" s="176"/>
      <c r="K14" s="176"/>
    </row>
    <row r="15" spans="1:11" ht="30" customHeight="1">
      <c r="A15" s="65"/>
      <c r="B15" s="65"/>
      <c r="C15" s="65"/>
      <c r="D15" s="65"/>
      <c r="E15" s="65"/>
      <c r="F15" s="65"/>
      <c r="G15" s="65"/>
      <c r="H15" s="65"/>
      <c r="I15" s="65"/>
      <c r="J15" s="65"/>
      <c r="K15" s="65"/>
    </row>
    <row r="16" spans="1:11" ht="16.350000000000001" customHeight="1"/>
  </sheetData>
  <mergeCells count="2">
    <mergeCell ref="B2:D3"/>
    <mergeCell ref="A14:K14"/>
  </mergeCells>
  <phoneticPr fontId="27" type="noConversion"/>
  <printOptions horizontalCentered="1"/>
  <pageMargins left="0.19666667282581329" right="0.19666667282581329" top="0.59041666984558105" bottom="0.19666667282581329" header="0.31486111879348755" footer="0.31486111879348755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T21"/>
  <sheetViews>
    <sheetView showGridLines="0" view="pageBreakPreview" zoomScale="110" zoomScaleNormal="110" zoomScaleSheetLayoutView="110" workbookViewId="0"/>
  </sheetViews>
  <sheetFormatPr defaultColWidth="8.77734375" defaultRowHeight="11.25"/>
  <cols>
    <col min="1" max="1" width="3.77734375" style="17" customWidth="1"/>
    <col min="2" max="2" width="15.77734375" style="20" bestFit="1" customWidth="1"/>
    <col min="3" max="3" width="12.44140625" style="20" bestFit="1" customWidth="1"/>
    <col min="4" max="4" width="10" style="20" customWidth="1"/>
    <col min="5" max="5" width="3.77734375" style="20" customWidth="1"/>
    <col min="6" max="7" width="12.109375" style="20" customWidth="1"/>
    <col min="8" max="8" width="8" style="20" bestFit="1" customWidth="1"/>
    <col min="9" max="9" width="23" style="20" bestFit="1" customWidth="1"/>
    <col min="10" max="10" width="6.109375" style="17" bestFit="1" customWidth="1"/>
    <col min="11" max="11" width="6.109375" style="17" customWidth="1"/>
    <col min="12" max="12" width="6.44140625" style="17" customWidth="1"/>
    <col min="13" max="13" width="27.6640625" style="17" bestFit="1" customWidth="1"/>
    <col min="14" max="17" width="4.77734375" style="17" customWidth="1"/>
    <col min="18" max="18" width="8.44140625" style="20" customWidth="1"/>
    <col min="19" max="16384" width="8.77734375" style="17"/>
  </cols>
  <sheetData>
    <row r="1" spans="1:18" ht="16.5">
      <c r="A1" s="16" t="s">
        <v>239</v>
      </c>
    </row>
    <row r="3" spans="1:18" ht="11.25" customHeight="1">
      <c r="A3" s="177" t="s">
        <v>67</v>
      </c>
      <c r="B3" s="179" t="s">
        <v>213</v>
      </c>
      <c r="C3" s="179" t="s">
        <v>86</v>
      </c>
      <c r="D3" s="179" t="s">
        <v>210</v>
      </c>
      <c r="E3" s="179" t="s">
        <v>89</v>
      </c>
      <c r="F3" s="179" t="s">
        <v>92</v>
      </c>
      <c r="G3" s="179" t="s">
        <v>208</v>
      </c>
      <c r="H3" s="179" t="s">
        <v>85</v>
      </c>
      <c r="I3" s="179" t="s">
        <v>232</v>
      </c>
      <c r="J3" s="179" t="s">
        <v>209</v>
      </c>
      <c r="K3" s="179" t="s">
        <v>81</v>
      </c>
      <c r="L3" s="179" t="s">
        <v>71</v>
      </c>
      <c r="M3" s="179" t="s">
        <v>73</v>
      </c>
      <c r="N3" s="181" t="s">
        <v>195</v>
      </c>
      <c r="O3" s="182"/>
      <c r="P3" s="182"/>
      <c r="Q3" s="183"/>
      <c r="R3" s="29"/>
    </row>
    <row r="4" spans="1:18">
      <c r="A4" s="178"/>
      <c r="B4" s="180"/>
      <c r="C4" s="180"/>
      <c r="D4" s="180"/>
      <c r="E4" s="180"/>
      <c r="F4" s="180"/>
      <c r="G4" s="180"/>
      <c r="H4" s="180"/>
      <c r="I4" s="180"/>
      <c r="J4" s="180"/>
      <c r="K4" s="180"/>
      <c r="L4" s="180"/>
      <c r="M4" s="180"/>
      <c r="N4" s="68" t="s">
        <v>70</v>
      </c>
      <c r="O4" s="68" t="s">
        <v>77</v>
      </c>
      <c r="P4" s="68" t="s">
        <v>106</v>
      </c>
      <c r="Q4" s="69" t="s">
        <v>74</v>
      </c>
      <c r="R4" s="29" t="s">
        <v>114</v>
      </c>
    </row>
    <row r="5" spans="1:18" ht="12" customHeight="1">
      <c r="A5" s="146">
        <v>1</v>
      </c>
      <c r="B5" s="147" t="s">
        <v>434</v>
      </c>
      <c r="C5" s="32" t="s">
        <v>436</v>
      </c>
      <c r="D5" s="147" t="s">
        <v>135</v>
      </c>
      <c r="E5" s="32" t="s">
        <v>91</v>
      </c>
      <c r="F5" s="148" t="s">
        <v>91</v>
      </c>
      <c r="G5" s="148" t="s">
        <v>91</v>
      </c>
      <c r="H5" s="32">
        <v>2016</v>
      </c>
      <c r="I5" s="147" t="s">
        <v>413</v>
      </c>
      <c r="J5" s="316" t="s">
        <v>417</v>
      </c>
      <c r="K5" s="147" t="s">
        <v>104</v>
      </c>
      <c r="L5" s="29" t="s">
        <v>412</v>
      </c>
      <c r="M5" s="32"/>
      <c r="N5" s="149">
        <v>3</v>
      </c>
      <c r="O5" s="149">
        <v>3</v>
      </c>
      <c r="P5" s="149">
        <v>3</v>
      </c>
      <c r="Q5" s="51" t="str">
        <f>IF(R5&gt;=7,"H",IF(R5&gt;=5,"M","L"))</f>
        <v>H</v>
      </c>
      <c r="R5" s="29">
        <f>SUM(N5:P5)</f>
        <v>9</v>
      </c>
    </row>
    <row r="6" spans="1:18" ht="12" customHeight="1">
      <c r="A6" s="146">
        <v>2</v>
      </c>
      <c r="B6" s="147" t="s">
        <v>431</v>
      </c>
      <c r="C6" s="32" t="s">
        <v>437</v>
      </c>
      <c r="D6" s="147" t="s">
        <v>135</v>
      </c>
      <c r="E6" s="32" t="s">
        <v>91</v>
      </c>
      <c r="F6" s="148" t="s">
        <v>91</v>
      </c>
      <c r="G6" s="148" t="s">
        <v>91</v>
      </c>
      <c r="H6" s="32">
        <v>2016</v>
      </c>
      <c r="I6" s="147" t="s">
        <v>435</v>
      </c>
      <c r="J6" s="147" t="s">
        <v>440</v>
      </c>
      <c r="K6" s="147" t="s">
        <v>104</v>
      </c>
      <c r="L6" s="29" t="s">
        <v>95</v>
      </c>
      <c r="M6" s="32"/>
      <c r="N6" s="149">
        <v>3</v>
      </c>
      <c r="O6" s="149">
        <v>3</v>
      </c>
      <c r="P6" s="149">
        <v>3</v>
      </c>
      <c r="Q6" s="51" t="str">
        <f>IF(R6&gt;=7,"H",IF(R6&gt;=5,"M","L"))</f>
        <v>H</v>
      </c>
      <c r="R6" s="29">
        <f t="shared" ref="R6" si="0">SUM(N6:P6)</f>
        <v>9</v>
      </c>
    </row>
    <row r="7" spans="1:18" ht="12" customHeight="1">
      <c r="A7" s="146">
        <v>3</v>
      </c>
      <c r="B7" s="147" t="s">
        <v>433</v>
      </c>
      <c r="C7" s="147" t="s">
        <v>438</v>
      </c>
      <c r="D7" s="147" t="s">
        <v>135</v>
      </c>
      <c r="E7" s="147" t="s">
        <v>91</v>
      </c>
      <c r="F7" s="148" t="s">
        <v>91</v>
      </c>
      <c r="G7" s="148" t="s">
        <v>91</v>
      </c>
      <c r="H7" s="147">
        <v>2016</v>
      </c>
      <c r="I7" s="316" t="s">
        <v>416</v>
      </c>
      <c r="J7" s="316" t="s">
        <v>417</v>
      </c>
      <c r="K7" s="147" t="s">
        <v>414</v>
      </c>
      <c r="L7" s="147" t="s">
        <v>107</v>
      </c>
      <c r="M7" s="32"/>
      <c r="N7" s="149">
        <v>3</v>
      </c>
      <c r="O7" s="149">
        <v>3</v>
      </c>
      <c r="P7" s="149">
        <v>3</v>
      </c>
      <c r="Q7" s="51" t="str">
        <f>IF(R7&gt;=7,"H",IF(R7&gt;=5,"M","L"))</f>
        <v>H</v>
      </c>
      <c r="R7" s="29">
        <f>SUM(N7:P7)</f>
        <v>9</v>
      </c>
    </row>
    <row r="8" spans="1:18" s="322" customFormat="1" ht="12" customHeight="1">
      <c r="A8" s="315">
        <v>4</v>
      </c>
      <c r="B8" s="316" t="s">
        <v>432</v>
      </c>
      <c r="C8" s="316" t="s">
        <v>439</v>
      </c>
      <c r="D8" s="316" t="s">
        <v>135</v>
      </c>
      <c r="E8" s="316" t="s">
        <v>91</v>
      </c>
      <c r="F8" s="317" t="s">
        <v>91</v>
      </c>
      <c r="G8" s="317" t="s">
        <v>91</v>
      </c>
      <c r="H8" s="316">
        <v>2016</v>
      </c>
      <c r="I8" s="316" t="s">
        <v>284</v>
      </c>
      <c r="J8" s="316" t="s">
        <v>286</v>
      </c>
      <c r="K8" s="316" t="s">
        <v>415</v>
      </c>
      <c r="L8" s="316" t="s">
        <v>285</v>
      </c>
      <c r="M8" s="318"/>
      <c r="N8" s="319">
        <v>3</v>
      </c>
      <c r="O8" s="319">
        <v>3</v>
      </c>
      <c r="P8" s="319">
        <v>3</v>
      </c>
      <c r="Q8" s="320" t="str">
        <f t="shared" ref="Q8" si="1">IF(R8&gt;=7,"H",IF(R8&gt;=5,"M","L"))</f>
        <v>H</v>
      </c>
      <c r="R8" s="321">
        <f t="shared" ref="R8" si="2">SUM(N8:P8)</f>
        <v>9</v>
      </c>
    </row>
    <row r="9" spans="1:18" ht="12" customHeight="1">
      <c r="A9" s="163"/>
      <c r="B9" s="164"/>
      <c r="C9" s="47"/>
      <c r="D9" s="164"/>
      <c r="E9" s="47"/>
      <c r="F9" s="165"/>
      <c r="G9" s="165"/>
      <c r="H9" s="47"/>
      <c r="I9" s="164"/>
      <c r="J9" s="164"/>
      <c r="K9" s="164"/>
      <c r="L9" s="20"/>
      <c r="M9" s="47"/>
      <c r="N9" s="166"/>
      <c r="O9" s="166"/>
      <c r="P9" s="166"/>
      <c r="Q9" s="56"/>
    </row>
    <row r="10" spans="1:18" ht="12" customHeight="1">
      <c r="A10" s="163"/>
      <c r="B10" s="164"/>
      <c r="C10" s="47"/>
      <c r="D10" s="164"/>
      <c r="E10" s="47"/>
      <c r="F10" s="165"/>
      <c r="G10" s="165"/>
      <c r="H10" s="47"/>
      <c r="I10" s="164"/>
      <c r="J10" s="164"/>
      <c r="K10" s="164"/>
      <c r="L10" s="20"/>
      <c r="M10" s="47"/>
      <c r="N10" s="166"/>
      <c r="O10" s="166"/>
      <c r="P10" s="166"/>
      <c r="Q10" s="56"/>
    </row>
    <row r="21" spans="20:20">
      <c r="T21" s="17" t="s">
        <v>287</v>
      </c>
    </row>
  </sheetData>
  <mergeCells count="14">
    <mergeCell ref="K3:K4"/>
    <mergeCell ref="L3:L4"/>
    <mergeCell ref="M3:M4"/>
    <mergeCell ref="N3:Q3"/>
    <mergeCell ref="F3:F4"/>
    <mergeCell ref="G3:G4"/>
    <mergeCell ref="H3:H4"/>
    <mergeCell ref="I3:I4"/>
    <mergeCell ref="J3:J4"/>
    <mergeCell ref="A3:A4"/>
    <mergeCell ref="B3:B4"/>
    <mergeCell ref="C3:C4"/>
    <mergeCell ref="D3:D4"/>
    <mergeCell ref="E3:E4"/>
  </mergeCells>
  <phoneticPr fontId="27" type="noConversion"/>
  <printOptions horizontalCentered="1"/>
  <pageMargins left="0.39347222447395325" right="0.39347222447395325" top="0.59041666984558105" bottom="0.59041666984558105" header="0.39347222447395325" footer="0.39347222447395325"/>
  <pageSetup paperSize="9" scale="49" fitToHeight="0" orientation="portrait" horizontalDpi="4294967294" verticalDpi="4294967294" r:id="rId1"/>
  <headerFooter alignWithMargins="0">
    <oddHeader>&amp;L&amp;"맑은 고딕,Regular"
&amp;R&amp;"맑은 고딕,Regular"&amp;F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rgb="FFFF0000"/>
  </sheetPr>
  <dimension ref="B2:U53"/>
  <sheetViews>
    <sheetView zoomScaleNormal="100" zoomScaleSheetLayoutView="100" workbookViewId="0">
      <selection activeCell="C8" sqref="C8"/>
    </sheetView>
  </sheetViews>
  <sheetFormatPr defaultColWidth="8.77734375" defaultRowHeight="13.5"/>
  <cols>
    <col min="1" max="1" width="2.6640625" customWidth="1"/>
    <col min="3" max="3" width="15.109375" bestFit="1" customWidth="1"/>
  </cols>
  <sheetData>
    <row r="2" spans="2:8">
      <c r="B2" s="9" t="s">
        <v>117</v>
      </c>
    </row>
    <row r="3" spans="2:8">
      <c r="B3" s="28" t="s">
        <v>229</v>
      </c>
    </row>
    <row r="4" spans="2:8">
      <c r="B4" s="11" t="s">
        <v>80</v>
      </c>
    </row>
    <row r="6" spans="2:8">
      <c r="B6" s="9" t="s">
        <v>165</v>
      </c>
      <c r="C6" s="9"/>
    </row>
    <row r="7" spans="2:8">
      <c r="B7" s="28" t="s">
        <v>101</v>
      </c>
      <c r="C7" s="28" t="s">
        <v>102</v>
      </c>
    </row>
    <row r="8" spans="2:8">
      <c r="B8" s="11" t="s">
        <v>98</v>
      </c>
      <c r="C8" s="11">
        <v>3</v>
      </c>
    </row>
    <row r="9" spans="2:8">
      <c r="B9" s="11" t="s">
        <v>87</v>
      </c>
      <c r="C9" s="11">
        <v>2</v>
      </c>
    </row>
    <row r="10" spans="2:8">
      <c r="B10" s="11" t="s">
        <v>69</v>
      </c>
      <c r="C10" s="11">
        <v>1</v>
      </c>
    </row>
    <row r="11" spans="2:8">
      <c r="B11" s="12"/>
      <c r="C11" s="12"/>
    </row>
    <row r="12" spans="2:8">
      <c r="B12" s="9" t="s">
        <v>123</v>
      </c>
      <c r="C12" s="9"/>
    </row>
    <row r="13" spans="2:8">
      <c r="B13" s="184" t="s">
        <v>228</v>
      </c>
      <c r="C13" s="184" t="s">
        <v>102</v>
      </c>
      <c r="D13" s="184"/>
    </row>
    <row r="14" spans="2:8">
      <c r="B14" s="184"/>
      <c r="C14" s="28" t="s">
        <v>220</v>
      </c>
      <c r="D14" s="28" t="s">
        <v>236</v>
      </c>
    </row>
    <row r="15" spans="2:8">
      <c r="B15" s="11" t="s">
        <v>88</v>
      </c>
      <c r="C15" s="11">
        <v>1</v>
      </c>
      <c r="D15" s="11">
        <v>0</v>
      </c>
    </row>
    <row r="16" spans="2:8">
      <c r="B16" s="11" t="s">
        <v>100</v>
      </c>
      <c r="C16" s="11">
        <v>0</v>
      </c>
      <c r="D16" s="11">
        <v>3</v>
      </c>
      <c r="F16" s="11" t="s">
        <v>99</v>
      </c>
      <c r="G16" s="11">
        <v>0.5</v>
      </c>
      <c r="H16" s="11">
        <v>0.5</v>
      </c>
    </row>
    <row r="17" spans="2:6">
      <c r="B17" s="11" t="s">
        <v>78</v>
      </c>
      <c r="C17" s="11">
        <v>0</v>
      </c>
      <c r="D17" s="11">
        <v>0</v>
      </c>
    </row>
    <row r="18" spans="2:6">
      <c r="B18" s="11" t="s">
        <v>109</v>
      </c>
      <c r="C18" s="11">
        <v>0</v>
      </c>
      <c r="D18" s="11">
        <v>0</v>
      </c>
    </row>
    <row r="19" spans="2:6">
      <c r="B19" s="11" t="s">
        <v>193</v>
      </c>
      <c r="C19" s="11">
        <v>1</v>
      </c>
      <c r="D19" s="11">
        <v>0</v>
      </c>
    </row>
    <row r="20" spans="2:6">
      <c r="B20" s="12"/>
      <c r="C20" s="12"/>
    </row>
    <row r="21" spans="2:6">
      <c r="B21" s="9" t="s">
        <v>216</v>
      </c>
    </row>
    <row r="22" spans="2:6">
      <c r="B22" s="28" t="s">
        <v>90</v>
      </c>
    </row>
    <row r="23" spans="2:6">
      <c r="B23" s="11">
        <v>21</v>
      </c>
    </row>
    <row r="25" spans="2:6">
      <c r="B25" s="9" t="s">
        <v>37</v>
      </c>
      <c r="F25" s="9" t="s">
        <v>54</v>
      </c>
    </row>
    <row r="26" spans="2:6">
      <c r="B26" s="185" t="s">
        <v>224</v>
      </c>
      <c r="C26" s="187" t="s">
        <v>214</v>
      </c>
      <c r="D26" s="188"/>
    </row>
    <row r="27" spans="2:6">
      <c r="B27" s="186"/>
      <c r="C27" s="28" t="s">
        <v>105</v>
      </c>
      <c r="D27" s="28" t="s">
        <v>103</v>
      </c>
    </row>
    <row r="28" spans="2:6">
      <c r="B28" s="11" t="s">
        <v>98</v>
      </c>
      <c r="C28" s="11">
        <v>7</v>
      </c>
      <c r="D28" s="11">
        <v>9</v>
      </c>
    </row>
    <row r="29" spans="2:6">
      <c r="B29" s="11" t="s">
        <v>87</v>
      </c>
      <c r="C29" s="11">
        <v>5</v>
      </c>
      <c r="D29" s="11">
        <v>6</v>
      </c>
    </row>
    <row r="30" spans="2:6">
      <c r="B30" s="11" t="s">
        <v>69</v>
      </c>
      <c r="C30" s="11">
        <v>3</v>
      </c>
      <c r="D30" s="11">
        <v>4</v>
      </c>
    </row>
    <row r="31" spans="2:6">
      <c r="B31" s="10"/>
      <c r="C31" s="10"/>
      <c r="D31" s="10"/>
    </row>
    <row r="32" spans="2:6">
      <c r="B32" s="9" t="s">
        <v>43</v>
      </c>
    </row>
    <row r="33" spans="2:21">
      <c r="B33" s="185" t="s">
        <v>224</v>
      </c>
      <c r="C33" s="187" t="s">
        <v>214</v>
      </c>
      <c r="D33" s="188"/>
    </row>
    <row r="34" spans="2:21">
      <c r="B34" s="186"/>
      <c r="C34" s="28" t="s">
        <v>105</v>
      </c>
      <c r="D34" s="28" t="s">
        <v>103</v>
      </c>
    </row>
    <row r="35" spans="2:21">
      <c r="B35" s="11" t="s">
        <v>98</v>
      </c>
      <c r="C35" s="11">
        <v>5</v>
      </c>
      <c r="D35" s="11">
        <v>6</v>
      </c>
    </row>
    <row r="36" spans="2:21">
      <c r="B36" s="11" t="s">
        <v>87</v>
      </c>
      <c r="C36" s="11">
        <v>4</v>
      </c>
      <c r="D36" s="11">
        <v>4</v>
      </c>
    </row>
    <row r="37" spans="2:21">
      <c r="B37" s="11" t="s">
        <v>69</v>
      </c>
      <c r="C37" s="11">
        <v>2</v>
      </c>
      <c r="D37" s="11">
        <v>3</v>
      </c>
    </row>
    <row r="39" spans="2:21">
      <c r="B39" s="9" t="s">
        <v>42</v>
      </c>
    </row>
    <row r="40" spans="2:21">
      <c r="B40" s="185" t="s">
        <v>224</v>
      </c>
      <c r="C40" s="187" t="s">
        <v>214</v>
      </c>
      <c r="D40" s="188"/>
    </row>
    <row r="41" spans="2:21">
      <c r="B41" s="186"/>
      <c r="C41" s="28" t="s">
        <v>105</v>
      </c>
      <c r="D41" s="28" t="s">
        <v>103</v>
      </c>
    </row>
    <row r="42" spans="2:21">
      <c r="B42" s="11" t="s">
        <v>98</v>
      </c>
      <c r="C42" s="11">
        <f>$B$23</f>
        <v>21</v>
      </c>
      <c r="D42" s="11">
        <v>30</v>
      </c>
    </row>
    <row r="43" spans="2:21">
      <c r="B43" s="11" t="s">
        <v>87</v>
      </c>
      <c r="C43" s="11">
        <v>11</v>
      </c>
      <c r="D43" s="11">
        <f>$C$42-1</f>
        <v>20</v>
      </c>
    </row>
    <row r="44" spans="2:21">
      <c r="B44" s="11" t="s">
        <v>69</v>
      </c>
      <c r="C44" s="11">
        <v>1</v>
      </c>
      <c r="D44" s="11">
        <f>$C$43-1</f>
        <v>10</v>
      </c>
    </row>
    <row r="46" spans="2:21">
      <c r="B46" s="9" t="s">
        <v>129</v>
      </c>
    </row>
    <row r="47" spans="2:21">
      <c r="B47" s="9" t="s">
        <v>36</v>
      </c>
    </row>
    <row r="48" spans="2:21">
      <c r="B48" s="191" t="s">
        <v>83</v>
      </c>
      <c r="C48" s="34" t="s">
        <v>242</v>
      </c>
      <c r="D48" s="187" t="s">
        <v>45</v>
      </c>
      <c r="E48" s="189"/>
      <c r="F48" s="189"/>
      <c r="G48" s="189"/>
      <c r="H48" s="189"/>
      <c r="I48" s="189"/>
      <c r="J48" s="189"/>
      <c r="K48" s="189"/>
      <c r="L48" s="188"/>
      <c r="M48" s="184" t="s">
        <v>48</v>
      </c>
      <c r="N48" s="184"/>
      <c r="O48" s="184"/>
      <c r="P48" s="184"/>
      <c r="Q48" s="184"/>
      <c r="R48" s="184"/>
      <c r="S48" s="184"/>
      <c r="T48" s="184"/>
      <c r="U48" s="184"/>
    </row>
    <row r="49" spans="2:21">
      <c r="B49" s="191"/>
      <c r="C49" s="34" t="s">
        <v>8</v>
      </c>
      <c r="D49" s="187" t="s">
        <v>69</v>
      </c>
      <c r="E49" s="189"/>
      <c r="F49" s="188"/>
      <c r="G49" s="187" t="s">
        <v>87</v>
      </c>
      <c r="H49" s="189"/>
      <c r="I49" s="188"/>
      <c r="J49" s="187" t="s">
        <v>98</v>
      </c>
      <c r="K49" s="189"/>
      <c r="L49" s="188"/>
      <c r="M49" s="187" t="s">
        <v>69</v>
      </c>
      <c r="N49" s="189"/>
      <c r="O49" s="188"/>
      <c r="P49" s="187" t="s">
        <v>87</v>
      </c>
      <c r="Q49" s="189"/>
      <c r="R49" s="188"/>
      <c r="S49" s="187" t="s">
        <v>98</v>
      </c>
      <c r="T49" s="189"/>
      <c r="U49" s="188"/>
    </row>
    <row r="50" spans="2:21">
      <c r="B50" s="187" t="s">
        <v>111</v>
      </c>
      <c r="C50" s="188"/>
      <c r="D50" s="28" t="s">
        <v>69</v>
      </c>
      <c r="E50" s="28" t="s">
        <v>87</v>
      </c>
      <c r="F50" s="28" t="s">
        <v>98</v>
      </c>
      <c r="G50" s="28" t="s">
        <v>69</v>
      </c>
      <c r="H50" s="28" t="s">
        <v>87</v>
      </c>
      <c r="I50" s="28" t="s">
        <v>98</v>
      </c>
      <c r="J50" s="28" t="s">
        <v>69</v>
      </c>
      <c r="K50" s="28" t="s">
        <v>87</v>
      </c>
      <c r="L50" s="28" t="s">
        <v>98</v>
      </c>
      <c r="M50" s="28" t="s">
        <v>69</v>
      </c>
      <c r="N50" s="28" t="s">
        <v>87</v>
      </c>
      <c r="O50" s="28" t="s">
        <v>98</v>
      </c>
      <c r="P50" s="28" t="s">
        <v>69</v>
      </c>
      <c r="Q50" s="28" t="s">
        <v>87</v>
      </c>
      <c r="R50" s="28" t="s">
        <v>98</v>
      </c>
      <c r="S50" s="28" t="s">
        <v>69</v>
      </c>
      <c r="T50" s="28" t="s">
        <v>87</v>
      </c>
      <c r="U50" s="28" t="s">
        <v>98</v>
      </c>
    </row>
    <row r="51" spans="2:21">
      <c r="B51" s="185" t="s">
        <v>72</v>
      </c>
      <c r="C51" s="28" t="s">
        <v>69</v>
      </c>
      <c r="D51" s="11">
        <f>VLOOKUP($C51,$B$8:$C$10,2,FALSE)*(1+VLOOKUP($D$49,$B$8:$C$10,2,FALSE)*0*VLOOKUP(D$50,$B$8:$C$10,2,FALSE))</f>
        <v>1</v>
      </c>
      <c r="E51" s="11">
        <f t="shared" ref="E51:F53" si="0">VLOOKUP($C51,$B$8:$C$10,2,FALSE)*(1+VLOOKUP($D$49,$B$8:$C$10,2,FALSE)*0*VLOOKUP(E$50,$B$8:$C$10,2,FALSE))</f>
        <v>1</v>
      </c>
      <c r="F51" s="11">
        <f t="shared" si="0"/>
        <v>1</v>
      </c>
      <c r="G51" s="11">
        <f>VLOOKUP($C51,$B$8:$C$10,2,FALSE)*(1+VLOOKUP($G$49,$B$8:$C$10,2,FALSE)*0*VLOOKUP(G$50,$B$8:$C$10,2,FALSE))</f>
        <v>1</v>
      </c>
      <c r="H51" s="11">
        <f t="shared" ref="H51:I53" si="1">VLOOKUP($C51,$B$8:$C$10,2,FALSE)*(1+VLOOKUP($G$49,$B$8:$C$10,2,FALSE)*0*VLOOKUP(H$50,$B$8:$C$10,2,FALSE))</f>
        <v>1</v>
      </c>
      <c r="I51" s="11">
        <f t="shared" si="1"/>
        <v>1</v>
      </c>
      <c r="J51" s="30">
        <f>VLOOKUP($C51,$B$8:$C$10,2,FALSE)*(1+VLOOKUP($J$49,$B$8:$C$10,2,FALSE)*0*VLOOKUP(J$50,$B$8:$C$10,2,FALSE))</f>
        <v>1</v>
      </c>
      <c r="K51" s="30">
        <f t="shared" ref="K51:L53" si="2">VLOOKUP($C51,$B$8:$C$10,2,FALSE)*(1+VLOOKUP($J$49,$B$8:$C$10,2,FALSE)*0*VLOOKUP(K$50,$B$8:$C$10,2,FALSE))</f>
        <v>1</v>
      </c>
      <c r="L51" s="30">
        <f t="shared" si="2"/>
        <v>1</v>
      </c>
      <c r="M51" s="30">
        <f>VLOOKUP($C51,$B$8:$C$10,2,FALSE)*(1+VLOOKUP($M$49,$B$8:$C$10,2,FALSE)*1*VLOOKUP(M$50,$B$8:$C$10,2,FALSE))</f>
        <v>2</v>
      </c>
      <c r="N51" s="30">
        <f t="shared" ref="N51:O53" si="3">VLOOKUP($C51,$B$8:$C$10,2,FALSE)*(1+VLOOKUP($M$49,$B$8:$C$10,2,FALSE)*1*VLOOKUP(N$50,$B$8:$C$10,2,FALSE))</f>
        <v>3</v>
      </c>
      <c r="O51" s="30">
        <f t="shared" si="3"/>
        <v>4</v>
      </c>
      <c r="P51" s="30">
        <f>VLOOKUP($C51,$B$8:$C$10,2,FALSE)*(1+VLOOKUP($P$49,$B$8:$C$10,2,FALSE)*1*VLOOKUP(P$50,$B$8:$C$10,2,FALSE))</f>
        <v>3</v>
      </c>
      <c r="Q51" s="30">
        <f t="shared" ref="Q51:R53" si="4">VLOOKUP($C51,$B$8:$C$10,2,FALSE)*(1+VLOOKUP($P$49,$B$8:$C$10,2,FALSE)*1*VLOOKUP(Q$50,$B$8:$C$10,2,FALSE))</f>
        <v>5</v>
      </c>
      <c r="R51" s="30">
        <f t="shared" si="4"/>
        <v>7</v>
      </c>
      <c r="S51" s="30">
        <f>VLOOKUP($C51,$B$8:$C$10,2,FALSE)*(1+VLOOKUP($S$49,$B$8:$C$10,2,FALSE)*1*VLOOKUP(S$50,$B$8:$C$10,2,FALSE))</f>
        <v>4</v>
      </c>
      <c r="T51" s="30">
        <f t="shared" ref="T51:U53" si="5">VLOOKUP($C51,$B$8:$C$10,2,FALSE)*(1+VLOOKUP($S$49,$B$8:$C$10,2,FALSE)*1*VLOOKUP(T$50,$B$8:$C$10,2,FALSE))</f>
        <v>7</v>
      </c>
      <c r="U51" s="30">
        <f t="shared" si="5"/>
        <v>10</v>
      </c>
    </row>
    <row r="52" spans="2:21">
      <c r="B52" s="190"/>
      <c r="C52" s="28" t="s">
        <v>87</v>
      </c>
      <c r="D52" s="11">
        <f t="shared" ref="D52:D53" si="6">VLOOKUP($C52,$B$8:$C$10,2,FALSE)*(1+VLOOKUP($D$49,$B$8:$C$10,2,FALSE)*0*VLOOKUP(D$50,$B$8:$C$10,2,FALSE))</f>
        <v>2</v>
      </c>
      <c r="E52" s="11">
        <f t="shared" si="0"/>
        <v>2</v>
      </c>
      <c r="F52" s="11">
        <f t="shared" si="0"/>
        <v>2</v>
      </c>
      <c r="G52" s="11">
        <f t="shared" ref="G52:G53" si="7">VLOOKUP($C52,$B$8:$C$10,2,FALSE)*(1+VLOOKUP($G$49,$B$8:$C$10,2,FALSE)*0*VLOOKUP(G$50,$B$8:$C$10,2,FALSE))</f>
        <v>2</v>
      </c>
      <c r="H52" s="11">
        <f t="shared" si="1"/>
        <v>2</v>
      </c>
      <c r="I52" s="11">
        <f t="shared" si="1"/>
        <v>2</v>
      </c>
      <c r="J52" s="30">
        <f t="shared" ref="J52:J53" si="8">VLOOKUP($C52,$B$8:$C$10,2,FALSE)*(1+VLOOKUP($J$49,$B$8:$C$10,2,FALSE)*0*VLOOKUP(J$50,$B$8:$C$10,2,FALSE))</f>
        <v>2</v>
      </c>
      <c r="K52" s="30">
        <f t="shared" si="2"/>
        <v>2</v>
      </c>
      <c r="L52" s="30">
        <f t="shared" si="2"/>
        <v>2</v>
      </c>
      <c r="M52" s="30">
        <f t="shared" ref="M52:M53" si="9">VLOOKUP($C52,$B$8:$C$10,2,FALSE)*(1+VLOOKUP($M$49,$B$8:$C$10,2,FALSE)*1*VLOOKUP(M$50,$B$8:$C$10,2,FALSE))</f>
        <v>4</v>
      </c>
      <c r="N52" s="30">
        <f t="shared" si="3"/>
        <v>6</v>
      </c>
      <c r="O52" s="30">
        <f t="shared" si="3"/>
        <v>8</v>
      </c>
      <c r="P52" s="30">
        <f t="shared" ref="P52:P53" si="10">VLOOKUP($C52,$B$8:$C$10,2,FALSE)*(1+VLOOKUP($P$49,$B$8:$C$10,2,FALSE)*1*VLOOKUP(P$50,$B$8:$C$10,2,FALSE))</f>
        <v>6</v>
      </c>
      <c r="Q52" s="30">
        <f t="shared" si="4"/>
        <v>10</v>
      </c>
      <c r="R52" s="30">
        <f t="shared" si="4"/>
        <v>14</v>
      </c>
      <c r="S52" s="30">
        <f t="shared" ref="S52:S53" si="11">VLOOKUP($C52,$B$8:$C$10,2,FALSE)*(1+VLOOKUP($S$49,$B$8:$C$10,2,FALSE)*1*VLOOKUP(S$50,$B$8:$C$10,2,FALSE))</f>
        <v>8</v>
      </c>
      <c r="T52" s="30">
        <f t="shared" si="5"/>
        <v>14</v>
      </c>
      <c r="U52" s="30">
        <f t="shared" si="5"/>
        <v>20</v>
      </c>
    </row>
    <row r="53" spans="2:21">
      <c r="B53" s="186"/>
      <c r="C53" s="28" t="s">
        <v>98</v>
      </c>
      <c r="D53" s="11">
        <f t="shared" si="6"/>
        <v>3</v>
      </c>
      <c r="E53" s="11">
        <f t="shared" si="0"/>
        <v>3</v>
      </c>
      <c r="F53" s="11">
        <f t="shared" si="0"/>
        <v>3</v>
      </c>
      <c r="G53" s="11">
        <f t="shared" si="7"/>
        <v>3</v>
      </c>
      <c r="H53" s="11">
        <f t="shared" si="1"/>
        <v>3</v>
      </c>
      <c r="I53" s="11">
        <f t="shared" si="1"/>
        <v>3</v>
      </c>
      <c r="J53" s="30">
        <f t="shared" si="8"/>
        <v>3</v>
      </c>
      <c r="K53" s="30">
        <f t="shared" si="2"/>
        <v>3</v>
      </c>
      <c r="L53" s="30">
        <f t="shared" si="2"/>
        <v>3</v>
      </c>
      <c r="M53" s="30">
        <f t="shared" si="9"/>
        <v>6</v>
      </c>
      <c r="N53" s="30">
        <f t="shared" si="3"/>
        <v>9</v>
      </c>
      <c r="O53" s="30">
        <f t="shared" si="3"/>
        <v>12</v>
      </c>
      <c r="P53" s="30">
        <f t="shared" si="10"/>
        <v>9</v>
      </c>
      <c r="Q53" s="30">
        <f t="shared" si="4"/>
        <v>15</v>
      </c>
      <c r="R53" s="30">
        <f t="shared" si="4"/>
        <v>21</v>
      </c>
      <c r="S53" s="30">
        <f t="shared" si="11"/>
        <v>12</v>
      </c>
      <c r="T53" s="30">
        <f t="shared" si="5"/>
        <v>21</v>
      </c>
      <c r="U53" s="30">
        <f t="shared" si="5"/>
        <v>30</v>
      </c>
    </row>
  </sheetData>
  <mergeCells count="19">
    <mergeCell ref="B50:C50"/>
    <mergeCell ref="B51:B53"/>
    <mergeCell ref="B40:B41"/>
    <mergeCell ref="C40:D40"/>
    <mergeCell ref="B48:B49"/>
    <mergeCell ref="D48:L48"/>
    <mergeCell ref="M48:U48"/>
    <mergeCell ref="D49:F49"/>
    <mergeCell ref="G49:I49"/>
    <mergeCell ref="J49:L49"/>
    <mergeCell ref="M49:O49"/>
    <mergeCell ref="P49:R49"/>
    <mergeCell ref="S49:U49"/>
    <mergeCell ref="B13:B14"/>
    <mergeCell ref="C13:D13"/>
    <mergeCell ref="B26:B27"/>
    <mergeCell ref="C26:D26"/>
    <mergeCell ref="B33:B34"/>
    <mergeCell ref="C33:D33"/>
  </mergeCells>
  <phoneticPr fontId="27" type="noConversion"/>
  <conditionalFormatting sqref="D51:U53">
    <cfRule type="expression" dxfId="163" priority="1">
      <formula>IF(D51&gt;=$C$42,1,0)</formula>
    </cfRule>
    <cfRule type="expression" dxfId="162" priority="2">
      <formula>IF(D51&gt;=$C$43,1,0)</formula>
    </cfRule>
  </conditionalFormatting>
  <pageMargins left="0.69972223043441772" right="0.69972223043441772" top="0.75" bottom="0.75" header="0.30000001192092896" footer="0.30000001192092896"/>
  <pageSetup paperSize="9" fitToWidth="0" fitToHeight="0"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L68"/>
  <sheetViews>
    <sheetView showGridLines="0" view="pageBreakPreview" zoomScale="90" zoomScaleNormal="90" zoomScaleSheetLayoutView="90" workbookViewId="0"/>
  </sheetViews>
  <sheetFormatPr defaultColWidth="8.77734375" defaultRowHeight="12"/>
  <cols>
    <col min="1" max="1" width="11.5546875" style="12" customWidth="1"/>
    <col min="2" max="2" width="8.33203125" style="12" customWidth="1"/>
    <col min="3" max="3" width="40.77734375" style="12" customWidth="1"/>
    <col min="4" max="5" width="7.77734375" style="10" customWidth="1"/>
    <col min="6" max="6" width="53.44140625" style="12" customWidth="1"/>
    <col min="7" max="16384" width="8.77734375" style="12"/>
  </cols>
  <sheetData>
    <row r="1" spans="1:12" s="33" customFormat="1" ht="16.5">
      <c r="A1" s="16" t="s">
        <v>47</v>
      </c>
      <c r="C1" s="12"/>
      <c r="D1" s="10"/>
      <c r="E1" s="10"/>
    </row>
    <row r="2" spans="1:12">
      <c r="B2" s="15"/>
    </row>
    <row r="3" spans="1:12" ht="13.35" customHeight="1">
      <c r="A3" s="192" t="s">
        <v>128</v>
      </c>
      <c r="B3" s="193"/>
      <c r="C3" s="193"/>
      <c r="D3" s="193"/>
      <c r="E3" s="194"/>
      <c r="F3" s="58" t="s">
        <v>112</v>
      </c>
    </row>
    <row r="4" spans="1:12">
      <c r="A4" s="169" t="s">
        <v>79</v>
      </c>
      <c r="B4" s="70" t="s">
        <v>319</v>
      </c>
      <c r="C4" s="71" t="s">
        <v>231</v>
      </c>
      <c r="D4" s="72" t="s">
        <v>101</v>
      </c>
      <c r="E4" s="70" t="s">
        <v>68</v>
      </c>
      <c r="F4" s="58" t="s">
        <v>411</v>
      </c>
    </row>
    <row r="5" spans="1:12" ht="13.35" customHeight="1">
      <c r="A5" s="63" t="s">
        <v>217</v>
      </c>
      <c r="B5" s="51" t="s">
        <v>250</v>
      </c>
      <c r="C5" s="27" t="s">
        <v>320</v>
      </c>
      <c r="D5" s="29" t="s">
        <v>98</v>
      </c>
      <c r="E5" s="54">
        <v>3</v>
      </c>
      <c r="F5" s="32" t="s">
        <v>321</v>
      </c>
    </row>
    <row r="6" spans="1:12" ht="13.35" customHeight="1">
      <c r="A6" s="63" t="s">
        <v>217</v>
      </c>
      <c r="B6" s="51" t="s">
        <v>257</v>
      </c>
      <c r="C6" s="27" t="s">
        <v>50</v>
      </c>
      <c r="D6" s="29" t="s">
        <v>98</v>
      </c>
      <c r="E6" s="54">
        <v>3</v>
      </c>
      <c r="F6" s="32" t="s">
        <v>50</v>
      </c>
    </row>
    <row r="7" spans="1:12" ht="13.35" customHeight="1">
      <c r="A7" s="63" t="s">
        <v>217</v>
      </c>
      <c r="B7" s="51" t="s">
        <v>258</v>
      </c>
      <c r="C7" s="27" t="s">
        <v>139</v>
      </c>
      <c r="D7" s="29" t="s">
        <v>98</v>
      </c>
      <c r="E7" s="54">
        <v>3</v>
      </c>
      <c r="F7" s="32" t="s">
        <v>322</v>
      </c>
      <c r="J7" s="150"/>
      <c r="K7" s="150"/>
      <c r="L7" s="150"/>
    </row>
    <row r="8" spans="1:12" ht="12" customHeight="1">
      <c r="A8" s="63" t="s">
        <v>217</v>
      </c>
      <c r="B8" s="51" t="s">
        <v>270</v>
      </c>
      <c r="C8" s="27" t="s">
        <v>52</v>
      </c>
      <c r="D8" s="29" t="s">
        <v>98</v>
      </c>
      <c r="E8" s="54">
        <v>3</v>
      </c>
      <c r="F8" s="32" t="s">
        <v>323</v>
      </c>
      <c r="J8" s="151"/>
      <c r="K8" s="151"/>
    </row>
    <row r="9" spans="1:12" ht="12" customHeight="1">
      <c r="A9" s="63" t="s">
        <v>217</v>
      </c>
      <c r="B9" s="51" t="s">
        <v>264</v>
      </c>
      <c r="C9" s="27" t="s">
        <v>59</v>
      </c>
      <c r="D9" s="29" t="s">
        <v>98</v>
      </c>
      <c r="E9" s="54">
        <v>3</v>
      </c>
      <c r="F9" s="32" t="s">
        <v>324</v>
      </c>
      <c r="J9" s="151"/>
      <c r="K9" s="151"/>
    </row>
    <row r="10" spans="1:12" ht="12" customHeight="1">
      <c r="A10" s="63" t="s">
        <v>217</v>
      </c>
      <c r="B10" s="51" t="s">
        <v>260</v>
      </c>
      <c r="C10" s="27" t="s">
        <v>7</v>
      </c>
      <c r="D10" s="29" t="s">
        <v>98</v>
      </c>
      <c r="E10" s="54">
        <v>3</v>
      </c>
      <c r="F10" s="32" t="s">
        <v>326</v>
      </c>
      <c r="J10" s="151"/>
      <c r="K10" s="151"/>
    </row>
    <row r="11" spans="1:12" ht="12" customHeight="1">
      <c r="A11" s="63" t="s">
        <v>217</v>
      </c>
      <c r="B11" s="51" t="s">
        <v>274</v>
      </c>
      <c r="C11" s="27" t="s">
        <v>327</v>
      </c>
      <c r="D11" s="29" t="s">
        <v>87</v>
      </c>
      <c r="E11" s="54">
        <v>2</v>
      </c>
      <c r="F11" s="32" t="s">
        <v>328</v>
      </c>
      <c r="J11" s="151"/>
      <c r="K11" s="151"/>
    </row>
    <row r="12" spans="1:12" ht="12" customHeight="1">
      <c r="A12" s="63" t="s">
        <v>217</v>
      </c>
      <c r="B12" s="51" t="s">
        <v>249</v>
      </c>
      <c r="C12" s="27" t="s">
        <v>145</v>
      </c>
      <c r="D12" s="29" t="s">
        <v>87</v>
      </c>
      <c r="E12" s="54">
        <v>2</v>
      </c>
      <c r="F12" s="32" t="s">
        <v>329</v>
      </c>
      <c r="J12" s="151"/>
      <c r="K12" s="151"/>
    </row>
    <row r="13" spans="1:12" ht="12" customHeight="1">
      <c r="A13" s="63" t="s">
        <v>217</v>
      </c>
      <c r="B13" s="51" t="s">
        <v>259</v>
      </c>
      <c r="C13" s="27" t="s">
        <v>330</v>
      </c>
      <c r="D13" s="29" t="s">
        <v>98</v>
      </c>
      <c r="E13" s="54">
        <v>3</v>
      </c>
      <c r="F13" s="32" t="s">
        <v>331</v>
      </c>
      <c r="J13" s="151"/>
      <c r="K13" s="151"/>
    </row>
    <row r="14" spans="1:12" ht="12" customHeight="1">
      <c r="A14" s="63" t="s">
        <v>217</v>
      </c>
      <c r="B14" s="51" t="s">
        <v>247</v>
      </c>
      <c r="C14" s="27" t="s">
        <v>325</v>
      </c>
      <c r="D14" s="29" t="s">
        <v>87</v>
      </c>
      <c r="E14" s="54">
        <v>2</v>
      </c>
      <c r="F14" s="32" t="s">
        <v>332</v>
      </c>
      <c r="J14" s="151"/>
      <c r="K14" s="151"/>
    </row>
    <row r="15" spans="1:12" ht="12" customHeight="1">
      <c r="A15" s="63" t="s">
        <v>217</v>
      </c>
      <c r="B15" s="51" t="s">
        <v>254</v>
      </c>
      <c r="C15" s="27" t="s">
        <v>138</v>
      </c>
      <c r="D15" s="29" t="s">
        <v>87</v>
      </c>
      <c r="E15" s="54">
        <v>2</v>
      </c>
      <c r="F15" s="32" t="s">
        <v>333</v>
      </c>
      <c r="J15" s="151"/>
      <c r="K15" s="151"/>
    </row>
    <row r="16" spans="1:12" ht="12" customHeight="1">
      <c r="A16" s="63" t="s">
        <v>217</v>
      </c>
      <c r="B16" s="51" t="s">
        <v>272</v>
      </c>
      <c r="C16" s="27" t="s">
        <v>13</v>
      </c>
      <c r="D16" s="29" t="s">
        <v>87</v>
      </c>
      <c r="E16" s="54">
        <v>2</v>
      </c>
      <c r="F16" s="32" t="s">
        <v>334</v>
      </c>
      <c r="J16" s="151"/>
      <c r="K16" s="151"/>
    </row>
    <row r="17" spans="1:11" ht="12" customHeight="1">
      <c r="A17" s="63" t="s">
        <v>217</v>
      </c>
      <c r="B17" s="51" t="s">
        <v>278</v>
      </c>
      <c r="C17" s="27" t="s">
        <v>60</v>
      </c>
      <c r="D17" s="29" t="s">
        <v>87</v>
      </c>
      <c r="E17" s="54">
        <v>2</v>
      </c>
      <c r="F17" s="32" t="s">
        <v>335</v>
      </c>
      <c r="J17" s="151"/>
      <c r="K17" s="151"/>
    </row>
    <row r="18" spans="1:11" ht="12" customHeight="1">
      <c r="A18" s="63" t="s">
        <v>217</v>
      </c>
      <c r="B18" s="51" t="s">
        <v>273</v>
      </c>
      <c r="C18" s="27" t="s">
        <v>161</v>
      </c>
      <c r="D18" s="29" t="s">
        <v>87</v>
      </c>
      <c r="E18" s="54">
        <v>2</v>
      </c>
      <c r="F18" s="32" t="s">
        <v>336</v>
      </c>
      <c r="J18" s="151"/>
      <c r="K18" s="151"/>
    </row>
    <row r="19" spans="1:11" ht="12" customHeight="1">
      <c r="A19" s="63" t="s">
        <v>192</v>
      </c>
      <c r="B19" s="51" t="s">
        <v>255</v>
      </c>
      <c r="C19" s="27" t="s">
        <v>337</v>
      </c>
      <c r="D19" s="29" t="s">
        <v>98</v>
      </c>
      <c r="E19" s="54">
        <v>3</v>
      </c>
      <c r="F19" s="32" t="s">
        <v>338</v>
      </c>
      <c r="J19" s="151"/>
      <c r="K19" s="151"/>
    </row>
    <row r="20" spans="1:11" ht="12" customHeight="1">
      <c r="A20" s="63" t="s">
        <v>192</v>
      </c>
      <c r="B20" s="51" t="s">
        <v>256</v>
      </c>
      <c r="C20" s="27" t="s">
        <v>5</v>
      </c>
      <c r="D20" s="29" t="s">
        <v>98</v>
      </c>
      <c r="E20" s="54">
        <v>3</v>
      </c>
      <c r="F20" s="32" t="s">
        <v>339</v>
      </c>
      <c r="J20" s="151"/>
      <c r="K20" s="151"/>
    </row>
    <row r="21" spans="1:11" ht="12" customHeight="1">
      <c r="A21" s="63" t="s">
        <v>192</v>
      </c>
      <c r="B21" s="51" t="s">
        <v>263</v>
      </c>
      <c r="C21" s="27" t="s">
        <v>30</v>
      </c>
      <c r="D21" s="29" t="s">
        <v>98</v>
      </c>
      <c r="E21" s="54">
        <v>3</v>
      </c>
      <c r="F21" s="32" t="s">
        <v>340</v>
      </c>
      <c r="J21" s="151"/>
      <c r="K21" s="151"/>
    </row>
    <row r="22" spans="1:11" ht="12" customHeight="1">
      <c r="A22" s="63" t="s">
        <v>192</v>
      </c>
      <c r="B22" s="51" t="s">
        <v>265</v>
      </c>
      <c r="C22" s="27" t="s">
        <v>141</v>
      </c>
      <c r="D22" s="29" t="s">
        <v>98</v>
      </c>
      <c r="E22" s="54">
        <v>3</v>
      </c>
      <c r="F22" s="32" t="s">
        <v>341</v>
      </c>
      <c r="J22" s="151"/>
      <c r="K22" s="151"/>
    </row>
    <row r="23" spans="1:11" ht="12" customHeight="1">
      <c r="A23" s="63" t="s">
        <v>192</v>
      </c>
      <c r="B23" s="51" t="s">
        <v>266</v>
      </c>
      <c r="C23" s="27" t="s">
        <v>342</v>
      </c>
      <c r="D23" s="29" t="s">
        <v>98</v>
      </c>
      <c r="E23" s="54">
        <v>3</v>
      </c>
      <c r="F23" s="32" t="s">
        <v>343</v>
      </c>
      <c r="J23" s="151"/>
      <c r="K23" s="151"/>
    </row>
    <row r="24" spans="1:11" s="36" customFormat="1" ht="12" customHeight="1">
      <c r="A24" s="63" t="s">
        <v>192</v>
      </c>
      <c r="B24" s="51" t="s">
        <v>262</v>
      </c>
      <c r="C24" s="27" t="s">
        <v>166</v>
      </c>
      <c r="D24" s="29" t="s">
        <v>98</v>
      </c>
      <c r="E24" s="54">
        <v>3</v>
      </c>
      <c r="F24" s="32" t="s">
        <v>344</v>
      </c>
      <c r="J24" s="151"/>
      <c r="K24" s="151"/>
    </row>
    <row r="25" spans="1:11" ht="12" customHeight="1">
      <c r="A25" s="63" t="s">
        <v>192</v>
      </c>
      <c r="B25" s="51" t="s">
        <v>182</v>
      </c>
      <c r="C25" s="27" t="s">
        <v>345</v>
      </c>
      <c r="D25" s="29" t="s">
        <v>98</v>
      </c>
      <c r="E25" s="54">
        <v>3</v>
      </c>
      <c r="F25" s="32" t="s">
        <v>346</v>
      </c>
      <c r="J25" s="151"/>
      <c r="K25" s="151"/>
    </row>
    <row r="26" spans="1:11" ht="12" customHeight="1">
      <c r="A26" s="63" t="s">
        <v>192</v>
      </c>
      <c r="B26" s="51" t="s">
        <v>176</v>
      </c>
      <c r="C26" s="27" t="s">
        <v>347</v>
      </c>
      <c r="D26" s="29" t="s">
        <v>98</v>
      </c>
      <c r="E26" s="54">
        <v>3</v>
      </c>
      <c r="F26" s="32" t="s">
        <v>348</v>
      </c>
      <c r="J26" s="151"/>
      <c r="K26" s="151"/>
    </row>
    <row r="27" spans="1:11" ht="12" customHeight="1">
      <c r="A27" s="63" t="s">
        <v>192</v>
      </c>
      <c r="B27" s="51" t="s">
        <v>179</v>
      </c>
      <c r="C27" s="27" t="s">
        <v>349</v>
      </c>
      <c r="D27" s="29" t="s">
        <v>98</v>
      </c>
      <c r="E27" s="54">
        <v>3</v>
      </c>
      <c r="F27" s="32" t="s">
        <v>350</v>
      </c>
      <c r="J27" s="151"/>
      <c r="K27" s="151"/>
    </row>
    <row r="28" spans="1:11" ht="12" customHeight="1">
      <c r="A28" s="63" t="s">
        <v>192</v>
      </c>
      <c r="B28" s="51" t="s">
        <v>178</v>
      </c>
      <c r="C28" s="27" t="s">
        <v>32</v>
      </c>
      <c r="D28" s="29" t="s">
        <v>98</v>
      </c>
      <c r="E28" s="54">
        <v>3</v>
      </c>
      <c r="F28" s="32" t="s">
        <v>351</v>
      </c>
      <c r="J28" s="151"/>
      <c r="K28" s="151"/>
    </row>
    <row r="29" spans="1:11" ht="12" customHeight="1">
      <c r="A29" s="63" t="s">
        <v>192</v>
      </c>
      <c r="B29" s="51" t="s">
        <v>279</v>
      </c>
      <c r="C29" s="27" t="s">
        <v>163</v>
      </c>
      <c r="D29" s="29" t="s">
        <v>98</v>
      </c>
      <c r="E29" s="54">
        <v>3</v>
      </c>
      <c r="F29" s="32" t="s">
        <v>352</v>
      </c>
      <c r="J29" s="151"/>
      <c r="K29" s="151"/>
    </row>
    <row r="30" spans="1:11" ht="12" customHeight="1">
      <c r="A30" s="63" t="s">
        <v>192</v>
      </c>
      <c r="B30" s="51" t="s">
        <v>169</v>
      </c>
      <c r="C30" s="27" t="s">
        <v>353</v>
      </c>
      <c r="D30" s="29" t="s">
        <v>98</v>
      </c>
      <c r="E30" s="54">
        <v>3</v>
      </c>
      <c r="F30" s="32" t="s">
        <v>354</v>
      </c>
      <c r="J30" s="151"/>
      <c r="K30" s="151"/>
    </row>
    <row r="31" spans="1:11" ht="12" customHeight="1">
      <c r="A31" s="63" t="s">
        <v>192</v>
      </c>
      <c r="B31" s="51" t="s">
        <v>170</v>
      </c>
      <c r="C31" s="27" t="s">
        <v>355</v>
      </c>
      <c r="D31" s="29" t="s">
        <v>98</v>
      </c>
      <c r="E31" s="54">
        <v>3</v>
      </c>
      <c r="F31" s="32" t="s">
        <v>356</v>
      </c>
      <c r="J31" s="151"/>
      <c r="K31" s="151"/>
    </row>
    <row r="32" spans="1:11" ht="12" customHeight="1">
      <c r="A32" s="63" t="s">
        <v>192</v>
      </c>
      <c r="B32" s="51" t="s">
        <v>180</v>
      </c>
      <c r="C32" s="27" t="s">
        <v>6</v>
      </c>
      <c r="D32" s="29" t="s">
        <v>87</v>
      </c>
      <c r="E32" s="54">
        <v>2</v>
      </c>
      <c r="F32" s="32" t="s">
        <v>357</v>
      </c>
      <c r="J32" s="151"/>
      <c r="K32" s="151"/>
    </row>
    <row r="33" spans="1:11" ht="12" customHeight="1">
      <c r="A33" s="63" t="s">
        <v>192</v>
      </c>
      <c r="B33" s="51" t="s">
        <v>281</v>
      </c>
      <c r="C33" s="27" t="s">
        <v>358</v>
      </c>
      <c r="D33" s="29" t="s">
        <v>87</v>
      </c>
      <c r="E33" s="54">
        <v>2</v>
      </c>
      <c r="F33" s="32" t="s">
        <v>359</v>
      </c>
      <c r="J33" s="151"/>
      <c r="K33" s="151"/>
    </row>
    <row r="34" spans="1:11" s="36" customFormat="1" ht="12" customHeight="1">
      <c r="A34" s="63" t="s">
        <v>192</v>
      </c>
      <c r="B34" s="51" t="s">
        <v>282</v>
      </c>
      <c r="C34" s="27" t="s">
        <v>360</v>
      </c>
      <c r="D34" s="29" t="s">
        <v>87</v>
      </c>
      <c r="E34" s="54">
        <v>2</v>
      </c>
      <c r="F34" s="32" t="s">
        <v>361</v>
      </c>
      <c r="J34" s="151"/>
      <c r="K34" s="151"/>
    </row>
    <row r="35" spans="1:11" s="36" customFormat="1" ht="12" customHeight="1">
      <c r="A35" s="63" t="s">
        <v>192</v>
      </c>
      <c r="B35" s="51" t="s">
        <v>172</v>
      </c>
      <c r="C35" s="27" t="s">
        <v>362</v>
      </c>
      <c r="D35" s="29" t="s">
        <v>87</v>
      </c>
      <c r="E35" s="54">
        <v>2</v>
      </c>
      <c r="F35" s="32" t="s">
        <v>363</v>
      </c>
      <c r="J35" s="151"/>
      <c r="K35" s="151"/>
    </row>
    <row r="36" spans="1:11" s="36" customFormat="1" ht="12" customHeight="1">
      <c r="A36" s="63" t="s">
        <v>192</v>
      </c>
      <c r="B36" s="51" t="s">
        <v>183</v>
      </c>
      <c r="C36" s="27" t="s">
        <v>28</v>
      </c>
      <c r="D36" s="29" t="s">
        <v>87</v>
      </c>
      <c r="E36" s="54">
        <v>2</v>
      </c>
      <c r="F36" s="32" t="s">
        <v>364</v>
      </c>
      <c r="J36" s="151"/>
      <c r="K36" s="151"/>
    </row>
    <row r="37" spans="1:11" ht="12" customHeight="1">
      <c r="A37" s="63" t="s">
        <v>192</v>
      </c>
      <c r="B37" s="51" t="s">
        <v>206</v>
      </c>
      <c r="C37" s="27" t="s">
        <v>11</v>
      </c>
      <c r="D37" s="29" t="s">
        <v>69</v>
      </c>
      <c r="E37" s="54">
        <v>1</v>
      </c>
      <c r="F37" s="32" t="s">
        <v>365</v>
      </c>
      <c r="J37" s="151"/>
      <c r="K37" s="151"/>
    </row>
    <row r="38" spans="1:11" ht="12" customHeight="1">
      <c r="A38" s="63" t="s">
        <v>192</v>
      </c>
      <c r="B38" s="51" t="s">
        <v>184</v>
      </c>
      <c r="C38" s="27" t="s">
        <v>366</v>
      </c>
      <c r="D38" s="29" t="s">
        <v>87</v>
      </c>
      <c r="E38" s="54">
        <v>2</v>
      </c>
      <c r="F38" s="32" t="s">
        <v>367</v>
      </c>
      <c r="J38" s="151"/>
      <c r="K38" s="151"/>
    </row>
    <row r="39" spans="1:11" ht="12" customHeight="1">
      <c r="A39" s="63" t="s">
        <v>192</v>
      </c>
      <c r="B39" s="51" t="s">
        <v>186</v>
      </c>
      <c r="C39" s="27" t="s">
        <v>368</v>
      </c>
      <c r="D39" s="29" t="s">
        <v>87</v>
      </c>
      <c r="E39" s="54">
        <v>2</v>
      </c>
      <c r="F39" s="32" t="s">
        <v>369</v>
      </c>
      <c r="J39" s="151"/>
      <c r="K39" s="151"/>
    </row>
    <row r="40" spans="1:11" ht="12" customHeight="1">
      <c r="A40" s="63" t="s">
        <v>192</v>
      </c>
      <c r="B40" s="51" t="s">
        <v>204</v>
      </c>
      <c r="C40" s="27" t="s">
        <v>158</v>
      </c>
      <c r="D40" s="29" t="s">
        <v>87</v>
      </c>
      <c r="E40" s="54">
        <v>2</v>
      </c>
      <c r="F40" s="32" t="s">
        <v>370</v>
      </c>
      <c r="J40" s="151"/>
      <c r="K40" s="151"/>
    </row>
    <row r="41" spans="1:11" ht="12" customHeight="1">
      <c r="A41" s="63" t="s">
        <v>192</v>
      </c>
      <c r="B41" s="51" t="s">
        <v>187</v>
      </c>
      <c r="C41" s="27" t="s">
        <v>56</v>
      </c>
      <c r="D41" s="29" t="s">
        <v>87</v>
      </c>
      <c r="E41" s="54">
        <v>2</v>
      </c>
      <c r="F41" s="32" t="s">
        <v>371</v>
      </c>
      <c r="J41" s="151"/>
      <c r="K41" s="151"/>
    </row>
    <row r="42" spans="1:11" ht="12" customHeight="1">
      <c r="A42" s="63" t="s">
        <v>211</v>
      </c>
      <c r="B42" s="51" t="s">
        <v>191</v>
      </c>
      <c r="C42" s="27" t="s">
        <v>372</v>
      </c>
      <c r="D42" s="29" t="s">
        <v>98</v>
      </c>
      <c r="E42" s="54">
        <v>3</v>
      </c>
      <c r="F42" s="32" t="s">
        <v>373</v>
      </c>
      <c r="J42" s="151"/>
      <c r="K42" s="151"/>
    </row>
    <row r="43" spans="1:11" ht="12" customHeight="1">
      <c r="A43" s="63" t="s">
        <v>211</v>
      </c>
      <c r="B43" s="51" t="s">
        <v>205</v>
      </c>
      <c r="C43" s="27" t="s">
        <v>39</v>
      </c>
      <c r="D43" s="29" t="s">
        <v>98</v>
      </c>
      <c r="E43" s="54">
        <v>3</v>
      </c>
      <c r="F43" s="32" t="s">
        <v>374</v>
      </c>
      <c r="J43" s="151"/>
      <c r="K43" s="151"/>
    </row>
    <row r="44" spans="1:11" ht="12" customHeight="1">
      <c r="A44" s="63" t="s">
        <v>238</v>
      </c>
      <c r="B44" s="51" t="s">
        <v>207</v>
      </c>
      <c r="C44" s="27" t="s">
        <v>375</v>
      </c>
      <c r="D44" s="29" t="s">
        <v>87</v>
      </c>
      <c r="E44" s="54">
        <v>2</v>
      </c>
      <c r="F44" s="32" t="s">
        <v>376</v>
      </c>
      <c r="J44" s="151"/>
      <c r="K44" s="151"/>
    </row>
    <row r="45" spans="1:11" ht="12" customHeight="1">
      <c r="A45" s="63" t="s">
        <v>238</v>
      </c>
      <c r="B45" s="51" t="s">
        <v>196</v>
      </c>
      <c r="C45" s="27" t="s">
        <v>377</v>
      </c>
      <c r="D45" s="29" t="s">
        <v>87</v>
      </c>
      <c r="E45" s="54">
        <v>2</v>
      </c>
      <c r="F45" s="32" t="s">
        <v>377</v>
      </c>
      <c r="J45" s="151"/>
      <c r="K45" s="151"/>
    </row>
    <row r="46" spans="1:11" ht="12" customHeight="1">
      <c r="A46" s="63" t="s">
        <v>238</v>
      </c>
      <c r="B46" s="51" t="s">
        <v>185</v>
      </c>
      <c r="C46" s="27" t="s">
        <v>40</v>
      </c>
      <c r="D46" s="29" t="s">
        <v>69</v>
      </c>
      <c r="E46" s="54">
        <v>1</v>
      </c>
      <c r="F46" s="32" t="s">
        <v>378</v>
      </c>
      <c r="J46" s="151"/>
      <c r="K46" s="151"/>
    </row>
    <row r="47" spans="1:11" ht="12" customHeight="1">
      <c r="A47" s="63" t="s">
        <v>238</v>
      </c>
      <c r="B47" s="51" t="s">
        <v>190</v>
      </c>
      <c r="C47" s="27" t="s">
        <v>379</v>
      </c>
      <c r="D47" s="29" t="s">
        <v>87</v>
      </c>
      <c r="E47" s="54">
        <v>2</v>
      </c>
      <c r="F47" s="32" t="s">
        <v>380</v>
      </c>
      <c r="J47" s="151"/>
      <c r="K47" s="151"/>
    </row>
    <row r="48" spans="1:11" ht="12" customHeight="1">
      <c r="A48" s="63" t="s">
        <v>199</v>
      </c>
      <c r="B48" s="51" t="s">
        <v>189</v>
      </c>
      <c r="C48" s="27" t="s">
        <v>381</v>
      </c>
      <c r="D48" s="29" t="s">
        <v>98</v>
      </c>
      <c r="E48" s="54">
        <v>3</v>
      </c>
      <c r="F48" s="32" t="s">
        <v>382</v>
      </c>
      <c r="J48" s="151"/>
      <c r="K48" s="151"/>
    </row>
    <row r="49" spans="1:11" ht="12" customHeight="1">
      <c r="A49" s="63" t="s">
        <v>199</v>
      </c>
      <c r="B49" s="51" t="s">
        <v>188</v>
      </c>
      <c r="C49" s="27" t="s">
        <v>136</v>
      </c>
      <c r="D49" s="29" t="s">
        <v>98</v>
      </c>
      <c r="E49" s="54">
        <v>3</v>
      </c>
      <c r="F49" s="32" t="s">
        <v>136</v>
      </c>
      <c r="J49" s="151"/>
      <c r="K49" s="151"/>
    </row>
    <row r="50" spans="1:11" ht="12" customHeight="1">
      <c r="A50" s="63" t="s">
        <v>199</v>
      </c>
      <c r="B50" s="51" t="s">
        <v>248</v>
      </c>
      <c r="C50" s="27" t="s">
        <v>34</v>
      </c>
      <c r="D50" s="29" t="s">
        <v>98</v>
      </c>
      <c r="E50" s="54">
        <v>3</v>
      </c>
      <c r="F50" s="32" t="s">
        <v>383</v>
      </c>
      <c r="J50" s="151"/>
      <c r="K50" s="151"/>
    </row>
    <row r="51" spans="1:11" ht="12" customHeight="1">
      <c r="A51" s="63" t="s">
        <v>199</v>
      </c>
      <c r="B51" s="51" t="s">
        <v>271</v>
      </c>
      <c r="C51" s="27" t="s">
        <v>384</v>
      </c>
      <c r="D51" s="29" t="s">
        <v>69</v>
      </c>
      <c r="E51" s="54">
        <v>1</v>
      </c>
      <c r="F51" s="32" t="s">
        <v>385</v>
      </c>
      <c r="J51" s="151"/>
      <c r="K51" s="151"/>
    </row>
    <row r="52" spans="1:11" ht="12" customHeight="1">
      <c r="A52" s="63" t="s">
        <v>199</v>
      </c>
      <c r="B52" s="51" t="s">
        <v>267</v>
      </c>
      <c r="C52" s="27" t="s">
        <v>386</v>
      </c>
      <c r="D52" s="29" t="s">
        <v>98</v>
      </c>
      <c r="E52" s="54">
        <v>3</v>
      </c>
      <c r="F52" s="32" t="s">
        <v>387</v>
      </c>
      <c r="J52" s="151"/>
      <c r="K52" s="151"/>
    </row>
    <row r="53" spans="1:11" ht="12" customHeight="1">
      <c r="A53" s="63" t="s">
        <v>199</v>
      </c>
      <c r="B53" s="51" t="s">
        <v>253</v>
      </c>
      <c r="C53" s="27" t="s">
        <v>156</v>
      </c>
      <c r="D53" s="29" t="s">
        <v>98</v>
      </c>
      <c r="E53" s="54">
        <v>3</v>
      </c>
      <c r="F53" s="32" t="s">
        <v>388</v>
      </c>
      <c r="J53" s="151"/>
      <c r="K53" s="151"/>
    </row>
    <row r="54" spans="1:11" ht="12" customHeight="1">
      <c r="A54" s="63" t="s">
        <v>199</v>
      </c>
      <c r="B54" s="51" t="s">
        <v>277</v>
      </c>
      <c r="C54" s="27" t="s">
        <v>389</v>
      </c>
      <c r="D54" s="29" t="s">
        <v>98</v>
      </c>
      <c r="E54" s="54">
        <v>3</v>
      </c>
      <c r="F54" s="32" t="s">
        <v>390</v>
      </c>
      <c r="J54" s="151"/>
      <c r="K54" s="151"/>
    </row>
    <row r="55" spans="1:11" ht="12" customHeight="1">
      <c r="A55" s="63" t="s">
        <v>199</v>
      </c>
      <c r="B55" s="51" t="s">
        <v>276</v>
      </c>
      <c r="C55" s="27" t="s">
        <v>391</v>
      </c>
      <c r="D55" s="29" t="s">
        <v>98</v>
      </c>
      <c r="E55" s="54">
        <v>3</v>
      </c>
      <c r="F55" s="32" t="s">
        <v>392</v>
      </c>
      <c r="J55" s="151"/>
      <c r="K55" s="151"/>
    </row>
    <row r="56" spans="1:11" ht="12" customHeight="1">
      <c r="A56" s="63" t="s">
        <v>199</v>
      </c>
      <c r="B56" s="51" t="s">
        <v>252</v>
      </c>
      <c r="C56" s="27" t="s">
        <v>41</v>
      </c>
      <c r="D56" s="29" t="s">
        <v>98</v>
      </c>
      <c r="E56" s="54">
        <v>3</v>
      </c>
      <c r="F56" s="32" t="s">
        <v>393</v>
      </c>
      <c r="J56" s="151"/>
      <c r="K56" s="151"/>
    </row>
    <row r="57" spans="1:11" ht="12" customHeight="1">
      <c r="A57" s="63" t="s">
        <v>199</v>
      </c>
      <c r="B57" s="51" t="s">
        <v>261</v>
      </c>
      <c r="C57" s="27" t="s">
        <v>157</v>
      </c>
      <c r="D57" s="29" t="s">
        <v>98</v>
      </c>
      <c r="E57" s="54">
        <v>3</v>
      </c>
      <c r="F57" s="32" t="s">
        <v>394</v>
      </c>
      <c r="J57" s="151"/>
      <c r="K57" s="151"/>
    </row>
    <row r="58" spans="1:11" ht="12" customHeight="1">
      <c r="A58" s="63" t="s">
        <v>199</v>
      </c>
      <c r="B58" s="51" t="s">
        <v>275</v>
      </c>
      <c r="C58" s="27" t="s">
        <v>12</v>
      </c>
      <c r="D58" s="29" t="s">
        <v>87</v>
      </c>
      <c r="E58" s="54">
        <v>2</v>
      </c>
      <c r="F58" s="32" t="s">
        <v>395</v>
      </c>
      <c r="J58" s="151"/>
      <c r="K58" s="151"/>
    </row>
    <row r="59" spans="1:11" ht="12" customHeight="1">
      <c r="A59" s="63" t="s">
        <v>199</v>
      </c>
      <c r="B59" s="51" t="s">
        <v>268</v>
      </c>
      <c r="C59" s="27" t="s">
        <v>65</v>
      </c>
      <c r="D59" s="29" t="s">
        <v>87</v>
      </c>
      <c r="E59" s="54">
        <v>2</v>
      </c>
      <c r="F59" s="32" t="s">
        <v>396</v>
      </c>
      <c r="J59" s="151"/>
      <c r="K59" s="151"/>
    </row>
    <row r="60" spans="1:11" ht="12" customHeight="1">
      <c r="A60" s="63" t="s">
        <v>199</v>
      </c>
      <c r="B60" s="51" t="s">
        <v>269</v>
      </c>
      <c r="C60" s="27" t="s">
        <v>397</v>
      </c>
      <c r="D60" s="29" t="s">
        <v>87</v>
      </c>
      <c r="E60" s="54">
        <v>2</v>
      </c>
      <c r="F60" s="32" t="s">
        <v>398</v>
      </c>
      <c r="J60" s="151"/>
      <c r="K60" s="151"/>
    </row>
    <row r="61" spans="1:11" ht="12" customHeight="1">
      <c r="A61" s="63" t="s">
        <v>199</v>
      </c>
      <c r="B61" s="51" t="s">
        <v>251</v>
      </c>
      <c r="C61" s="27" t="s">
        <v>399</v>
      </c>
      <c r="D61" s="29" t="s">
        <v>69</v>
      </c>
      <c r="E61" s="54">
        <v>1</v>
      </c>
      <c r="F61" s="32" t="s">
        <v>400</v>
      </c>
      <c r="J61" s="151"/>
      <c r="K61" s="151"/>
    </row>
    <row r="62" spans="1:11" ht="12" customHeight="1">
      <c r="A62" s="63" t="s">
        <v>199</v>
      </c>
      <c r="B62" s="51" t="s">
        <v>171</v>
      </c>
      <c r="C62" s="27" t="s">
        <v>401</v>
      </c>
      <c r="D62" s="29" t="s">
        <v>87</v>
      </c>
      <c r="E62" s="54">
        <v>2</v>
      </c>
      <c r="F62" s="32" t="s">
        <v>402</v>
      </c>
      <c r="J62" s="151"/>
      <c r="K62" s="151"/>
    </row>
    <row r="63" spans="1:11" ht="12" customHeight="1">
      <c r="A63" s="63" t="s">
        <v>199</v>
      </c>
      <c r="B63" s="51" t="s">
        <v>173</v>
      </c>
      <c r="C63" s="27" t="s">
        <v>10</v>
      </c>
      <c r="D63" s="29" t="s">
        <v>87</v>
      </c>
      <c r="E63" s="54">
        <v>2</v>
      </c>
      <c r="F63" s="32" t="s">
        <v>403</v>
      </c>
      <c r="J63" s="151"/>
      <c r="K63" s="151"/>
    </row>
    <row r="64" spans="1:11" ht="12" customHeight="1">
      <c r="A64" s="63" t="s">
        <v>199</v>
      </c>
      <c r="B64" s="51" t="s">
        <v>177</v>
      </c>
      <c r="C64" s="27" t="s">
        <v>160</v>
      </c>
      <c r="D64" s="29" t="s">
        <v>87</v>
      </c>
      <c r="E64" s="54">
        <v>2</v>
      </c>
      <c r="F64" s="32" t="s">
        <v>404</v>
      </c>
      <c r="J64" s="151"/>
      <c r="K64" s="151"/>
    </row>
    <row r="65" spans="1:11" ht="12" customHeight="1">
      <c r="A65" s="63" t="s">
        <v>199</v>
      </c>
      <c r="B65" s="51" t="s">
        <v>174</v>
      </c>
      <c r="C65" s="27" t="s">
        <v>46</v>
      </c>
      <c r="D65" s="29" t="s">
        <v>87</v>
      </c>
      <c r="E65" s="54">
        <v>2</v>
      </c>
      <c r="F65" s="32" t="s">
        <v>405</v>
      </c>
      <c r="J65" s="151"/>
      <c r="K65" s="151"/>
    </row>
    <row r="66" spans="1:11" ht="12" customHeight="1">
      <c r="A66" s="63" t="s">
        <v>199</v>
      </c>
      <c r="B66" s="51" t="s">
        <v>181</v>
      </c>
      <c r="C66" s="27" t="s">
        <v>38</v>
      </c>
      <c r="D66" s="29" t="s">
        <v>87</v>
      </c>
      <c r="E66" s="54">
        <v>2</v>
      </c>
      <c r="F66" s="32" t="s">
        <v>406</v>
      </c>
      <c r="J66" s="151"/>
      <c r="K66" s="151"/>
    </row>
    <row r="67" spans="1:11" ht="12" customHeight="1">
      <c r="A67" s="63" t="s">
        <v>199</v>
      </c>
      <c r="B67" s="51" t="s">
        <v>283</v>
      </c>
      <c r="C67" s="27" t="s">
        <v>407</v>
      </c>
      <c r="D67" s="29" t="s">
        <v>87</v>
      </c>
      <c r="E67" s="54">
        <v>2</v>
      </c>
      <c r="F67" s="32" t="s">
        <v>408</v>
      </c>
      <c r="J67" s="151"/>
      <c r="K67" s="151"/>
    </row>
    <row r="68" spans="1:11" ht="12" customHeight="1">
      <c r="A68" s="63" t="s">
        <v>199</v>
      </c>
      <c r="B68" s="51" t="s">
        <v>280</v>
      </c>
      <c r="C68" s="27" t="s">
        <v>409</v>
      </c>
      <c r="D68" s="29" t="s">
        <v>87</v>
      </c>
      <c r="E68" s="54">
        <v>2</v>
      </c>
      <c r="F68" s="32" t="s">
        <v>410</v>
      </c>
      <c r="J68" s="151"/>
      <c r="K68" s="151"/>
    </row>
  </sheetData>
  <mergeCells count="1">
    <mergeCell ref="A3:E3"/>
  </mergeCells>
  <phoneticPr fontId="27" type="noConversion"/>
  <printOptions horizontalCentered="1"/>
  <pageMargins left="0.39347222447395325" right="0.39347222447395325" top="0.59041666984558105" bottom="0.59041666984558105" header="0.39347222447395325" footer="0.39347222447395325"/>
  <pageSetup paperSize="9" fitToHeight="0" orientation="portrait" r:id="rId1"/>
  <headerFooter alignWithMargins="0">
    <oddHeader>&amp;L&amp;"맑은 고딕,Regular"
&amp;R&amp;"맑은 고딕,Regular"&amp;F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pageSetUpPr fitToPage="1"/>
  </sheetPr>
  <dimension ref="A1:L63"/>
  <sheetViews>
    <sheetView showGridLines="0" view="pageBreakPreview" zoomScaleNormal="100" zoomScaleSheetLayoutView="100" workbookViewId="0"/>
  </sheetViews>
  <sheetFormatPr defaultColWidth="8.77734375" defaultRowHeight="13.5"/>
  <cols>
    <col min="1" max="12" width="8.77734375" style="3" customWidth="1"/>
    <col min="13" max="16384" width="8.77734375" style="3"/>
  </cols>
  <sheetData>
    <row r="1" spans="1:12" ht="16.5">
      <c r="A1" s="16" t="s">
        <v>9</v>
      </c>
      <c r="D1" s="43"/>
      <c r="G1" s="4"/>
      <c r="H1" s="4"/>
      <c r="I1" s="4"/>
      <c r="J1" s="4"/>
      <c r="K1" s="4"/>
      <c r="L1" s="4"/>
    </row>
    <row r="2" spans="1:12">
      <c r="A2" s="15"/>
      <c r="G2" s="4"/>
      <c r="H2" s="4"/>
      <c r="I2" s="4"/>
      <c r="J2" s="4"/>
      <c r="K2" s="4"/>
      <c r="L2" s="4"/>
    </row>
    <row r="3" spans="1:12">
      <c r="A3" s="5" t="s">
        <v>118</v>
      </c>
    </row>
    <row r="4" spans="1:12">
      <c r="A4" s="195" t="s">
        <v>79</v>
      </c>
      <c r="B4" s="196"/>
      <c r="C4" s="196"/>
      <c r="D4" s="197"/>
      <c r="E4" s="201" t="s">
        <v>218</v>
      </c>
      <c r="F4" s="201"/>
      <c r="G4" s="201"/>
      <c r="H4" s="201"/>
      <c r="I4" s="201"/>
      <c r="J4" s="201" t="s">
        <v>237</v>
      </c>
      <c r="K4" s="201"/>
      <c r="L4" s="202"/>
    </row>
    <row r="5" spans="1:12">
      <c r="A5" s="198"/>
      <c r="B5" s="199"/>
      <c r="C5" s="199"/>
      <c r="D5" s="200"/>
      <c r="E5" s="70" t="s">
        <v>227</v>
      </c>
      <c r="F5" s="70" t="s">
        <v>231</v>
      </c>
      <c r="G5" s="70" t="s">
        <v>76</v>
      </c>
      <c r="H5" s="70" t="s">
        <v>108</v>
      </c>
      <c r="I5" s="70" t="s">
        <v>240</v>
      </c>
      <c r="J5" s="70" t="s">
        <v>200</v>
      </c>
      <c r="K5" s="70" t="s">
        <v>215</v>
      </c>
      <c r="L5" s="73" t="s">
        <v>244</v>
      </c>
    </row>
    <row r="6" spans="1:12">
      <c r="A6" s="203" t="s">
        <v>217</v>
      </c>
      <c r="B6" s="204"/>
      <c r="C6" s="204"/>
      <c r="D6" s="205"/>
      <c r="E6" s="11">
        <f ca="1">SUMIF('취약점 진단 항목별 통계'!$A:$A,$A6&amp;"*",'취약점 진단 항목별 통계'!$F:$F)</f>
        <v>56</v>
      </c>
      <c r="F6" s="11">
        <f ca="1">E6-I6</f>
        <v>56</v>
      </c>
      <c r="G6" s="11">
        <f ca="1">SUMIF('취약점 진단 항목별 통계'!$A:$A,$A6&amp;"*",'취약점 진단 항목별 통계'!$G:$G)+SUMIF('취약점 진단 항목별 통계'!$A:$A,$A6&amp;"*",'취약점 진단 항목별 통계'!$H:$H)</f>
        <v>29</v>
      </c>
      <c r="H6" s="11">
        <f ca="1">SUMIF('취약점 진단 항목별 통계'!$A:$A,$A6&amp;"*",'취약점 진단 항목별 통계'!$I:$I)</f>
        <v>27</v>
      </c>
      <c r="I6" s="11">
        <f ca="1">SUMIF('취약점 진단 항목별 통계'!$A:$A,$A6&amp;"*",'취약점 진단 항목별 통계'!$J:$J)</f>
        <v>0</v>
      </c>
      <c r="J6" s="11">
        <f ca="1">SUMIF('취약점 진단 항목별 통계'!$A:$A,$A6&amp;"*",'취약점 진단 항목별 통계'!$K:$K)</f>
        <v>140</v>
      </c>
      <c r="K6" s="11">
        <f ca="1">SUMIF('취약점 진단 항목별 통계'!$A:$A,$A6&amp;"*",'취약점 진단 항목별 통계'!$L:$L)</f>
        <v>77</v>
      </c>
      <c r="L6" s="74">
        <f ca="1">IF($I6=$E6,"N/A",(K6/J6))</f>
        <v>0.55000000000000004</v>
      </c>
    </row>
    <row r="7" spans="1:12">
      <c r="A7" s="203" t="s">
        <v>288</v>
      </c>
      <c r="B7" s="204"/>
      <c r="C7" s="204"/>
      <c r="D7" s="205"/>
      <c r="E7" s="11">
        <f ca="1">SUMIF('취약점 진단 항목별 통계'!$A:$A,$A7&amp;"*",'취약점 진단 항목별 통계'!$F:$F)</f>
        <v>92</v>
      </c>
      <c r="F7" s="11">
        <f t="shared" ref="F7:F10" ca="1" si="0">E7-I7</f>
        <v>91</v>
      </c>
      <c r="G7" s="11">
        <f ca="1">SUMIF('취약점 진단 항목별 통계'!$A:$A,$A7&amp;"*",'취약점 진단 항목별 통계'!$G:$G)+SUMIF('취약점 진단 항목별 통계'!$A:$A,$A7&amp;"*",'취약점 진단 항목별 통계'!$H:$H)</f>
        <v>20</v>
      </c>
      <c r="H7" s="11">
        <f ca="1">SUMIF('취약점 진단 항목별 통계'!$A:$A,$A7&amp;"*",'취약점 진단 항목별 통계'!$I:$I)</f>
        <v>71</v>
      </c>
      <c r="I7" s="11">
        <f ca="1">SUMIF('취약점 진단 항목별 통계'!$A:$A,$A7&amp;"*",'취약점 진단 항목별 통계'!$J:$J)</f>
        <v>1</v>
      </c>
      <c r="J7" s="11">
        <f ca="1">SUMIF('취약점 진단 항목별 통계'!$A:$A,$A7&amp;"*",'취약점 진단 항목별 통계'!$K:$K)</f>
        <v>258</v>
      </c>
      <c r="K7" s="11">
        <f ca="1">SUMIF('취약점 진단 항목별 통계'!$A:$A,$A7&amp;"*",'취약점 진단 항목별 통계'!$L:$L)</f>
        <v>56</v>
      </c>
      <c r="L7" s="74">
        <f t="shared" ref="L7:L10" ca="1" si="1">IF($I7=$E7,"N/A",(K7/J7))</f>
        <v>0.21705426356589147</v>
      </c>
    </row>
    <row r="8" spans="1:12">
      <c r="A8" s="203" t="s">
        <v>211</v>
      </c>
      <c r="B8" s="204"/>
      <c r="C8" s="204"/>
      <c r="D8" s="205"/>
      <c r="E8" s="11">
        <f ca="1">SUMIF('취약점 진단 항목별 통계'!$A:$A,$A8&amp;"*",'취약점 진단 항목별 통계'!$F:$F)</f>
        <v>8</v>
      </c>
      <c r="F8" s="11">
        <f t="shared" ca="1" si="0"/>
        <v>8</v>
      </c>
      <c r="G8" s="11">
        <f ca="1">SUMIF('취약점 진단 항목별 통계'!$A:$A,$A8&amp;"*",'취약점 진단 항목별 통계'!$G:$G)+SUMIF('취약점 진단 항목별 통계'!$A:$A,$A8&amp;"*",'취약점 진단 항목별 통계'!$H:$H)</f>
        <v>2</v>
      </c>
      <c r="H8" s="11">
        <f ca="1">SUMIF('취약점 진단 항목별 통계'!$A:$A,$A8&amp;"*",'취약점 진단 항목별 통계'!$I:$I)</f>
        <v>6</v>
      </c>
      <c r="I8" s="11">
        <f ca="1">SUMIF('취약점 진단 항목별 통계'!$A:$A,$A8&amp;"*",'취약점 진단 항목별 통계'!$J:$J)</f>
        <v>0</v>
      </c>
      <c r="J8" s="11">
        <f ca="1">SUMIF('취약점 진단 항목별 통계'!$A:$A,$A8&amp;"*",'취약점 진단 항목별 통계'!$K:$K)</f>
        <v>24</v>
      </c>
      <c r="K8" s="11">
        <f ca="1">SUMIF('취약점 진단 항목별 통계'!$A:$A,$A8&amp;"*",'취약점 진단 항목별 통계'!$L:$L)</f>
        <v>6</v>
      </c>
      <c r="L8" s="74">
        <f t="shared" ca="1" si="1"/>
        <v>0.25</v>
      </c>
    </row>
    <row r="9" spans="1:12">
      <c r="A9" s="203" t="s">
        <v>238</v>
      </c>
      <c r="B9" s="204"/>
      <c r="C9" s="204"/>
      <c r="D9" s="205"/>
      <c r="E9" s="11">
        <f ca="1">SUMIF('취약점 진단 항목별 통계'!$A:$A,$A9&amp;"*",'취약점 진단 항목별 통계'!$F:$F)</f>
        <v>16</v>
      </c>
      <c r="F9" s="11">
        <f t="shared" ca="1" si="0"/>
        <v>16</v>
      </c>
      <c r="G9" s="11">
        <f ca="1">SUMIF('취약점 진단 항목별 통계'!$A:$A,$A9&amp;"*",'취약점 진단 항목별 통계'!$G:$G)+SUMIF('취약점 진단 항목별 통계'!$A:$A,$A9&amp;"*",'취약점 진단 항목별 통계'!$H:$H)</f>
        <v>6</v>
      </c>
      <c r="H9" s="11">
        <f ca="1">SUMIF('취약점 진단 항목별 통계'!$A:$A,$A9&amp;"*",'취약점 진단 항목별 통계'!$I:$I)</f>
        <v>10</v>
      </c>
      <c r="I9" s="11">
        <f ca="1">SUMIF('취약점 진단 항목별 통계'!$A:$A,$A9&amp;"*",'취약점 진단 항목별 통계'!$J:$J)</f>
        <v>0</v>
      </c>
      <c r="J9" s="11">
        <f ca="1">SUMIF('취약점 진단 항목별 통계'!$A:$A,$A9&amp;"*",'취약점 진단 항목별 통계'!$K:$K)</f>
        <v>36</v>
      </c>
      <c r="K9" s="11">
        <f ca="1">SUMIF('취약점 진단 항목별 통계'!$A:$A,$A9&amp;"*",'취약점 진단 항목별 통계'!$L:$L)</f>
        <v>12</v>
      </c>
      <c r="L9" s="74">
        <f t="shared" ca="1" si="1"/>
        <v>0.33333333333333331</v>
      </c>
    </row>
    <row r="10" spans="1:12">
      <c r="A10" s="203" t="s">
        <v>289</v>
      </c>
      <c r="B10" s="204"/>
      <c r="C10" s="204"/>
      <c r="D10" s="205"/>
      <c r="E10" s="11">
        <f ca="1">SUMIF('취약점 진단 항목별 통계'!$A:$A,$A10&amp;"*",'취약점 진단 항목별 통계'!$F:$F)</f>
        <v>84</v>
      </c>
      <c r="F10" s="11">
        <f t="shared" ca="1" si="0"/>
        <v>84</v>
      </c>
      <c r="G10" s="11">
        <f ca="1">SUMIF('취약점 진단 항목별 통계'!$A:$A,$A10&amp;"*",'취약점 진단 항목별 통계'!$G:$G)+SUMIF('취약점 진단 항목별 통계'!$A:$A,$A10&amp;"*",'취약점 진단 항목별 통계'!$H:$H)</f>
        <v>24</v>
      </c>
      <c r="H10" s="11">
        <f ca="1">SUMIF('취약점 진단 항목별 통계'!$A:$A,$A10&amp;"*",'취약점 진단 항목별 통계'!$I:$I)</f>
        <v>40</v>
      </c>
      <c r="I10" s="11">
        <f ca="1">SUMIF('취약점 진단 항목별 통계'!$A:$A,$A10&amp;"*",'취약점 진단 항목별 통계'!$J:$J)</f>
        <v>0</v>
      </c>
      <c r="J10" s="11">
        <f ca="1">SUMIF('취약점 진단 항목별 통계'!$A:$A,$A10&amp;"*",'취약점 진단 항목별 통계'!$K:$K)</f>
        <v>204</v>
      </c>
      <c r="K10" s="11">
        <f ca="1">SUMIF('취약점 진단 항목별 통계'!$A:$A,$A10&amp;"*",'취약점 진단 항목별 통계'!$L:$L)</f>
        <v>51</v>
      </c>
      <c r="L10" s="74">
        <f t="shared" ca="1" si="1"/>
        <v>0.25</v>
      </c>
    </row>
    <row r="11" spans="1:12">
      <c r="A11" s="206" t="s">
        <v>94</v>
      </c>
      <c r="B11" s="207"/>
      <c r="C11" s="207"/>
      <c r="D11" s="208"/>
      <c r="E11" s="75">
        <f t="shared" ref="E11:J11" ca="1" si="2">SUM(E6:E10)</f>
        <v>256</v>
      </c>
      <c r="F11" s="75">
        <f t="shared" ca="1" si="2"/>
        <v>255</v>
      </c>
      <c r="G11" s="75">
        <f t="shared" ca="1" si="2"/>
        <v>81</v>
      </c>
      <c r="H11" s="75">
        <f t="shared" ca="1" si="2"/>
        <v>154</v>
      </c>
      <c r="I11" s="75">
        <f t="shared" ca="1" si="2"/>
        <v>1</v>
      </c>
      <c r="J11" s="75">
        <f t="shared" ca="1" si="2"/>
        <v>662</v>
      </c>
      <c r="K11" s="75">
        <f ca="1">SUM(K6:K10)</f>
        <v>202</v>
      </c>
      <c r="L11" s="76">
        <f ca="1">IFERROR(K11/J11,0)</f>
        <v>0.30513595166163143</v>
      </c>
    </row>
    <row r="12" spans="1: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8"/>
    </row>
    <row r="13" spans="1:1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8"/>
    </row>
    <row r="14" spans="1:1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8"/>
    </row>
    <row r="15" spans="1:1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8"/>
    </row>
    <row r="16" spans="1:12">
      <c r="A16" s="2"/>
      <c r="E16" s="12"/>
      <c r="F16" s="12"/>
      <c r="G16" s="12"/>
      <c r="H16" s="12"/>
      <c r="I16" s="12"/>
      <c r="J16" s="12"/>
      <c r="K16" s="2"/>
      <c r="L16" s="8"/>
    </row>
    <row r="17" spans="1:12">
      <c r="A17" s="2"/>
      <c r="E17" s="12"/>
      <c r="F17" s="12"/>
      <c r="G17" s="12"/>
      <c r="H17" s="12"/>
      <c r="I17" s="12"/>
      <c r="J17" s="12"/>
      <c r="K17" s="2"/>
      <c r="L17" s="8"/>
    </row>
    <row r="18" spans="1:12">
      <c r="A18" s="2"/>
      <c r="E18" s="12"/>
      <c r="F18" s="12"/>
      <c r="G18" s="12"/>
      <c r="H18" s="12"/>
      <c r="I18" s="12"/>
      <c r="J18" s="12"/>
      <c r="K18" s="2"/>
      <c r="L18" s="8"/>
    </row>
    <row r="19" spans="1:12">
      <c r="A19" s="2"/>
      <c r="E19" s="12"/>
      <c r="F19" s="12"/>
      <c r="G19" s="12"/>
      <c r="H19" s="12"/>
      <c r="I19" s="12"/>
      <c r="J19" s="12"/>
      <c r="K19" s="2"/>
      <c r="L19" s="8"/>
    </row>
    <row r="20" spans="1:12">
      <c r="A20" s="2"/>
      <c r="E20" s="12"/>
      <c r="F20" s="12"/>
      <c r="G20" s="12"/>
      <c r="H20" s="12"/>
      <c r="I20" s="12"/>
      <c r="J20" s="12"/>
      <c r="K20" s="2"/>
      <c r="L20" s="8"/>
    </row>
    <row r="21" spans="1:1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8"/>
    </row>
    <row r="22" spans="1:1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8"/>
    </row>
    <row r="23" spans="1:1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8"/>
    </row>
    <row r="24" spans="1:1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8"/>
    </row>
    <row r="25" spans="1:1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8"/>
    </row>
    <row r="26" spans="1:1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8"/>
    </row>
    <row r="27" spans="1:1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8"/>
    </row>
    <row r="28" spans="1:1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8"/>
    </row>
    <row r="29" spans="1:1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8"/>
    </row>
    <row r="30" spans="1:1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8"/>
    </row>
    <row r="31" spans="1:1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8"/>
    </row>
    <row r="32" spans="1:1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8"/>
    </row>
    <row r="33" spans="1:1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8"/>
    </row>
    <row r="34" spans="1:1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8"/>
    </row>
    <row r="35" spans="1:1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8"/>
    </row>
    <row r="36" spans="1:1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8"/>
    </row>
    <row r="37" spans="1:1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8"/>
    </row>
    <row r="38" spans="1:12">
      <c r="L38" s="6"/>
    </row>
    <row r="39" spans="1:12">
      <c r="A39" s="5" t="s">
        <v>133</v>
      </c>
      <c r="L39" s="6"/>
    </row>
    <row r="40" spans="1:12" ht="14.25" thickBot="1">
      <c r="A40" s="195" t="s">
        <v>243</v>
      </c>
      <c r="B40" s="196"/>
      <c r="C40" s="196"/>
      <c r="D40" s="197"/>
      <c r="E40" s="201" t="s">
        <v>218</v>
      </c>
      <c r="F40" s="201"/>
      <c r="G40" s="201"/>
      <c r="H40" s="201"/>
      <c r="I40" s="201"/>
      <c r="J40" s="201" t="s">
        <v>237</v>
      </c>
      <c r="K40" s="201"/>
      <c r="L40" s="202"/>
    </row>
    <row r="41" spans="1:12" ht="14.25" thickBot="1">
      <c r="A41" s="209"/>
      <c r="B41" s="210"/>
      <c r="C41" s="210"/>
      <c r="D41" s="211"/>
      <c r="E41" s="70" t="s">
        <v>227</v>
      </c>
      <c r="F41" s="70" t="s">
        <v>231</v>
      </c>
      <c r="G41" s="70" t="s">
        <v>76</v>
      </c>
      <c r="H41" s="70" t="s">
        <v>108</v>
      </c>
      <c r="I41" s="70" t="s">
        <v>240</v>
      </c>
      <c r="J41" s="70" t="s">
        <v>200</v>
      </c>
      <c r="K41" s="70" t="s">
        <v>215</v>
      </c>
      <c r="L41" s="73" t="s">
        <v>244</v>
      </c>
    </row>
    <row r="42" spans="1:12" ht="13.5" customHeight="1">
      <c r="A42" s="212" t="str">
        <f ca="1">HYPERLINK("["&amp;MID(CELL("filename"),SEARCH("[",CELL("filename"))+1,SEARCH("]",CELL("filename"))-SEARCH("[",CELL("filename"))-1)&amp;"]"&amp;INDIRECT(ADDRESS(ROW()-37,2,1,TRUE,"자산목록"))&amp;"!A1",INDIRECT(ADDRESS(ROW()-37,2,1,TRUE,"자산목록")))</f>
        <v>DHCP_HQ_Win</v>
      </c>
      <c r="B42" s="213"/>
      <c r="C42" s="214" t="str">
        <f ca="1">IFERROR(VLOOKUP($A42,자산목록!$B$1:$M$838,8,FALSE),"-")</f>
        <v>본사 DHCP 서버</v>
      </c>
      <c r="D42" s="214"/>
      <c r="E42" s="32">
        <f ca="1">IFERROR(INDIRECT(ADDRESS(17,4,1,TRUE,$A42)),0)</f>
        <v>20</v>
      </c>
      <c r="F42" s="32">
        <f ca="1">E42-I42</f>
        <v>20</v>
      </c>
      <c r="G42" s="32">
        <f ca="1">IFERROR(INDIRECT(ADDRESS(17,5,1,TRUE,$A42)),0)</f>
        <v>19</v>
      </c>
      <c r="H42" s="32">
        <f ca="1">IFERROR(INDIRECT(ADDRESS(17,6,1,TRUE,$A42)),0)</f>
        <v>15</v>
      </c>
      <c r="I42" s="32">
        <f ca="1">IFERROR(INDIRECT(ADDRESS(17,7,1,TRUE,$A42)),0)</f>
        <v>0</v>
      </c>
      <c r="J42" s="32">
        <f ca="1">IFERROR(INDIRECT(ADDRESS(17,18,1,TRUE,$A42)),0)</f>
        <v>0</v>
      </c>
      <c r="K42" s="32">
        <f ca="1">IFERROR(INDIRECT(ADDRESS(17,19,1,TRUE,$A42)),0)</f>
        <v>1</v>
      </c>
      <c r="L42" s="77">
        <f ca="1">IFERROR(INDIRECT(ADDRESS(17,8,1,TRUE,$A42)),0)</f>
        <v>0</v>
      </c>
    </row>
    <row r="43" spans="1:12" ht="13.5" customHeight="1">
      <c r="A43" s="212" t="str">
        <f t="shared" ref="A43:A48" ca="1" si="3">HYPERLINK("["&amp;MID(CELL("filename"),SEARCH("[",CELL("filename"))+1,SEARCH("]",CELL("filename"))-SEARCH("[",CELL("filename"))-1)&amp;"]"&amp;INDIRECT(ADDRESS(ROW()-37,2,1,TRUE,"자산목록"))&amp;"!A1",INDIRECT(ADDRESS(ROW()-37,2,1,TRUE,"자산목록")))</f>
        <v>DNS_HQ_Win</v>
      </c>
      <c r="B43" s="213"/>
      <c r="C43" s="214" t="str">
        <f ca="1">IFERROR(VLOOKUP($A43,자산목록!$B$1:$M$838,8,FALSE),"-")</f>
        <v>본사 DNS 서버</v>
      </c>
      <c r="D43" s="214"/>
      <c r="E43" s="32">
        <f t="shared" ref="E43:E48" ca="1" si="4">IFERROR(INDIRECT(ADDRESS(17,4,1,TRUE,$A43)),0)</f>
        <v>20</v>
      </c>
      <c r="F43" s="32">
        <f t="shared" ref="F43:F48" ca="1" si="5">E43-I43</f>
        <v>20</v>
      </c>
      <c r="G43" s="32">
        <f t="shared" ref="G43:G48" ca="1" si="6">IFERROR(INDIRECT(ADDRESS(17,5,1,TRUE,$A43)),0)</f>
        <v>4</v>
      </c>
      <c r="H43" s="32">
        <f t="shared" ref="H43:H48" ca="1" si="7">IFERROR(INDIRECT(ADDRESS(17,6,1,TRUE,$A43)),0)</f>
        <v>10</v>
      </c>
      <c r="I43" s="32">
        <f t="shared" ref="I43:I48" ca="1" si="8">IFERROR(INDIRECT(ADDRESS(17,7,1,TRUE,$A43)),0)</f>
        <v>0</v>
      </c>
      <c r="J43" s="32">
        <f t="shared" ref="J43:J48" ca="1" si="9">IFERROR(INDIRECT(ADDRESS(17,18,1,TRUE,$A43)),0)</f>
        <v>48</v>
      </c>
      <c r="K43" s="32">
        <f t="shared" ref="K43:K48" ca="1" si="10">IFERROR(INDIRECT(ADDRESS(17,19,1,TRUE,$A43)),0)</f>
        <v>0</v>
      </c>
      <c r="L43" s="77">
        <f t="shared" ref="L43:L48" ca="1" si="11">IFERROR(INDIRECT(ADDRESS(17,8,1,TRUE,$A43)),0)</f>
        <v>0</v>
      </c>
    </row>
    <row r="44" spans="1:12" ht="13.5" customHeight="1">
      <c r="A44" s="212" t="str">
        <f t="shared" ca="1" si="3"/>
        <v>DHCP_BR_Win</v>
      </c>
      <c r="B44" s="213"/>
      <c r="C44" s="214" t="str">
        <f ca="1">IFERROR(VLOOKUP($A44,자산목록!$B$1:$M$838,8,FALSE),"-")</f>
        <v>지사 DHCP서버</v>
      </c>
      <c r="D44" s="214"/>
      <c r="E44" s="32">
        <f t="shared" ca="1" si="4"/>
        <v>20</v>
      </c>
      <c r="F44" s="32">
        <f t="shared" ca="1" si="5"/>
        <v>20</v>
      </c>
      <c r="G44" s="32">
        <f t="shared" ca="1" si="6"/>
        <v>4</v>
      </c>
      <c r="H44" s="32">
        <f t="shared" ca="1" si="7"/>
        <v>10</v>
      </c>
      <c r="I44" s="32">
        <f t="shared" ca="1" si="8"/>
        <v>0</v>
      </c>
      <c r="J44" s="32">
        <f t="shared" ca="1" si="9"/>
        <v>48</v>
      </c>
      <c r="K44" s="32">
        <f t="shared" ca="1" si="10"/>
        <v>0</v>
      </c>
      <c r="L44" s="77">
        <f t="shared" ca="1" si="11"/>
        <v>0</v>
      </c>
    </row>
    <row r="45" spans="1:12" ht="13.5" customHeight="1">
      <c r="A45" s="212" t="str">
        <f t="shared" ca="1" si="3"/>
        <v>DNS_BR_Win</v>
      </c>
      <c r="B45" s="213"/>
      <c r="C45" s="214" t="str">
        <f ca="1">IFERROR(VLOOKUP($A45,자산목록!$B$1:$M$838,8,FALSE),"-")</f>
        <v>지사 DNS서버</v>
      </c>
      <c r="D45" s="214"/>
      <c r="E45" s="32">
        <f t="shared" ca="1" si="4"/>
        <v>20</v>
      </c>
      <c r="F45" s="32">
        <f t="shared" ca="1" si="5"/>
        <v>20</v>
      </c>
      <c r="G45" s="32">
        <f t="shared" ca="1" si="6"/>
        <v>4</v>
      </c>
      <c r="H45" s="32">
        <f t="shared" ca="1" si="7"/>
        <v>10</v>
      </c>
      <c r="I45" s="32">
        <f t="shared" ca="1" si="8"/>
        <v>0</v>
      </c>
      <c r="J45" s="32">
        <f t="shared" ca="1" si="9"/>
        <v>48</v>
      </c>
      <c r="K45" s="32">
        <f t="shared" ca="1" si="10"/>
        <v>0</v>
      </c>
      <c r="L45" s="77">
        <f t="shared" ca="1" si="11"/>
        <v>0</v>
      </c>
    </row>
    <row r="46" spans="1:12" ht="13.5" customHeight="1">
      <c r="A46" s="212">
        <f t="shared" ca="1" si="3"/>
        <v>0</v>
      </c>
      <c r="B46" s="213"/>
      <c r="C46" s="214" t="str">
        <f ca="1">IFERROR(VLOOKUP($A46,자산목록!$B$1:$M$838,8,FALSE),"-")</f>
        <v>-</v>
      </c>
      <c r="D46" s="214"/>
      <c r="E46" s="32">
        <f t="shared" ca="1" si="4"/>
        <v>0</v>
      </c>
      <c r="F46" s="32">
        <f t="shared" ca="1" si="5"/>
        <v>0</v>
      </c>
      <c r="G46" s="32">
        <f t="shared" ca="1" si="6"/>
        <v>0</v>
      </c>
      <c r="H46" s="32">
        <f t="shared" ca="1" si="7"/>
        <v>0</v>
      </c>
      <c r="I46" s="32">
        <f t="shared" ca="1" si="8"/>
        <v>0</v>
      </c>
      <c r="J46" s="32">
        <f t="shared" ca="1" si="9"/>
        <v>0</v>
      </c>
      <c r="K46" s="32">
        <f t="shared" ca="1" si="10"/>
        <v>0</v>
      </c>
      <c r="L46" s="77">
        <f t="shared" ca="1" si="11"/>
        <v>0</v>
      </c>
    </row>
    <row r="47" spans="1:12" ht="13.5" customHeight="1">
      <c r="A47" s="212">
        <f t="shared" ca="1" si="3"/>
        <v>0</v>
      </c>
      <c r="B47" s="213"/>
      <c r="C47" s="214" t="str">
        <f ca="1">IFERROR(VLOOKUP($A47,자산목록!$B$1:$M$838,8,FALSE),"-")</f>
        <v>-</v>
      </c>
      <c r="D47" s="214"/>
      <c r="E47" s="32">
        <f t="shared" ca="1" si="4"/>
        <v>0</v>
      </c>
      <c r="F47" s="32">
        <f t="shared" ca="1" si="5"/>
        <v>0</v>
      </c>
      <c r="G47" s="32">
        <f t="shared" ca="1" si="6"/>
        <v>0</v>
      </c>
      <c r="H47" s="32">
        <f t="shared" ca="1" si="7"/>
        <v>0</v>
      </c>
      <c r="I47" s="32">
        <f t="shared" ca="1" si="8"/>
        <v>0</v>
      </c>
      <c r="J47" s="32">
        <f t="shared" ca="1" si="9"/>
        <v>0</v>
      </c>
      <c r="K47" s="32">
        <f t="shared" ca="1" si="10"/>
        <v>0</v>
      </c>
      <c r="L47" s="77">
        <f t="shared" ca="1" si="11"/>
        <v>0</v>
      </c>
    </row>
    <row r="48" spans="1:12" ht="13.5" customHeight="1">
      <c r="A48" s="212">
        <f t="shared" ca="1" si="3"/>
        <v>0</v>
      </c>
      <c r="B48" s="213"/>
      <c r="C48" s="214" t="str">
        <f ca="1">IFERROR(VLOOKUP($A48,자산목록!$B$1:$M$838,8,FALSE),"-")</f>
        <v>-</v>
      </c>
      <c r="D48" s="214"/>
      <c r="E48" s="32">
        <f t="shared" ca="1" si="4"/>
        <v>0</v>
      </c>
      <c r="F48" s="32">
        <f t="shared" ca="1" si="5"/>
        <v>0</v>
      </c>
      <c r="G48" s="32">
        <f t="shared" ca="1" si="6"/>
        <v>0</v>
      </c>
      <c r="H48" s="32">
        <f t="shared" ca="1" si="7"/>
        <v>0</v>
      </c>
      <c r="I48" s="32">
        <f t="shared" ca="1" si="8"/>
        <v>0</v>
      </c>
      <c r="J48" s="32">
        <f t="shared" ca="1" si="9"/>
        <v>0</v>
      </c>
      <c r="K48" s="32">
        <f t="shared" ca="1" si="10"/>
        <v>0</v>
      </c>
      <c r="L48" s="77">
        <f t="shared" ca="1" si="11"/>
        <v>0</v>
      </c>
    </row>
    <row r="49" spans="1:12" ht="14.25" thickBot="1">
      <c r="A49" s="215" t="s">
        <v>94</v>
      </c>
      <c r="B49" s="216"/>
      <c r="C49" s="216"/>
      <c r="D49" s="216"/>
      <c r="E49" s="79">
        <f t="shared" ref="E49:K49" ca="1" si="12">SUM(E42:E42)</f>
        <v>20</v>
      </c>
      <c r="F49" s="79">
        <f t="shared" ca="1" si="12"/>
        <v>20</v>
      </c>
      <c r="G49" s="79">
        <f t="shared" ca="1" si="12"/>
        <v>19</v>
      </c>
      <c r="H49" s="79">
        <f t="shared" ca="1" si="12"/>
        <v>15</v>
      </c>
      <c r="I49" s="79">
        <f t="shared" ca="1" si="12"/>
        <v>0</v>
      </c>
      <c r="J49" s="79">
        <f t="shared" ca="1" si="12"/>
        <v>0</v>
      </c>
      <c r="K49" s="79">
        <f t="shared" ca="1" si="12"/>
        <v>1</v>
      </c>
      <c r="L49" s="80">
        <f ca="1">IFERROR(K49/J49,0)</f>
        <v>0</v>
      </c>
    </row>
    <row r="50" spans="1:12">
      <c r="A50" s="2"/>
    </row>
    <row r="51" spans="1:12">
      <c r="A51" s="6"/>
    </row>
    <row r="52" spans="1:12">
      <c r="A52" s="6"/>
    </row>
    <row r="53" spans="1:12">
      <c r="A53" s="6"/>
    </row>
    <row r="54" spans="1:12">
      <c r="A54" s="6"/>
    </row>
    <row r="55" spans="1:12">
      <c r="A55" s="6"/>
    </row>
    <row r="56" spans="1:12">
      <c r="A56" s="6"/>
    </row>
    <row r="57" spans="1:12">
      <c r="A57" s="6"/>
    </row>
    <row r="58" spans="1:12">
      <c r="A58" s="6"/>
    </row>
    <row r="59" spans="1:12">
      <c r="A59" s="6"/>
    </row>
    <row r="60" spans="1:12">
      <c r="A60" s="6"/>
    </row>
    <row r="61" spans="1:12">
      <c r="A61" s="6"/>
    </row>
    <row r="62" spans="1:12">
      <c r="A62" s="6"/>
    </row>
    <row r="63" spans="1:12">
      <c r="A63" s="6"/>
    </row>
  </sheetData>
  <mergeCells count="27">
    <mergeCell ref="A44:B44"/>
    <mergeCell ref="C44:D44"/>
    <mergeCell ref="A48:B48"/>
    <mergeCell ref="C48:D48"/>
    <mergeCell ref="A49:D49"/>
    <mergeCell ref="A45:B45"/>
    <mergeCell ref="A46:B46"/>
    <mergeCell ref="C45:D45"/>
    <mergeCell ref="C46:D46"/>
    <mergeCell ref="A47:B47"/>
    <mergeCell ref="C47:D47"/>
    <mergeCell ref="E40:I40"/>
    <mergeCell ref="J40:L40"/>
    <mergeCell ref="A42:B42"/>
    <mergeCell ref="C42:D42"/>
    <mergeCell ref="A43:B43"/>
    <mergeCell ref="C43:D43"/>
    <mergeCell ref="A8:D8"/>
    <mergeCell ref="A9:D9"/>
    <mergeCell ref="A10:D10"/>
    <mergeCell ref="A11:D11"/>
    <mergeCell ref="A40:D41"/>
    <mergeCell ref="A4:D5"/>
    <mergeCell ref="E4:I4"/>
    <mergeCell ref="J4:L4"/>
    <mergeCell ref="A6:D6"/>
    <mergeCell ref="A7:D7"/>
  </mergeCells>
  <phoneticPr fontId="27" type="noConversion"/>
  <printOptions horizontalCentered="1"/>
  <pageMargins left="0.39347222447395325" right="0.39347222447395325" top="0.59041666984558105" bottom="0.59041666984558105" header="0.39347222447395325" footer="0.39347222447395325"/>
  <pageSetup paperSize="9" scale="78" fitToHeight="0" orientation="portrait" r:id="rId1"/>
  <headerFooter alignWithMargins="0">
    <oddHeader>&amp;L&amp;"맑은 고딕,Regular"
&amp;R&amp;"맑은 고딕,Regular"&amp;F</oddHead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Y59"/>
  <sheetViews>
    <sheetView showGridLines="0" view="pageBreakPreview" zoomScale="70" zoomScaleNormal="70" zoomScaleSheetLayoutView="70" workbookViewId="0">
      <selection activeCell="I9" sqref="I9"/>
    </sheetView>
  </sheetViews>
  <sheetFormatPr defaultColWidth="8.77734375" defaultRowHeight="13.5"/>
  <cols>
    <col min="1" max="9" width="8.77734375" style="3" customWidth="1"/>
    <col min="10" max="13" width="8.77734375" style="3" hidden="1" customWidth="1"/>
    <col min="14" max="14" width="14.44140625" style="3" hidden="1" customWidth="1"/>
    <col min="15" max="15" width="8.77734375" style="3" customWidth="1"/>
    <col min="16" max="16" width="8.77734375" style="3" hidden="1" customWidth="1"/>
    <col min="17" max="17" width="8.77734375" style="3" customWidth="1"/>
    <col min="18" max="18" width="12.109375" style="3" hidden="1" customWidth="1"/>
    <col min="19" max="19" width="8.77734375" style="3" hidden="1" customWidth="1"/>
    <col min="20" max="21" width="8.77734375" style="3" customWidth="1"/>
    <col min="22" max="22" width="3.109375" style="3" bestFit="1" customWidth="1"/>
    <col min="23" max="24" width="5" style="3" customWidth="1"/>
    <col min="25" max="25" width="4.77734375" style="3" customWidth="1"/>
    <col min="26" max="16384" width="8.77734375" style="3"/>
  </cols>
  <sheetData>
    <row r="1" spans="1:25" ht="16.5">
      <c r="A1" s="16" t="s">
        <v>9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>
      <c r="A2" s="15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>
      <c r="A3" s="5" t="s">
        <v>118</v>
      </c>
    </row>
    <row r="4" spans="1:25">
      <c r="A4" s="195" t="s">
        <v>79</v>
      </c>
      <c r="B4" s="196"/>
      <c r="C4" s="196"/>
      <c r="D4" s="197"/>
      <c r="E4" s="217" t="s">
        <v>218</v>
      </c>
      <c r="F4" s="217"/>
      <c r="G4" s="217"/>
      <c r="H4" s="217"/>
      <c r="I4" s="218"/>
      <c r="J4" s="219" t="s">
        <v>233</v>
      </c>
      <c r="K4" s="220"/>
      <c r="L4" s="220"/>
      <c r="M4" s="220"/>
      <c r="N4" s="221"/>
      <c r="O4" s="222" t="s">
        <v>237</v>
      </c>
      <c r="P4" s="222"/>
      <c r="Q4" s="222"/>
      <c r="R4" s="222"/>
      <c r="S4" s="222"/>
      <c r="T4" s="222"/>
      <c r="U4" s="223"/>
    </row>
    <row r="5" spans="1:25" ht="24">
      <c r="A5" s="198"/>
      <c r="B5" s="199"/>
      <c r="C5" s="199"/>
      <c r="D5" s="200"/>
      <c r="E5" s="81" t="s">
        <v>227</v>
      </c>
      <c r="F5" s="82" t="s">
        <v>231</v>
      </c>
      <c r="G5" s="83" t="s">
        <v>76</v>
      </c>
      <c r="H5" s="82" t="s">
        <v>108</v>
      </c>
      <c r="I5" s="82" t="s">
        <v>240</v>
      </c>
      <c r="J5" s="84" t="s">
        <v>110</v>
      </c>
      <c r="K5" s="85" t="s">
        <v>97</v>
      </c>
      <c r="L5" s="86" t="s">
        <v>219</v>
      </c>
      <c r="M5" s="86" t="s">
        <v>240</v>
      </c>
      <c r="N5" s="86" t="s">
        <v>4</v>
      </c>
      <c r="O5" s="87" t="s">
        <v>131</v>
      </c>
      <c r="P5" s="88" t="s">
        <v>115</v>
      </c>
      <c r="Q5" s="89" t="s">
        <v>132</v>
      </c>
      <c r="R5" s="89" t="s">
        <v>130</v>
      </c>
      <c r="S5" s="87" t="s">
        <v>93</v>
      </c>
      <c r="T5" s="88" t="s">
        <v>35</v>
      </c>
      <c r="U5" s="90" t="s">
        <v>51</v>
      </c>
    </row>
    <row r="6" spans="1:25">
      <c r="A6" s="203" t="s">
        <v>217</v>
      </c>
      <c r="B6" s="204"/>
      <c r="C6" s="204"/>
      <c r="D6" s="205"/>
      <c r="E6" s="11">
        <f ca="1">SUMIF('취약점 진단 항목별 통계 (이행)'!$A:$A,$A6&amp;"*",'취약점 진단 항목별 통계 (이행)'!$F:$F)</f>
        <v>28</v>
      </c>
      <c r="F6" s="11">
        <f ca="1">E6-I6</f>
        <v>28</v>
      </c>
      <c r="G6" s="11">
        <f ca="1">SUMIF('취약점 진단 항목별 통계'!$A:$A,$A6&amp;"*",'취약점 진단 항목별 통계'!$G:$G)+SUMIF('취약점 진단 항목별 통계'!$A:$A,$A6&amp;"*",'취약점 진단 항목별 통계'!$H:$H)</f>
        <v>29</v>
      </c>
      <c r="H6" s="11">
        <f ca="1">SUMIF('취약점 진단 항목별 통계'!$A:$A,$A6&amp;"*",'취약점 진단 항목별 통계'!$I:$I)</f>
        <v>27</v>
      </c>
      <c r="I6" s="11">
        <f ca="1">SUMIF('취약점 진단 항목별 통계'!$A:$A,$A6&amp;"*",'취약점 진단 항목별 통계'!$J:$J)</f>
        <v>0</v>
      </c>
      <c r="J6" s="11">
        <f ca="1">SUMIF('취약점 진단 항목별 통계 (이행)'!$A:$A,$A6&amp;"*",'취약점 진단 항목별 통계 (이행)'!$K:$K)</f>
        <v>9</v>
      </c>
      <c r="K6" s="11">
        <f ca="1">SUMIF('취약점 진단 항목별 통계 (이행)'!$A:$A,$A6&amp;"*",'취약점 진단 항목별 통계 (이행)'!$L:$L)</f>
        <v>0</v>
      </c>
      <c r="L6" s="11">
        <f ca="1">SUMIF('취약점 진단 항목별 통계 (이행)'!$A:$A,$A6&amp;"*",'취약점 진단 항목별 통계 (이행)'!$M:$M)</f>
        <v>0</v>
      </c>
      <c r="M6" s="11">
        <f ca="1">SUMIF('취약점 진단 항목별 통계 (이행)'!$A:$A,$A6&amp;"*",'취약점 진단 항목별 통계 (이행)'!$N:$N)</f>
        <v>0</v>
      </c>
      <c r="N6" s="31">
        <f ca="1">K6+L6</f>
        <v>0</v>
      </c>
      <c r="O6" s="11">
        <f ca="1">SUMIF('취약점 진단 항목별 통계 (이행)'!$A:$A,$A6&amp;"*",'취약점 진단 항목별 통계 (이행)'!$O:$O)</f>
        <v>70</v>
      </c>
      <c r="P6" s="11">
        <f ca="1">SUMIF('취약점 진단 항목별 통계 (이행)'!$A:$A,$A6&amp;"*",'취약점 진단 항목별 통계 (이행)'!$P:$P)</f>
        <v>70</v>
      </c>
      <c r="Q6" s="11">
        <f ca="1">SUMIF('취약점 진단 항목별 통계 (이행)'!$A:$A,$A6&amp;"*",'취약점 진단 항목별 통계 (이행)'!$Q:$Q)</f>
        <v>74</v>
      </c>
      <c r="R6" s="11">
        <f ca="1">SUMIF('취약점 진단 항목별 통계 (이행)'!$A:$A,$A6&amp;"*",'취약점 진단 항목별 통계 (이행)'!$R:$R)</f>
        <v>96</v>
      </c>
      <c r="S6" s="26">
        <f ca="1">IFERROR($J6/($H6-(M6-I6)),"N/A")</f>
        <v>0.33333333333333331</v>
      </c>
      <c r="T6" s="26">
        <f ca="1">IF($I6=$E6,"N/A",(Q6/O6))</f>
        <v>1.0571428571428572</v>
      </c>
      <c r="U6" s="74">
        <f ca="1">IF(OR($I6=$E6,$E6=$M6),"N/A",($R6/$P6))</f>
        <v>1.3714285714285714</v>
      </c>
      <c r="V6" s="2"/>
      <c r="W6" s="1"/>
    </row>
    <row r="7" spans="1:25">
      <c r="A7" s="203" t="s">
        <v>194</v>
      </c>
      <c r="B7" s="204"/>
      <c r="C7" s="204"/>
      <c r="D7" s="205"/>
      <c r="E7" s="11">
        <f>SUMIF('취약점 진단 항목별 통계 (이행)'!$A:$A,$A7&amp;"*",'취약점 진단 항목별 통계 (이행)'!$F:$F)</f>
        <v>0</v>
      </c>
      <c r="F7" s="11">
        <f t="shared" ref="F7:F10" si="0">E7-I7</f>
        <v>0</v>
      </c>
      <c r="G7" s="11">
        <f>SUMIF('취약점 진단 항목별 통계'!$A:$A,$A7&amp;"*",'취약점 진단 항목별 통계'!$G:$G)+SUMIF('취약점 진단 항목별 통계'!$A:$A,$A7&amp;"*",'취약점 진단 항목별 통계'!$H:$H)</f>
        <v>0</v>
      </c>
      <c r="H7" s="11">
        <f>SUMIF('취약점 진단 항목별 통계'!$A:$A,$A7&amp;"*",'취약점 진단 항목별 통계'!$I:$I)</f>
        <v>0</v>
      </c>
      <c r="I7" s="11">
        <f>SUMIF('취약점 진단 항목별 통계'!$A:$A,$A7&amp;"*",'취약점 진단 항목별 통계'!$J:$J)</f>
        <v>0</v>
      </c>
      <c r="J7" s="11">
        <f>SUMIF('취약점 진단 항목별 통계 (이행)'!$A:$A,$A7&amp;"*",'취약점 진단 항목별 통계 (이행)'!$K:$K)</f>
        <v>0</v>
      </c>
      <c r="K7" s="11">
        <f>SUMIF('취약점 진단 항목별 통계 (이행)'!$A:$A,$A7&amp;"*",'취약점 진단 항목별 통계 (이행)'!$L:$L)</f>
        <v>0</v>
      </c>
      <c r="L7" s="11">
        <f>SUMIF('취약점 진단 항목별 통계 (이행)'!$A:$A,$A7&amp;"*",'취약점 진단 항목별 통계 (이행)'!$M:$M)</f>
        <v>0</v>
      </c>
      <c r="M7" s="11">
        <f>SUMIF('취약점 진단 항목별 통계 (이행)'!$A:$A,$A7&amp;"*",'취약점 진단 항목별 통계 (이행)'!$N:$N)</f>
        <v>0</v>
      </c>
      <c r="N7" s="31">
        <f t="shared" ref="N7:N10" si="1">K7+L7</f>
        <v>0</v>
      </c>
      <c r="O7" s="11">
        <f>SUMIF('취약점 진단 항목별 통계 (이행)'!$A:$A,$A7&amp;"*",'취약점 진단 항목별 통계 (이행)'!$O:$O)</f>
        <v>0</v>
      </c>
      <c r="P7" s="11">
        <f>SUMIF('취약점 진단 항목별 통계 (이행)'!$A:$A,$A7&amp;"*",'취약점 진단 항목별 통계 (이행)'!$P:$P)</f>
        <v>0</v>
      </c>
      <c r="Q7" s="11">
        <f>SUMIF('취약점 진단 항목별 통계 (이행)'!$A:$A,$A7&amp;"*",'취약점 진단 항목별 통계 (이행)'!$Q:$Q)</f>
        <v>0</v>
      </c>
      <c r="R7" s="11">
        <f>SUMIF('취약점 진단 항목별 통계 (이행)'!$A:$A,$A7&amp;"*",'취약점 진단 항목별 통계 (이행)'!$R:$R)</f>
        <v>0</v>
      </c>
      <c r="S7" s="26" t="str">
        <f t="shared" ref="S7:S10" si="2">IFERROR($J7/($H7-(M7-I7)),"N/A")</f>
        <v>N/A</v>
      </c>
      <c r="T7" s="26" t="str">
        <f t="shared" ref="T7:T10" si="3">IF($I7=$E7,"N/A",(Q7/O7))</f>
        <v>N/A</v>
      </c>
      <c r="U7" s="74" t="str">
        <f t="shared" ref="U7:U10" si="4">IF(OR($I7=$E7,$E7=$M7),"N/A",($R7/$P7))</f>
        <v>N/A</v>
      </c>
      <c r="V7" s="2"/>
      <c r="W7" s="1"/>
    </row>
    <row r="8" spans="1:25">
      <c r="A8" s="203" t="s">
        <v>211</v>
      </c>
      <c r="B8" s="204"/>
      <c r="C8" s="204"/>
      <c r="D8" s="205"/>
      <c r="E8" s="11">
        <f ca="1">SUMIF('취약점 진단 항목별 통계 (이행)'!$A:$A,$A8&amp;"*",'취약점 진단 항목별 통계 (이행)'!$F:$F)</f>
        <v>4</v>
      </c>
      <c r="F8" s="11">
        <f t="shared" ca="1" si="0"/>
        <v>4</v>
      </c>
      <c r="G8" s="11">
        <f ca="1">SUMIF('취약점 진단 항목별 통계'!$A:$A,$A8&amp;"*",'취약점 진단 항목별 통계'!$G:$G)+SUMIF('취약점 진단 항목별 통계'!$A:$A,$A8&amp;"*",'취약점 진단 항목별 통계'!$H:$H)</f>
        <v>2</v>
      </c>
      <c r="H8" s="11">
        <f ca="1">SUMIF('취약점 진단 항목별 통계'!$A:$A,$A8&amp;"*",'취약점 진단 항목별 통계'!$I:$I)</f>
        <v>6</v>
      </c>
      <c r="I8" s="11">
        <f ca="1">SUMIF('취약점 진단 항목별 통계'!$A:$A,$A8&amp;"*",'취약점 진단 항목별 통계'!$J:$J)</f>
        <v>0</v>
      </c>
      <c r="J8" s="11">
        <f ca="1">SUMIF('취약점 진단 항목별 통계 (이행)'!$A:$A,$A8&amp;"*",'취약점 진단 항목별 통계 (이행)'!$K:$K)</f>
        <v>0</v>
      </c>
      <c r="K8" s="11">
        <f ca="1">SUMIF('취약점 진단 항목별 통계 (이행)'!$A:$A,$A8&amp;"*",'취약점 진단 항목별 통계 (이행)'!$L:$L)</f>
        <v>0</v>
      </c>
      <c r="L8" s="11">
        <f ca="1">SUMIF('취약점 진단 항목별 통계 (이행)'!$A:$A,$A8&amp;"*",'취약점 진단 항목별 통계 (이행)'!$M:$M)</f>
        <v>0</v>
      </c>
      <c r="M8" s="11">
        <f ca="1">SUMIF('취약점 진단 항목별 통계 (이행)'!$A:$A,$A8&amp;"*",'취약점 진단 항목별 통계 (이행)'!$N:$N)</f>
        <v>2</v>
      </c>
      <c r="N8" s="31">
        <f t="shared" ca="1" si="1"/>
        <v>0</v>
      </c>
      <c r="O8" s="11">
        <f ca="1">SUMIF('취약점 진단 항목별 통계 (이행)'!$A:$A,$A8&amp;"*",'취약점 진단 항목별 통계 (이행)'!$O:$O)</f>
        <v>12</v>
      </c>
      <c r="P8" s="11">
        <f ca="1">SUMIF('취약점 진단 항목별 통계 (이행)'!$A:$A,$A8&amp;"*",'취약점 진단 항목별 통계 (이행)'!$P:$P)</f>
        <v>6</v>
      </c>
      <c r="Q8" s="11">
        <f ca="1">SUMIF('취약점 진단 항목별 통계 (이행)'!$A:$A,$A8&amp;"*",'취약점 진단 항목별 통계 (이행)'!$Q:$Q)</f>
        <v>6</v>
      </c>
      <c r="R8" s="11">
        <f ca="1">SUMIF('취약점 진단 항목별 통계 (이행)'!$A:$A,$A8&amp;"*",'취약점 진단 항목별 통계 (이행)'!$R:$R)</f>
        <v>6</v>
      </c>
      <c r="S8" s="26">
        <f t="shared" ca="1" si="2"/>
        <v>0</v>
      </c>
      <c r="T8" s="26">
        <f t="shared" ca="1" si="3"/>
        <v>0.5</v>
      </c>
      <c r="U8" s="74">
        <f t="shared" ca="1" si="4"/>
        <v>1</v>
      </c>
      <c r="V8" s="6"/>
      <c r="W8" s="6"/>
    </row>
    <row r="9" spans="1:25">
      <c r="A9" s="203" t="s">
        <v>238</v>
      </c>
      <c r="B9" s="204"/>
      <c r="C9" s="204"/>
      <c r="D9" s="205"/>
      <c r="E9" s="11">
        <f ca="1">SUMIF('취약점 진단 항목별 통계 (이행)'!$A:$A,$A9&amp;"*",'취약점 진단 항목별 통계 (이행)'!$F:$F)</f>
        <v>8</v>
      </c>
      <c r="F9" s="11">
        <f t="shared" ca="1" si="0"/>
        <v>8</v>
      </c>
      <c r="G9" s="11">
        <f ca="1">SUMIF('취약점 진단 항목별 통계'!$A:$A,$A9&amp;"*",'취약점 진단 항목별 통계'!$G:$G)+SUMIF('취약점 진단 항목별 통계'!$A:$A,$A9&amp;"*",'취약점 진단 항목별 통계'!$H:$H)</f>
        <v>6</v>
      </c>
      <c r="H9" s="11">
        <f ca="1">SUMIF('취약점 진단 항목별 통계'!$A:$A,$A9&amp;"*",'취약점 진단 항목별 통계'!$I:$I)</f>
        <v>10</v>
      </c>
      <c r="I9" s="11">
        <f ca="1">SUMIF('취약점 진단 항목별 통계'!$A:$A,$A9&amp;"*",'취약점 진단 항목별 통계'!$J:$J)</f>
        <v>0</v>
      </c>
      <c r="J9" s="11">
        <f ca="1">SUMIF('취약점 진단 항목별 통계 (이행)'!$A:$A,$A9&amp;"*",'취약점 진단 항목별 통계 (이행)'!$K:$K)</f>
        <v>1</v>
      </c>
      <c r="K9" s="11">
        <f ca="1">SUMIF('취약점 진단 항목별 통계 (이행)'!$A:$A,$A9&amp;"*",'취약점 진단 항목별 통계 (이행)'!$L:$L)</f>
        <v>1</v>
      </c>
      <c r="L9" s="11">
        <f ca="1">SUMIF('취약점 진단 항목별 통계 (이행)'!$A:$A,$A9&amp;"*",'취약점 진단 항목별 통계 (이행)'!$M:$M)</f>
        <v>0</v>
      </c>
      <c r="M9" s="11">
        <f ca="1">SUMIF('취약점 진단 항목별 통계 (이행)'!$A:$A,$A9&amp;"*",'취약점 진단 항목별 통계 (이행)'!$N:$N)</f>
        <v>2</v>
      </c>
      <c r="N9" s="31">
        <f t="shared" ca="1" si="1"/>
        <v>1</v>
      </c>
      <c r="O9" s="11">
        <f ca="1">SUMIF('취약점 진단 항목별 통계 (이행)'!$A:$A,$A9&amp;"*",'취약점 진단 항목별 통계 (이행)'!$O:$O)</f>
        <v>14</v>
      </c>
      <c r="P9" s="11">
        <f ca="1">SUMIF('취약점 진단 항목별 통계 (이행)'!$A:$A,$A9&amp;"*",'취약점 진단 항목별 통계 (이행)'!$P:$P)</f>
        <v>10</v>
      </c>
      <c r="Q9" s="11">
        <f ca="1">SUMIF('취약점 진단 항목별 통계 (이행)'!$A:$A,$A9&amp;"*",'취약점 진단 항목별 통계 (이행)'!$Q:$Q)</f>
        <v>11</v>
      </c>
      <c r="R9" s="11">
        <f ca="1">SUMIF('취약점 진단 항목별 통계 (이행)'!$A:$A,$A9&amp;"*",'취약점 진단 항목별 통계 (이행)'!$R:$R)</f>
        <v>12</v>
      </c>
      <c r="S9" s="26">
        <f t="shared" ca="1" si="2"/>
        <v>0.125</v>
      </c>
      <c r="T9" s="26">
        <f t="shared" ca="1" si="3"/>
        <v>0.7857142857142857</v>
      </c>
      <c r="U9" s="74">
        <f t="shared" ca="1" si="4"/>
        <v>1.2</v>
      </c>
      <c r="V9" s="6"/>
      <c r="W9" s="6"/>
    </row>
    <row r="10" spans="1:25">
      <c r="A10" s="203" t="s">
        <v>197</v>
      </c>
      <c r="B10" s="204"/>
      <c r="C10" s="204"/>
      <c r="D10" s="205"/>
      <c r="E10" s="11">
        <f>SUMIF('취약점 진단 항목별 통계 (이행)'!$A:$A,$A10&amp;"*",'취약점 진단 항목별 통계 (이행)'!$F:$F)</f>
        <v>0</v>
      </c>
      <c r="F10" s="11">
        <f t="shared" si="0"/>
        <v>0</v>
      </c>
      <c r="G10" s="11">
        <f>SUMIF('취약점 진단 항목별 통계'!$A:$A,$A10&amp;"*",'취약점 진단 항목별 통계'!$G:$G)+SUMIF('취약점 진단 항목별 통계'!$A:$A,$A10&amp;"*",'취약점 진단 항목별 통계'!$H:$H)</f>
        <v>0</v>
      </c>
      <c r="H10" s="11">
        <f>SUMIF('취약점 진단 항목별 통계'!$A:$A,$A10&amp;"*",'취약점 진단 항목별 통계'!$I:$I)</f>
        <v>0</v>
      </c>
      <c r="I10" s="11">
        <f>SUMIF('취약점 진단 항목별 통계'!$A:$A,$A10&amp;"*",'취약점 진단 항목별 통계'!$J:$J)</f>
        <v>0</v>
      </c>
      <c r="J10" s="11">
        <f>SUMIF('취약점 진단 항목별 통계 (이행)'!$A:$A,$A10&amp;"*",'취약점 진단 항목별 통계 (이행)'!$K:$K)</f>
        <v>0</v>
      </c>
      <c r="K10" s="11">
        <f>SUMIF('취약점 진단 항목별 통계 (이행)'!$A:$A,$A10&amp;"*",'취약점 진단 항목별 통계 (이행)'!$L:$L)</f>
        <v>0</v>
      </c>
      <c r="L10" s="11">
        <f>SUMIF('취약점 진단 항목별 통계 (이행)'!$A:$A,$A10&amp;"*",'취약점 진단 항목별 통계 (이행)'!$M:$M)</f>
        <v>0</v>
      </c>
      <c r="M10" s="11">
        <f>SUMIF('취약점 진단 항목별 통계 (이행)'!$A:$A,$A10&amp;"*",'취약점 진단 항목별 통계 (이행)'!$N:$N)</f>
        <v>0</v>
      </c>
      <c r="N10" s="31">
        <f t="shared" si="1"/>
        <v>0</v>
      </c>
      <c r="O10" s="11">
        <f>SUMIF('취약점 진단 항목별 통계 (이행)'!$A:$A,$A10&amp;"*",'취약점 진단 항목별 통계 (이행)'!$O:$O)</f>
        <v>0</v>
      </c>
      <c r="P10" s="11">
        <f>SUMIF('취약점 진단 항목별 통계 (이행)'!$A:$A,$A10&amp;"*",'취약점 진단 항목별 통계 (이행)'!$P:$P)</f>
        <v>0</v>
      </c>
      <c r="Q10" s="11">
        <f>SUMIF('취약점 진단 항목별 통계 (이행)'!$A:$A,$A10&amp;"*",'취약점 진단 항목별 통계 (이행)'!$Q:$Q)</f>
        <v>0</v>
      </c>
      <c r="R10" s="11">
        <f>SUMIF('취약점 진단 항목별 통계 (이행)'!$A:$A,$A10&amp;"*",'취약점 진단 항목별 통계 (이행)'!$R:$R)</f>
        <v>0</v>
      </c>
      <c r="S10" s="26" t="str">
        <f t="shared" si="2"/>
        <v>N/A</v>
      </c>
      <c r="T10" s="26" t="str">
        <f t="shared" si="3"/>
        <v>N/A</v>
      </c>
      <c r="U10" s="74" t="str">
        <f t="shared" si="4"/>
        <v>N/A</v>
      </c>
      <c r="V10" s="6"/>
      <c r="W10" s="6"/>
    </row>
    <row r="11" spans="1:25">
      <c r="A11" s="206" t="s">
        <v>94</v>
      </c>
      <c r="B11" s="207"/>
      <c r="C11" s="207"/>
      <c r="D11" s="208"/>
      <c r="E11" s="91">
        <f t="shared" ref="E11:R11" ca="1" si="5">SUM(E6:E10)</f>
        <v>40</v>
      </c>
      <c r="F11" s="91">
        <f t="shared" ca="1" si="5"/>
        <v>40</v>
      </c>
      <c r="G11" s="91">
        <f t="shared" ca="1" si="5"/>
        <v>37</v>
      </c>
      <c r="H11" s="91">
        <f t="shared" ca="1" si="5"/>
        <v>43</v>
      </c>
      <c r="I11" s="91">
        <f t="shared" ca="1" si="5"/>
        <v>0</v>
      </c>
      <c r="J11" s="91">
        <f t="shared" ca="1" si="5"/>
        <v>10</v>
      </c>
      <c r="K11" s="91">
        <f t="shared" ca="1" si="5"/>
        <v>1</v>
      </c>
      <c r="L11" s="91">
        <f t="shared" ca="1" si="5"/>
        <v>0</v>
      </c>
      <c r="M11" s="91">
        <f t="shared" ca="1" si="5"/>
        <v>4</v>
      </c>
      <c r="N11" s="91">
        <f t="shared" ca="1" si="5"/>
        <v>1</v>
      </c>
      <c r="O11" s="91">
        <f t="shared" ca="1" si="5"/>
        <v>96</v>
      </c>
      <c r="P11" s="91">
        <f t="shared" ca="1" si="5"/>
        <v>86</v>
      </c>
      <c r="Q11" s="91">
        <f t="shared" ca="1" si="5"/>
        <v>91</v>
      </c>
      <c r="R11" s="91">
        <f t="shared" ca="1" si="5"/>
        <v>114</v>
      </c>
      <c r="S11" s="92">
        <f ca="1">IFERROR($J11/($H11-(M11-I11)),"N/A")</f>
        <v>0.25641025641025639</v>
      </c>
      <c r="T11" s="92">
        <f ca="1">IF($I11=$E11,"N/A",(Q11/O11))</f>
        <v>0.94791666666666663</v>
      </c>
      <c r="U11" s="76">
        <f ca="1">IF(OR($I11=$E11,$E11=$M11),"N/A",($R11/$P11))</f>
        <v>1.3255813953488371</v>
      </c>
      <c r="V11" s="6"/>
      <c r="W11" s="6"/>
    </row>
    <row r="12" spans="1: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8"/>
      <c r="S12" s="8"/>
      <c r="T12" s="8"/>
      <c r="U12" s="8"/>
      <c r="V12" s="6"/>
      <c r="W12" s="6"/>
    </row>
    <row r="13" spans="1: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8"/>
      <c r="S13" s="8"/>
      <c r="T13" s="8"/>
      <c r="U13" s="8"/>
      <c r="V13" s="6"/>
      <c r="W13" s="6"/>
    </row>
    <row r="14" spans="1: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8"/>
      <c r="S14" s="8"/>
      <c r="T14" s="8"/>
      <c r="U14" s="8"/>
      <c r="V14" s="6"/>
      <c r="W14" s="6"/>
    </row>
    <row r="15" spans="1: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8"/>
      <c r="S15" s="8"/>
      <c r="T15" s="8"/>
      <c r="U15" s="8"/>
      <c r="V15" s="6"/>
      <c r="W15" s="6"/>
    </row>
    <row r="16" spans="1:25">
      <c r="A16" s="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2"/>
      <c r="R16" s="8"/>
      <c r="S16" s="8"/>
      <c r="T16" s="8"/>
      <c r="U16" s="8"/>
      <c r="V16" s="6"/>
      <c r="W16" s="6"/>
    </row>
    <row r="17" spans="1:23">
      <c r="A17" s="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2"/>
      <c r="R17" s="8"/>
      <c r="S17" s="8"/>
      <c r="T17" s="8"/>
      <c r="U17" s="8"/>
      <c r="V17" s="6"/>
      <c r="W17" s="6"/>
    </row>
    <row r="18" spans="1:23">
      <c r="A18" s="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2"/>
      <c r="R18" s="8"/>
      <c r="S18" s="8"/>
      <c r="T18" s="8"/>
      <c r="U18" s="8"/>
      <c r="V18" s="6"/>
      <c r="W18" s="6"/>
    </row>
    <row r="19" spans="1:23">
      <c r="A19" s="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2"/>
      <c r="R19" s="8"/>
      <c r="S19" s="8"/>
      <c r="T19" s="8"/>
      <c r="U19" s="8"/>
      <c r="V19" s="6"/>
      <c r="W19" s="6"/>
    </row>
    <row r="20" spans="1:23">
      <c r="A20" s="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2"/>
      <c r="R20" s="8"/>
      <c r="S20" s="8"/>
      <c r="T20" s="8"/>
      <c r="U20" s="8"/>
      <c r="V20" s="6"/>
      <c r="W20" s="6"/>
    </row>
    <row r="21" spans="1:2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8"/>
      <c r="S21" s="8"/>
      <c r="T21" s="8"/>
      <c r="U21" s="8"/>
      <c r="V21" s="6"/>
      <c r="W21" s="6"/>
    </row>
    <row r="22" spans="1:2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8"/>
      <c r="S22" s="8"/>
      <c r="T22" s="8"/>
      <c r="U22" s="8"/>
      <c r="V22" s="6"/>
      <c r="W22" s="6"/>
    </row>
    <row r="23" spans="1: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8"/>
      <c r="S23" s="8"/>
      <c r="T23" s="8"/>
      <c r="U23" s="8"/>
      <c r="V23" s="6"/>
      <c r="W23" s="6"/>
    </row>
    <row r="24" spans="1:2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8"/>
      <c r="S24" s="8"/>
      <c r="T24" s="8"/>
      <c r="U24" s="8"/>
      <c r="V24" s="6"/>
      <c r="W24" s="6"/>
    </row>
    <row r="25" spans="1:2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8"/>
      <c r="S25" s="8"/>
      <c r="T25" s="8"/>
      <c r="U25" s="8"/>
      <c r="V25" s="6"/>
      <c r="W25" s="6"/>
    </row>
    <row r="26" spans="1:2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8"/>
      <c r="S26" s="8"/>
      <c r="T26" s="8"/>
      <c r="U26" s="8"/>
      <c r="V26" s="6"/>
      <c r="W26" s="6"/>
    </row>
    <row r="27" spans="1:2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8"/>
      <c r="S27" s="8"/>
      <c r="T27" s="8"/>
      <c r="U27" s="8"/>
      <c r="V27" s="6"/>
      <c r="W27" s="6"/>
    </row>
    <row r="28" spans="1:2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8"/>
      <c r="S28" s="8"/>
      <c r="T28" s="8"/>
      <c r="U28" s="8"/>
      <c r="V28" s="6"/>
      <c r="W28" s="6"/>
    </row>
    <row r="29" spans="1:2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8"/>
      <c r="S29" s="8"/>
      <c r="T29" s="8"/>
      <c r="U29" s="8"/>
      <c r="V29" s="6"/>
      <c r="W29" s="6"/>
    </row>
    <row r="30" spans="1:2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8"/>
      <c r="S30" s="8"/>
      <c r="T30" s="8"/>
      <c r="U30" s="8"/>
      <c r="V30" s="6"/>
      <c r="W30" s="6"/>
    </row>
    <row r="31" spans="1:2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8"/>
      <c r="S31" s="8"/>
      <c r="T31" s="8"/>
      <c r="U31" s="8"/>
      <c r="V31" s="6"/>
      <c r="W31" s="6"/>
    </row>
    <row r="32" spans="1:2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8"/>
      <c r="S32" s="8"/>
      <c r="T32" s="8"/>
      <c r="U32" s="8"/>
      <c r="V32" s="6"/>
      <c r="W32" s="6"/>
    </row>
    <row r="33" spans="1:2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8"/>
      <c r="S33" s="8"/>
      <c r="T33" s="8"/>
      <c r="U33" s="8"/>
      <c r="V33" s="6"/>
      <c r="W33" s="6"/>
    </row>
    <row r="34" spans="1:2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8"/>
      <c r="S34" s="8"/>
      <c r="T34" s="8"/>
      <c r="U34" s="8"/>
      <c r="V34" s="6"/>
      <c r="W34" s="6"/>
    </row>
    <row r="35" spans="1:2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8"/>
      <c r="S35" s="8"/>
      <c r="T35" s="8"/>
      <c r="U35" s="8"/>
      <c r="V35" s="6"/>
      <c r="W35" s="6"/>
    </row>
    <row r="36" spans="1:2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8"/>
      <c r="S36" s="8"/>
      <c r="T36" s="8"/>
      <c r="U36" s="8"/>
      <c r="V36" s="6"/>
      <c r="W36" s="6"/>
    </row>
    <row r="37" spans="1:2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8"/>
      <c r="S37" s="8"/>
      <c r="T37" s="8"/>
      <c r="U37" s="8"/>
      <c r="V37" s="6"/>
      <c r="W37" s="6"/>
    </row>
    <row r="38" spans="1:23">
      <c r="R38" s="6"/>
      <c r="S38" s="6"/>
      <c r="T38" s="6"/>
      <c r="U38" s="6"/>
      <c r="V38" s="6"/>
      <c r="W38" s="6"/>
    </row>
    <row r="39" spans="1:23">
      <c r="A39" s="5" t="s">
        <v>133</v>
      </c>
      <c r="R39" s="6"/>
      <c r="S39" s="6"/>
      <c r="T39" s="6"/>
      <c r="U39" s="6"/>
      <c r="V39" s="6"/>
      <c r="W39" s="6"/>
    </row>
    <row r="40" spans="1:23">
      <c r="A40" s="230" t="s">
        <v>243</v>
      </c>
      <c r="B40" s="231"/>
      <c r="C40" s="231"/>
      <c r="D40" s="232"/>
      <c r="E40" s="236" t="s">
        <v>218</v>
      </c>
      <c r="F40" s="237"/>
      <c r="G40" s="237"/>
      <c r="H40" s="237"/>
      <c r="I40" s="238"/>
      <c r="J40" s="224" t="s">
        <v>233</v>
      </c>
      <c r="K40" s="225"/>
      <c r="L40" s="225"/>
      <c r="M40" s="225"/>
      <c r="N40" s="225"/>
      <c r="O40" s="226" t="s">
        <v>237</v>
      </c>
      <c r="P40" s="227"/>
      <c r="Q40" s="227"/>
      <c r="R40" s="227"/>
      <c r="S40" s="227"/>
      <c r="T40" s="227"/>
      <c r="U40" s="228"/>
      <c r="V40" s="6"/>
      <c r="W40" s="6"/>
    </row>
    <row r="41" spans="1:23" ht="22.5">
      <c r="A41" s="233"/>
      <c r="B41" s="234"/>
      <c r="C41" s="234"/>
      <c r="D41" s="235"/>
      <c r="E41" s="93" t="s">
        <v>227</v>
      </c>
      <c r="F41" s="94" t="s">
        <v>231</v>
      </c>
      <c r="G41" s="95" t="s">
        <v>76</v>
      </c>
      <c r="H41" s="96" t="s">
        <v>108</v>
      </c>
      <c r="I41" s="97" t="s">
        <v>240</v>
      </c>
      <c r="J41" s="96" t="s">
        <v>110</v>
      </c>
      <c r="K41" s="97" t="s">
        <v>97</v>
      </c>
      <c r="L41" s="96" t="s">
        <v>219</v>
      </c>
      <c r="M41" s="96" t="s">
        <v>240</v>
      </c>
      <c r="N41" s="96" t="s">
        <v>4</v>
      </c>
      <c r="O41" s="96" t="s">
        <v>131</v>
      </c>
      <c r="P41" s="96" t="s">
        <v>115</v>
      </c>
      <c r="Q41" s="96" t="s">
        <v>132</v>
      </c>
      <c r="R41" s="96" t="s">
        <v>130</v>
      </c>
      <c r="S41" s="97" t="s">
        <v>93</v>
      </c>
      <c r="T41" s="96" t="s">
        <v>35</v>
      </c>
      <c r="U41" s="98" t="s">
        <v>51</v>
      </c>
      <c r="V41" s="6"/>
      <c r="W41" s="6"/>
    </row>
    <row r="42" spans="1:23" ht="13.5" customHeight="1">
      <c r="A42" s="229" t="str">
        <f ca="1">HYPERLINK("["&amp;MID(CELL("filename"),SEARCH("[",CELL("filename"))+1,SEARCH("]",CELL("filename"))-SEARCH("[",CELL("filename"))-1)&amp;"]"&amp;INDIRECT(ADDRESS(ROW()-37,2,1,TRUE,"자산목록"))&amp;"!A1",INDIRECT(ADDRESS(ROW()-37,2,1,TRUE,"자산목록")))</f>
        <v>DHCP_HQ_Win</v>
      </c>
      <c r="B42" s="213"/>
      <c r="C42" s="214" t="str">
        <f ca="1">IFERROR(VLOOKUP($A42,자산목록!$B$1:$M$838,8,FALSE),"-")</f>
        <v>본사 DHCP 서버</v>
      </c>
      <c r="D42" s="214"/>
      <c r="E42" s="32">
        <f ca="1">IFERROR(INDIRECT(ADDRESS(17,4,1,TRUE,$A42)),0)</f>
        <v>20</v>
      </c>
      <c r="F42" s="29">
        <f ca="1">E42-I42</f>
        <v>20</v>
      </c>
      <c r="G42" s="32">
        <f ca="1">IFERROR(INDIRECT(ADDRESS(17,5,1,TRUE,$A42)),0)</f>
        <v>19</v>
      </c>
      <c r="H42" s="32">
        <f ca="1">IFERROR(INDIRECT(ADDRESS(17,6,1,TRUE,$A42)),0)</f>
        <v>15</v>
      </c>
      <c r="I42" s="32">
        <f ca="1">IFERROR(INDIRECT(ADDRESS(17,7,1,TRUE,$A42)),0)</f>
        <v>0</v>
      </c>
      <c r="J42" s="32">
        <f ca="1">IFERROR(INDIRECT(ADDRESS(17,10,1,TRUE,$A42)),0)</f>
        <v>0</v>
      </c>
      <c r="K42" s="53">
        <f ca="1">IFERROR(INDIRECT(ADDRESS(17,11,1,TRUE,$A42)),0)</f>
        <v>1</v>
      </c>
      <c r="L42" s="32">
        <f ca="1">IFERROR(INDIRECT(ADDRESS(17,12,1,TRUE,$A42)),0)</f>
        <v>0</v>
      </c>
      <c r="M42" s="32">
        <f ca="1">IFERROR(INDIRECT(ADDRESS(17,13,1,TRUE,$A42)),0)</f>
        <v>0</v>
      </c>
      <c r="N42" s="32">
        <f ca="1">K42+L42</f>
        <v>1</v>
      </c>
      <c r="O42" s="32">
        <f ca="1">IFERROR(INDIRECT(ADDRESS(17,18,1,TRUE,$A42)),0)</f>
        <v>0</v>
      </c>
      <c r="P42" s="32">
        <f ca="1">IFERROR(INDIRECT(ADDRESS(17,21,1,TRUE,$A42)),0)</f>
        <v>37</v>
      </c>
      <c r="Q42" s="32">
        <f ca="1">IFERROR(INDIRECT(ADDRESS(17,19,1,TRUE,$A42)),0)</f>
        <v>1</v>
      </c>
      <c r="R42" s="53">
        <f ca="1">IFERROR(INDIRECT(ADDRESS(17,20,1,TRUE,$A42)),0)</f>
        <v>46</v>
      </c>
      <c r="S42" s="55">
        <f ca="1">IFERROR(INDIRECT(ADDRESS(17,14,1,TRUE,$A42)),0)</f>
        <v>0</v>
      </c>
      <c r="T42" s="55">
        <f ca="1">IFERROR(INDIRECT(ADDRESS(17,8,1,TRUE,$A42)),0)</f>
        <v>0</v>
      </c>
      <c r="U42" s="99">
        <f ca="1">IFERROR(INDIRECT(ADDRESS(17,15,1,TRUE,$A42)),0)</f>
        <v>1.2432432432432432</v>
      </c>
      <c r="V42" s="7"/>
    </row>
    <row r="43" spans="1:23" ht="13.5" customHeight="1">
      <c r="A43" s="229" t="str">
        <f ca="1">HYPERLINK("["&amp;MID(CELL("filename"),SEARCH("[",CELL("filename"))+1,SEARCH("]",CELL("filename"))-SEARCH("[",CELL("filename"))-1)&amp;"]"&amp;INDIRECT(ADDRESS(ROW()-37,2,1,TRUE,"자산목록"))&amp;"!A1",INDIRECT(ADDRESS(ROW()-37,2,1,TRUE,"자산목록")))</f>
        <v>DNS_HQ_Win</v>
      </c>
      <c r="B43" s="213"/>
      <c r="C43" s="214" t="str">
        <f ca="1">IFERROR(VLOOKUP($A43,자산목록!$B$1:$M$838,8,FALSE),"-")</f>
        <v>본사 DNS 서버</v>
      </c>
      <c r="D43" s="214"/>
      <c r="E43" s="32">
        <f ca="1">IFERROR(INDIRECT(ADDRESS(17,4,1,TRUE,$A43)),0)</f>
        <v>20</v>
      </c>
      <c r="F43" s="29">
        <f ca="1">E43-I43</f>
        <v>20</v>
      </c>
      <c r="G43" s="32">
        <f ca="1">IFERROR(INDIRECT(ADDRESS(17,5,1,TRUE,$A43)),0)</f>
        <v>4</v>
      </c>
      <c r="H43" s="32">
        <f ca="1">IFERROR(INDIRECT(ADDRESS(17,6,1,TRUE,$A43)),0)</f>
        <v>10</v>
      </c>
      <c r="I43" s="32">
        <f ca="1">IFERROR(INDIRECT(ADDRESS(17,7,1,TRUE,$A43)),0)</f>
        <v>0</v>
      </c>
      <c r="J43" s="32">
        <f ca="1">IFERROR(INDIRECT(ADDRESS(17,10,1,TRUE,$A43)),0)</f>
        <v>10</v>
      </c>
      <c r="K43" s="53">
        <f ca="1">IFERROR(INDIRECT(ADDRESS(17,11,1,TRUE,$A43)),0)</f>
        <v>0</v>
      </c>
      <c r="L43" s="32">
        <f ca="1">IFERROR(INDIRECT(ADDRESS(17,12,1,TRUE,$A43)),0)</f>
        <v>0</v>
      </c>
      <c r="M43" s="32">
        <f ca="1">IFERROR(INDIRECT(ADDRESS(17,13,1,TRUE,$A43)),0)</f>
        <v>6</v>
      </c>
      <c r="N43" s="32">
        <f ca="1">K43+L43</f>
        <v>0</v>
      </c>
      <c r="O43" s="32">
        <f ca="1">IFERROR(INDIRECT(ADDRESS(17,18,1,TRUE,$A43)),0)</f>
        <v>48</v>
      </c>
      <c r="P43" s="32">
        <f ca="1">IFERROR(INDIRECT(ADDRESS(17,21,1,TRUE,$A43)),0)</f>
        <v>35</v>
      </c>
      <c r="Q43" s="32">
        <f ca="1">IFERROR(INDIRECT(ADDRESS(17,19,1,TRUE,$A43)),0)</f>
        <v>0</v>
      </c>
      <c r="R43" s="53">
        <f ca="1">IFERROR(INDIRECT(ADDRESS(17,20,1,TRUE,$A43)),0)</f>
        <v>35</v>
      </c>
      <c r="S43" s="55">
        <f ca="1">IFERROR(INDIRECT(ADDRESS(17,14,1,TRUE,$A43)),0)</f>
        <v>2.5</v>
      </c>
      <c r="T43" s="55">
        <f ca="1">IFERROR(INDIRECT(ADDRESS(17,8,1,TRUE,$A43)),0)</f>
        <v>0</v>
      </c>
      <c r="U43" s="99">
        <f ca="1">IFERROR(INDIRECT(ADDRESS(17,15,1,TRUE,$A43)),0)</f>
        <v>1</v>
      </c>
      <c r="V43" s="7"/>
    </row>
    <row r="44" spans="1:23">
      <c r="A44" s="215" t="s">
        <v>94</v>
      </c>
      <c r="B44" s="216"/>
      <c r="C44" s="216"/>
      <c r="D44" s="216"/>
      <c r="E44" s="79">
        <f t="shared" ref="E44:R44" ca="1" si="6">SUM(E42:E43)</f>
        <v>40</v>
      </c>
      <c r="F44" s="79">
        <f t="shared" ca="1" si="6"/>
        <v>40</v>
      </c>
      <c r="G44" s="79">
        <f t="shared" ca="1" si="6"/>
        <v>23</v>
      </c>
      <c r="H44" s="79">
        <f t="shared" ca="1" si="6"/>
        <v>25</v>
      </c>
      <c r="I44" s="79">
        <f t="shared" ca="1" si="6"/>
        <v>0</v>
      </c>
      <c r="J44" s="79">
        <f t="shared" ca="1" si="6"/>
        <v>10</v>
      </c>
      <c r="K44" s="79">
        <f t="shared" ca="1" si="6"/>
        <v>1</v>
      </c>
      <c r="L44" s="79">
        <f t="shared" ca="1" si="6"/>
        <v>0</v>
      </c>
      <c r="M44" s="79">
        <f t="shared" ca="1" si="6"/>
        <v>6</v>
      </c>
      <c r="N44" s="79">
        <f t="shared" ca="1" si="6"/>
        <v>1</v>
      </c>
      <c r="O44" s="79">
        <f t="shared" ca="1" si="6"/>
        <v>48</v>
      </c>
      <c r="P44" s="79">
        <f t="shared" ca="1" si="6"/>
        <v>72</v>
      </c>
      <c r="Q44" s="79">
        <f t="shared" ca="1" si="6"/>
        <v>1</v>
      </c>
      <c r="R44" s="79">
        <f t="shared" ca="1" si="6"/>
        <v>81</v>
      </c>
      <c r="S44" s="100">
        <f ca="1">IFERROR($J44/($H44-(M44-I44)),"N/A")</f>
        <v>0.52631578947368418</v>
      </c>
      <c r="T44" s="100">
        <f ca="1">IF($I44=$E44,"N/A",(Q44/O44))</f>
        <v>2.0833333333333332E-2</v>
      </c>
      <c r="U44" s="80">
        <f ca="1">IF(OR($I44=$E44,$E44=$M44),"N/A",($R44/$P44))</f>
        <v>1.125</v>
      </c>
      <c r="V44" s="7"/>
    </row>
    <row r="45" spans="1:23">
      <c r="A45" s="2"/>
    </row>
    <row r="46" spans="1:23">
      <c r="A46" s="2"/>
    </row>
    <row r="47" spans="1:23">
      <c r="A47" s="6"/>
    </row>
    <row r="48" spans="1:23">
      <c r="A48" s="6"/>
    </row>
    <row r="49" spans="1:1">
      <c r="A49" s="6"/>
    </row>
    <row r="50" spans="1:1">
      <c r="A50" s="6"/>
    </row>
    <row r="51" spans="1:1">
      <c r="A51" s="6"/>
    </row>
    <row r="52" spans="1:1">
      <c r="A52" s="6"/>
    </row>
    <row r="53" spans="1:1">
      <c r="A53" s="6"/>
    </row>
    <row r="54" spans="1:1">
      <c r="A54" s="6"/>
    </row>
    <row r="55" spans="1:1">
      <c r="A55" s="6"/>
    </row>
    <row r="56" spans="1:1">
      <c r="A56" s="6"/>
    </row>
    <row r="57" spans="1:1">
      <c r="A57" s="6"/>
    </row>
    <row r="58" spans="1:1">
      <c r="A58" s="6"/>
    </row>
    <row r="59" spans="1:1">
      <c r="A59" s="6"/>
    </row>
  </sheetData>
  <mergeCells count="19">
    <mergeCell ref="A43:B43"/>
    <mergeCell ref="C43:D43"/>
    <mergeCell ref="A44:D44"/>
    <mergeCell ref="A40:D41"/>
    <mergeCell ref="E40:I40"/>
    <mergeCell ref="J40:N40"/>
    <mergeCell ref="O40:U40"/>
    <mergeCell ref="A42:B42"/>
    <mergeCell ref="C42:D42"/>
    <mergeCell ref="A7:D7"/>
    <mergeCell ref="A8:D8"/>
    <mergeCell ref="A9:D9"/>
    <mergeCell ref="A10:D10"/>
    <mergeCell ref="A11:D11"/>
    <mergeCell ref="A4:D5"/>
    <mergeCell ref="E4:I4"/>
    <mergeCell ref="J4:N4"/>
    <mergeCell ref="O4:U4"/>
    <mergeCell ref="A6:D6"/>
  </mergeCells>
  <phoneticPr fontId="27" type="noConversion"/>
  <printOptions horizontalCentered="1"/>
  <pageMargins left="0.39347222447395325" right="0.39347222447395325" top="0.59041666984558105" bottom="0.59041666984558105" header="0.39347222447395325" footer="0.39347222447395325"/>
  <pageSetup paperSize="9" scale="72" fitToHeight="0" orientation="portrait" r:id="rId1"/>
  <headerFooter alignWithMargins="0">
    <oddHeader>&amp;L&amp;"맑은 고딕,Regular"
&amp;R&amp;"맑은 고딕,Regular"&amp;F</oddHead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/>
  <dimension ref="A1:P87"/>
  <sheetViews>
    <sheetView showGridLines="0" view="pageBreakPreview" zoomScaleNormal="100" zoomScaleSheetLayoutView="100" workbookViewId="0">
      <pane xSplit="4" ySplit="4" topLeftCell="E5" activePane="bottomRight" state="frozen"/>
      <selection pane="topRight"/>
      <selection pane="bottomLeft"/>
      <selection pane="bottomRight"/>
    </sheetView>
  </sheetViews>
  <sheetFormatPr defaultColWidth="8.77734375" defaultRowHeight="11.25"/>
  <cols>
    <col min="1" max="1" width="9.77734375" style="20" customWidth="1"/>
    <col min="2" max="2" width="6.109375" style="17" customWidth="1"/>
    <col min="3" max="3" width="31.109375" style="22" bestFit="1" customWidth="1"/>
    <col min="4" max="4" width="5" style="22" bestFit="1" customWidth="1"/>
    <col min="5" max="5" width="7.44140625" style="22" customWidth="1"/>
    <col min="6" max="7" width="4.6640625" style="22" customWidth="1"/>
    <col min="8" max="8" width="6.109375" style="20" bestFit="1" customWidth="1"/>
    <col min="9" max="12" width="4.6640625" style="20" customWidth="1"/>
    <col min="13" max="14" width="10" style="20" customWidth="1"/>
    <col min="15" max="15" width="8.77734375" style="17"/>
    <col min="16" max="16" width="9.44140625" style="17" customWidth="1"/>
    <col min="17" max="16384" width="8.77734375" style="17"/>
  </cols>
  <sheetData>
    <row r="1" spans="1:16" s="19" customFormat="1" ht="16.5">
      <c r="A1" s="16" t="s">
        <v>49</v>
      </c>
      <c r="F1" s="18"/>
      <c r="G1" s="18"/>
      <c r="J1" s="24"/>
      <c r="L1" s="14"/>
      <c r="M1" s="14"/>
      <c r="N1" s="14"/>
    </row>
    <row r="2" spans="1:16" s="19" customFormat="1">
      <c r="A2" s="14"/>
      <c r="C2" s="18"/>
      <c r="D2" s="18"/>
      <c r="E2" s="18"/>
      <c r="F2" s="18"/>
      <c r="G2" s="18"/>
      <c r="H2" s="14"/>
      <c r="I2" s="14"/>
      <c r="J2" s="14"/>
      <c r="L2" s="14"/>
      <c r="M2" s="14"/>
      <c r="N2" s="14"/>
    </row>
    <row r="3" spans="1:16" s="20" customFormat="1" ht="16.350000000000001" customHeight="1">
      <c r="A3" s="239" t="str">
        <f>ChkList!A4</f>
        <v>분류</v>
      </c>
      <c r="B3" s="240"/>
      <c r="C3" s="243" t="str">
        <f>ChkList!C4</f>
        <v>진단항목</v>
      </c>
      <c r="D3" s="245" t="str">
        <f>ChkList!D4</f>
        <v>중요도</v>
      </c>
      <c r="E3" s="246"/>
      <c r="F3" s="249" t="s">
        <v>230</v>
      </c>
      <c r="G3" s="250"/>
      <c r="H3" s="250"/>
      <c r="I3" s="250"/>
      <c r="J3" s="250"/>
      <c r="K3" s="245" t="s">
        <v>203</v>
      </c>
      <c r="L3" s="251"/>
      <c r="M3" s="105" t="s">
        <v>225</v>
      </c>
      <c r="N3" s="105" t="s">
        <v>225</v>
      </c>
      <c r="O3" s="105" t="s">
        <v>225</v>
      </c>
      <c r="P3" s="105" t="s">
        <v>225</v>
      </c>
    </row>
    <row r="4" spans="1:16" s="140" customFormat="1">
      <c r="A4" s="241"/>
      <c r="B4" s="242"/>
      <c r="C4" s="244"/>
      <c r="D4" s="247"/>
      <c r="E4" s="248"/>
      <c r="F4" s="136" t="s">
        <v>96</v>
      </c>
      <c r="G4" s="137" t="s">
        <v>76</v>
      </c>
      <c r="H4" s="138" t="s">
        <v>221</v>
      </c>
      <c r="I4" s="139" t="s">
        <v>108</v>
      </c>
      <c r="J4" s="139" t="s">
        <v>78</v>
      </c>
      <c r="K4" s="139" t="s">
        <v>96</v>
      </c>
      <c r="L4" s="139" t="s">
        <v>84</v>
      </c>
      <c r="M4" s="158" t="str">
        <f ca="1">HYPERLINK("["&amp;MID(CELL("filename"),SEARCH("[",CELL("filename"))+1,SEARCH("]",CELL("filename"))-SEARCH("[",CELL("filename"))-1)&amp;"]"&amp;INDIRECT(ADDRESS(COLUMN()-8,2,1,TRUE,"자산목록"))&amp;"!A1",INDIRECT(ADDRESS(COLUMN()-8,2,1,TRUE,"자산목록")))</f>
        <v>DHCP_HQ_Win</v>
      </c>
      <c r="N4" s="160" t="str">
        <f ca="1">HYPERLINK("["&amp;MID(CELL("filename"),SEARCH("[",CELL("filename"))+1,SEARCH("]",CELL("filename"))-SEARCH("[",CELL("filename"))-1)&amp;"]"&amp;INDIRECT(ADDRESS(COLUMN()-8,2,1,TRUE,"자산목록"))&amp;"!A1",INDIRECT(ADDRESS(COLUMN()-8,2,1,TRUE,"자산목록")))</f>
        <v>DNS_HQ_Win</v>
      </c>
      <c r="O4" s="158" t="str">
        <f ca="1">HYPERLINK("["&amp;MID(CELL("filename"),SEARCH("[",CELL("filename"))+1,SEARCH("]",CELL("filename"))-SEARCH("[",CELL("filename"))-1)&amp;"]"&amp;INDIRECT(ADDRESS(COLUMN()-8,2,1,TRUE,"자산목록"))&amp;"!A1",INDIRECT(ADDRESS(COLUMN()-8,2,1,TRUE,"자산목록")))</f>
        <v>DHCP_BR_Win</v>
      </c>
      <c r="P4" s="160" t="str">
        <f ca="1">HYPERLINK("["&amp;MID(CELL("filename"),SEARCH("[",CELL("filename"))+1,SEARCH("]",CELL("filename"))-SEARCH("[",CELL("filename"))-1)&amp;"]"&amp;INDIRECT(ADDRESS(COLUMN()-8,2,1,TRUE,"자산목록"))&amp;"!A1",INDIRECT(ADDRESS(COLUMN()-8,2,1,TRUE,"자산목록")))</f>
        <v>DNS_BR_Win</v>
      </c>
    </row>
    <row r="5" spans="1:16" ht="22.5" customHeight="1">
      <c r="A5" s="32" t="str">
        <f>ChkList!$A5</f>
        <v>계정 관리</v>
      </c>
      <c r="B5" s="32" t="str">
        <f>ChkList!$B5</f>
        <v>W-01</v>
      </c>
      <c r="C5" s="21" t="str">
        <f>ChkList!$C5</f>
        <v>Administrator 계정 이름 변경 등 보안성 강화</v>
      </c>
      <c r="D5" s="32" t="str">
        <f>ChkList!$D5</f>
        <v>H</v>
      </c>
      <c r="E5" s="32">
        <f>ChkList!E5</f>
        <v>3</v>
      </c>
      <c r="F5" s="23">
        <f ca="1">COUNTA($M5:INDIRECT(ADDRESS(ROW(),MATCH("",$4:$4,-1),1,1)))</f>
        <v>4</v>
      </c>
      <c r="G5" s="23">
        <f ca="1">COUNTIF($M5:INDIRECT(ADDRESS(ROW(),MATCH("",$4:$4,-1),1,1)),"조치완료(Y)")+COUNTIF($M5:INDIRECT(ADDRESS(ROW(),MATCH("",$4:$4,-1),1,1)),"Y")</f>
        <v>1</v>
      </c>
      <c r="H5" s="23">
        <f ca="1">COUNTIF($M5:INDIRECT(ADDRESS(ROW(),MATCH("",$4:$4,-1),1,1)),"Y(즉시조치)")+COUNTIF($M5:INDIRECT(ADDRESS(ROW(),MATCH("",$4:$4,-1),1,1)),"조치완료(즉시조치)")</f>
        <v>0</v>
      </c>
      <c r="I5" s="23">
        <f ca="1">COUNTIF($M5:INDIRECT(ADDRESS(ROW(),MATCH("",$4:$4,-1),1,1)),"N")</f>
        <v>3</v>
      </c>
      <c r="J5" s="23">
        <f ca="1">COUNTIF($M5:INDIRECT(ADDRESS(ROW(),MATCH("",$4:$4,-1),1,1)),"N/A")+COUNTIF($M5:INDIRECT(ADDRESS(ROW(),MATCH("",$4:$4,-1),1,1)),"조치완료(N/A)")</f>
        <v>0</v>
      </c>
      <c r="K5" s="23">
        <f ca="1">VLOOKUP($D5,'parm(hidden)'!$B$8:$C$10,2,FALSE)*($F5-$J5)</f>
        <v>12</v>
      </c>
      <c r="L5" s="35">
        <f ca="1">VLOOKUP($D5,'parm(hidden)'!$B$8:$C$10,2,FALSE)*($G5+$H5)</f>
        <v>3</v>
      </c>
      <c r="M5" s="159" t="str">
        <f ca="1">HYPERLINK("["&amp;MID(CELL("filename"),SEARCH("[",CELL("filename"))+1,SEARCH("]",CELL("filename"))-SEARCH("[",CELL("filename"))-1)&amp;"]"&amp;ADDRESS(ROW()+16,8,1,TRUE,M$4),INDIRECT(ADDRESS(ROW()+16,8,1,TRUE,M$4)))</f>
        <v>Y</v>
      </c>
      <c r="N5" s="161" t="str">
        <f ca="1">HYPERLINK("["&amp;MID(CELL("filename"),SEARCH("[",CELL("filename"))+1,SEARCH("]",CELL("filename"))-SEARCH("[",CELL("filename"))-1)&amp;"]"&amp;ADDRESS(ROW()+16,8,1,TRUE,N$4),INDIRECT(ADDRESS(ROW()+16,8,1,TRUE,N$4)))</f>
        <v>N</v>
      </c>
      <c r="O5" s="159" t="str">
        <f ca="1">HYPERLINK("["&amp;MID(CELL("filename"),SEARCH("[",CELL("filename"))+1,SEARCH("]",CELL("filename"))-SEARCH("[",CELL("filename"))-1)&amp;"]"&amp;ADDRESS(ROW()+16,8,1,TRUE,O$4),INDIRECT(ADDRESS(ROW()+16,8,1,TRUE,O$4)))</f>
        <v>N</v>
      </c>
      <c r="P5" s="161" t="str">
        <f ca="1">HYPERLINK("["&amp;MID(CELL("filename"),SEARCH("[",CELL("filename"))+1,SEARCH("]",CELL("filename"))-SEARCH("[",CELL("filename"))-1)&amp;"]"&amp;ADDRESS(ROW()+16,8,1,TRUE,P$4),INDIRECT(ADDRESS(ROW()+16,8,1,TRUE,P$4)))</f>
        <v>N</v>
      </c>
    </row>
    <row r="6" spans="1:16" ht="22.5" customHeight="1">
      <c r="A6" s="32" t="str">
        <f>ChkList!$A6</f>
        <v>계정 관리</v>
      </c>
      <c r="B6" s="32" t="str">
        <f>ChkList!$B6</f>
        <v>W-02</v>
      </c>
      <c r="C6" s="21" t="str">
        <f>ChkList!$C6</f>
        <v>Guest 계정 비활성화</v>
      </c>
      <c r="D6" s="29" t="s">
        <v>98</v>
      </c>
      <c r="E6" s="54">
        <f>IF(D6="H",3,IF(D6="M",2,IF(D6="L",1,"")))</f>
        <v>3</v>
      </c>
      <c r="F6" s="23">
        <f ca="1">COUNTA($M6:INDIRECT(ADDRESS(ROW(),MATCH("",$4:$4,-1),1,1)))</f>
        <v>4</v>
      </c>
      <c r="G6" s="23">
        <f ca="1">COUNTIF($M6:INDIRECT(ADDRESS(ROW(),MATCH("",$4:$4,-1),1,1)),"조치완료(Y)")+COUNTIF($M6:INDIRECT(ADDRESS(ROW(),MATCH("",$4:$4,-1),1,1)),"Y")</f>
        <v>1</v>
      </c>
      <c r="H6" s="23">
        <f ca="1">COUNTIF($M6:INDIRECT(ADDRESS(ROW(),MATCH("",$4:$4,-1),1,1)),"Y(즉시조치)")+COUNTIF($M6:INDIRECT(ADDRESS(ROW(),MATCH("",$4:$4,-1),1,1)),"조치완료(즉시조치)")</f>
        <v>0</v>
      </c>
      <c r="I6" s="23">
        <f ca="1">COUNTIF($M6:INDIRECT(ADDRESS(ROW(),MATCH("",$4:$4,-1),1,1)),"N")</f>
        <v>3</v>
      </c>
      <c r="J6" s="23">
        <f ca="1">COUNTIF($M6:INDIRECT(ADDRESS(ROW(),MATCH("",$4:$4,-1),1,1)),"N/A")+COUNTIF($M6:INDIRECT(ADDRESS(ROW(),MATCH("",$4:$4,-1),1,1)),"조치완료(N/A)")</f>
        <v>0</v>
      </c>
      <c r="K6" s="23">
        <f ca="1">VLOOKUP($D6,'parm(hidden)'!$B$8:$C$10,2,FALSE)*($F6-$J6)</f>
        <v>12</v>
      </c>
      <c r="L6" s="35">
        <f ca="1">VLOOKUP($D6,'parm(hidden)'!$B$8:$C$10,2,FALSE)*($G6+$H6)</f>
        <v>3</v>
      </c>
      <c r="M6" s="161" t="str">
        <f t="shared" ref="M6:P14" ca="1" si="0">HYPERLINK("["&amp;MID(CELL("filename"),SEARCH("[",CELL("filename"))+1,SEARCH("]",CELL("filename"))-SEARCH("[",CELL("filename"))-1)&amp;"]"&amp;ADDRESS(ROW()+16,8,1,TRUE,M$4),INDIRECT(ADDRESS(ROW()+16,8,1,TRUE,M$4)))</f>
        <v>Y</v>
      </c>
      <c r="N6" s="161" t="str">
        <f t="shared" ca="1" si="0"/>
        <v>N</v>
      </c>
      <c r="O6" s="161" t="str">
        <f t="shared" ca="1" si="0"/>
        <v>N</v>
      </c>
      <c r="P6" s="161" t="str">
        <f t="shared" ca="1" si="0"/>
        <v>N</v>
      </c>
    </row>
    <row r="7" spans="1:16" ht="22.5" customHeight="1">
      <c r="A7" s="32" t="str">
        <f>ChkList!$A7</f>
        <v>계정 관리</v>
      </c>
      <c r="B7" s="32" t="str">
        <f>ChkList!$B7</f>
        <v>W-03</v>
      </c>
      <c r="C7" s="21" t="str">
        <f>ChkList!$C7</f>
        <v>불필요한 계정 제거</v>
      </c>
      <c r="D7" s="29" t="s">
        <v>98</v>
      </c>
      <c r="E7" s="54">
        <f t="shared" ref="E7:E70" si="1">IF(D7="H",3,IF(D7="M",2,IF(D7="L",1,"")))</f>
        <v>3</v>
      </c>
      <c r="F7" s="23">
        <f ca="1">COUNTA($M7:INDIRECT(ADDRESS(ROW(),MATCH("",$4:$4,-1),1,1)))</f>
        <v>4</v>
      </c>
      <c r="G7" s="23">
        <f ca="1">COUNTIF($M7:INDIRECT(ADDRESS(ROW(),MATCH("",$4:$4,-1),1,1)),"조치완료(Y)")+COUNTIF($M7:INDIRECT(ADDRESS(ROW(),MATCH("",$4:$4,-1),1,1)),"Y")</f>
        <v>4</v>
      </c>
      <c r="H7" s="23">
        <f ca="1">COUNTIF($M7:INDIRECT(ADDRESS(ROW(),MATCH("",$4:$4,-1),1,1)),"Y(즉시조치)")+COUNTIF($M7:INDIRECT(ADDRESS(ROW(),MATCH("",$4:$4,-1),1,1)),"조치완료(즉시조치)")</f>
        <v>0</v>
      </c>
      <c r="I7" s="23">
        <f ca="1">COUNTIF($M7:INDIRECT(ADDRESS(ROW(),MATCH("",$4:$4,-1),1,1)),"N")</f>
        <v>0</v>
      </c>
      <c r="J7" s="23">
        <f ca="1">COUNTIF($M7:INDIRECT(ADDRESS(ROW(),MATCH("",$4:$4,-1),1,1)),"N/A")+COUNTIF($M7:INDIRECT(ADDRESS(ROW(),MATCH("",$4:$4,-1),1,1)),"조치완료(N/A)")</f>
        <v>0</v>
      </c>
      <c r="K7" s="23">
        <f ca="1">VLOOKUP($D7,'parm(hidden)'!$B$8:$C$10,2,FALSE)*($F7-$J7)</f>
        <v>12</v>
      </c>
      <c r="L7" s="35">
        <f ca="1">VLOOKUP($D7,'parm(hidden)'!$B$8:$C$10,2,FALSE)*($G7+$H7)</f>
        <v>12</v>
      </c>
      <c r="M7" s="161" t="str">
        <f t="shared" ca="1" si="0"/>
        <v>Y</v>
      </c>
      <c r="N7" s="161" t="str">
        <f t="shared" ca="1" si="0"/>
        <v>Y</v>
      </c>
      <c r="O7" s="161" t="str">
        <f t="shared" ca="1" si="0"/>
        <v>Y</v>
      </c>
      <c r="P7" s="161" t="str">
        <f t="shared" ca="1" si="0"/>
        <v>Y</v>
      </c>
    </row>
    <row r="8" spans="1:16" ht="22.5" customHeight="1">
      <c r="A8" s="32" t="str">
        <f>ChkList!$A8</f>
        <v>계정 관리</v>
      </c>
      <c r="B8" s="32" t="str">
        <f>ChkList!$B8</f>
        <v>W-04</v>
      </c>
      <c r="C8" s="21" t="str">
        <f>ChkList!$C8</f>
        <v>계정 잠금 임계값 설정</v>
      </c>
      <c r="D8" s="29" t="s">
        <v>98</v>
      </c>
      <c r="E8" s="54">
        <f t="shared" si="1"/>
        <v>3</v>
      </c>
      <c r="F8" s="23">
        <f ca="1">COUNTA($M8:INDIRECT(ADDRESS(ROW(),MATCH("",$4:$4,-1),1,1)))</f>
        <v>4</v>
      </c>
      <c r="G8" s="23">
        <f ca="1">COUNTIF($M8:INDIRECT(ADDRESS(ROW(),MATCH("",$4:$4,-1),1,1)),"조치완료(Y)")+COUNTIF($M8:INDIRECT(ADDRESS(ROW(),MATCH("",$4:$4,-1),1,1)),"Y")</f>
        <v>1</v>
      </c>
      <c r="H8" s="23">
        <f ca="1">COUNTIF($M8:INDIRECT(ADDRESS(ROW(),MATCH("",$4:$4,-1),1,1)),"Y(즉시조치)")+COUNTIF($M8:INDIRECT(ADDRESS(ROW(),MATCH("",$4:$4,-1),1,1)),"조치완료(즉시조치)")</f>
        <v>0</v>
      </c>
      <c r="I8" s="23">
        <f ca="1">COUNTIF($M8:INDIRECT(ADDRESS(ROW(),MATCH("",$4:$4,-1),1,1)),"N")</f>
        <v>3</v>
      </c>
      <c r="J8" s="23">
        <f ca="1">COUNTIF($M8:INDIRECT(ADDRESS(ROW(),MATCH("",$4:$4,-1),1,1)),"N/A")+COUNTIF($M8:INDIRECT(ADDRESS(ROW(),MATCH("",$4:$4,-1),1,1)),"조치완료(N/A)")</f>
        <v>0</v>
      </c>
      <c r="K8" s="23">
        <f ca="1">VLOOKUP($D8,'parm(hidden)'!$B$8:$C$10,2,FALSE)*($F8-$J8)</f>
        <v>12</v>
      </c>
      <c r="L8" s="35">
        <f ca="1">VLOOKUP($D8,'parm(hidden)'!$B$8:$C$10,2,FALSE)*($G8+$H8)</f>
        <v>3</v>
      </c>
      <c r="M8" s="161" t="str">
        <f t="shared" ca="1" si="0"/>
        <v>Y</v>
      </c>
      <c r="N8" s="161" t="str">
        <f t="shared" ca="1" si="0"/>
        <v>N</v>
      </c>
      <c r="O8" s="161" t="str">
        <f t="shared" ca="1" si="0"/>
        <v>N</v>
      </c>
      <c r="P8" s="161" t="str">
        <f t="shared" ca="1" si="0"/>
        <v>N</v>
      </c>
    </row>
    <row r="9" spans="1:16" ht="22.5" customHeight="1">
      <c r="A9" s="32" t="str">
        <f>ChkList!$A9</f>
        <v>계정 관리</v>
      </c>
      <c r="B9" s="32" t="str">
        <f>ChkList!$B9</f>
        <v>W-05</v>
      </c>
      <c r="C9" s="21" t="str">
        <f>ChkList!$C9</f>
        <v>해독 가능한 암호화를 사용하여 암호 저장 해제</v>
      </c>
      <c r="D9" s="29" t="s">
        <v>98</v>
      </c>
      <c r="E9" s="54">
        <f t="shared" si="1"/>
        <v>3</v>
      </c>
      <c r="F9" s="23">
        <f ca="1">COUNTA($M9:INDIRECT(ADDRESS(ROW(),MATCH("",$4:$4,-1),1,1)))</f>
        <v>4</v>
      </c>
      <c r="G9" s="23">
        <f ca="1">COUNTIF($M9:INDIRECT(ADDRESS(ROW(),MATCH("",$4:$4,-1),1,1)),"조치완료(Y)")+COUNTIF($M9:INDIRECT(ADDRESS(ROW(),MATCH("",$4:$4,-1),1,1)),"Y")</f>
        <v>4</v>
      </c>
      <c r="H9" s="23">
        <f ca="1">COUNTIF($M9:INDIRECT(ADDRESS(ROW(),MATCH("",$4:$4,-1),1,1)),"Y(즉시조치)")+COUNTIF($M9:INDIRECT(ADDRESS(ROW(),MATCH("",$4:$4,-1),1,1)),"조치완료(즉시조치)")</f>
        <v>0</v>
      </c>
      <c r="I9" s="23">
        <f ca="1">COUNTIF($M9:INDIRECT(ADDRESS(ROW(),MATCH("",$4:$4,-1),1,1)),"N")</f>
        <v>0</v>
      </c>
      <c r="J9" s="23">
        <f ca="1">COUNTIF($M9:INDIRECT(ADDRESS(ROW(),MATCH("",$4:$4,-1),1,1)),"N/A")+COUNTIF($M9:INDIRECT(ADDRESS(ROW(),MATCH("",$4:$4,-1),1,1)),"조치완료(N/A)")</f>
        <v>0</v>
      </c>
      <c r="K9" s="23">
        <f ca="1">VLOOKUP($D9,'parm(hidden)'!$B$8:$C$10,2,FALSE)*($F9-$J9)</f>
        <v>12</v>
      </c>
      <c r="L9" s="35">
        <f ca="1">VLOOKUP($D9,'parm(hidden)'!$B$8:$C$10,2,FALSE)*($G9+$H9)</f>
        <v>12</v>
      </c>
      <c r="M9" s="161" t="str">
        <f t="shared" ca="1" si="0"/>
        <v>Y</v>
      </c>
      <c r="N9" s="161" t="str">
        <f t="shared" ca="1" si="0"/>
        <v>Y</v>
      </c>
      <c r="O9" s="161" t="str">
        <f t="shared" ca="1" si="0"/>
        <v>Y</v>
      </c>
      <c r="P9" s="161" t="str">
        <f t="shared" ca="1" si="0"/>
        <v>Y</v>
      </c>
    </row>
    <row r="10" spans="1:16" ht="22.5" customHeight="1">
      <c r="A10" s="32" t="str">
        <f>ChkList!$A10</f>
        <v>계정 관리</v>
      </c>
      <c r="B10" s="32" t="str">
        <f>ChkList!$B10</f>
        <v>W-06</v>
      </c>
      <c r="C10" s="21" t="str">
        <f>ChkList!$C10</f>
        <v>관리자 그룹에 최소한의 사용자 포함</v>
      </c>
      <c r="D10" s="29" t="s">
        <v>98</v>
      </c>
      <c r="E10" s="54">
        <f t="shared" si="1"/>
        <v>3</v>
      </c>
      <c r="F10" s="23">
        <f ca="1">COUNTA($M10:INDIRECT(ADDRESS(ROW(),MATCH("",$4:$4,-1),1,1)))</f>
        <v>4</v>
      </c>
      <c r="G10" s="23">
        <f ca="1">COUNTIF($M10:INDIRECT(ADDRESS(ROW(),MATCH("",$4:$4,-1),1,1)),"조치완료(Y)")+COUNTIF($M10:INDIRECT(ADDRESS(ROW(),MATCH("",$4:$4,-1),1,1)),"Y")</f>
        <v>4</v>
      </c>
      <c r="H10" s="23">
        <f ca="1">COUNTIF($M10:INDIRECT(ADDRESS(ROW(),MATCH("",$4:$4,-1),1,1)),"Y(즉시조치)")+COUNTIF($M10:INDIRECT(ADDRESS(ROW(),MATCH("",$4:$4,-1),1,1)),"조치완료(즉시조치)")</f>
        <v>0</v>
      </c>
      <c r="I10" s="23">
        <f ca="1">COUNTIF($M10:INDIRECT(ADDRESS(ROW(),MATCH("",$4:$4,-1),1,1)),"N")</f>
        <v>0</v>
      </c>
      <c r="J10" s="23">
        <f ca="1">COUNTIF($M10:INDIRECT(ADDRESS(ROW(),MATCH("",$4:$4,-1),1,1)),"N/A")+COUNTIF($M10:INDIRECT(ADDRESS(ROW(),MATCH("",$4:$4,-1),1,1)),"조치완료(N/A)")</f>
        <v>0</v>
      </c>
      <c r="K10" s="23">
        <f ca="1">VLOOKUP($D10,'parm(hidden)'!$B$8:$C$10,2,FALSE)*($F10-$J10)</f>
        <v>12</v>
      </c>
      <c r="L10" s="35">
        <f ca="1">VLOOKUP($D10,'parm(hidden)'!$B$8:$C$10,2,FALSE)*($G10+$H10)</f>
        <v>12</v>
      </c>
      <c r="M10" s="161" t="str">
        <f t="shared" ca="1" si="0"/>
        <v>Y</v>
      </c>
      <c r="N10" s="161" t="str">
        <f t="shared" ca="1" si="0"/>
        <v>Y</v>
      </c>
      <c r="O10" s="161" t="str">
        <f t="shared" ca="1" si="0"/>
        <v>Y</v>
      </c>
      <c r="P10" s="161" t="str">
        <f t="shared" ca="1" si="0"/>
        <v>Y</v>
      </c>
    </row>
    <row r="11" spans="1:16" ht="22.5" customHeight="1">
      <c r="A11" s="32" t="str">
        <f>ChkList!$A11</f>
        <v>계정 관리</v>
      </c>
      <c r="B11" s="32" t="str">
        <f>ChkList!$B11</f>
        <v>W-07</v>
      </c>
      <c r="C11" s="21" t="str">
        <f>ChkList!$C11</f>
        <v>Everyone 사용 권한을 익명 사용자에 적용</v>
      </c>
      <c r="D11" s="29" t="s">
        <v>98</v>
      </c>
      <c r="E11" s="54">
        <f t="shared" si="1"/>
        <v>3</v>
      </c>
      <c r="F11" s="23">
        <f ca="1">COUNTA($M11:INDIRECT(ADDRESS(ROW(),MATCH("",$4:$4,-1),1,1)))</f>
        <v>4</v>
      </c>
      <c r="G11" s="23">
        <f ca="1">COUNTIF($M11:INDIRECT(ADDRESS(ROW(),MATCH("",$4:$4,-1),1,1)),"조치완료(Y)")+COUNTIF($M11:INDIRECT(ADDRESS(ROW(),MATCH("",$4:$4,-1),1,1)),"Y")</f>
        <v>4</v>
      </c>
      <c r="H11" s="23">
        <f ca="1">COUNTIF($M11:INDIRECT(ADDRESS(ROW(),MATCH("",$4:$4,-1),1,1)),"Y(즉시조치)")+COUNTIF($M11:INDIRECT(ADDRESS(ROW(),MATCH("",$4:$4,-1),1,1)),"조치완료(즉시조치)")</f>
        <v>0</v>
      </c>
      <c r="I11" s="23">
        <f ca="1">COUNTIF($M11:INDIRECT(ADDRESS(ROW(),MATCH("",$4:$4,-1),1,1)),"N")</f>
        <v>0</v>
      </c>
      <c r="J11" s="23">
        <f ca="1">COUNTIF($M11:INDIRECT(ADDRESS(ROW(),MATCH("",$4:$4,-1),1,1)),"N/A")+COUNTIF($M11:INDIRECT(ADDRESS(ROW(),MATCH("",$4:$4,-1),1,1)),"조치완료(N/A)")</f>
        <v>0</v>
      </c>
      <c r="K11" s="23">
        <f ca="1">VLOOKUP($D11,'parm(hidden)'!$B$8:$C$10,2,FALSE)*($F11-$J11)</f>
        <v>12</v>
      </c>
      <c r="L11" s="35">
        <f ca="1">VLOOKUP($D11,'parm(hidden)'!$B$8:$C$10,2,FALSE)*($G11+$H11)</f>
        <v>12</v>
      </c>
      <c r="M11" s="161" t="str">
        <f t="shared" ca="1" si="0"/>
        <v>Y</v>
      </c>
      <c r="N11" s="161" t="str">
        <f t="shared" ca="1" si="0"/>
        <v>Y</v>
      </c>
      <c r="O11" s="161" t="str">
        <f t="shared" ca="1" si="0"/>
        <v>Y</v>
      </c>
      <c r="P11" s="161" t="str">
        <f t="shared" ca="1" si="0"/>
        <v>Y</v>
      </c>
    </row>
    <row r="12" spans="1:16" ht="22.5" customHeight="1">
      <c r="A12" s="32" t="str">
        <f>ChkList!$A12</f>
        <v>계정 관리</v>
      </c>
      <c r="B12" s="32" t="str">
        <f>ChkList!$B12</f>
        <v>W-08</v>
      </c>
      <c r="C12" s="21" t="str">
        <f>ChkList!$C12</f>
        <v>계정 잠금 기간 설정</v>
      </c>
      <c r="D12" s="29" t="s">
        <v>87</v>
      </c>
      <c r="E12" s="54">
        <f t="shared" si="1"/>
        <v>2</v>
      </c>
      <c r="F12" s="23">
        <f ca="1">COUNTA($M12:INDIRECT(ADDRESS(ROW(),MATCH("",$4:$4,-1),1,1)))</f>
        <v>4</v>
      </c>
      <c r="G12" s="23">
        <f ca="1">COUNTIF($M12:INDIRECT(ADDRESS(ROW(),MATCH("",$4:$4,-1),1,1)),"조치완료(Y)")+COUNTIF($M12:INDIRECT(ADDRESS(ROW(),MATCH("",$4:$4,-1),1,1)),"Y")</f>
        <v>1</v>
      </c>
      <c r="H12" s="23">
        <f ca="1">COUNTIF($M12:INDIRECT(ADDRESS(ROW(),MATCH("",$4:$4,-1),1,1)),"Y(즉시조치)")+COUNTIF($M12:INDIRECT(ADDRESS(ROW(),MATCH("",$4:$4,-1),1,1)),"조치완료(즉시조치)")</f>
        <v>0</v>
      </c>
      <c r="I12" s="23">
        <f ca="1">COUNTIF($M12:INDIRECT(ADDRESS(ROW(),MATCH("",$4:$4,-1),1,1)),"N")</f>
        <v>3</v>
      </c>
      <c r="J12" s="23">
        <f ca="1">COUNTIF($M12:INDIRECT(ADDRESS(ROW(),MATCH("",$4:$4,-1),1,1)),"N/A")+COUNTIF($M12:INDIRECT(ADDRESS(ROW(),MATCH("",$4:$4,-1),1,1)),"조치완료(N/A)")</f>
        <v>0</v>
      </c>
      <c r="K12" s="23">
        <f ca="1">VLOOKUP($D12,'parm(hidden)'!$B$8:$C$10,2,FALSE)*($F12-$J12)</f>
        <v>8</v>
      </c>
      <c r="L12" s="35">
        <f ca="1">VLOOKUP($D12,'parm(hidden)'!$B$8:$C$10,2,FALSE)*($G12+$H12)</f>
        <v>2</v>
      </c>
      <c r="M12" s="161" t="str">
        <f t="shared" ca="1" si="0"/>
        <v>Y</v>
      </c>
      <c r="N12" s="161" t="str">
        <f t="shared" ca="1" si="0"/>
        <v>N</v>
      </c>
      <c r="O12" s="161" t="str">
        <f t="shared" ca="1" si="0"/>
        <v>N</v>
      </c>
      <c r="P12" s="161" t="str">
        <f t="shared" ca="1" si="0"/>
        <v>N</v>
      </c>
    </row>
    <row r="13" spans="1:16" ht="22.5" customHeight="1">
      <c r="A13" s="32" t="str">
        <f>ChkList!$A13</f>
        <v>계정 관리</v>
      </c>
      <c r="B13" s="32" t="str">
        <f>ChkList!$B13</f>
        <v>W-09</v>
      </c>
      <c r="C13" s="21" t="str">
        <f>ChkList!$C13</f>
        <v>비밀번호 관리 정책 설정</v>
      </c>
      <c r="D13" s="29" t="s">
        <v>87</v>
      </c>
      <c r="E13" s="54">
        <f t="shared" si="1"/>
        <v>2</v>
      </c>
      <c r="F13" s="23">
        <f ca="1">COUNTA($M13:INDIRECT(ADDRESS(ROW(),MATCH("",$4:$4,-1),1,1)))</f>
        <v>4</v>
      </c>
      <c r="G13" s="23">
        <f ca="1">COUNTIF($M13:INDIRECT(ADDRESS(ROW(),MATCH("",$4:$4,-1),1,1)),"조치완료(Y)")+COUNTIF($M13:INDIRECT(ADDRESS(ROW(),MATCH("",$4:$4,-1),1,1)),"Y")</f>
        <v>1</v>
      </c>
      <c r="H13" s="23">
        <f ca="1">COUNTIF($M13:INDIRECT(ADDRESS(ROW(),MATCH("",$4:$4,-1),1,1)),"Y(즉시조치)")+COUNTIF($M13:INDIRECT(ADDRESS(ROW(),MATCH("",$4:$4,-1),1,1)),"조치완료(즉시조치)")</f>
        <v>0</v>
      </c>
      <c r="I13" s="23">
        <f ca="1">COUNTIF($M13:INDIRECT(ADDRESS(ROW(),MATCH("",$4:$4,-1),1,1)),"N")</f>
        <v>3</v>
      </c>
      <c r="J13" s="23">
        <f ca="1">COUNTIF($M13:INDIRECT(ADDRESS(ROW(),MATCH("",$4:$4,-1),1,1)),"N/A")+COUNTIF($M13:INDIRECT(ADDRESS(ROW(),MATCH("",$4:$4,-1),1,1)),"조치완료(N/A)")</f>
        <v>0</v>
      </c>
      <c r="K13" s="23">
        <f ca="1">VLOOKUP($D13,'parm(hidden)'!$B$8:$C$10,2,FALSE)*($F13-$J13)</f>
        <v>8</v>
      </c>
      <c r="L13" s="35">
        <f ca="1">VLOOKUP($D13,'parm(hidden)'!$B$8:$C$10,2,FALSE)*($G13+$H13)</f>
        <v>2</v>
      </c>
      <c r="M13" s="161" t="str">
        <f t="shared" ca="1" si="0"/>
        <v>Y</v>
      </c>
      <c r="N13" s="161" t="str">
        <f t="shared" ca="1" si="0"/>
        <v>N</v>
      </c>
      <c r="O13" s="161" t="str">
        <f t="shared" ca="1" si="0"/>
        <v>N</v>
      </c>
      <c r="P13" s="161" t="str">
        <f t="shared" ca="1" si="0"/>
        <v>N</v>
      </c>
    </row>
    <row r="14" spans="1:16" ht="22.5" customHeight="1">
      <c r="A14" s="32" t="str">
        <f>ChkList!$A14</f>
        <v>계정 관리</v>
      </c>
      <c r="B14" s="32" t="str">
        <f>ChkList!$B14</f>
        <v>W-10</v>
      </c>
      <c r="C14" s="21" t="str">
        <f>ChkList!$C14</f>
        <v>마지막 사용자 이름 표시 안 함</v>
      </c>
      <c r="D14" s="29" t="s">
        <v>87</v>
      </c>
      <c r="E14" s="54">
        <f t="shared" si="1"/>
        <v>2</v>
      </c>
      <c r="F14" s="23">
        <f ca="1">COUNTA($M14:INDIRECT(ADDRESS(ROW(),MATCH("",$4:$4,-1),1,1)))</f>
        <v>4</v>
      </c>
      <c r="G14" s="23">
        <f ca="1">COUNTIF($M14:INDIRECT(ADDRESS(ROW(),MATCH("",$4:$4,-1),1,1)),"조치완료(Y)")+COUNTIF($M14:INDIRECT(ADDRESS(ROW(),MATCH("",$4:$4,-1),1,1)),"Y")</f>
        <v>1</v>
      </c>
      <c r="H14" s="23">
        <f ca="1">COUNTIF($M14:INDIRECT(ADDRESS(ROW(),MATCH("",$4:$4,-1),1,1)),"Y(즉시조치)")+COUNTIF($M14:INDIRECT(ADDRESS(ROW(),MATCH("",$4:$4,-1),1,1)),"조치완료(즉시조치)")</f>
        <v>0</v>
      </c>
      <c r="I14" s="23">
        <f ca="1">COUNTIF($M14:INDIRECT(ADDRESS(ROW(),MATCH("",$4:$4,-1),1,1)),"N")</f>
        <v>3</v>
      </c>
      <c r="J14" s="23">
        <f ca="1">COUNTIF($M14:INDIRECT(ADDRESS(ROW(),MATCH("",$4:$4,-1),1,1)),"N/A")+COUNTIF($M14:INDIRECT(ADDRESS(ROW(),MATCH("",$4:$4,-1),1,1)),"조치완료(N/A)")</f>
        <v>0</v>
      </c>
      <c r="K14" s="23">
        <f ca="1">VLOOKUP($D14,'parm(hidden)'!$B$8:$C$10,2,FALSE)*($F14-$J14)</f>
        <v>8</v>
      </c>
      <c r="L14" s="35">
        <f ca="1">VLOOKUP($D14,'parm(hidden)'!$B$8:$C$10,2,FALSE)*($G14+$H14)</f>
        <v>2</v>
      </c>
      <c r="M14" s="161" t="str">
        <f t="shared" ca="1" si="0"/>
        <v>Y</v>
      </c>
      <c r="N14" s="161" t="str">
        <f t="shared" ca="1" si="0"/>
        <v>N</v>
      </c>
      <c r="O14" s="161" t="str">
        <f t="shared" ca="1" si="0"/>
        <v>N</v>
      </c>
      <c r="P14" s="161" t="str">
        <f t="shared" ca="1" si="0"/>
        <v>N</v>
      </c>
    </row>
    <row r="15" spans="1:16" ht="22.5" customHeight="1">
      <c r="A15" s="32" t="e">
        <f>ChkList!#REF!</f>
        <v>#REF!</v>
      </c>
      <c r="B15" s="32" t="e">
        <f>ChkList!#REF!</f>
        <v>#REF!</v>
      </c>
      <c r="C15" s="21" t="e">
        <f>ChkList!#REF!</f>
        <v>#REF!</v>
      </c>
      <c r="D15" s="29" t="s">
        <v>87</v>
      </c>
      <c r="E15" s="54">
        <f t="shared" si="1"/>
        <v>2</v>
      </c>
      <c r="F15" s="23">
        <f ca="1">COUNTA($M15:INDIRECT(ADDRESS(ROW(),MATCH("",$4:$4,-1),1,1)))</f>
        <v>4</v>
      </c>
      <c r="G15" s="23">
        <f ca="1">COUNTIF($M15:INDIRECT(ADDRESS(ROW(),MATCH("",$4:$4,-1),1,1)),"조치완료(Y)")+COUNTIF($M15:INDIRECT(ADDRESS(ROW(),MATCH("",$4:$4,-1),1,1)),"Y")</f>
        <v>1</v>
      </c>
      <c r="H15" s="23">
        <f ca="1">COUNTIF($M15:INDIRECT(ADDRESS(ROW(),MATCH("",$4:$4,-1),1,1)),"Y(즉시조치)")+COUNTIF($M15:INDIRECT(ADDRESS(ROW(),MATCH("",$4:$4,-1),1,1)),"조치완료(즉시조치)")</f>
        <v>0</v>
      </c>
      <c r="I15" s="23">
        <f ca="1">COUNTIF($M15:INDIRECT(ADDRESS(ROW(),MATCH("",$4:$4,-1),1,1)),"N")</f>
        <v>3</v>
      </c>
      <c r="J15" s="23">
        <f ca="1">COUNTIF($M15:INDIRECT(ADDRESS(ROW(),MATCH("",$4:$4,-1),1,1)),"N/A")+COUNTIF($M15:INDIRECT(ADDRESS(ROW(),MATCH("",$4:$4,-1),1,1)),"조치완료(N/A)")</f>
        <v>0</v>
      </c>
      <c r="K15" s="23">
        <f ca="1">VLOOKUP($D15,'parm(hidden)'!$B$8:$C$10,2,FALSE)*($F15-$J15)</f>
        <v>8</v>
      </c>
      <c r="L15" s="35">
        <f ca="1">VLOOKUP($D15,'parm(hidden)'!$B$8:$C$10,2,FALSE)*($G15+$H15)</f>
        <v>2</v>
      </c>
      <c r="M15" s="161" t="str">
        <f t="shared" ref="M15:P46" ca="1" si="2">HYPERLINK("["&amp;MID(CELL("filename"),SEARCH("[",CELL("filename"))+1,SEARCH("]",CELL("filename"))-SEARCH("[",CELL("filename"))-1)&amp;"]"&amp;ADDRESS(ROW()+16,8,1,TRUE,M$4),INDIRECT(ADDRESS(ROW()+16,8,1,TRUE,M$4)))</f>
        <v>Y</v>
      </c>
      <c r="N15" s="161" t="str">
        <f t="shared" ca="1" si="2"/>
        <v>N</v>
      </c>
      <c r="O15" s="161" t="str">
        <f t="shared" ca="1" si="2"/>
        <v>N</v>
      </c>
      <c r="P15" s="161" t="str">
        <f t="shared" ca="1" si="2"/>
        <v>N</v>
      </c>
    </row>
    <row r="16" spans="1:16" ht="22.5" customHeight="1">
      <c r="A16" s="32" t="str">
        <f>ChkList!$A15</f>
        <v>계정 관리</v>
      </c>
      <c r="B16" s="32" t="str">
        <f>ChkList!$B15</f>
        <v>W-11</v>
      </c>
      <c r="C16" s="21" t="str">
        <f>ChkList!$C15</f>
        <v>로컬 로그온 허용</v>
      </c>
      <c r="D16" s="29" t="s">
        <v>87</v>
      </c>
      <c r="E16" s="54">
        <f t="shared" si="1"/>
        <v>2</v>
      </c>
      <c r="F16" s="23">
        <f ca="1">COUNTA($M16:INDIRECT(ADDRESS(ROW(),MATCH("",$4:$4,-1),1,1)))</f>
        <v>4</v>
      </c>
      <c r="G16" s="23">
        <f ca="1">COUNTIF($M16:INDIRECT(ADDRESS(ROW(),MATCH("",$4:$4,-1),1,1)),"조치완료(Y)")+COUNTIF($M16:INDIRECT(ADDRESS(ROW(),MATCH("",$4:$4,-1),1,1)),"Y")</f>
        <v>1</v>
      </c>
      <c r="H16" s="23">
        <f ca="1">COUNTIF($M16:INDIRECT(ADDRESS(ROW(),MATCH("",$4:$4,-1),1,1)),"Y(즉시조치)")+COUNTIF($M16:INDIRECT(ADDRESS(ROW(),MATCH("",$4:$4,-1),1,1)),"조치완료(즉시조치)")</f>
        <v>0</v>
      </c>
      <c r="I16" s="23">
        <f ca="1">COUNTIF($M16:INDIRECT(ADDRESS(ROW(),MATCH("",$4:$4,-1),1,1)),"N")</f>
        <v>3</v>
      </c>
      <c r="J16" s="23">
        <f ca="1">COUNTIF($M16:INDIRECT(ADDRESS(ROW(),MATCH("",$4:$4,-1),1,1)),"N/A")+COUNTIF($M16:INDIRECT(ADDRESS(ROW(),MATCH("",$4:$4,-1),1,1)),"조치완료(N/A)")</f>
        <v>0</v>
      </c>
      <c r="K16" s="23">
        <f ca="1">VLOOKUP($D16,'parm(hidden)'!$B$8:$C$10,2,FALSE)*($F16-$J16)</f>
        <v>8</v>
      </c>
      <c r="L16" s="35">
        <f ca="1">VLOOKUP($D16,'parm(hidden)'!$B$8:$C$10,2,FALSE)*($G16+$H16)</f>
        <v>2</v>
      </c>
      <c r="M16" s="161" t="str">
        <f t="shared" ca="1" si="2"/>
        <v>Y</v>
      </c>
      <c r="N16" s="161" t="str">
        <f t="shared" ca="1" si="2"/>
        <v>N</v>
      </c>
      <c r="O16" s="161" t="str">
        <f t="shared" ca="1" si="2"/>
        <v>N</v>
      </c>
      <c r="P16" s="161" t="str">
        <f t="shared" ca="1" si="2"/>
        <v>N</v>
      </c>
    </row>
    <row r="17" spans="1:16" ht="22.5" customHeight="1">
      <c r="A17" s="32" t="str">
        <f>ChkList!$A16</f>
        <v>계정 관리</v>
      </c>
      <c r="B17" s="32" t="str">
        <f>ChkList!$B16</f>
        <v>W-12</v>
      </c>
      <c r="C17" s="21" t="str">
        <f>ChkList!$C16</f>
        <v>익명 SID/이름 변환 허용 해제</v>
      </c>
      <c r="D17" s="29" t="s">
        <v>87</v>
      </c>
      <c r="E17" s="54">
        <f t="shared" si="1"/>
        <v>2</v>
      </c>
      <c r="F17" s="23">
        <f ca="1">COUNTA($M17:INDIRECT(ADDRESS(ROW(),MATCH("",$4:$4,-1),1,1)))</f>
        <v>4</v>
      </c>
      <c r="G17" s="23">
        <f ca="1">COUNTIF($M17:INDIRECT(ADDRESS(ROW(),MATCH("",$4:$4,-1),1,1)),"조치완료(Y)")+COUNTIF($M17:INDIRECT(ADDRESS(ROW(),MATCH("",$4:$4,-1),1,1)),"Y")</f>
        <v>1</v>
      </c>
      <c r="H17" s="23">
        <f ca="1">COUNTIF($M17:INDIRECT(ADDRESS(ROW(),MATCH("",$4:$4,-1),1,1)),"Y(즉시조치)")+COUNTIF($M17:INDIRECT(ADDRESS(ROW(),MATCH("",$4:$4,-1),1,1)),"조치완료(즉시조치)")</f>
        <v>0</v>
      </c>
      <c r="I17" s="23">
        <f ca="1">COUNTIF($M17:INDIRECT(ADDRESS(ROW(),MATCH("",$4:$4,-1),1,1)),"N")</f>
        <v>3</v>
      </c>
      <c r="J17" s="23">
        <f ca="1">COUNTIF($M17:INDIRECT(ADDRESS(ROW(),MATCH("",$4:$4,-1),1,1)),"N/A")+COUNTIF($M17:INDIRECT(ADDRESS(ROW(),MATCH("",$4:$4,-1),1,1)),"조치완료(N/A)")</f>
        <v>0</v>
      </c>
      <c r="K17" s="23">
        <f ca="1">VLOOKUP($D17,'parm(hidden)'!$B$8:$C$10,2,FALSE)*($F17-$J17)</f>
        <v>8</v>
      </c>
      <c r="L17" s="35">
        <f ca="1">VLOOKUP($D17,'parm(hidden)'!$B$8:$C$10,2,FALSE)*($G17+$H17)</f>
        <v>2</v>
      </c>
      <c r="M17" s="161" t="str">
        <f t="shared" ca="1" si="2"/>
        <v>Y</v>
      </c>
      <c r="N17" s="161" t="str">
        <f t="shared" ca="1" si="2"/>
        <v>N</v>
      </c>
      <c r="O17" s="161" t="str">
        <f t="shared" ca="1" si="2"/>
        <v>N</v>
      </c>
      <c r="P17" s="161" t="str">
        <f t="shared" ca="1" si="2"/>
        <v>N</v>
      </c>
    </row>
    <row r="18" spans="1:16" ht="22.5" customHeight="1">
      <c r="A18" s="32" t="str">
        <f>ChkList!$A17</f>
        <v>계정 관리</v>
      </c>
      <c r="B18" s="32" t="str">
        <f>ChkList!$B17</f>
        <v>W-13</v>
      </c>
      <c r="C18" s="21" t="str">
        <f>ChkList!$C17</f>
        <v>콘솔 로그온 시 로컬 계정에서 빈 암호 사용 제한</v>
      </c>
      <c r="D18" s="29" t="s">
        <v>87</v>
      </c>
      <c r="E18" s="54">
        <f t="shared" si="1"/>
        <v>2</v>
      </c>
      <c r="F18" s="23">
        <f ca="1">COUNTA($M18:INDIRECT(ADDRESS(ROW(),MATCH("",$4:$4,-1),1,1)))</f>
        <v>4</v>
      </c>
      <c r="G18" s="23">
        <f ca="1">COUNTIF($M18:INDIRECT(ADDRESS(ROW(),MATCH("",$4:$4,-1),1,1)),"조치완료(Y)")+COUNTIF($M18:INDIRECT(ADDRESS(ROW(),MATCH("",$4:$4,-1),1,1)),"Y")</f>
        <v>1</v>
      </c>
      <c r="H18" s="23">
        <f ca="1">COUNTIF($M18:INDIRECT(ADDRESS(ROW(),MATCH("",$4:$4,-1),1,1)),"Y(즉시조치)")+COUNTIF($M18:INDIRECT(ADDRESS(ROW(),MATCH("",$4:$4,-1),1,1)),"조치완료(즉시조치)")</f>
        <v>0</v>
      </c>
      <c r="I18" s="23">
        <f ca="1">COUNTIF($M18:INDIRECT(ADDRESS(ROW(),MATCH("",$4:$4,-1),1,1)),"N")</f>
        <v>3</v>
      </c>
      <c r="J18" s="23">
        <f ca="1">COUNTIF($M18:INDIRECT(ADDRESS(ROW(),MATCH("",$4:$4,-1),1,1)),"N/A")+COUNTIF($M18:INDIRECT(ADDRESS(ROW(),MATCH("",$4:$4,-1),1,1)),"조치완료(N/A)")</f>
        <v>0</v>
      </c>
      <c r="K18" s="23">
        <f ca="1">VLOOKUP($D18,'parm(hidden)'!$B$8:$C$10,2,FALSE)*($F18-$J18)</f>
        <v>8</v>
      </c>
      <c r="L18" s="35">
        <f ca="1">VLOOKUP($D18,'parm(hidden)'!$B$8:$C$10,2,FALSE)*($G18+$H18)</f>
        <v>2</v>
      </c>
      <c r="M18" s="161" t="str">
        <f t="shared" ca="1" si="2"/>
        <v>Y</v>
      </c>
      <c r="N18" s="161" t="str">
        <f t="shared" ca="1" si="2"/>
        <v>N</v>
      </c>
      <c r="O18" s="161" t="str">
        <f t="shared" ca="1" si="2"/>
        <v>N</v>
      </c>
      <c r="P18" s="161" t="str">
        <f t="shared" ca="1" si="2"/>
        <v>N</v>
      </c>
    </row>
    <row r="19" spans="1:16" ht="22.5" customHeight="1">
      <c r="A19" s="32" t="str">
        <f>ChkList!$A18</f>
        <v>계정 관리</v>
      </c>
      <c r="B19" s="32" t="str">
        <f>ChkList!$B18</f>
        <v>W-14</v>
      </c>
      <c r="C19" s="21" t="str">
        <f>ChkList!$C18</f>
        <v>원격터미널 접속 가능한 사용자 그룹 제한</v>
      </c>
      <c r="D19" s="29" t="s">
        <v>87</v>
      </c>
      <c r="E19" s="54">
        <f t="shared" si="1"/>
        <v>2</v>
      </c>
      <c r="F19" s="23">
        <f ca="1">COUNTA($M19:INDIRECT(ADDRESS(ROW(),MATCH("",$4:$4,-1),1,1)))</f>
        <v>4</v>
      </c>
      <c r="G19" s="23">
        <f ca="1">COUNTIF($M19:INDIRECT(ADDRESS(ROW(),MATCH("",$4:$4,-1),1,1)),"조치완료(Y)")+COUNTIF($M19:INDIRECT(ADDRESS(ROW(),MATCH("",$4:$4,-1),1,1)),"Y")</f>
        <v>4</v>
      </c>
      <c r="H19" s="23">
        <f ca="1">COUNTIF($M19:INDIRECT(ADDRESS(ROW(),MATCH("",$4:$4,-1),1,1)),"Y(즉시조치)")+COUNTIF($M19:INDIRECT(ADDRESS(ROW(),MATCH("",$4:$4,-1),1,1)),"조치완료(즉시조치)")</f>
        <v>0</v>
      </c>
      <c r="I19" s="23">
        <f ca="1">COUNTIF($M19:INDIRECT(ADDRESS(ROW(),MATCH("",$4:$4,-1),1,1)),"N")</f>
        <v>0</v>
      </c>
      <c r="J19" s="23">
        <f ca="1">COUNTIF($M19:INDIRECT(ADDRESS(ROW(),MATCH("",$4:$4,-1),1,1)),"N/A")+COUNTIF($M19:INDIRECT(ADDRESS(ROW(),MATCH("",$4:$4,-1),1,1)),"조치완료(N/A)")</f>
        <v>0</v>
      </c>
      <c r="K19" s="23">
        <f ca="1">VLOOKUP($D19,'parm(hidden)'!$B$8:$C$10,2,FALSE)*($F19-$J19)</f>
        <v>8</v>
      </c>
      <c r="L19" s="35">
        <f ca="1">VLOOKUP($D19,'parm(hidden)'!$B$8:$C$10,2,FALSE)*($G19+$H19)</f>
        <v>8</v>
      </c>
      <c r="M19" s="161" t="str">
        <f t="shared" ca="1" si="2"/>
        <v>Y</v>
      </c>
      <c r="N19" s="161" t="str">
        <f t="shared" ca="1" si="2"/>
        <v>Y</v>
      </c>
      <c r="O19" s="161" t="str">
        <f t="shared" ca="1" si="2"/>
        <v>Y</v>
      </c>
      <c r="P19" s="161" t="str">
        <f t="shared" ca="1" si="2"/>
        <v>Y</v>
      </c>
    </row>
    <row r="20" spans="1:16" ht="22.5" customHeight="1">
      <c r="A20" s="32" t="str">
        <f>ChkList!$A19</f>
        <v>서비스 관리</v>
      </c>
      <c r="B20" s="32" t="str">
        <f>ChkList!$B19</f>
        <v>W-15</v>
      </c>
      <c r="C20" s="21" t="str">
        <f>ChkList!$C19</f>
        <v>사용자 개인키 사용 시 암호 입력</v>
      </c>
      <c r="D20" s="29" t="s">
        <v>87</v>
      </c>
      <c r="E20" s="54">
        <f t="shared" si="1"/>
        <v>2</v>
      </c>
      <c r="F20" s="23">
        <f ca="1">COUNTA($M20:INDIRECT(ADDRESS(ROW(),MATCH("",$4:$4,-1),1,1)))</f>
        <v>4</v>
      </c>
      <c r="G20" s="23">
        <f ca="1">COUNTIF($M20:INDIRECT(ADDRESS(ROW(),MATCH("",$4:$4,-1),1,1)),"조치완료(Y)")+COUNTIF($M20:INDIRECT(ADDRESS(ROW(),MATCH("",$4:$4,-1),1,1)),"Y")</f>
        <v>1</v>
      </c>
      <c r="H20" s="23">
        <f ca="1">COUNTIF($M20:INDIRECT(ADDRESS(ROW(),MATCH("",$4:$4,-1),1,1)),"Y(즉시조치)")+COUNTIF($M20:INDIRECT(ADDRESS(ROW(),MATCH("",$4:$4,-1),1,1)),"조치완료(즉시조치)")</f>
        <v>0</v>
      </c>
      <c r="I20" s="23">
        <f ca="1">COUNTIF($M20:INDIRECT(ADDRESS(ROW(),MATCH("",$4:$4,-1),1,1)),"N")</f>
        <v>3</v>
      </c>
      <c r="J20" s="23">
        <f ca="1">COUNTIF($M20:INDIRECT(ADDRESS(ROW(),MATCH("",$4:$4,-1),1,1)),"N/A")+COUNTIF($M20:INDIRECT(ADDRESS(ROW(),MATCH("",$4:$4,-1),1,1)),"조치완료(N/A)")</f>
        <v>0</v>
      </c>
      <c r="K20" s="23">
        <f ca="1">VLOOKUP($D20,'parm(hidden)'!$B$8:$C$10,2,FALSE)*($F20-$J20)</f>
        <v>8</v>
      </c>
      <c r="L20" s="35">
        <f ca="1">VLOOKUP($D20,'parm(hidden)'!$B$8:$C$10,2,FALSE)*($G20+$H20)</f>
        <v>2</v>
      </c>
      <c r="M20" s="161" t="str">
        <f t="shared" ca="1" si="2"/>
        <v>Y</v>
      </c>
      <c r="N20" s="161" t="str">
        <f t="shared" ca="1" si="2"/>
        <v>N</v>
      </c>
      <c r="O20" s="161" t="str">
        <f t="shared" ca="1" si="2"/>
        <v>N</v>
      </c>
      <c r="P20" s="161" t="str">
        <f t="shared" ca="1" si="2"/>
        <v>N</v>
      </c>
    </row>
    <row r="21" spans="1:16" ht="22.5" customHeight="1">
      <c r="A21" s="32" t="str">
        <f>ChkList!$A20</f>
        <v>서비스 관리</v>
      </c>
      <c r="B21" s="32" t="str">
        <f>ChkList!$B20</f>
        <v>W-16</v>
      </c>
      <c r="C21" s="21" t="str">
        <f>ChkList!$C20</f>
        <v>공유 권한 및 사용자 그룹 설정</v>
      </c>
      <c r="D21" s="29" t="s">
        <v>87</v>
      </c>
      <c r="E21" s="54">
        <f t="shared" si="1"/>
        <v>2</v>
      </c>
      <c r="F21" s="23">
        <f ca="1">COUNTA($M21:INDIRECT(ADDRESS(ROW(),MATCH("",$4:$4,-1),1,1)))</f>
        <v>4</v>
      </c>
      <c r="G21" s="23">
        <f ca="1">COUNTIF($M21:INDIRECT(ADDRESS(ROW(),MATCH("",$4:$4,-1),1,1)),"조치완료(Y)")+COUNTIF($M21:INDIRECT(ADDRESS(ROW(),MATCH("",$4:$4,-1),1,1)),"Y")</f>
        <v>3</v>
      </c>
      <c r="H21" s="23">
        <f ca="1">COUNTIF($M21:INDIRECT(ADDRESS(ROW(),MATCH("",$4:$4,-1),1,1)),"Y(즉시조치)")+COUNTIF($M21:INDIRECT(ADDRESS(ROW(),MATCH("",$4:$4,-1),1,1)),"조치완료(즉시조치)")</f>
        <v>0</v>
      </c>
      <c r="I21" s="23">
        <f ca="1">COUNTIF($M21:INDIRECT(ADDRESS(ROW(),MATCH("",$4:$4,-1),1,1)),"N")</f>
        <v>0</v>
      </c>
      <c r="J21" s="23">
        <f ca="1">COUNTIF($M21:INDIRECT(ADDRESS(ROW(),MATCH("",$4:$4,-1),1,1)),"N/A")+COUNTIF($M21:INDIRECT(ADDRESS(ROW(),MATCH("",$4:$4,-1),1,1)),"조치완료(N/A)")</f>
        <v>1</v>
      </c>
      <c r="K21" s="23">
        <f ca="1">VLOOKUP($D21,'parm(hidden)'!$B$8:$C$10,2,FALSE)*($F21-$J21)</f>
        <v>6</v>
      </c>
      <c r="L21" s="35">
        <f ca="1">VLOOKUP($D21,'parm(hidden)'!$B$8:$C$10,2,FALSE)*($G21+$H21)</f>
        <v>6</v>
      </c>
      <c r="M21" s="161" t="str">
        <f t="shared" ca="1" si="2"/>
        <v>N/A</v>
      </c>
      <c r="N21" s="161" t="str">
        <f t="shared" ca="1" si="2"/>
        <v>Y</v>
      </c>
      <c r="O21" s="161" t="str">
        <f t="shared" ca="1" si="2"/>
        <v>Y</v>
      </c>
      <c r="P21" s="161" t="str">
        <f t="shared" ca="1" si="2"/>
        <v>Y</v>
      </c>
    </row>
    <row r="22" spans="1:16" ht="22.5" customHeight="1">
      <c r="A22" s="32" t="str">
        <f>ChkList!$A21</f>
        <v>서비스 관리</v>
      </c>
      <c r="B22" s="32" t="str">
        <f>ChkList!$B21</f>
        <v>W-17</v>
      </c>
      <c r="C22" s="21" t="str">
        <f>ChkList!$C21</f>
        <v>하드디스크 기본 공유 제거</v>
      </c>
      <c r="D22" s="29" t="s">
        <v>87</v>
      </c>
      <c r="E22" s="54">
        <f t="shared" si="1"/>
        <v>2</v>
      </c>
      <c r="F22" s="23">
        <f ca="1">COUNTA($M22:INDIRECT(ADDRESS(ROW(),MATCH("",$4:$4,-1),1,1)))</f>
        <v>4</v>
      </c>
      <c r="G22" s="23">
        <f ca="1">COUNTIF($M22:INDIRECT(ADDRESS(ROW(),MATCH("",$4:$4,-1),1,1)),"조치완료(Y)")+COUNTIF($M22:INDIRECT(ADDRESS(ROW(),MATCH("",$4:$4,-1),1,1)),"Y")</f>
        <v>0</v>
      </c>
      <c r="H22" s="23">
        <f ca="1">COUNTIF($M22:INDIRECT(ADDRESS(ROW(),MATCH("",$4:$4,-1),1,1)),"Y(즉시조치)")+COUNTIF($M22:INDIRECT(ADDRESS(ROW(),MATCH("",$4:$4,-1),1,1)),"조치완료(즉시조치)")</f>
        <v>0</v>
      </c>
      <c r="I22" s="23">
        <f ca="1">COUNTIF($M22:INDIRECT(ADDRESS(ROW(),MATCH("",$4:$4,-1),1,1)),"N")</f>
        <v>4</v>
      </c>
      <c r="J22" s="23">
        <f ca="1">COUNTIF($M22:INDIRECT(ADDRESS(ROW(),MATCH("",$4:$4,-1),1,1)),"N/A")+COUNTIF($M22:INDIRECT(ADDRESS(ROW(),MATCH("",$4:$4,-1),1,1)),"조치완료(N/A)")</f>
        <v>0</v>
      </c>
      <c r="K22" s="23">
        <f ca="1">VLOOKUP($D22,'parm(hidden)'!$B$8:$C$10,2,FALSE)*($F22-$J22)</f>
        <v>8</v>
      </c>
      <c r="L22" s="35">
        <f ca="1">VLOOKUP($D22,'parm(hidden)'!$B$8:$C$10,2,FALSE)*($G22+$H22)</f>
        <v>0</v>
      </c>
      <c r="M22" s="161" t="str">
        <f t="shared" ca="1" si="2"/>
        <v>N</v>
      </c>
      <c r="N22" s="161" t="str">
        <f t="shared" ca="1" si="2"/>
        <v>N</v>
      </c>
      <c r="O22" s="161" t="str">
        <f t="shared" ca="1" si="2"/>
        <v>N</v>
      </c>
      <c r="P22" s="161" t="str">
        <f t="shared" ca="1" si="2"/>
        <v>N</v>
      </c>
    </row>
    <row r="23" spans="1:16" ht="22.5" customHeight="1">
      <c r="A23" s="32" t="str">
        <f>ChkList!$A22</f>
        <v>서비스 관리</v>
      </c>
      <c r="B23" s="32" t="str">
        <f>ChkList!$B22</f>
        <v>W-18</v>
      </c>
      <c r="C23" s="21" t="str">
        <f>ChkList!$C22</f>
        <v>불필요한 서비스 제거</v>
      </c>
      <c r="D23" s="29" t="s">
        <v>87</v>
      </c>
      <c r="E23" s="54">
        <f t="shared" si="1"/>
        <v>2</v>
      </c>
      <c r="F23" s="23">
        <f ca="1">COUNTA($M23:INDIRECT(ADDRESS(ROW(),MATCH("",$4:$4,-1),1,1)))</f>
        <v>4</v>
      </c>
      <c r="G23" s="23">
        <f ca="1">COUNTIF($M23:INDIRECT(ADDRESS(ROW(),MATCH("",$4:$4,-1),1,1)),"조치완료(Y)")+COUNTIF($M23:INDIRECT(ADDRESS(ROW(),MATCH("",$4:$4,-1),1,1)),"Y")</f>
        <v>0</v>
      </c>
      <c r="H23" s="23">
        <f ca="1">COUNTIF($M23:INDIRECT(ADDRESS(ROW(),MATCH("",$4:$4,-1),1,1)),"Y(즉시조치)")+COUNTIF($M23:INDIRECT(ADDRESS(ROW(),MATCH("",$4:$4,-1),1,1)),"조치완료(즉시조치)")</f>
        <v>0</v>
      </c>
      <c r="I23" s="23">
        <f ca="1">COUNTIF($M23:INDIRECT(ADDRESS(ROW(),MATCH("",$4:$4,-1),1,1)),"N")</f>
        <v>4</v>
      </c>
      <c r="J23" s="23">
        <f ca="1">COUNTIF($M23:INDIRECT(ADDRESS(ROW(),MATCH("",$4:$4,-1),1,1)),"N/A")+COUNTIF($M23:INDIRECT(ADDRESS(ROW(),MATCH("",$4:$4,-1),1,1)),"조치완료(N/A)")</f>
        <v>0</v>
      </c>
      <c r="K23" s="23">
        <f ca="1">VLOOKUP($D23,'parm(hidden)'!$B$8:$C$10,2,FALSE)*($F23-$J23)</f>
        <v>8</v>
      </c>
      <c r="L23" s="35">
        <f ca="1">VLOOKUP($D23,'parm(hidden)'!$B$8:$C$10,2,FALSE)*($G23+$H23)</f>
        <v>0</v>
      </c>
      <c r="M23" s="161" t="str">
        <f t="shared" ca="1" si="2"/>
        <v>N</v>
      </c>
      <c r="N23" s="161" t="str">
        <f t="shared" ca="1" si="2"/>
        <v>N</v>
      </c>
      <c r="O23" s="161" t="str">
        <f t="shared" ca="1" si="2"/>
        <v>N</v>
      </c>
      <c r="P23" s="161" t="str">
        <f t="shared" ca="1" si="2"/>
        <v>N</v>
      </c>
    </row>
    <row r="24" spans="1:16" ht="22.5" customHeight="1">
      <c r="A24" s="32" t="str">
        <f>ChkList!$A23</f>
        <v>서비스 관리</v>
      </c>
      <c r="B24" s="32" t="str">
        <f>ChkList!$B23</f>
        <v>W-19</v>
      </c>
      <c r="C24" s="21" t="str">
        <f>ChkList!$C23</f>
        <v>불필요한 IIS 서비스 구동 점검</v>
      </c>
      <c r="D24" s="29" t="s">
        <v>98</v>
      </c>
      <c r="E24" s="54">
        <f t="shared" si="1"/>
        <v>3</v>
      </c>
      <c r="F24" s="23">
        <f ca="1">COUNTA($M24:INDIRECT(ADDRESS(ROW(),MATCH("",$4:$4,-1),1,1)))</f>
        <v>4</v>
      </c>
      <c r="G24" s="23">
        <f ca="1">COUNTIF($M24:INDIRECT(ADDRESS(ROW(),MATCH("",$4:$4,-1),1,1)),"조치완료(Y)")+COUNTIF($M24:INDIRECT(ADDRESS(ROW(),MATCH("",$4:$4,-1),1,1)),"Y")</f>
        <v>0</v>
      </c>
      <c r="H24" s="23">
        <f ca="1">COUNTIF($M24:INDIRECT(ADDRESS(ROW(),MATCH("",$4:$4,-1),1,1)),"Y(즉시조치)")+COUNTIF($M24:INDIRECT(ADDRESS(ROW(),MATCH("",$4:$4,-1),1,1)),"조치완료(즉시조치)")</f>
        <v>0</v>
      </c>
      <c r="I24" s="23">
        <f ca="1">COUNTIF($M24:INDIRECT(ADDRESS(ROW(),MATCH("",$4:$4,-1),1,1)),"N")</f>
        <v>4</v>
      </c>
      <c r="J24" s="23">
        <f ca="1">COUNTIF($M24:INDIRECT(ADDRESS(ROW(),MATCH("",$4:$4,-1),1,1)),"N/A")+COUNTIF($M24:INDIRECT(ADDRESS(ROW(),MATCH("",$4:$4,-1),1,1)),"조치완료(N/A)")</f>
        <v>0</v>
      </c>
      <c r="K24" s="23">
        <f ca="1">VLOOKUP($D24,'parm(hidden)'!$B$8:$C$10,2,FALSE)*($F24-$J24)</f>
        <v>12</v>
      </c>
      <c r="L24" s="35">
        <f ca="1">VLOOKUP($D24,'parm(hidden)'!$B$8:$C$10,2,FALSE)*($G24+$H24)</f>
        <v>0</v>
      </c>
      <c r="M24" s="161" t="str">
        <f t="shared" ca="1" si="2"/>
        <v>N</v>
      </c>
      <c r="N24" s="161" t="str">
        <f t="shared" ca="1" si="2"/>
        <v>N</v>
      </c>
      <c r="O24" s="161" t="str">
        <f t="shared" ca="1" si="2"/>
        <v>N</v>
      </c>
      <c r="P24" s="161" t="str">
        <f t="shared" ca="1" si="2"/>
        <v>N</v>
      </c>
    </row>
    <row r="25" spans="1:16" ht="22.5" customHeight="1">
      <c r="A25" s="32" t="str">
        <f>ChkList!$A24</f>
        <v>서비스 관리</v>
      </c>
      <c r="B25" s="32" t="str">
        <f>ChkList!$B24</f>
        <v>W-20</v>
      </c>
      <c r="C25" s="21" t="str">
        <f>ChkList!$C24</f>
        <v>NetBIOS 바인딩 서비스 구동 점검</v>
      </c>
      <c r="D25" s="29" t="s">
        <v>98</v>
      </c>
      <c r="E25" s="54">
        <f t="shared" si="1"/>
        <v>3</v>
      </c>
      <c r="F25" s="23">
        <f ca="1">COUNTA($M25:INDIRECT(ADDRESS(ROW(),MATCH("",$4:$4,-1),1,1)))</f>
        <v>4</v>
      </c>
      <c r="G25" s="23">
        <f ca="1">COUNTIF($M25:INDIRECT(ADDRESS(ROW(),MATCH("",$4:$4,-1),1,1)),"조치완료(Y)")+COUNTIF($M25:INDIRECT(ADDRESS(ROW(),MATCH("",$4:$4,-1),1,1)),"Y")</f>
        <v>0</v>
      </c>
      <c r="H25" s="23">
        <f ca="1">COUNTIF($M25:INDIRECT(ADDRESS(ROW(),MATCH("",$4:$4,-1),1,1)),"Y(즉시조치)")+COUNTIF($M25:INDIRECT(ADDRESS(ROW(),MATCH("",$4:$4,-1),1,1)),"조치완료(즉시조치)")</f>
        <v>0</v>
      </c>
      <c r="I25" s="23">
        <f ca="1">COUNTIF($M25:INDIRECT(ADDRESS(ROW(),MATCH("",$4:$4,-1),1,1)),"N")</f>
        <v>4</v>
      </c>
      <c r="J25" s="23">
        <f ca="1">COUNTIF($M25:INDIRECT(ADDRESS(ROW(),MATCH("",$4:$4,-1),1,1)),"N/A")+COUNTIF($M25:INDIRECT(ADDRESS(ROW(),MATCH("",$4:$4,-1),1,1)),"조치완료(N/A)")</f>
        <v>0</v>
      </c>
      <c r="K25" s="23">
        <f ca="1">VLOOKUP($D25,'parm(hidden)'!$B$8:$C$10,2,FALSE)*($F25-$J25)</f>
        <v>12</v>
      </c>
      <c r="L25" s="35">
        <f ca="1">VLOOKUP($D25,'parm(hidden)'!$B$8:$C$10,2,FALSE)*($G25+$H25)</f>
        <v>0</v>
      </c>
      <c r="M25" s="161" t="str">
        <f t="shared" ca="1" si="2"/>
        <v>N</v>
      </c>
      <c r="N25" s="161" t="str">
        <f t="shared" ca="1" si="2"/>
        <v>N</v>
      </c>
      <c r="O25" s="161" t="str">
        <f t="shared" ca="1" si="2"/>
        <v>N</v>
      </c>
      <c r="P25" s="161" t="str">
        <f t="shared" ca="1" si="2"/>
        <v>N</v>
      </c>
    </row>
    <row r="26" spans="1:16" ht="22.5" customHeight="1">
      <c r="A26" s="32" t="e">
        <f>ChkList!#REF!</f>
        <v>#REF!</v>
      </c>
      <c r="B26" s="32" t="e">
        <f>ChkList!#REF!</f>
        <v>#REF!</v>
      </c>
      <c r="C26" s="21" t="e">
        <f>ChkList!#REF!</f>
        <v>#REF!</v>
      </c>
      <c r="D26" s="29" t="s">
        <v>98</v>
      </c>
      <c r="E26" s="54">
        <f t="shared" si="1"/>
        <v>3</v>
      </c>
      <c r="F26" s="23">
        <f ca="1">COUNTA($M26:INDIRECT(ADDRESS(ROW(),MATCH("",$4:$4,-1),1,1)))</f>
        <v>4</v>
      </c>
      <c r="G26" s="23">
        <f ca="1">COUNTIF($M26:INDIRECT(ADDRESS(ROW(),MATCH("",$4:$4,-1),1,1)),"조치완료(Y)")+COUNTIF($M26:INDIRECT(ADDRESS(ROW(),MATCH("",$4:$4,-1),1,1)),"Y")</f>
        <v>1</v>
      </c>
      <c r="H26" s="23">
        <f ca="1">COUNTIF($M26:INDIRECT(ADDRESS(ROW(),MATCH("",$4:$4,-1),1,1)),"Y(즉시조치)")+COUNTIF($M26:INDIRECT(ADDRESS(ROW(),MATCH("",$4:$4,-1),1,1)),"조치완료(즉시조치)")</f>
        <v>0</v>
      </c>
      <c r="I26" s="23">
        <f ca="1">COUNTIF($M26:INDIRECT(ADDRESS(ROW(),MATCH("",$4:$4,-1),1,1)),"N")</f>
        <v>3</v>
      </c>
      <c r="J26" s="23">
        <f ca="1">COUNTIF($M26:INDIRECT(ADDRESS(ROW(),MATCH("",$4:$4,-1),1,1)),"N/A")+COUNTIF($M26:INDIRECT(ADDRESS(ROW(),MATCH("",$4:$4,-1),1,1)),"조치완료(N/A)")</f>
        <v>0</v>
      </c>
      <c r="K26" s="23">
        <f ca="1">VLOOKUP($D26,'parm(hidden)'!$B$8:$C$10,2,FALSE)*($F26-$J26)</f>
        <v>12</v>
      </c>
      <c r="L26" s="35">
        <f ca="1">VLOOKUP($D26,'parm(hidden)'!$B$8:$C$10,2,FALSE)*($G26+$H26)</f>
        <v>3</v>
      </c>
      <c r="M26" s="161" t="str">
        <f t="shared" ca="1" si="2"/>
        <v>Y</v>
      </c>
      <c r="N26" s="161" t="str">
        <f t="shared" ca="1" si="2"/>
        <v>N</v>
      </c>
      <c r="O26" s="161" t="str">
        <f t="shared" ca="1" si="2"/>
        <v>N</v>
      </c>
      <c r="P26" s="161" t="str">
        <f t="shared" ca="1" si="2"/>
        <v>N</v>
      </c>
    </row>
    <row r="27" spans="1:16" ht="22.5" customHeight="1">
      <c r="A27" s="32" t="str">
        <f>ChkList!$A25</f>
        <v>서비스 관리</v>
      </c>
      <c r="B27" s="32" t="str">
        <f>ChkList!$B25</f>
        <v>W-21</v>
      </c>
      <c r="C27" s="21" t="str">
        <f>ChkList!$C25</f>
        <v>암호화되지 않는 FTP 서비스 비활성화</v>
      </c>
      <c r="D27" s="29" t="s">
        <v>98</v>
      </c>
      <c r="E27" s="54">
        <f t="shared" si="1"/>
        <v>3</v>
      </c>
      <c r="F27" s="23">
        <f ca="1">COUNTA($M27:INDIRECT(ADDRESS(ROW(),MATCH("",$4:$4,-1),1,1)))</f>
        <v>4</v>
      </c>
      <c r="G27" s="23">
        <f ca="1">COUNTIF($M27:INDIRECT(ADDRESS(ROW(),MATCH("",$4:$4,-1),1,1)),"조치완료(Y)")+COUNTIF($M27:INDIRECT(ADDRESS(ROW(),MATCH("",$4:$4,-1),1,1)),"Y")</f>
        <v>1</v>
      </c>
      <c r="H27" s="23">
        <f ca="1">COUNTIF($M27:INDIRECT(ADDRESS(ROW(),MATCH("",$4:$4,-1),1,1)),"Y(즉시조치)")+COUNTIF($M27:INDIRECT(ADDRESS(ROW(),MATCH("",$4:$4,-1),1,1)),"조치완료(즉시조치)")</f>
        <v>0</v>
      </c>
      <c r="I27" s="23">
        <f ca="1">COUNTIF($M27:INDIRECT(ADDRESS(ROW(),MATCH("",$4:$4,-1),1,1)),"N")</f>
        <v>3</v>
      </c>
      <c r="J27" s="23">
        <f ca="1">COUNTIF($M27:INDIRECT(ADDRESS(ROW(),MATCH("",$4:$4,-1),1,1)),"N/A")+COUNTIF($M27:INDIRECT(ADDRESS(ROW(),MATCH("",$4:$4,-1),1,1)),"조치완료(N/A)")</f>
        <v>0</v>
      </c>
      <c r="K27" s="23">
        <f ca="1">VLOOKUP($D27,'parm(hidden)'!$B$8:$C$10,2,FALSE)*($F27-$J27)</f>
        <v>12</v>
      </c>
      <c r="L27" s="35">
        <f ca="1">VLOOKUP($D27,'parm(hidden)'!$B$8:$C$10,2,FALSE)*($G27+$H27)</f>
        <v>3</v>
      </c>
      <c r="M27" s="161" t="str">
        <f t="shared" ca="1" si="2"/>
        <v>Y</v>
      </c>
      <c r="N27" s="161" t="str">
        <f t="shared" ca="1" si="2"/>
        <v>N</v>
      </c>
      <c r="O27" s="161" t="str">
        <f t="shared" ca="1" si="2"/>
        <v>N</v>
      </c>
      <c r="P27" s="161" t="str">
        <f t="shared" ca="1" si="2"/>
        <v>N</v>
      </c>
    </row>
    <row r="28" spans="1:16" ht="22.5" customHeight="1">
      <c r="A28" s="32" t="str">
        <f>ChkList!$A26</f>
        <v>서비스 관리</v>
      </c>
      <c r="B28" s="32" t="str">
        <f>ChkList!$B26</f>
        <v>W-22</v>
      </c>
      <c r="C28" s="21" t="str">
        <f>ChkList!$C26</f>
        <v>FTP 디렉토리 접근권한 설정</v>
      </c>
      <c r="D28" s="29" t="s">
        <v>98</v>
      </c>
      <c r="E28" s="54">
        <f t="shared" si="1"/>
        <v>3</v>
      </c>
      <c r="F28" s="23">
        <f ca="1">COUNTA($M28:INDIRECT(ADDRESS(ROW(),MATCH("",$4:$4,-1),1,1)))</f>
        <v>4</v>
      </c>
      <c r="G28" s="23">
        <f ca="1">COUNTIF($M28:INDIRECT(ADDRESS(ROW(),MATCH("",$4:$4,-1),1,1)),"조치완료(Y)")+COUNTIF($M28:INDIRECT(ADDRESS(ROW(),MATCH("",$4:$4,-1),1,1)),"Y")</f>
        <v>1</v>
      </c>
      <c r="H28" s="23">
        <f ca="1">COUNTIF($M28:INDIRECT(ADDRESS(ROW(),MATCH("",$4:$4,-1),1,1)),"Y(즉시조치)")+COUNTIF($M28:INDIRECT(ADDRESS(ROW(),MATCH("",$4:$4,-1),1,1)),"조치완료(즉시조치)")</f>
        <v>0</v>
      </c>
      <c r="I28" s="23">
        <f ca="1">COUNTIF($M28:INDIRECT(ADDRESS(ROW(),MATCH("",$4:$4,-1),1,1)),"N")</f>
        <v>3</v>
      </c>
      <c r="J28" s="23">
        <f ca="1">COUNTIF($M28:INDIRECT(ADDRESS(ROW(),MATCH("",$4:$4,-1),1,1)),"N/A")+COUNTIF($M28:INDIRECT(ADDRESS(ROW(),MATCH("",$4:$4,-1),1,1)),"조치완료(N/A)")</f>
        <v>0</v>
      </c>
      <c r="K28" s="23">
        <f ca="1">VLOOKUP($D28,'parm(hidden)'!$B$8:$C$10,2,FALSE)*($F28-$J28)</f>
        <v>12</v>
      </c>
      <c r="L28" s="35">
        <f ca="1">VLOOKUP($D28,'parm(hidden)'!$B$8:$C$10,2,FALSE)*($G28+$H28)</f>
        <v>3</v>
      </c>
      <c r="M28" s="161" t="str">
        <f t="shared" ca="1" si="2"/>
        <v>Y</v>
      </c>
      <c r="N28" s="161" t="str">
        <f t="shared" ca="1" si="2"/>
        <v>N</v>
      </c>
      <c r="O28" s="161" t="str">
        <f t="shared" ca="1" si="2"/>
        <v>N</v>
      </c>
      <c r="P28" s="161" t="str">
        <f t="shared" ca="1" si="2"/>
        <v>N</v>
      </c>
    </row>
    <row r="29" spans="1:16" ht="22.5" customHeight="1">
      <c r="A29" s="32" t="str">
        <f>ChkList!$A27</f>
        <v>서비스 관리</v>
      </c>
      <c r="B29" s="32" t="str">
        <f>ChkList!$B27</f>
        <v>W-23</v>
      </c>
      <c r="C29" s="21" t="str">
        <f>ChkList!$C27</f>
        <v>공유 서비스에 대한 익명 접근 제한 설정</v>
      </c>
      <c r="D29" s="29" t="s">
        <v>98</v>
      </c>
      <c r="E29" s="54">
        <f t="shared" si="1"/>
        <v>3</v>
      </c>
      <c r="F29" s="23">
        <f ca="1">COUNTA($M29:INDIRECT(ADDRESS(ROW(),MATCH("",$4:$4,-1),1,1)))</f>
        <v>4</v>
      </c>
      <c r="G29" s="23">
        <f ca="1">COUNTIF($M29:INDIRECT(ADDRESS(ROW(),MATCH("",$4:$4,-1),1,1)),"조치완료(Y)")+COUNTIF($M29:INDIRECT(ADDRESS(ROW(),MATCH("",$4:$4,-1),1,1)),"Y")</f>
        <v>1</v>
      </c>
      <c r="H29" s="23">
        <f ca="1">COUNTIF($M29:INDIRECT(ADDRESS(ROW(),MATCH("",$4:$4,-1),1,1)),"Y(즉시조치)")+COUNTIF($M29:INDIRECT(ADDRESS(ROW(),MATCH("",$4:$4,-1),1,1)),"조치완료(즉시조치)")</f>
        <v>0</v>
      </c>
      <c r="I29" s="23">
        <f ca="1">COUNTIF($M29:INDIRECT(ADDRESS(ROW(),MATCH("",$4:$4,-1),1,1)),"N")</f>
        <v>3</v>
      </c>
      <c r="J29" s="23">
        <f ca="1">COUNTIF($M29:INDIRECT(ADDRESS(ROW(),MATCH("",$4:$4,-1),1,1)),"N/A")+COUNTIF($M29:INDIRECT(ADDRESS(ROW(),MATCH("",$4:$4,-1),1,1)),"조치완료(N/A)")</f>
        <v>0</v>
      </c>
      <c r="K29" s="23">
        <f ca="1">VLOOKUP($D29,'parm(hidden)'!$B$8:$C$10,2,FALSE)*($F29-$J29)</f>
        <v>12</v>
      </c>
      <c r="L29" s="35">
        <f ca="1">VLOOKUP($D29,'parm(hidden)'!$B$8:$C$10,2,FALSE)*($G29+$H29)</f>
        <v>3</v>
      </c>
      <c r="M29" s="161" t="str">
        <f t="shared" ca="1" si="2"/>
        <v>Y</v>
      </c>
      <c r="N29" s="161" t="str">
        <f t="shared" ca="1" si="2"/>
        <v>N</v>
      </c>
      <c r="O29" s="161" t="str">
        <f t="shared" ca="1" si="2"/>
        <v>N</v>
      </c>
      <c r="P29" s="161" t="str">
        <f t="shared" ca="1" si="2"/>
        <v>N</v>
      </c>
    </row>
    <row r="30" spans="1:16" ht="22.5" customHeight="1">
      <c r="A30" s="32" t="str">
        <f>ChkList!$A28</f>
        <v>서비스 관리</v>
      </c>
      <c r="B30" s="32" t="str">
        <f>ChkList!$B28</f>
        <v>W-24</v>
      </c>
      <c r="C30" s="21" t="str">
        <f>ChkList!$C28</f>
        <v>FTP 접근 제어 설정</v>
      </c>
      <c r="D30" s="29" t="s">
        <v>98</v>
      </c>
      <c r="E30" s="54">
        <f t="shared" si="1"/>
        <v>3</v>
      </c>
      <c r="F30" s="23">
        <f ca="1">COUNTA($M30:INDIRECT(ADDRESS(ROW(),MATCH("",$4:$4,-1),1,1)))</f>
        <v>4</v>
      </c>
      <c r="G30" s="23">
        <f ca="1">COUNTIF($M30:INDIRECT(ADDRESS(ROW(),MATCH("",$4:$4,-1),1,1)),"조치완료(Y)")+COUNTIF($M30:INDIRECT(ADDRESS(ROW(),MATCH("",$4:$4,-1),1,1)),"Y")</f>
        <v>1</v>
      </c>
      <c r="H30" s="23">
        <f ca="1">COUNTIF($M30:INDIRECT(ADDRESS(ROW(),MATCH("",$4:$4,-1),1,1)),"Y(즉시조치)")+COUNTIF($M30:INDIRECT(ADDRESS(ROW(),MATCH("",$4:$4,-1),1,1)),"조치완료(즉시조치)")</f>
        <v>0</v>
      </c>
      <c r="I30" s="23">
        <f ca="1">COUNTIF($M30:INDIRECT(ADDRESS(ROW(),MATCH("",$4:$4,-1),1,1)),"N")</f>
        <v>3</v>
      </c>
      <c r="J30" s="23">
        <f ca="1">COUNTIF($M30:INDIRECT(ADDRESS(ROW(),MATCH("",$4:$4,-1),1,1)),"N/A")+COUNTIF($M30:INDIRECT(ADDRESS(ROW(),MATCH("",$4:$4,-1),1,1)),"조치완료(N/A)")</f>
        <v>0</v>
      </c>
      <c r="K30" s="23">
        <f ca="1">VLOOKUP($D30,'parm(hidden)'!$B$8:$C$10,2,FALSE)*($F30-$J30)</f>
        <v>12</v>
      </c>
      <c r="L30" s="35">
        <f ca="1">VLOOKUP($D30,'parm(hidden)'!$B$8:$C$10,2,FALSE)*($G30+$H30)</f>
        <v>3</v>
      </c>
      <c r="M30" s="161" t="str">
        <f t="shared" ca="1" si="2"/>
        <v>Y</v>
      </c>
      <c r="N30" s="161" t="str">
        <f t="shared" ca="1" si="2"/>
        <v>N</v>
      </c>
      <c r="O30" s="161" t="str">
        <f t="shared" ca="1" si="2"/>
        <v>N</v>
      </c>
      <c r="P30" s="161" t="str">
        <f t="shared" ca="1" si="2"/>
        <v>N</v>
      </c>
    </row>
    <row r="31" spans="1:16" ht="22.5" customHeight="1">
      <c r="A31" s="32" t="str">
        <f>ChkList!$A29</f>
        <v>서비스 관리</v>
      </c>
      <c r="B31" s="32" t="str">
        <f>ChkList!$B29</f>
        <v>W-25</v>
      </c>
      <c r="C31" s="21" t="str">
        <f>ChkList!$C29</f>
        <v>DNS Zone Transfer 설정</v>
      </c>
      <c r="D31" s="29" t="s">
        <v>98</v>
      </c>
      <c r="E31" s="54">
        <f t="shared" si="1"/>
        <v>3</v>
      </c>
      <c r="F31" s="23">
        <f ca="1">COUNTA($M31:INDIRECT(ADDRESS(ROW(),MATCH("",$4:$4,-1),1,1)))</f>
        <v>4</v>
      </c>
      <c r="G31" s="23">
        <f ca="1">COUNTIF($M31:INDIRECT(ADDRESS(ROW(),MATCH("",$4:$4,-1),1,1)),"조치완료(Y)")+COUNTIF($M31:INDIRECT(ADDRESS(ROW(),MATCH("",$4:$4,-1),1,1)),"Y")</f>
        <v>1</v>
      </c>
      <c r="H31" s="23">
        <f ca="1">COUNTIF($M31:INDIRECT(ADDRESS(ROW(),MATCH("",$4:$4,-1),1,1)),"Y(즉시조치)")+COUNTIF($M31:INDIRECT(ADDRESS(ROW(),MATCH("",$4:$4,-1),1,1)),"조치완료(즉시조치)")</f>
        <v>0</v>
      </c>
      <c r="I31" s="23">
        <f ca="1">COUNTIF($M31:INDIRECT(ADDRESS(ROW(),MATCH("",$4:$4,-1),1,1)),"N")</f>
        <v>3</v>
      </c>
      <c r="J31" s="23">
        <f ca="1">COUNTIF($M31:INDIRECT(ADDRESS(ROW(),MATCH("",$4:$4,-1),1,1)),"N/A")+COUNTIF($M31:INDIRECT(ADDRESS(ROW(),MATCH("",$4:$4,-1),1,1)),"조치완료(N/A)")</f>
        <v>0</v>
      </c>
      <c r="K31" s="23">
        <f ca="1">VLOOKUP($D31,'parm(hidden)'!$B$8:$C$10,2,FALSE)*($F31-$J31)</f>
        <v>12</v>
      </c>
      <c r="L31" s="35">
        <f ca="1">VLOOKUP($D31,'parm(hidden)'!$B$8:$C$10,2,FALSE)*($G31+$H31)</f>
        <v>3</v>
      </c>
      <c r="M31" s="161" t="str">
        <f t="shared" ca="1" si="2"/>
        <v>Y</v>
      </c>
      <c r="N31" s="161" t="str">
        <f t="shared" ca="1" si="2"/>
        <v>N</v>
      </c>
      <c r="O31" s="161" t="str">
        <f t="shared" ca="1" si="2"/>
        <v>N</v>
      </c>
      <c r="P31" s="161" t="str">
        <f t="shared" ca="1" si="2"/>
        <v>N</v>
      </c>
    </row>
    <row r="32" spans="1:16" ht="22.5" customHeight="1">
      <c r="A32" s="32" t="str">
        <f>ChkList!$A30</f>
        <v>서비스 관리</v>
      </c>
      <c r="B32" s="32" t="str">
        <f>ChkList!$B30</f>
        <v>W-26</v>
      </c>
      <c r="C32" s="21" t="str">
        <f>ChkList!$C30</f>
        <v>RDS(Remote Data Services)제거</v>
      </c>
      <c r="D32" s="29" t="s">
        <v>98</v>
      </c>
      <c r="E32" s="54">
        <f t="shared" si="1"/>
        <v>3</v>
      </c>
      <c r="F32" s="23">
        <f ca="1">COUNTA($M32:INDIRECT(ADDRESS(ROW(),MATCH("",$4:$4,-1),1,1)))</f>
        <v>4</v>
      </c>
      <c r="G32" s="23">
        <f ca="1">COUNTIF($M32:INDIRECT(ADDRESS(ROW(),MATCH("",$4:$4,-1),1,1)),"조치완료(Y)")+COUNTIF($M32:INDIRECT(ADDRESS(ROW(),MATCH("",$4:$4,-1),1,1)),"Y")</f>
        <v>1</v>
      </c>
      <c r="H32" s="23">
        <f ca="1">COUNTIF($M32:INDIRECT(ADDRESS(ROW(),MATCH("",$4:$4,-1),1,1)),"Y(즉시조치)")+COUNTIF($M32:INDIRECT(ADDRESS(ROW(),MATCH("",$4:$4,-1),1,1)),"조치완료(즉시조치)")</f>
        <v>0</v>
      </c>
      <c r="I32" s="23">
        <f ca="1">COUNTIF($M32:INDIRECT(ADDRESS(ROW(),MATCH("",$4:$4,-1),1,1)),"N")</f>
        <v>3</v>
      </c>
      <c r="J32" s="23">
        <f ca="1">COUNTIF($M32:INDIRECT(ADDRESS(ROW(),MATCH("",$4:$4,-1),1,1)),"N/A")+COUNTIF($M32:INDIRECT(ADDRESS(ROW(),MATCH("",$4:$4,-1),1,1)),"조치완료(N/A)")</f>
        <v>0</v>
      </c>
      <c r="K32" s="23">
        <f ca="1">VLOOKUP($D32,'parm(hidden)'!$B$8:$C$10,2,FALSE)*($F32-$J32)</f>
        <v>12</v>
      </c>
      <c r="L32" s="35">
        <f ca="1">VLOOKUP($D32,'parm(hidden)'!$B$8:$C$10,2,FALSE)*($G32+$H32)</f>
        <v>3</v>
      </c>
      <c r="M32" s="161" t="str">
        <f t="shared" ca="1" si="2"/>
        <v>Y</v>
      </c>
      <c r="N32" s="161" t="str">
        <f t="shared" ca="1" si="2"/>
        <v>N</v>
      </c>
      <c r="O32" s="161" t="str">
        <f t="shared" ca="1" si="2"/>
        <v>N</v>
      </c>
      <c r="P32" s="161" t="str">
        <f t="shared" ca="1" si="2"/>
        <v>N</v>
      </c>
    </row>
    <row r="33" spans="1:16" ht="22.5" customHeight="1">
      <c r="A33" s="32" t="str">
        <f>ChkList!$A31</f>
        <v>서비스 관리</v>
      </c>
      <c r="B33" s="32" t="str">
        <f>ChkList!$B31</f>
        <v>W-27</v>
      </c>
      <c r="C33" s="21" t="str">
        <f>ChkList!$C31</f>
        <v>최신 Windows OS Build 버전 적용</v>
      </c>
      <c r="D33" s="29" t="s">
        <v>98</v>
      </c>
      <c r="E33" s="54">
        <f t="shared" si="1"/>
        <v>3</v>
      </c>
      <c r="F33" s="23">
        <f ca="1">COUNTA($M33:INDIRECT(ADDRESS(ROW(),MATCH("",$4:$4,-1),1,1)))</f>
        <v>4</v>
      </c>
      <c r="G33" s="23">
        <f ca="1">COUNTIF($M33:INDIRECT(ADDRESS(ROW(),MATCH("",$4:$4,-1),1,1)),"조치완료(Y)")+COUNTIF($M33:INDIRECT(ADDRESS(ROW(),MATCH("",$4:$4,-1),1,1)),"Y")</f>
        <v>1</v>
      </c>
      <c r="H33" s="23">
        <f ca="1">COUNTIF($M33:INDIRECT(ADDRESS(ROW(),MATCH("",$4:$4,-1),1,1)),"Y(즉시조치)")+COUNTIF($M33:INDIRECT(ADDRESS(ROW(),MATCH("",$4:$4,-1),1,1)),"조치완료(즉시조치)")</f>
        <v>0</v>
      </c>
      <c r="I33" s="23">
        <f ca="1">COUNTIF($M33:INDIRECT(ADDRESS(ROW(),MATCH("",$4:$4,-1),1,1)),"N")</f>
        <v>3</v>
      </c>
      <c r="J33" s="23">
        <f ca="1">COUNTIF($M33:INDIRECT(ADDRESS(ROW(),MATCH("",$4:$4,-1),1,1)),"N/A")+COUNTIF($M33:INDIRECT(ADDRESS(ROW(),MATCH("",$4:$4,-1),1,1)),"조치완료(N/A)")</f>
        <v>0</v>
      </c>
      <c r="K33" s="23">
        <f ca="1">VLOOKUP($D33,'parm(hidden)'!$B$8:$C$10,2,FALSE)*($F33-$J33)</f>
        <v>12</v>
      </c>
      <c r="L33" s="35">
        <f ca="1">VLOOKUP($D33,'parm(hidden)'!$B$8:$C$10,2,FALSE)*($G33+$H33)</f>
        <v>3</v>
      </c>
      <c r="M33" s="161" t="str">
        <f t="shared" ca="1" si="2"/>
        <v>Y</v>
      </c>
      <c r="N33" s="161" t="str">
        <f t="shared" ca="1" si="2"/>
        <v>N</v>
      </c>
      <c r="O33" s="161" t="str">
        <f t="shared" ca="1" si="2"/>
        <v>N</v>
      </c>
      <c r="P33" s="161" t="str">
        <f t="shared" ca="1" si="2"/>
        <v>N</v>
      </c>
    </row>
    <row r="34" spans="1:16" ht="22.5" customHeight="1">
      <c r="A34" s="32" t="str">
        <f>ChkList!$A32</f>
        <v>서비스 관리</v>
      </c>
      <c r="B34" s="32" t="str">
        <f>ChkList!$B32</f>
        <v>W-28</v>
      </c>
      <c r="C34" s="21" t="str">
        <f>ChkList!$C32</f>
        <v>터미널 서비스 암호화 수준 설정</v>
      </c>
      <c r="D34" s="29" t="s">
        <v>98</v>
      </c>
      <c r="E34" s="54">
        <f t="shared" si="1"/>
        <v>3</v>
      </c>
      <c r="F34" s="23">
        <f ca="1">COUNTA($M34:INDIRECT(ADDRESS(ROW(),MATCH("",$4:$4,-1),1,1)))</f>
        <v>4</v>
      </c>
      <c r="G34" s="23">
        <f ca="1">COUNTIF($M34:INDIRECT(ADDRESS(ROW(),MATCH("",$4:$4,-1),1,1)),"조치완료(Y)")+COUNTIF($M34:INDIRECT(ADDRESS(ROW(),MATCH("",$4:$4,-1),1,1)),"Y")</f>
        <v>1</v>
      </c>
      <c r="H34" s="23">
        <f ca="1">COUNTIF($M34:INDIRECT(ADDRESS(ROW(),MATCH("",$4:$4,-1),1,1)),"Y(즉시조치)")+COUNTIF($M34:INDIRECT(ADDRESS(ROW(),MATCH("",$4:$4,-1),1,1)),"조치완료(즉시조치)")</f>
        <v>0</v>
      </c>
      <c r="I34" s="23">
        <f ca="1">COUNTIF($M34:INDIRECT(ADDRESS(ROW(),MATCH("",$4:$4,-1),1,1)),"N")</f>
        <v>3</v>
      </c>
      <c r="J34" s="23">
        <f ca="1">COUNTIF($M34:INDIRECT(ADDRESS(ROW(),MATCH("",$4:$4,-1),1,1)),"N/A")+COUNTIF($M34:INDIRECT(ADDRESS(ROW(),MATCH("",$4:$4,-1),1,1)),"조치완료(N/A)")</f>
        <v>0</v>
      </c>
      <c r="K34" s="23">
        <f ca="1">VLOOKUP($D34,'parm(hidden)'!$B$8:$C$10,2,FALSE)*($F34-$J34)</f>
        <v>12</v>
      </c>
      <c r="L34" s="35">
        <f ca="1">VLOOKUP($D34,'parm(hidden)'!$B$8:$C$10,2,FALSE)*($G34+$H34)</f>
        <v>3</v>
      </c>
      <c r="M34" s="161" t="str">
        <f t="shared" ca="1" si="2"/>
        <v>Y</v>
      </c>
      <c r="N34" s="161" t="str">
        <f t="shared" ca="1" si="2"/>
        <v>N</v>
      </c>
      <c r="O34" s="161" t="str">
        <f t="shared" ca="1" si="2"/>
        <v>N</v>
      </c>
      <c r="P34" s="161" t="str">
        <f t="shared" ca="1" si="2"/>
        <v>N</v>
      </c>
    </row>
    <row r="35" spans="1:16" ht="22.5" customHeight="1">
      <c r="A35" s="32" t="str">
        <f>ChkList!$A33</f>
        <v>서비스 관리</v>
      </c>
      <c r="B35" s="32" t="str">
        <f>ChkList!$B33</f>
        <v>W-29</v>
      </c>
      <c r="C35" s="21" t="str">
        <f>ChkList!$C33</f>
        <v>불필요한 SNMP 서비스 구동 점검</v>
      </c>
      <c r="D35" s="29" t="s">
        <v>98</v>
      </c>
      <c r="E35" s="54">
        <f t="shared" si="1"/>
        <v>3</v>
      </c>
      <c r="F35" s="23">
        <f ca="1">COUNTA($M35:INDIRECT(ADDRESS(ROW(),MATCH("",$4:$4,-1),1,1)))</f>
        <v>4</v>
      </c>
      <c r="G35" s="23">
        <f ca="1">COUNTIF($M35:INDIRECT(ADDRESS(ROW(),MATCH("",$4:$4,-1),1,1)),"조치완료(Y)")+COUNTIF($M35:INDIRECT(ADDRESS(ROW(),MATCH("",$4:$4,-1),1,1)),"Y")</f>
        <v>1</v>
      </c>
      <c r="H35" s="23">
        <f ca="1">COUNTIF($M35:INDIRECT(ADDRESS(ROW(),MATCH("",$4:$4,-1),1,1)),"Y(즉시조치)")+COUNTIF($M35:INDIRECT(ADDRESS(ROW(),MATCH("",$4:$4,-1),1,1)),"조치완료(즉시조치)")</f>
        <v>0</v>
      </c>
      <c r="I35" s="23">
        <f ca="1">COUNTIF($M35:INDIRECT(ADDRESS(ROW(),MATCH("",$4:$4,-1),1,1)),"N")</f>
        <v>3</v>
      </c>
      <c r="J35" s="23">
        <f ca="1">COUNTIF($M35:INDIRECT(ADDRESS(ROW(),MATCH("",$4:$4,-1),1,1)),"N/A")+COUNTIF($M35:INDIRECT(ADDRESS(ROW(),MATCH("",$4:$4,-1),1,1)),"조치완료(N/A)")</f>
        <v>0</v>
      </c>
      <c r="K35" s="23">
        <f ca="1">VLOOKUP($D35,'parm(hidden)'!$B$8:$C$10,2,FALSE)*($F35-$J35)</f>
        <v>12</v>
      </c>
      <c r="L35" s="35">
        <f ca="1">VLOOKUP($D35,'parm(hidden)'!$B$8:$C$10,2,FALSE)*($G35+$H35)</f>
        <v>3</v>
      </c>
      <c r="M35" s="161" t="str">
        <f t="shared" ca="1" si="2"/>
        <v>Y</v>
      </c>
      <c r="N35" s="161" t="str">
        <f t="shared" ca="1" si="2"/>
        <v>N</v>
      </c>
      <c r="O35" s="161" t="str">
        <f t="shared" ca="1" si="2"/>
        <v>N</v>
      </c>
      <c r="P35" s="161" t="str">
        <f t="shared" ca="1" si="2"/>
        <v>N</v>
      </c>
    </row>
    <row r="36" spans="1:16" ht="22.5" customHeight="1">
      <c r="A36" s="32" t="str">
        <f>ChkList!$A34</f>
        <v>서비스 관리</v>
      </c>
      <c r="B36" s="32" t="str">
        <f>ChkList!$B34</f>
        <v>W-30</v>
      </c>
      <c r="C36" s="21" t="str">
        <f>ChkList!$C34</f>
        <v>SNMP Community String 복잡성 설정</v>
      </c>
      <c r="D36" s="29" t="s">
        <v>98</v>
      </c>
      <c r="E36" s="54">
        <f t="shared" si="1"/>
        <v>3</v>
      </c>
      <c r="F36" s="23">
        <f ca="1">COUNTA($M36:INDIRECT(ADDRESS(ROW(),MATCH("",$4:$4,-1),1,1)))</f>
        <v>4</v>
      </c>
      <c r="G36" s="23">
        <f ca="1">COUNTIF($M36:INDIRECT(ADDRESS(ROW(),MATCH("",$4:$4,-1),1,1)),"조치완료(Y)")+COUNTIF($M36:INDIRECT(ADDRESS(ROW(),MATCH("",$4:$4,-1),1,1)),"Y")</f>
        <v>1</v>
      </c>
      <c r="H36" s="23">
        <f ca="1">COUNTIF($M36:INDIRECT(ADDRESS(ROW(),MATCH("",$4:$4,-1),1,1)),"Y(즉시조치)")+COUNTIF($M36:INDIRECT(ADDRESS(ROW(),MATCH("",$4:$4,-1),1,1)),"조치완료(즉시조치)")</f>
        <v>0</v>
      </c>
      <c r="I36" s="23">
        <f ca="1">COUNTIF($M36:INDIRECT(ADDRESS(ROW(),MATCH("",$4:$4,-1),1,1)),"N")</f>
        <v>3</v>
      </c>
      <c r="J36" s="23">
        <f ca="1">COUNTIF($M36:INDIRECT(ADDRESS(ROW(),MATCH("",$4:$4,-1),1,1)),"N/A")+COUNTIF($M36:INDIRECT(ADDRESS(ROW(),MATCH("",$4:$4,-1),1,1)),"조치완료(N/A)")</f>
        <v>0</v>
      </c>
      <c r="K36" s="23">
        <f ca="1">VLOOKUP($D36,'parm(hidden)'!$B$8:$C$10,2,FALSE)*($F36-$J36)</f>
        <v>12</v>
      </c>
      <c r="L36" s="35">
        <f ca="1">VLOOKUP($D36,'parm(hidden)'!$B$8:$C$10,2,FALSE)*($G36+$H36)</f>
        <v>3</v>
      </c>
      <c r="M36" s="161" t="str">
        <f t="shared" ca="1" si="2"/>
        <v>Y</v>
      </c>
      <c r="N36" s="161" t="str">
        <f t="shared" ca="1" si="2"/>
        <v>N</v>
      </c>
      <c r="O36" s="161" t="str">
        <f t="shared" ca="1" si="2"/>
        <v>N</v>
      </c>
      <c r="P36" s="161" t="str">
        <f t="shared" ca="1" si="2"/>
        <v>N</v>
      </c>
    </row>
    <row r="37" spans="1:16" ht="22.5" customHeight="1">
      <c r="A37" s="32" t="e">
        <f>ChkList!#REF!</f>
        <v>#REF!</v>
      </c>
      <c r="B37" s="32" t="e">
        <f>ChkList!#REF!</f>
        <v>#REF!</v>
      </c>
      <c r="C37" s="21" t="e">
        <f>ChkList!#REF!</f>
        <v>#REF!</v>
      </c>
      <c r="D37" s="29" t="s">
        <v>98</v>
      </c>
      <c r="E37" s="54">
        <f t="shared" si="1"/>
        <v>3</v>
      </c>
      <c r="F37" s="23">
        <f ca="1">COUNTA($M37:INDIRECT(ADDRESS(ROW(),MATCH("",$4:$4,-1),1,1)))</f>
        <v>4</v>
      </c>
      <c r="G37" s="23">
        <f ca="1">COUNTIF($M37:INDIRECT(ADDRESS(ROW(),MATCH("",$4:$4,-1),1,1)),"조치완료(Y)")+COUNTIF($M37:INDIRECT(ADDRESS(ROW(),MATCH("",$4:$4,-1),1,1)),"Y")</f>
        <v>1</v>
      </c>
      <c r="H37" s="23">
        <f ca="1">COUNTIF($M37:INDIRECT(ADDRESS(ROW(),MATCH("",$4:$4,-1),1,1)),"Y(즉시조치)")+COUNTIF($M37:INDIRECT(ADDRESS(ROW(),MATCH("",$4:$4,-1),1,1)),"조치완료(즉시조치)")</f>
        <v>0</v>
      </c>
      <c r="I37" s="23">
        <f ca="1">COUNTIF($M37:INDIRECT(ADDRESS(ROW(),MATCH("",$4:$4,-1),1,1)),"N")</f>
        <v>3</v>
      </c>
      <c r="J37" s="23">
        <f ca="1">COUNTIF($M37:INDIRECT(ADDRESS(ROW(),MATCH("",$4:$4,-1),1,1)),"N/A")+COUNTIF($M37:INDIRECT(ADDRESS(ROW(),MATCH("",$4:$4,-1),1,1)),"조치완료(N/A)")</f>
        <v>0</v>
      </c>
      <c r="K37" s="23">
        <f ca="1">VLOOKUP($D37,'parm(hidden)'!$B$8:$C$10,2,FALSE)*($F37-$J37)</f>
        <v>12</v>
      </c>
      <c r="L37" s="35">
        <f ca="1">VLOOKUP($D37,'parm(hidden)'!$B$8:$C$10,2,FALSE)*($G37+$H37)</f>
        <v>3</v>
      </c>
      <c r="M37" s="161" t="str">
        <f t="shared" ca="1" si="2"/>
        <v>Y</v>
      </c>
      <c r="N37" s="161" t="str">
        <f t="shared" ca="1" si="2"/>
        <v>N</v>
      </c>
      <c r="O37" s="161" t="str">
        <f t="shared" ca="1" si="2"/>
        <v>N</v>
      </c>
      <c r="P37" s="161" t="str">
        <f t="shared" ca="1" si="2"/>
        <v>N</v>
      </c>
    </row>
    <row r="38" spans="1:16" ht="22.5" customHeight="1">
      <c r="A38" s="32" t="str">
        <f>ChkList!$A35</f>
        <v>서비스 관리</v>
      </c>
      <c r="B38" s="32" t="str">
        <f>ChkList!$B35</f>
        <v>W-31</v>
      </c>
      <c r="C38" s="21" t="str">
        <f>ChkList!$C35</f>
        <v>SNMP Access Control 설정</v>
      </c>
      <c r="D38" s="29" t="s">
        <v>98</v>
      </c>
      <c r="E38" s="54">
        <f t="shared" si="1"/>
        <v>3</v>
      </c>
      <c r="F38" s="23">
        <f ca="1">COUNTA($M38:INDIRECT(ADDRESS(ROW(),MATCH("",$4:$4,-1),1,1)))</f>
        <v>4</v>
      </c>
      <c r="G38" s="23">
        <f ca="1">COUNTIF($M38:INDIRECT(ADDRESS(ROW(),MATCH("",$4:$4,-1),1,1)),"조치완료(Y)")+COUNTIF($M38:INDIRECT(ADDRESS(ROW(),MATCH("",$4:$4,-1),1,1)),"Y")</f>
        <v>1</v>
      </c>
      <c r="H38" s="23">
        <f ca="1">COUNTIF($M38:INDIRECT(ADDRESS(ROW(),MATCH("",$4:$4,-1),1,1)),"Y(즉시조치)")+COUNTIF($M38:INDIRECT(ADDRESS(ROW(),MATCH("",$4:$4,-1),1,1)),"조치완료(즉시조치)")</f>
        <v>0</v>
      </c>
      <c r="I38" s="23">
        <f ca="1">COUNTIF($M38:INDIRECT(ADDRESS(ROW(),MATCH("",$4:$4,-1),1,1)),"N")</f>
        <v>3</v>
      </c>
      <c r="J38" s="23">
        <f ca="1">COUNTIF($M38:INDIRECT(ADDRESS(ROW(),MATCH("",$4:$4,-1),1,1)),"N/A")+COUNTIF($M38:INDIRECT(ADDRESS(ROW(),MATCH("",$4:$4,-1),1,1)),"조치완료(N/A)")</f>
        <v>0</v>
      </c>
      <c r="K38" s="23">
        <f ca="1">VLOOKUP($D38,'parm(hidden)'!$B$8:$C$10,2,FALSE)*($F38-$J38)</f>
        <v>12</v>
      </c>
      <c r="L38" s="35">
        <f ca="1">VLOOKUP($D38,'parm(hidden)'!$B$8:$C$10,2,FALSE)*($G38+$H38)</f>
        <v>3</v>
      </c>
      <c r="M38" s="161" t="str">
        <f t="shared" ca="1" si="2"/>
        <v>Y</v>
      </c>
      <c r="N38" s="161" t="str">
        <f t="shared" ca="1" si="2"/>
        <v>N</v>
      </c>
      <c r="O38" s="161" t="str">
        <f t="shared" ca="1" si="2"/>
        <v>N</v>
      </c>
      <c r="P38" s="161" t="str">
        <f t="shared" ca="1" si="2"/>
        <v>N</v>
      </c>
    </row>
    <row r="39" spans="1:16" ht="22.5" customHeight="1">
      <c r="A39" s="32" t="str">
        <f>ChkList!$A36</f>
        <v>서비스 관리</v>
      </c>
      <c r="B39" s="32" t="str">
        <f>ChkList!$B36</f>
        <v>W-32</v>
      </c>
      <c r="C39" s="21" t="str">
        <f>ChkList!$C36</f>
        <v>DNS 서비스 구동 점검</v>
      </c>
      <c r="D39" s="29" t="s">
        <v>98</v>
      </c>
      <c r="E39" s="54">
        <f t="shared" si="1"/>
        <v>3</v>
      </c>
      <c r="F39" s="23">
        <f ca="1">COUNTA($M39:INDIRECT(ADDRESS(ROW(),MATCH("",$4:$4,-1),1,1)))</f>
        <v>4</v>
      </c>
      <c r="G39" s="23">
        <f ca="1">COUNTIF($M39:INDIRECT(ADDRESS(ROW(),MATCH("",$4:$4,-1),1,1)),"조치완료(Y)")+COUNTIF($M39:INDIRECT(ADDRESS(ROW(),MATCH("",$4:$4,-1),1,1)),"Y")</f>
        <v>1</v>
      </c>
      <c r="H39" s="23">
        <f ca="1">COUNTIF($M39:INDIRECT(ADDRESS(ROW(),MATCH("",$4:$4,-1),1,1)),"Y(즉시조치)")+COUNTIF($M39:INDIRECT(ADDRESS(ROW(),MATCH("",$4:$4,-1),1,1)),"조치완료(즉시조치)")</f>
        <v>0</v>
      </c>
      <c r="I39" s="23">
        <f ca="1">COUNTIF($M39:INDIRECT(ADDRESS(ROW(),MATCH("",$4:$4,-1),1,1)),"N")</f>
        <v>3</v>
      </c>
      <c r="J39" s="23">
        <f ca="1">COUNTIF($M39:INDIRECT(ADDRESS(ROW(),MATCH("",$4:$4,-1),1,1)),"N/A")+COUNTIF($M39:INDIRECT(ADDRESS(ROW(),MATCH("",$4:$4,-1),1,1)),"조치완료(N/A)")</f>
        <v>0</v>
      </c>
      <c r="K39" s="23">
        <f ca="1">VLOOKUP($D39,'parm(hidden)'!$B$8:$C$10,2,FALSE)*($F39-$J39)</f>
        <v>12</v>
      </c>
      <c r="L39" s="35">
        <f ca="1">VLOOKUP($D39,'parm(hidden)'!$B$8:$C$10,2,FALSE)*($G39+$H39)</f>
        <v>3</v>
      </c>
      <c r="M39" s="161" t="str">
        <f t="shared" ca="1" si="2"/>
        <v>Y</v>
      </c>
      <c r="N39" s="161" t="str">
        <f t="shared" ca="1" si="2"/>
        <v>N</v>
      </c>
      <c r="O39" s="161" t="str">
        <f t="shared" ca="1" si="2"/>
        <v>N</v>
      </c>
      <c r="P39" s="161" t="str">
        <f t="shared" ca="1" si="2"/>
        <v>N</v>
      </c>
    </row>
    <row r="40" spans="1:16" ht="22.5" customHeight="1">
      <c r="A40" s="32" t="str">
        <f>ChkList!$A37</f>
        <v>서비스 관리</v>
      </c>
      <c r="B40" s="32" t="str">
        <f>ChkList!$B37</f>
        <v>W-33</v>
      </c>
      <c r="C40" s="21" t="str">
        <f>ChkList!$C37</f>
        <v>HTTP/FTP/SMTP 배너 차단</v>
      </c>
      <c r="D40" s="29" t="s">
        <v>98</v>
      </c>
      <c r="E40" s="54">
        <f t="shared" si="1"/>
        <v>3</v>
      </c>
      <c r="F40" s="23">
        <f ca="1">COUNTA($M40:INDIRECT(ADDRESS(ROW(),MATCH("",$4:$4,-1),1,1)))</f>
        <v>4</v>
      </c>
      <c r="G40" s="23">
        <f ca="1">COUNTIF($M40:INDIRECT(ADDRESS(ROW(),MATCH("",$4:$4,-1),1,1)),"조치완료(Y)")+COUNTIF($M40:INDIRECT(ADDRESS(ROW(),MATCH("",$4:$4,-1),1,1)),"Y")</f>
        <v>0</v>
      </c>
      <c r="H40" s="23">
        <f ca="1">COUNTIF($M40:INDIRECT(ADDRESS(ROW(),MATCH("",$4:$4,-1),1,1)),"Y(즉시조치)")+COUNTIF($M40:INDIRECT(ADDRESS(ROW(),MATCH("",$4:$4,-1),1,1)),"조치완료(즉시조치)")</f>
        <v>0</v>
      </c>
      <c r="I40" s="23">
        <f ca="1">COUNTIF($M40:INDIRECT(ADDRESS(ROW(),MATCH("",$4:$4,-1),1,1)),"N")</f>
        <v>4</v>
      </c>
      <c r="J40" s="23">
        <f ca="1">COUNTIF($M40:INDIRECT(ADDRESS(ROW(),MATCH("",$4:$4,-1),1,1)),"N/A")+COUNTIF($M40:INDIRECT(ADDRESS(ROW(),MATCH("",$4:$4,-1),1,1)),"조치완료(N/A)")</f>
        <v>0</v>
      </c>
      <c r="K40" s="23">
        <f ca="1">VLOOKUP($D40,'parm(hidden)'!$B$8:$C$10,2,FALSE)*($F40-$J40)</f>
        <v>12</v>
      </c>
      <c r="L40" s="35">
        <f ca="1">VLOOKUP($D40,'parm(hidden)'!$B$8:$C$10,2,FALSE)*($G40+$H40)</f>
        <v>0</v>
      </c>
      <c r="M40" s="161" t="str">
        <f t="shared" ca="1" si="2"/>
        <v>N</v>
      </c>
      <c r="N40" s="161" t="str">
        <f t="shared" ca="1" si="2"/>
        <v>N</v>
      </c>
      <c r="O40" s="161" t="str">
        <f t="shared" ca="1" si="2"/>
        <v>N</v>
      </c>
      <c r="P40" s="161" t="str">
        <f t="shared" ca="1" si="2"/>
        <v>N</v>
      </c>
    </row>
    <row r="41" spans="1:16" ht="22.5" customHeight="1">
      <c r="A41" s="32" t="str">
        <f>ChkList!$A38</f>
        <v>서비스 관리</v>
      </c>
      <c r="B41" s="32" t="str">
        <f>ChkList!$B38</f>
        <v>W-34</v>
      </c>
      <c r="C41" s="21" t="str">
        <f>ChkList!$C38</f>
        <v>Telnet 서비스 비활성화</v>
      </c>
      <c r="D41" s="29" t="s">
        <v>98</v>
      </c>
      <c r="E41" s="54">
        <f t="shared" si="1"/>
        <v>3</v>
      </c>
      <c r="F41" s="23">
        <f ca="1">COUNTA($M41:INDIRECT(ADDRESS(ROW(),MATCH("",$4:$4,-1),1,1)))</f>
        <v>4</v>
      </c>
      <c r="G41" s="23">
        <f ca="1">COUNTIF($M41:INDIRECT(ADDRESS(ROW(),MATCH("",$4:$4,-1),1,1)),"조치완료(Y)")+COUNTIF($M41:INDIRECT(ADDRESS(ROW(),MATCH("",$4:$4,-1),1,1)),"Y")</f>
        <v>1</v>
      </c>
      <c r="H41" s="23">
        <f ca="1">COUNTIF($M41:INDIRECT(ADDRESS(ROW(),MATCH("",$4:$4,-1),1,1)),"Y(즉시조치)")+COUNTIF($M41:INDIRECT(ADDRESS(ROW(),MATCH("",$4:$4,-1),1,1)),"조치완료(즉시조치)")</f>
        <v>0</v>
      </c>
      <c r="I41" s="23">
        <f ca="1">COUNTIF($M41:INDIRECT(ADDRESS(ROW(),MATCH("",$4:$4,-1),1,1)),"N")</f>
        <v>3</v>
      </c>
      <c r="J41" s="23">
        <f ca="1">COUNTIF($M41:INDIRECT(ADDRESS(ROW(),MATCH("",$4:$4,-1),1,1)),"N/A")+COUNTIF($M41:INDIRECT(ADDRESS(ROW(),MATCH("",$4:$4,-1),1,1)),"조치완료(N/A)")</f>
        <v>0</v>
      </c>
      <c r="K41" s="23">
        <f ca="1">VLOOKUP($D41,'parm(hidden)'!$B$8:$C$10,2,FALSE)*($F41-$J41)</f>
        <v>12</v>
      </c>
      <c r="L41" s="35">
        <f ca="1">VLOOKUP($D41,'parm(hidden)'!$B$8:$C$10,2,FALSE)*($G41+$H41)</f>
        <v>3</v>
      </c>
      <c r="M41" s="161" t="str">
        <f t="shared" ca="1" si="2"/>
        <v>Y</v>
      </c>
      <c r="N41" s="161" t="str">
        <f t="shared" ca="1" si="2"/>
        <v>N</v>
      </c>
      <c r="O41" s="161" t="str">
        <f t="shared" ca="1" si="2"/>
        <v>N</v>
      </c>
      <c r="P41" s="161" t="str">
        <f t="shared" ca="1" si="2"/>
        <v>N</v>
      </c>
    </row>
    <row r="42" spans="1:16" ht="22.5" customHeight="1">
      <c r="A42" s="32" t="str">
        <f>ChkList!$A39</f>
        <v>서비스 관리</v>
      </c>
      <c r="B42" s="32" t="str">
        <f>ChkList!$B39</f>
        <v>W-35</v>
      </c>
      <c r="C42" s="21" t="str">
        <f>ChkList!$C39</f>
        <v>불필요한 ODBC/OLE-DB 데이터 소스와 드라이브 제거</v>
      </c>
      <c r="D42" s="29" t="s">
        <v>98</v>
      </c>
      <c r="E42" s="54">
        <f t="shared" si="1"/>
        <v>3</v>
      </c>
      <c r="F42" s="23">
        <f ca="1">COUNTA($M42:INDIRECT(ADDRESS(ROW(),MATCH("",$4:$4,-1),1,1)))</f>
        <v>4</v>
      </c>
      <c r="G42" s="23">
        <f ca="1">COUNTIF($M42:INDIRECT(ADDRESS(ROW(),MATCH("",$4:$4,-1),1,1)),"조치완료(Y)")+COUNTIF($M42:INDIRECT(ADDRESS(ROW(),MATCH("",$4:$4,-1),1,1)),"Y")</f>
        <v>1</v>
      </c>
      <c r="H42" s="23">
        <f ca="1">COUNTIF($M42:INDIRECT(ADDRESS(ROW(),MATCH("",$4:$4,-1),1,1)),"Y(즉시조치)")+COUNTIF($M42:INDIRECT(ADDRESS(ROW(),MATCH("",$4:$4,-1),1,1)),"조치완료(즉시조치)")</f>
        <v>0</v>
      </c>
      <c r="I42" s="23">
        <f ca="1">COUNTIF($M42:INDIRECT(ADDRESS(ROW(),MATCH("",$4:$4,-1),1,1)),"N")</f>
        <v>3</v>
      </c>
      <c r="J42" s="23">
        <f ca="1">COUNTIF($M42:INDIRECT(ADDRESS(ROW(),MATCH("",$4:$4,-1),1,1)),"N/A")+COUNTIF($M42:INDIRECT(ADDRESS(ROW(),MATCH("",$4:$4,-1),1,1)),"조치완료(N/A)")</f>
        <v>0</v>
      </c>
      <c r="K42" s="23">
        <f ca="1">VLOOKUP($D42,'parm(hidden)'!$B$8:$C$10,2,FALSE)*($F42-$J42)</f>
        <v>12</v>
      </c>
      <c r="L42" s="35">
        <f ca="1">VLOOKUP($D42,'parm(hidden)'!$B$8:$C$10,2,FALSE)*($G42+$H42)</f>
        <v>3</v>
      </c>
      <c r="M42" s="161" t="str">
        <f t="shared" ca="1" si="2"/>
        <v>Y</v>
      </c>
      <c r="N42" s="161" t="str">
        <f t="shared" ca="1" si="2"/>
        <v>N</v>
      </c>
      <c r="O42" s="161" t="str">
        <f t="shared" ca="1" si="2"/>
        <v>N</v>
      </c>
      <c r="P42" s="161" t="str">
        <f t="shared" ca="1" si="2"/>
        <v>N</v>
      </c>
    </row>
    <row r="43" spans="1:16" ht="22.5" customHeight="1">
      <c r="A43" s="32" t="str">
        <f>ChkList!$A40</f>
        <v>서비스 관리</v>
      </c>
      <c r="B43" s="32" t="str">
        <f>ChkList!$B40</f>
        <v>W-36</v>
      </c>
      <c r="C43" s="21" t="str">
        <f>ChkList!$C40</f>
        <v>원격터미널 접속 타임아웃 설정</v>
      </c>
      <c r="D43" s="29" t="s">
        <v>98</v>
      </c>
      <c r="E43" s="54">
        <f t="shared" si="1"/>
        <v>3</v>
      </c>
      <c r="F43" s="23">
        <f ca="1">COUNTA($M43:INDIRECT(ADDRESS(ROW(),MATCH("",$4:$4,-1),1,1)))</f>
        <v>4</v>
      </c>
      <c r="G43" s="23">
        <f ca="1">COUNTIF($M43:INDIRECT(ADDRESS(ROW(),MATCH("",$4:$4,-1),1,1)),"조치완료(Y)")+COUNTIF($M43:INDIRECT(ADDRESS(ROW(),MATCH("",$4:$4,-1),1,1)),"Y")</f>
        <v>1</v>
      </c>
      <c r="H43" s="23">
        <f ca="1">COUNTIF($M43:INDIRECT(ADDRESS(ROW(),MATCH("",$4:$4,-1),1,1)),"Y(즉시조치)")+COUNTIF($M43:INDIRECT(ADDRESS(ROW(),MATCH("",$4:$4,-1),1,1)),"조치완료(즉시조치)")</f>
        <v>0</v>
      </c>
      <c r="I43" s="23">
        <f ca="1">COUNTIF($M43:INDIRECT(ADDRESS(ROW(),MATCH("",$4:$4,-1),1,1)),"N")</f>
        <v>3</v>
      </c>
      <c r="J43" s="23">
        <f ca="1">COUNTIF($M43:INDIRECT(ADDRESS(ROW(),MATCH("",$4:$4,-1),1,1)),"N/A")+COUNTIF($M43:INDIRECT(ADDRESS(ROW(),MATCH("",$4:$4,-1),1,1)),"조치완료(N/A)")</f>
        <v>0</v>
      </c>
      <c r="K43" s="23">
        <f ca="1">VLOOKUP($D43,'parm(hidden)'!$B$8:$C$10,2,FALSE)*($F43-$J43)</f>
        <v>12</v>
      </c>
      <c r="L43" s="35">
        <f ca="1">VLOOKUP($D43,'parm(hidden)'!$B$8:$C$10,2,FALSE)*($G43+$H43)</f>
        <v>3</v>
      </c>
      <c r="M43" s="161" t="str">
        <f t="shared" ca="1" si="2"/>
        <v>Y</v>
      </c>
      <c r="N43" s="161" t="str">
        <f t="shared" ca="1" si="2"/>
        <v>N</v>
      </c>
      <c r="O43" s="161" t="str">
        <f t="shared" ca="1" si="2"/>
        <v>N</v>
      </c>
      <c r="P43" s="161" t="str">
        <f t="shared" ca="1" si="2"/>
        <v>N</v>
      </c>
    </row>
    <row r="44" spans="1:16" ht="22.5" customHeight="1">
      <c r="A44" s="32" t="str">
        <f>ChkList!$A41</f>
        <v>서비스 관리</v>
      </c>
      <c r="B44" s="32" t="str">
        <f>ChkList!$B41</f>
        <v>W-37</v>
      </c>
      <c r="C44" s="21" t="str">
        <f>ChkList!$C41</f>
        <v>예약된 작업에 의심스러운 명령이 등록되어 있는지 점검</v>
      </c>
      <c r="D44" s="29" t="s">
        <v>98</v>
      </c>
      <c r="E44" s="54">
        <f t="shared" si="1"/>
        <v>3</v>
      </c>
      <c r="F44" s="23">
        <f ca="1">COUNTA($M44:INDIRECT(ADDRESS(ROW(),MATCH("",$4:$4,-1),1,1)))</f>
        <v>4</v>
      </c>
      <c r="G44" s="23">
        <f ca="1">COUNTIF($M44:INDIRECT(ADDRESS(ROW(),MATCH("",$4:$4,-1),1,1)),"조치완료(Y)")+COUNTIF($M44:INDIRECT(ADDRESS(ROW(),MATCH("",$4:$4,-1),1,1)),"Y")</f>
        <v>1</v>
      </c>
      <c r="H44" s="23">
        <f ca="1">COUNTIF($M44:INDIRECT(ADDRESS(ROW(),MATCH("",$4:$4,-1),1,1)),"Y(즉시조치)")+COUNTIF($M44:INDIRECT(ADDRESS(ROW(),MATCH("",$4:$4,-1),1,1)),"조치완료(즉시조치)")</f>
        <v>0</v>
      </c>
      <c r="I44" s="23">
        <f ca="1">COUNTIF($M44:INDIRECT(ADDRESS(ROW(),MATCH("",$4:$4,-1),1,1)),"N")</f>
        <v>3</v>
      </c>
      <c r="J44" s="23">
        <f ca="1">COUNTIF($M44:INDIRECT(ADDRESS(ROW(),MATCH("",$4:$4,-1),1,1)),"N/A")+COUNTIF($M44:INDIRECT(ADDRESS(ROW(),MATCH("",$4:$4,-1),1,1)),"조치완료(N/A)")</f>
        <v>0</v>
      </c>
      <c r="K44" s="23">
        <f ca="1">VLOOKUP($D44,'parm(hidden)'!$B$8:$C$10,2,FALSE)*($F44-$J44)</f>
        <v>12</v>
      </c>
      <c r="L44" s="35">
        <f ca="1">VLOOKUP($D44,'parm(hidden)'!$B$8:$C$10,2,FALSE)*($G44+$H44)</f>
        <v>3</v>
      </c>
      <c r="M44" s="161" t="str">
        <f t="shared" ca="1" si="2"/>
        <v>Y</v>
      </c>
      <c r="N44" s="161" t="str">
        <f t="shared" ca="1" si="2"/>
        <v>N</v>
      </c>
      <c r="O44" s="161" t="str">
        <f t="shared" ca="1" si="2"/>
        <v>N</v>
      </c>
      <c r="P44" s="161" t="str">
        <f t="shared" ca="1" si="2"/>
        <v>N</v>
      </c>
    </row>
    <row r="45" spans="1:16" ht="22.5" customHeight="1">
      <c r="A45" s="32" t="str">
        <f>ChkList!$A42</f>
        <v>패치 관리</v>
      </c>
      <c r="B45" s="32" t="str">
        <f>ChkList!$B42</f>
        <v>W-38</v>
      </c>
      <c r="C45" s="21" t="str">
        <f>ChkList!$C42</f>
        <v>주기적 보안 패치 및 벤더 권고사항 적용</v>
      </c>
      <c r="D45" s="29" t="s">
        <v>98</v>
      </c>
      <c r="E45" s="54">
        <f t="shared" si="1"/>
        <v>3</v>
      </c>
      <c r="F45" s="23">
        <f ca="1">COUNTA($M45:INDIRECT(ADDRESS(ROW(),MATCH("",$4:$4,-1),1,1)))</f>
        <v>4</v>
      </c>
      <c r="G45" s="23">
        <f ca="1">COUNTIF($M45:INDIRECT(ADDRESS(ROW(),MATCH("",$4:$4,-1),1,1)),"조치완료(Y)")+COUNTIF($M45:INDIRECT(ADDRESS(ROW(),MATCH("",$4:$4,-1),1,1)),"Y")</f>
        <v>1</v>
      </c>
      <c r="H45" s="23">
        <f ca="1">COUNTIF($M45:INDIRECT(ADDRESS(ROW(),MATCH("",$4:$4,-1),1,1)),"Y(즉시조치)")+COUNTIF($M45:INDIRECT(ADDRESS(ROW(),MATCH("",$4:$4,-1),1,1)),"조치완료(즉시조치)")</f>
        <v>0</v>
      </c>
      <c r="I45" s="23">
        <f ca="1">COUNTIF($M45:INDIRECT(ADDRESS(ROW(),MATCH("",$4:$4,-1),1,1)),"N")</f>
        <v>3</v>
      </c>
      <c r="J45" s="23">
        <f ca="1">COUNTIF($M45:INDIRECT(ADDRESS(ROW(),MATCH("",$4:$4,-1),1,1)),"N/A")+COUNTIF($M45:INDIRECT(ADDRESS(ROW(),MATCH("",$4:$4,-1),1,1)),"조치완료(N/A)")</f>
        <v>0</v>
      </c>
      <c r="K45" s="23">
        <f ca="1">VLOOKUP($D45,'parm(hidden)'!$B$8:$C$10,2,FALSE)*($F45-$J45)</f>
        <v>12</v>
      </c>
      <c r="L45" s="35">
        <f ca="1">VLOOKUP($D45,'parm(hidden)'!$B$8:$C$10,2,FALSE)*($G45+$H45)</f>
        <v>3</v>
      </c>
      <c r="M45" s="161" t="str">
        <f t="shared" ca="1" si="2"/>
        <v>Y</v>
      </c>
      <c r="N45" s="161" t="str">
        <f t="shared" ca="1" si="2"/>
        <v>N</v>
      </c>
      <c r="O45" s="161" t="str">
        <f t="shared" ca="1" si="2"/>
        <v>N</v>
      </c>
      <c r="P45" s="161" t="str">
        <f t="shared" ca="1" si="2"/>
        <v>N</v>
      </c>
    </row>
    <row r="46" spans="1:16" ht="22.5" customHeight="1">
      <c r="A46" s="32" t="str">
        <f>ChkList!$A43</f>
        <v>패치 관리</v>
      </c>
      <c r="B46" s="32" t="str">
        <f>ChkList!$B43</f>
        <v>W-39</v>
      </c>
      <c r="C46" s="21" t="str">
        <f>ChkList!$C43</f>
        <v>백신 프로그램 업데이트</v>
      </c>
      <c r="D46" s="29" t="s">
        <v>98</v>
      </c>
      <c r="E46" s="54">
        <f t="shared" si="1"/>
        <v>3</v>
      </c>
      <c r="F46" s="23">
        <f ca="1">COUNTA($M46:INDIRECT(ADDRESS(ROW(),MATCH("",$4:$4,-1),1,1)))</f>
        <v>4</v>
      </c>
      <c r="G46" s="23">
        <f ca="1">COUNTIF($M46:INDIRECT(ADDRESS(ROW(),MATCH("",$4:$4,-1),1,1)),"조치완료(Y)")+COUNTIF($M46:INDIRECT(ADDRESS(ROW(),MATCH("",$4:$4,-1),1,1)),"Y")</f>
        <v>1</v>
      </c>
      <c r="H46" s="23">
        <f ca="1">COUNTIF($M46:INDIRECT(ADDRESS(ROW(),MATCH("",$4:$4,-1),1,1)),"Y(즉시조치)")+COUNTIF($M46:INDIRECT(ADDRESS(ROW(),MATCH("",$4:$4,-1),1,1)),"조치완료(즉시조치)")</f>
        <v>0</v>
      </c>
      <c r="I46" s="23">
        <f ca="1">COUNTIF($M46:INDIRECT(ADDRESS(ROW(),MATCH("",$4:$4,-1),1,1)),"N")</f>
        <v>3</v>
      </c>
      <c r="J46" s="23">
        <f ca="1">COUNTIF($M46:INDIRECT(ADDRESS(ROW(),MATCH("",$4:$4,-1),1,1)),"N/A")+COUNTIF($M46:INDIRECT(ADDRESS(ROW(),MATCH("",$4:$4,-1),1,1)),"조치완료(N/A)")</f>
        <v>0</v>
      </c>
      <c r="K46" s="23">
        <f ca="1">VLOOKUP($D46,'parm(hidden)'!$B$8:$C$10,2,FALSE)*($F46-$J46)</f>
        <v>12</v>
      </c>
      <c r="L46" s="35">
        <f ca="1">VLOOKUP($D46,'parm(hidden)'!$B$8:$C$10,2,FALSE)*($G46+$H46)</f>
        <v>3</v>
      </c>
      <c r="M46" s="161" t="str">
        <f t="shared" ca="1" si="2"/>
        <v>Y</v>
      </c>
      <c r="N46" s="161" t="str">
        <f t="shared" ca="1" si="2"/>
        <v>N</v>
      </c>
      <c r="O46" s="161" t="str">
        <f t="shared" ca="1" si="2"/>
        <v>N</v>
      </c>
      <c r="P46" s="161" t="str">
        <f t="shared" ca="1" si="2"/>
        <v>N</v>
      </c>
    </row>
    <row r="47" spans="1:16" ht="22.5" customHeight="1">
      <c r="A47" s="32" t="str">
        <f>ChkList!$A44</f>
        <v>로그 관리</v>
      </c>
      <c r="B47" s="32" t="str">
        <f>ChkList!$B44</f>
        <v>W-40</v>
      </c>
      <c r="C47" s="21" t="str">
        <f>ChkList!$C44</f>
        <v>정책에 따른 시스템 로깅 설정</v>
      </c>
      <c r="D47" s="29" t="s">
        <v>98</v>
      </c>
      <c r="E47" s="54">
        <f t="shared" si="1"/>
        <v>3</v>
      </c>
      <c r="F47" s="23">
        <f ca="1">COUNTA($M47:INDIRECT(ADDRESS(ROW(),MATCH("",$4:$4,-1),1,1)))</f>
        <v>4</v>
      </c>
      <c r="G47" s="23">
        <f ca="1">COUNTIF($M47:INDIRECT(ADDRESS(ROW(),MATCH("",$4:$4,-1),1,1)),"조치완료(Y)")+COUNTIF($M47:INDIRECT(ADDRESS(ROW(),MATCH("",$4:$4,-1),1,1)),"Y")</f>
        <v>0</v>
      </c>
      <c r="H47" s="23">
        <f ca="1">COUNTIF($M47:INDIRECT(ADDRESS(ROW(),MATCH("",$4:$4,-1),1,1)),"Y(즉시조치)")+COUNTIF($M47:INDIRECT(ADDRESS(ROW(),MATCH("",$4:$4,-1),1,1)),"조치완료(즉시조치)")</f>
        <v>0</v>
      </c>
      <c r="I47" s="23">
        <f ca="1">COUNTIF($M47:INDIRECT(ADDRESS(ROW(),MATCH("",$4:$4,-1),1,1)),"N")</f>
        <v>4</v>
      </c>
      <c r="J47" s="23">
        <f ca="1">COUNTIF($M47:INDIRECT(ADDRESS(ROW(),MATCH("",$4:$4,-1),1,1)),"N/A")+COUNTIF($M47:INDIRECT(ADDRESS(ROW(),MATCH("",$4:$4,-1),1,1)),"조치완료(N/A)")</f>
        <v>0</v>
      </c>
      <c r="K47" s="23">
        <f ca="1">VLOOKUP($D47,'parm(hidden)'!$B$8:$C$10,2,FALSE)*($F47-$J47)</f>
        <v>12</v>
      </c>
      <c r="L47" s="35">
        <f ca="1">VLOOKUP($D47,'parm(hidden)'!$B$8:$C$10,2,FALSE)*($G47+$H47)</f>
        <v>0</v>
      </c>
      <c r="M47" s="161" t="str">
        <f t="shared" ref="M47:P73" ca="1" si="3">HYPERLINK("["&amp;MID(CELL("filename"),SEARCH("[",CELL("filename"))+1,SEARCH("]",CELL("filename"))-SEARCH("[",CELL("filename"))-1)&amp;"]"&amp;ADDRESS(ROW()+16,8,1,TRUE,M$4),INDIRECT(ADDRESS(ROW()+16,8,1,TRUE,M$4)))</f>
        <v>N</v>
      </c>
      <c r="N47" s="161" t="str">
        <f t="shared" ca="1" si="3"/>
        <v>N</v>
      </c>
      <c r="O47" s="161" t="str">
        <f t="shared" ca="1" si="3"/>
        <v>N</v>
      </c>
      <c r="P47" s="161" t="str">
        <f t="shared" ca="1" si="3"/>
        <v>N</v>
      </c>
    </row>
    <row r="48" spans="1:16" ht="22.5" customHeight="1">
      <c r="A48" s="32" t="e">
        <f>ChkList!#REF!</f>
        <v>#REF!</v>
      </c>
      <c r="B48" s="32" t="e">
        <f>ChkList!#REF!</f>
        <v>#REF!</v>
      </c>
      <c r="C48" s="21" t="e">
        <f>ChkList!#REF!</f>
        <v>#REF!</v>
      </c>
      <c r="D48" s="29" t="s">
        <v>98</v>
      </c>
      <c r="E48" s="54">
        <f t="shared" si="1"/>
        <v>3</v>
      </c>
      <c r="F48" s="23">
        <f ca="1">COUNTA($M48:INDIRECT(ADDRESS(ROW(),MATCH("",$4:$4,-1),1,1)))</f>
        <v>4</v>
      </c>
      <c r="G48" s="23">
        <f ca="1">COUNTIF($M48:INDIRECT(ADDRESS(ROW(),MATCH("",$4:$4,-1),1,1)),"조치완료(Y)")+COUNTIF($M48:INDIRECT(ADDRESS(ROW(),MATCH("",$4:$4,-1),1,1)),"Y")</f>
        <v>0</v>
      </c>
      <c r="H48" s="23">
        <f ca="1">COUNTIF($M48:INDIRECT(ADDRESS(ROW(),MATCH("",$4:$4,-1),1,1)),"Y(즉시조치)")+COUNTIF($M48:INDIRECT(ADDRESS(ROW(),MATCH("",$4:$4,-1),1,1)),"조치완료(즉시조치)")</f>
        <v>0</v>
      </c>
      <c r="I48" s="23">
        <f ca="1">COUNTIF($M48:INDIRECT(ADDRESS(ROW(),MATCH("",$4:$4,-1),1,1)),"N")</f>
        <v>4</v>
      </c>
      <c r="J48" s="23">
        <f ca="1">COUNTIF($M48:INDIRECT(ADDRESS(ROW(),MATCH("",$4:$4,-1),1,1)),"N/A")+COUNTIF($M48:INDIRECT(ADDRESS(ROW(),MATCH("",$4:$4,-1),1,1)),"조치완료(N/A)")</f>
        <v>0</v>
      </c>
      <c r="K48" s="23">
        <f ca="1">VLOOKUP($D48,'parm(hidden)'!$B$8:$C$10,2,FALSE)*($F48-$J48)</f>
        <v>12</v>
      </c>
      <c r="L48" s="35">
        <f ca="1">VLOOKUP($D48,'parm(hidden)'!$B$8:$C$10,2,FALSE)*($G48+$H48)</f>
        <v>0</v>
      </c>
      <c r="M48" s="161" t="str">
        <f t="shared" ca="1" si="3"/>
        <v>N</v>
      </c>
      <c r="N48" s="161" t="str">
        <f t="shared" ca="1" si="3"/>
        <v>N</v>
      </c>
      <c r="O48" s="161" t="str">
        <f t="shared" ca="1" si="3"/>
        <v>N</v>
      </c>
      <c r="P48" s="161" t="str">
        <f t="shared" ca="1" si="3"/>
        <v>N</v>
      </c>
    </row>
    <row r="49" spans="1:16" ht="22.5" customHeight="1">
      <c r="A49" s="32" t="str">
        <f>ChkList!$A45</f>
        <v>로그 관리</v>
      </c>
      <c r="B49" s="32" t="str">
        <f>ChkList!$B45</f>
        <v>W-41</v>
      </c>
      <c r="C49" s="21" t="str">
        <f>ChkList!$C45</f>
        <v>NTP 및 시각 동기화 설정</v>
      </c>
      <c r="D49" s="29" t="s">
        <v>87</v>
      </c>
      <c r="E49" s="54">
        <f t="shared" si="1"/>
        <v>2</v>
      </c>
      <c r="F49" s="23">
        <f ca="1">COUNTA($M49:INDIRECT(ADDRESS(ROW(),MATCH("",$4:$4,-1),1,1)))</f>
        <v>4</v>
      </c>
      <c r="G49" s="23">
        <f ca="1">COUNTIF($M49:INDIRECT(ADDRESS(ROW(),MATCH("",$4:$4,-1),1,1)),"조치완료(Y)")+COUNTIF($M49:INDIRECT(ADDRESS(ROW(),MATCH("",$4:$4,-1),1,1)),"Y")</f>
        <v>1</v>
      </c>
      <c r="H49" s="23">
        <f ca="1">COUNTIF($M49:INDIRECT(ADDRESS(ROW(),MATCH("",$4:$4,-1),1,1)),"Y(즉시조치)")+COUNTIF($M49:INDIRECT(ADDRESS(ROW(),MATCH("",$4:$4,-1),1,1)),"조치완료(즉시조치)")</f>
        <v>0</v>
      </c>
      <c r="I49" s="23">
        <f ca="1">COUNTIF($M49:INDIRECT(ADDRESS(ROW(),MATCH("",$4:$4,-1),1,1)),"N")</f>
        <v>3</v>
      </c>
      <c r="J49" s="23">
        <f ca="1">COUNTIF($M49:INDIRECT(ADDRESS(ROW(),MATCH("",$4:$4,-1),1,1)),"N/A")+COUNTIF($M49:INDIRECT(ADDRESS(ROW(),MATCH("",$4:$4,-1),1,1)),"조치완료(N/A)")</f>
        <v>0</v>
      </c>
      <c r="K49" s="23">
        <f ca="1">VLOOKUP($D49,'parm(hidden)'!$B$8:$C$10,2,FALSE)*($F49-$J49)</f>
        <v>8</v>
      </c>
      <c r="L49" s="35">
        <f ca="1">VLOOKUP($D49,'parm(hidden)'!$B$8:$C$10,2,FALSE)*($G49+$H49)</f>
        <v>2</v>
      </c>
      <c r="M49" s="161" t="str">
        <f t="shared" ca="1" si="3"/>
        <v>Y</v>
      </c>
      <c r="N49" s="161" t="str">
        <f t="shared" ca="1" si="3"/>
        <v>N</v>
      </c>
      <c r="O49" s="161" t="str">
        <f t="shared" ca="1" si="3"/>
        <v>N</v>
      </c>
      <c r="P49" s="161" t="str">
        <f t="shared" ca="1" si="3"/>
        <v>N</v>
      </c>
    </row>
    <row r="50" spans="1:16" ht="22.5" customHeight="1">
      <c r="A50" s="32" t="str">
        <f>ChkList!$A46</f>
        <v>로그 관리</v>
      </c>
      <c r="B50" s="32" t="str">
        <f>ChkList!$B46</f>
        <v>W-42</v>
      </c>
      <c r="C50" s="21" t="str">
        <f>ChkList!$C46</f>
        <v>이벤트 로그 관리 설정</v>
      </c>
      <c r="D50" s="29" t="s">
        <v>87</v>
      </c>
      <c r="E50" s="54">
        <f t="shared" si="1"/>
        <v>2</v>
      </c>
      <c r="F50" s="23">
        <f ca="1">COUNTA($M50:INDIRECT(ADDRESS(ROW(),MATCH("",$4:$4,-1),1,1)))</f>
        <v>4</v>
      </c>
      <c r="G50" s="23">
        <f ca="1">COUNTIF($M50:INDIRECT(ADDRESS(ROW(),MATCH("",$4:$4,-1),1,1)),"조치완료(Y)")+COUNTIF($M50:INDIRECT(ADDRESS(ROW(),MATCH("",$4:$4,-1),1,1)),"Y")</f>
        <v>1</v>
      </c>
      <c r="H50" s="23">
        <f ca="1">COUNTIF($M50:INDIRECT(ADDRESS(ROW(),MATCH("",$4:$4,-1),1,1)),"Y(즉시조치)")+COUNTIF($M50:INDIRECT(ADDRESS(ROW(),MATCH("",$4:$4,-1),1,1)),"조치완료(즉시조치)")</f>
        <v>0</v>
      </c>
      <c r="I50" s="23">
        <f ca="1">COUNTIF($M50:INDIRECT(ADDRESS(ROW(),MATCH("",$4:$4,-1),1,1)),"N")</f>
        <v>3</v>
      </c>
      <c r="J50" s="23">
        <f ca="1">COUNTIF($M50:INDIRECT(ADDRESS(ROW(),MATCH("",$4:$4,-1),1,1)),"N/A")+COUNTIF($M50:INDIRECT(ADDRESS(ROW(),MATCH("",$4:$4,-1),1,1)),"조치완료(N/A)")</f>
        <v>0</v>
      </c>
      <c r="K50" s="23">
        <f ca="1">VLOOKUP($D50,'parm(hidden)'!$B$8:$C$10,2,FALSE)*($F50-$J50)</f>
        <v>8</v>
      </c>
      <c r="L50" s="35">
        <f ca="1">VLOOKUP($D50,'parm(hidden)'!$B$8:$C$10,2,FALSE)*($G50+$H50)</f>
        <v>2</v>
      </c>
      <c r="M50" s="161" t="str">
        <f t="shared" ca="1" si="3"/>
        <v>Y</v>
      </c>
      <c r="N50" s="161" t="str">
        <f t="shared" ca="1" si="3"/>
        <v>N</v>
      </c>
      <c r="O50" s="161" t="str">
        <f t="shared" ca="1" si="3"/>
        <v>N</v>
      </c>
      <c r="P50" s="161" t="str">
        <f t="shared" ca="1" si="3"/>
        <v>N</v>
      </c>
    </row>
    <row r="51" spans="1:16" ht="22.5" customHeight="1">
      <c r="A51" s="32" t="str">
        <f>ChkList!$A47</f>
        <v>로그 관리</v>
      </c>
      <c r="B51" s="32" t="str">
        <f>ChkList!$B47</f>
        <v>W-43</v>
      </c>
      <c r="C51" s="21" t="str">
        <f>ChkList!$C47</f>
        <v>이벤트 로그 파일 접근 통제 설정</v>
      </c>
      <c r="D51" s="29" t="s">
        <v>87</v>
      </c>
      <c r="E51" s="54">
        <f t="shared" si="1"/>
        <v>2</v>
      </c>
      <c r="F51" s="23">
        <f ca="1">COUNTA($M51:INDIRECT(ADDRESS(ROW(),MATCH("",$4:$4,-1),1,1)))</f>
        <v>4</v>
      </c>
      <c r="G51" s="23">
        <f ca="1">COUNTIF($M51:INDIRECT(ADDRESS(ROW(),MATCH("",$4:$4,-1),1,1)),"조치완료(Y)")+COUNTIF($M51:INDIRECT(ADDRESS(ROW(),MATCH("",$4:$4,-1),1,1)),"Y")</f>
        <v>4</v>
      </c>
      <c r="H51" s="23">
        <f ca="1">COUNTIF($M51:INDIRECT(ADDRESS(ROW(),MATCH("",$4:$4,-1),1,1)),"Y(즉시조치)")+COUNTIF($M51:INDIRECT(ADDRESS(ROW(),MATCH("",$4:$4,-1),1,1)),"조치완료(즉시조치)")</f>
        <v>0</v>
      </c>
      <c r="I51" s="23">
        <f ca="1">COUNTIF($M51:INDIRECT(ADDRESS(ROW(),MATCH("",$4:$4,-1),1,1)),"N")</f>
        <v>0</v>
      </c>
      <c r="J51" s="23">
        <f ca="1">COUNTIF($M51:INDIRECT(ADDRESS(ROW(),MATCH("",$4:$4,-1),1,1)),"N/A")+COUNTIF($M51:INDIRECT(ADDRESS(ROW(),MATCH("",$4:$4,-1),1,1)),"조치완료(N/A)")</f>
        <v>0</v>
      </c>
      <c r="K51" s="23">
        <f ca="1">VLOOKUP($D51,'parm(hidden)'!$B$8:$C$10,2,FALSE)*($F51-$J51)</f>
        <v>8</v>
      </c>
      <c r="L51" s="35">
        <f ca="1">VLOOKUP($D51,'parm(hidden)'!$B$8:$C$10,2,FALSE)*($G51+$H51)</f>
        <v>8</v>
      </c>
      <c r="M51" s="161" t="str">
        <f t="shared" ca="1" si="3"/>
        <v>Y</v>
      </c>
      <c r="N51" s="161" t="str">
        <f t="shared" ca="1" si="3"/>
        <v>Y</v>
      </c>
      <c r="O51" s="161" t="str">
        <f t="shared" ca="1" si="3"/>
        <v>Y</v>
      </c>
      <c r="P51" s="161" t="str">
        <f t="shared" ca="1" si="3"/>
        <v>Y</v>
      </c>
    </row>
    <row r="52" spans="1:16" ht="22.5" customHeight="1">
      <c r="A52" s="32" t="str">
        <f>ChkList!$A48</f>
        <v>보안 관리</v>
      </c>
      <c r="B52" s="32" t="str">
        <f>ChkList!$B48</f>
        <v>W-44</v>
      </c>
      <c r="C52" s="21" t="str">
        <f>ChkList!$C48</f>
        <v>원격으로 액세스할 수 있는 레지스트리 경로</v>
      </c>
      <c r="D52" s="29" t="s">
        <v>87</v>
      </c>
      <c r="E52" s="54">
        <f t="shared" si="1"/>
        <v>2</v>
      </c>
      <c r="F52" s="23">
        <f ca="1">COUNTA($M52:INDIRECT(ADDRESS(ROW(),MATCH("",$4:$4,-1),1,1)))</f>
        <v>4</v>
      </c>
      <c r="G52" s="23">
        <f ca="1">COUNTIF($M52:INDIRECT(ADDRESS(ROW(),MATCH("",$4:$4,-1),1,1)),"조치완료(Y)")+COUNTIF($M52:INDIRECT(ADDRESS(ROW(),MATCH("",$4:$4,-1),1,1)),"Y")</f>
        <v>1</v>
      </c>
      <c r="H52" s="23">
        <f ca="1">COUNTIF($M52:INDIRECT(ADDRESS(ROW(),MATCH("",$4:$4,-1),1,1)),"Y(즉시조치)")+COUNTIF($M52:INDIRECT(ADDRESS(ROW(),MATCH("",$4:$4,-1),1,1)),"조치완료(즉시조치)")</f>
        <v>0</v>
      </c>
      <c r="I52" s="23">
        <f ca="1">COUNTIF($M52:INDIRECT(ADDRESS(ROW(),MATCH("",$4:$4,-1),1,1)),"N")</f>
        <v>3</v>
      </c>
      <c r="J52" s="23">
        <f ca="1">COUNTIF($M52:INDIRECT(ADDRESS(ROW(),MATCH("",$4:$4,-1),1,1)),"N/A")+COUNTIF($M52:INDIRECT(ADDRESS(ROW(),MATCH("",$4:$4,-1),1,1)),"조치완료(N/A)")</f>
        <v>0</v>
      </c>
      <c r="K52" s="23">
        <f ca="1">VLOOKUP($D52,'parm(hidden)'!$B$8:$C$10,2,FALSE)*($F52-$J52)</f>
        <v>8</v>
      </c>
      <c r="L52" s="35">
        <f ca="1">VLOOKUP($D52,'parm(hidden)'!$B$8:$C$10,2,FALSE)*($G52+$H52)</f>
        <v>2</v>
      </c>
      <c r="M52" s="161" t="str">
        <f t="shared" ca="1" si="3"/>
        <v>Y</v>
      </c>
      <c r="N52" s="161" t="str">
        <f t="shared" ca="1" si="3"/>
        <v>N</v>
      </c>
      <c r="O52" s="161" t="str">
        <f t="shared" ca="1" si="3"/>
        <v>N</v>
      </c>
      <c r="P52" s="161" t="str">
        <f t="shared" ca="1" si="3"/>
        <v>N</v>
      </c>
    </row>
    <row r="53" spans="1:16" ht="22.5" customHeight="1">
      <c r="A53" s="32" t="str">
        <f>ChkList!$A49</f>
        <v>보안 관리</v>
      </c>
      <c r="B53" s="32" t="str">
        <f>ChkList!$B49</f>
        <v>W-45</v>
      </c>
      <c r="C53" s="21" t="str">
        <f>ChkList!$C49</f>
        <v>백신 프로그램 설치</v>
      </c>
      <c r="D53" s="29" t="s">
        <v>87</v>
      </c>
      <c r="E53" s="54">
        <f t="shared" si="1"/>
        <v>2</v>
      </c>
      <c r="F53" s="23">
        <f ca="1">COUNTA($M53:INDIRECT(ADDRESS(ROW(),MATCH("",$4:$4,-1),1,1)))</f>
        <v>4</v>
      </c>
      <c r="G53" s="23">
        <f ca="1">COUNTIF($M53:INDIRECT(ADDRESS(ROW(),MATCH("",$4:$4,-1),1,1)),"조치완료(Y)")+COUNTIF($M53:INDIRECT(ADDRESS(ROW(),MATCH("",$4:$4,-1),1,1)),"Y")</f>
        <v>1</v>
      </c>
      <c r="H53" s="23">
        <f ca="1">COUNTIF($M53:INDIRECT(ADDRESS(ROW(),MATCH("",$4:$4,-1),1,1)),"Y(즉시조치)")+COUNTIF($M53:INDIRECT(ADDRESS(ROW(),MATCH("",$4:$4,-1),1,1)),"조치완료(즉시조치)")</f>
        <v>0</v>
      </c>
      <c r="I53" s="23">
        <f ca="1">COUNTIF($M53:INDIRECT(ADDRESS(ROW(),MATCH("",$4:$4,-1),1,1)),"N")</f>
        <v>3</v>
      </c>
      <c r="J53" s="23">
        <f ca="1">COUNTIF($M53:INDIRECT(ADDRESS(ROW(),MATCH("",$4:$4,-1),1,1)),"N/A")+COUNTIF($M53:INDIRECT(ADDRESS(ROW(),MATCH("",$4:$4,-1),1,1)),"조치완료(N/A)")</f>
        <v>0</v>
      </c>
      <c r="K53" s="23">
        <f ca="1">VLOOKUP($D53,'parm(hidden)'!$B$8:$C$10,2,FALSE)*($F53-$J53)</f>
        <v>8</v>
      </c>
      <c r="L53" s="35">
        <f ca="1">VLOOKUP($D53,'parm(hidden)'!$B$8:$C$10,2,FALSE)*($G53+$H53)</f>
        <v>2</v>
      </c>
      <c r="M53" s="161" t="str">
        <f t="shared" ca="1" si="3"/>
        <v>Y</v>
      </c>
      <c r="N53" s="161" t="str">
        <f t="shared" ca="1" si="3"/>
        <v>N</v>
      </c>
      <c r="O53" s="161" t="str">
        <f t="shared" ca="1" si="3"/>
        <v>N</v>
      </c>
      <c r="P53" s="161" t="str">
        <f t="shared" ca="1" si="3"/>
        <v>N</v>
      </c>
    </row>
    <row r="54" spans="1:16" ht="22.5" customHeight="1">
      <c r="A54" s="32" t="str">
        <f>ChkList!$A50</f>
        <v>보안 관리</v>
      </c>
      <c r="B54" s="32" t="str">
        <f>ChkList!$B50</f>
        <v>W-46</v>
      </c>
      <c r="C54" s="21" t="str">
        <f>ChkList!$C50</f>
        <v>SAM 파일 접근 통제 설정</v>
      </c>
      <c r="D54" s="29" t="s">
        <v>87</v>
      </c>
      <c r="E54" s="54">
        <f t="shared" si="1"/>
        <v>2</v>
      </c>
      <c r="F54" s="23">
        <f ca="1">COUNTA($M54:INDIRECT(ADDRESS(ROW(),MATCH("",$4:$4,-1),1,1)))</f>
        <v>4</v>
      </c>
      <c r="G54" s="23">
        <f ca="1">COUNTIF($M54:INDIRECT(ADDRESS(ROW(),MATCH("",$4:$4,-1),1,1)),"조치완료(Y)")+COUNTIF($M54:INDIRECT(ADDRESS(ROW(),MATCH("",$4:$4,-1),1,1)),"Y")</f>
        <v>1</v>
      </c>
      <c r="H54" s="23">
        <f ca="1">COUNTIF($M54:INDIRECT(ADDRESS(ROW(),MATCH("",$4:$4,-1),1,1)),"Y(즉시조치)")+COUNTIF($M54:INDIRECT(ADDRESS(ROW(),MATCH("",$4:$4,-1),1,1)),"조치완료(즉시조치)")</f>
        <v>0</v>
      </c>
      <c r="I54" s="23">
        <f ca="1">COUNTIF($M54:INDIRECT(ADDRESS(ROW(),MATCH("",$4:$4,-1),1,1)),"N")</f>
        <v>3</v>
      </c>
      <c r="J54" s="23">
        <f ca="1">COUNTIF($M54:INDIRECT(ADDRESS(ROW(),MATCH("",$4:$4,-1),1,1)),"N/A")+COUNTIF($M54:INDIRECT(ADDRESS(ROW(),MATCH("",$4:$4,-1),1,1)),"조치완료(N/A)")</f>
        <v>0</v>
      </c>
      <c r="K54" s="23">
        <f ca="1">VLOOKUP($D54,'parm(hidden)'!$B$8:$C$10,2,FALSE)*($F54-$J54)</f>
        <v>8</v>
      </c>
      <c r="L54" s="35">
        <f ca="1">VLOOKUP($D54,'parm(hidden)'!$B$8:$C$10,2,FALSE)*($G54+$H54)</f>
        <v>2</v>
      </c>
      <c r="M54" s="161" t="str">
        <f t="shared" ca="1" si="3"/>
        <v>Y</v>
      </c>
      <c r="N54" s="161" t="str">
        <f t="shared" ca="1" si="3"/>
        <v>N</v>
      </c>
      <c r="O54" s="161" t="str">
        <f t="shared" ca="1" si="3"/>
        <v>N</v>
      </c>
      <c r="P54" s="161" t="str">
        <f t="shared" ca="1" si="3"/>
        <v>N</v>
      </c>
    </row>
    <row r="55" spans="1:16" ht="22.5" customHeight="1">
      <c r="A55" s="32" t="str">
        <f>ChkList!$A51</f>
        <v>보안 관리</v>
      </c>
      <c r="B55" s="32" t="str">
        <f>ChkList!$B51</f>
        <v>W-47</v>
      </c>
      <c r="C55" s="21" t="str">
        <f>ChkList!$C51</f>
        <v>화면 보호기 설정</v>
      </c>
      <c r="D55" s="29" t="s">
        <v>69</v>
      </c>
      <c r="E55" s="54">
        <f t="shared" si="1"/>
        <v>1</v>
      </c>
      <c r="F55" s="23">
        <f ca="1">COUNTA($M55:INDIRECT(ADDRESS(ROW(),MATCH("",$4:$4,-1),1,1)))</f>
        <v>4</v>
      </c>
      <c r="G55" s="23">
        <f ca="1">COUNTIF($M55:INDIRECT(ADDRESS(ROW(),MATCH("",$4:$4,-1),1,1)),"조치완료(Y)")+COUNTIF($M55:INDIRECT(ADDRESS(ROW(),MATCH("",$4:$4,-1),1,1)),"Y")</f>
        <v>1</v>
      </c>
      <c r="H55" s="23">
        <f ca="1">COUNTIF($M55:INDIRECT(ADDRESS(ROW(),MATCH("",$4:$4,-1),1,1)),"Y(즉시조치)")+COUNTIF($M55:INDIRECT(ADDRESS(ROW(),MATCH("",$4:$4,-1),1,1)),"조치완료(즉시조치)")</f>
        <v>0</v>
      </c>
      <c r="I55" s="23">
        <f ca="1">COUNTIF($M55:INDIRECT(ADDRESS(ROW(),MATCH("",$4:$4,-1),1,1)),"N")</f>
        <v>3</v>
      </c>
      <c r="J55" s="23">
        <f ca="1">COUNTIF($M55:INDIRECT(ADDRESS(ROW(),MATCH("",$4:$4,-1),1,1)),"N/A")+COUNTIF($M55:INDIRECT(ADDRESS(ROW(),MATCH("",$4:$4,-1),1,1)),"조치완료(N/A)")</f>
        <v>0</v>
      </c>
      <c r="K55" s="23">
        <f ca="1">VLOOKUP($D55,'parm(hidden)'!$B$8:$C$10,2,FALSE)*($F55-$J55)</f>
        <v>4</v>
      </c>
      <c r="L55" s="35">
        <f ca="1">VLOOKUP($D55,'parm(hidden)'!$B$8:$C$10,2,FALSE)*($G55+$H55)</f>
        <v>1</v>
      </c>
      <c r="M55" s="161" t="str">
        <f t="shared" ca="1" si="3"/>
        <v>Y</v>
      </c>
      <c r="N55" s="161" t="str">
        <f t="shared" ca="1" si="3"/>
        <v>N</v>
      </c>
      <c r="O55" s="161" t="str">
        <f t="shared" ca="1" si="3"/>
        <v>N</v>
      </c>
      <c r="P55" s="161" t="str">
        <f t="shared" ca="1" si="3"/>
        <v>N</v>
      </c>
    </row>
    <row r="56" spans="1:16" ht="22.5" customHeight="1">
      <c r="A56" s="32" t="str">
        <f>ChkList!$A52</f>
        <v>보안 관리</v>
      </c>
      <c r="B56" s="32" t="str">
        <f>ChkList!$B52</f>
        <v>W-48</v>
      </c>
      <c r="C56" s="21" t="str">
        <f>ChkList!$C52</f>
        <v>로그온하지 않고 시스템 종료 허용</v>
      </c>
      <c r="D56" s="29" t="s">
        <v>87</v>
      </c>
      <c r="E56" s="54">
        <f t="shared" si="1"/>
        <v>2</v>
      </c>
      <c r="F56" s="23">
        <f ca="1">COUNTA($M56:INDIRECT(ADDRESS(ROW(),MATCH("",$4:$4,-1),1,1)))</f>
        <v>4</v>
      </c>
      <c r="G56" s="23">
        <f ca="1">COUNTIF($M56:INDIRECT(ADDRESS(ROW(),MATCH("",$4:$4,-1),1,1)),"조치완료(Y)")+COUNTIF($M56:INDIRECT(ADDRESS(ROW(),MATCH("",$4:$4,-1),1,1)),"Y")</f>
        <v>4</v>
      </c>
      <c r="H56" s="23">
        <f ca="1">COUNTIF($M56:INDIRECT(ADDRESS(ROW(),MATCH("",$4:$4,-1),1,1)),"Y(즉시조치)")+COUNTIF($M56:INDIRECT(ADDRESS(ROW(),MATCH("",$4:$4,-1),1,1)),"조치완료(즉시조치)")</f>
        <v>0</v>
      </c>
      <c r="I56" s="23">
        <f ca="1">COUNTIF($M56:INDIRECT(ADDRESS(ROW(),MATCH("",$4:$4,-1),1,1)),"N")</f>
        <v>0</v>
      </c>
      <c r="J56" s="23">
        <f ca="1">COUNTIF($M56:INDIRECT(ADDRESS(ROW(),MATCH("",$4:$4,-1),1,1)),"N/A")+COUNTIF($M56:INDIRECT(ADDRESS(ROW(),MATCH("",$4:$4,-1),1,1)),"조치완료(N/A)")</f>
        <v>0</v>
      </c>
      <c r="K56" s="23">
        <f ca="1">VLOOKUP($D56,'parm(hidden)'!$B$8:$C$10,2,FALSE)*($F56-$J56)</f>
        <v>8</v>
      </c>
      <c r="L56" s="35">
        <f ca="1">VLOOKUP($D56,'parm(hidden)'!$B$8:$C$10,2,FALSE)*($G56+$H56)</f>
        <v>8</v>
      </c>
      <c r="M56" s="161" t="str">
        <f t="shared" ca="1" si="3"/>
        <v>Y</v>
      </c>
      <c r="N56" s="161" t="str">
        <f t="shared" ca="1" si="3"/>
        <v>Y</v>
      </c>
      <c r="O56" s="161" t="str">
        <f t="shared" ca="1" si="3"/>
        <v>Y</v>
      </c>
      <c r="P56" s="161" t="str">
        <f t="shared" ca="1" si="3"/>
        <v>Y</v>
      </c>
    </row>
    <row r="57" spans="1:16" ht="22.5" customHeight="1">
      <c r="A57" s="32" t="str">
        <f>ChkList!$A53</f>
        <v>보안 관리</v>
      </c>
      <c r="B57" s="32" t="str">
        <f>ChkList!$B53</f>
        <v>W-49</v>
      </c>
      <c r="C57" s="21" t="str">
        <f>ChkList!$C53</f>
        <v>원격 시스템에서 강제로 시스템 종료</v>
      </c>
      <c r="D57" s="29" t="s">
        <v>87</v>
      </c>
      <c r="E57" s="54">
        <f t="shared" si="1"/>
        <v>2</v>
      </c>
      <c r="F57" s="23">
        <f ca="1">COUNTA($M57:INDIRECT(ADDRESS(ROW(),MATCH("",$4:$4,-1),1,1)))</f>
        <v>4</v>
      </c>
      <c r="G57" s="23">
        <f ca="1">COUNTIF($M57:INDIRECT(ADDRESS(ROW(),MATCH("",$4:$4,-1),1,1)),"조치완료(Y)")+COUNTIF($M57:INDIRECT(ADDRESS(ROW(),MATCH("",$4:$4,-1),1,1)),"Y")</f>
        <v>0</v>
      </c>
      <c r="H57" s="23">
        <f ca="1">COUNTIF($M57:INDIRECT(ADDRESS(ROW(),MATCH("",$4:$4,-1),1,1)),"Y(즉시조치)")+COUNTIF($M57:INDIRECT(ADDRESS(ROW(),MATCH("",$4:$4,-1),1,1)),"조치완료(즉시조치)")</f>
        <v>0</v>
      </c>
      <c r="I57" s="23">
        <f ca="1">COUNTIF($M57:INDIRECT(ADDRESS(ROW(),MATCH("",$4:$4,-1),1,1)),"N")</f>
        <v>4</v>
      </c>
      <c r="J57" s="23">
        <f ca="1">COUNTIF($M57:INDIRECT(ADDRESS(ROW(),MATCH("",$4:$4,-1),1,1)),"N/A")+COUNTIF($M57:INDIRECT(ADDRESS(ROW(),MATCH("",$4:$4,-1),1,1)),"조치완료(N/A)")</f>
        <v>0</v>
      </c>
      <c r="K57" s="23">
        <f ca="1">VLOOKUP($D57,'parm(hidden)'!$B$8:$C$10,2,FALSE)*($F57-$J57)</f>
        <v>8</v>
      </c>
      <c r="L57" s="35">
        <f ca="1">VLOOKUP($D57,'parm(hidden)'!$B$8:$C$10,2,FALSE)*($G57+$H57)</f>
        <v>0</v>
      </c>
      <c r="M57" s="161" t="str">
        <f t="shared" ca="1" si="3"/>
        <v>N</v>
      </c>
      <c r="N57" s="161" t="str">
        <f t="shared" ca="1" si="3"/>
        <v>N</v>
      </c>
      <c r="O57" s="161" t="str">
        <f t="shared" ca="1" si="3"/>
        <v>N</v>
      </c>
      <c r="P57" s="161" t="str">
        <f t="shared" ca="1" si="3"/>
        <v>N</v>
      </c>
    </row>
    <row r="58" spans="1:16" ht="22.5" customHeight="1">
      <c r="A58" s="32" t="str">
        <f>ChkList!$A54</f>
        <v>보안 관리</v>
      </c>
      <c r="B58" s="32" t="str">
        <f>ChkList!$B54</f>
        <v>W-50</v>
      </c>
      <c r="C58" s="21" t="str">
        <f>ChkList!$C54</f>
        <v>보안 감사를 로그 할 수 없는 경우 즉시 시스템 종료</v>
      </c>
      <c r="D58" s="29" t="s">
        <v>87</v>
      </c>
      <c r="E58" s="54">
        <f t="shared" si="1"/>
        <v>2</v>
      </c>
      <c r="F58" s="23">
        <f ca="1">COUNTA($M58:INDIRECT(ADDRESS(ROW(),MATCH("",$4:$4,-1),1,1)))</f>
        <v>4</v>
      </c>
      <c r="G58" s="23">
        <f ca="1">COUNTIF($M58:INDIRECT(ADDRESS(ROW(),MATCH("",$4:$4,-1),1,1)),"조치완료(Y)")+COUNTIF($M58:INDIRECT(ADDRESS(ROW(),MATCH("",$4:$4,-1),1,1)),"Y")</f>
        <v>4</v>
      </c>
      <c r="H58" s="23">
        <f ca="1">COUNTIF($M58:INDIRECT(ADDRESS(ROW(),MATCH("",$4:$4,-1),1,1)),"Y(즉시조치)")+COUNTIF($M58:INDIRECT(ADDRESS(ROW(),MATCH("",$4:$4,-1),1,1)),"조치완료(즉시조치)")</f>
        <v>0</v>
      </c>
      <c r="I58" s="23">
        <f ca="1">COUNTIF($M58:INDIRECT(ADDRESS(ROW(),MATCH("",$4:$4,-1),1,1)),"N")</f>
        <v>0</v>
      </c>
      <c r="J58" s="23">
        <f ca="1">COUNTIF($M58:INDIRECT(ADDRESS(ROW(),MATCH("",$4:$4,-1),1,1)),"N/A")+COUNTIF($M58:INDIRECT(ADDRESS(ROW(),MATCH("",$4:$4,-1),1,1)),"조치완료(N/A)")</f>
        <v>0</v>
      </c>
      <c r="K58" s="23">
        <f ca="1">VLOOKUP($D58,'parm(hidden)'!$B$8:$C$10,2,FALSE)*($F58-$J58)</f>
        <v>8</v>
      </c>
      <c r="L58" s="35">
        <f ca="1">VLOOKUP($D58,'parm(hidden)'!$B$8:$C$10,2,FALSE)*($G58+$H58)</f>
        <v>8</v>
      </c>
      <c r="M58" s="161" t="str">
        <f t="shared" ca="1" si="3"/>
        <v>Y</v>
      </c>
      <c r="N58" s="161" t="str">
        <f t="shared" ca="1" si="3"/>
        <v>Y</v>
      </c>
      <c r="O58" s="161" t="str">
        <f t="shared" ca="1" si="3"/>
        <v>Y</v>
      </c>
      <c r="P58" s="161" t="str">
        <f t="shared" ca="1" si="3"/>
        <v>Y</v>
      </c>
    </row>
    <row r="59" spans="1:16" ht="22.5" customHeight="1">
      <c r="A59" s="32" t="e">
        <f>ChkList!#REF!</f>
        <v>#REF!</v>
      </c>
      <c r="B59" s="32" t="e">
        <f>ChkList!#REF!</f>
        <v>#REF!</v>
      </c>
      <c r="C59" s="21" t="e">
        <f>ChkList!#REF!</f>
        <v>#REF!</v>
      </c>
      <c r="D59" s="29" t="s">
        <v>87</v>
      </c>
      <c r="E59" s="54">
        <f t="shared" si="1"/>
        <v>2</v>
      </c>
      <c r="F59" s="23">
        <f ca="1">COUNTA($M59:INDIRECT(ADDRESS(ROW(),MATCH("",$4:$4,-1),1,1)))</f>
        <v>4</v>
      </c>
      <c r="G59" s="23">
        <f ca="1">COUNTIF($M59:INDIRECT(ADDRESS(ROW(),MATCH("",$4:$4,-1),1,1)),"조치완료(Y)")+COUNTIF($M59:INDIRECT(ADDRESS(ROW(),MATCH("",$4:$4,-1),1,1)),"Y")</f>
        <v>0</v>
      </c>
      <c r="H59" s="23">
        <f ca="1">COUNTIF($M59:INDIRECT(ADDRESS(ROW(),MATCH("",$4:$4,-1),1,1)),"Y(즉시조치)")+COUNTIF($M59:INDIRECT(ADDRESS(ROW(),MATCH("",$4:$4,-1),1,1)),"조치완료(즉시조치)")</f>
        <v>0</v>
      </c>
      <c r="I59" s="23">
        <f ca="1">COUNTIF($M59:INDIRECT(ADDRESS(ROW(),MATCH("",$4:$4,-1),1,1)),"N")</f>
        <v>4</v>
      </c>
      <c r="J59" s="23">
        <f ca="1">COUNTIF($M59:INDIRECT(ADDRESS(ROW(),MATCH("",$4:$4,-1),1,1)),"N/A")+COUNTIF($M59:INDIRECT(ADDRESS(ROW(),MATCH("",$4:$4,-1),1,1)),"조치완료(N/A)")</f>
        <v>0</v>
      </c>
      <c r="K59" s="23">
        <f ca="1">VLOOKUP($D59,'parm(hidden)'!$B$8:$C$10,2,FALSE)*($F59-$J59)</f>
        <v>8</v>
      </c>
      <c r="L59" s="35">
        <f ca="1">VLOOKUP($D59,'parm(hidden)'!$B$8:$C$10,2,FALSE)*($G59+$H59)</f>
        <v>0</v>
      </c>
      <c r="M59" s="161" t="str">
        <f t="shared" ca="1" si="3"/>
        <v>N</v>
      </c>
      <c r="N59" s="161" t="str">
        <f t="shared" ca="1" si="3"/>
        <v>N</v>
      </c>
      <c r="O59" s="161" t="str">
        <f t="shared" ca="1" si="3"/>
        <v>N</v>
      </c>
      <c r="P59" s="161" t="str">
        <f t="shared" ca="1" si="3"/>
        <v>N</v>
      </c>
    </row>
    <row r="60" spans="1:16" ht="22.5" customHeight="1">
      <c r="A60" s="32" t="str">
        <f>ChkList!$A55</f>
        <v>보안 관리</v>
      </c>
      <c r="B60" s="32" t="str">
        <f>ChkList!$B55</f>
        <v>W-51</v>
      </c>
      <c r="C60" s="21" t="str">
        <f>ChkList!$C55</f>
        <v>SAM 계정과 공유의 익명 열거 허용 안 함</v>
      </c>
      <c r="D60" s="29" t="s">
        <v>98</v>
      </c>
      <c r="E60" s="54">
        <f t="shared" si="1"/>
        <v>3</v>
      </c>
      <c r="F60" s="23">
        <f ca="1">COUNTA($M60:INDIRECT(ADDRESS(ROW(),MATCH("",$4:$4,-1),1,1)))</f>
        <v>4</v>
      </c>
      <c r="G60" s="23">
        <f ca="1">COUNTIF($M60:INDIRECT(ADDRESS(ROW(),MATCH("",$4:$4,-1),1,1)),"조치완료(Y)")+COUNTIF($M60:INDIRECT(ADDRESS(ROW(),MATCH("",$4:$4,-1),1,1)),"Y")</f>
        <v>0</v>
      </c>
      <c r="H60" s="23">
        <f ca="1">COUNTIF($M60:INDIRECT(ADDRESS(ROW(),MATCH("",$4:$4,-1),1,1)),"Y(즉시조치)")+COUNTIF($M60:INDIRECT(ADDRESS(ROW(),MATCH("",$4:$4,-1),1,1)),"조치완료(즉시조치)")</f>
        <v>0</v>
      </c>
      <c r="I60" s="23">
        <f ca="1">COUNTIF($M60:INDIRECT(ADDRESS(ROW(),MATCH("",$4:$4,-1),1,1)),"N")</f>
        <v>4</v>
      </c>
      <c r="J60" s="23">
        <f ca="1">COUNTIF($M60:INDIRECT(ADDRESS(ROW(),MATCH("",$4:$4,-1),1,1)),"N/A")+COUNTIF($M60:INDIRECT(ADDRESS(ROW(),MATCH("",$4:$4,-1),1,1)),"조치완료(N/A)")</f>
        <v>0</v>
      </c>
      <c r="K60" s="23">
        <f ca="1">VLOOKUP($D60,'parm(hidden)'!$B$8:$C$10,2,FALSE)*($F60-$J60)</f>
        <v>12</v>
      </c>
      <c r="L60" s="35">
        <f ca="1">VLOOKUP($D60,'parm(hidden)'!$B$8:$C$10,2,FALSE)*($G60+$H60)</f>
        <v>0</v>
      </c>
      <c r="M60" s="161" t="str">
        <f t="shared" ca="1" si="3"/>
        <v>N</v>
      </c>
      <c r="N60" s="161" t="str">
        <f t="shared" ca="1" si="3"/>
        <v>N</v>
      </c>
      <c r="O60" s="161" t="str">
        <f t="shared" ca="1" si="3"/>
        <v>N</v>
      </c>
      <c r="P60" s="161" t="str">
        <f t="shared" ca="1" si="3"/>
        <v>N</v>
      </c>
    </row>
    <row r="61" spans="1:16" ht="22.5" customHeight="1">
      <c r="A61" s="32" t="str">
        <f>ChkList!$A56</f>
        <v>보안 관리</v>
      </c>
      <c r="B61" s="32" t="str">
        <f>ChkList!$B56</f>
        <v>W-52</v>
      </c>
      <c r="C61" s="21" t="str">
        <f>ChkList!$C56</f>
        <v>Autologon 기능 제어</v>
      </c>
      <c r="D61" s="29" t="s">
        <v>98</v>
      </c>
      <c r="E61" s="54">
        <f t="shared" si="1"/>
        <v>3</v>
      </c>
      <c r="F61" s="23">
        <f ca="1">COUNTA($M61:INDIRECT(ADDRESS(ROW(),MATCH("",$4:$4,-1),1,1)))</f>
        <v>4</v>
      </c>
      <c r="G61" s="23">
        <f ca="1">COUNTIF($M61:INDIRECT(ADDRESS(ROW(),MATCH("",$4:$4,-1),1,1)),"조치완료(Y)")+COUNTIF($M61:INDIRECT(ADDRESS(ROW(),MATCH("",$4:$4,-1),1,1)),"Y")</f>
        <v>0</v>
      </c>
      <c r="H61" s="23">
        <f ca="1">COUNTIF($M61:INDIRECT(ADDRESS(ROW(),MATCH("",$4:$4,-1),1,1)),"Y(즉시조치)")+COUNTIF($M61:INDIRECT(ADDRESS(ROW(),MATCH("",$4:$4,-1),1,1)),"조치완료(즉시조치)")</f>
        <v>0</v>
      </c>
      <c r="I61" s="23">
        <f ca="1">COUNTIF($M61:INDIRECT(ADDRESS(ROW(),MATCH("",$4:$4,-1),1,1)),"N")</f>
        <v>4</v>
      </c>
      <c r="J61" s="23">
        <f ca="1">COUNTIF($M61:INDIRECT(ADDRESS(ROW(),MATCH("",$4:$4,-1),1,1)),"N/A")+COUNTIF($M61:INDIRECT(ADDRESS(ROW(),MATCH("",$4:$4,-1),1,1)),"조치완료(N/A)")</f>
        <v>0</v>
      </c>
      <c r="K61" s="23">
        <f ca="1">VLOOKUP($D61,'parm(hidden)'!$B$8:$C$10,2,FALSE)*($F61-$J61)</f>
        <v>12</v>
      </c>
      <c r="L61" s="35">
        <f ca="1">VLOOKUP($D61,'parm(hidden)'!$B$8:$C$10,2,FALSE)*($G61+$H61)</f>
        <v>0</v>
      </c>
      <c r="M61" s="161" t="str">
        <f t="shared" ca="1" si="3"/>
        <v>N</v>
      </c>
      <c r="N61" s="161" t="str">
        <f t="shared" ca="1" si="3"/>
        <v>N</v>
      </c>
      <c r="O61" s="161" t="str">
        <f t="shared" ca="1" si="3"/>
        <v>N</v>
      </c>
      <c r="P61" s="161" t="str">
        <f t="shared" ca="1" si="3"/>
        <v>N</v>
      </c>
    </row>
    <row r="62" spans="1:16" ht="22.5" customHeight="1">
      <c r="A62" s="32" t="str">
        <f>ChkList!$A57</f>
        <v>보안 관리</v>
      </c>
      <c r="B62" s="32" t="str">
        <f>ChkList!$B57</f>
        <v>W-53</v>
      </c>
      <c r="C62" s="21" t="str">
        <f>ChkList!$C57</f>
        <v>이동식 미디어 포맷 및 꺼내기 허용</v>
      </c>
      <c r="D62" s="29" t="s">
        <v>87</v>
      </c>
      <c r="E62" s="54">
        <f t="shared" si="1"/>
        <v>2</v>
      </c>
      <c r="F62" s="23">
        <f ca="1">COUNTA($M62:INDIRECT(ADDRESS(ROW(),MATCH("",$4:$4,-1),1,1)))</f>
        <v>4</v>
      </c>
      <c r="G62" s="23">
        <f ca="1">COUNTIF($M62:INDIRECT(ADDRESS(ROW(),MATCH("",$4:$4,-1),1,1)),"조치완료(Y)")+COUNTIF($M62:INDIRECT(ADDRESS(ROW(),MATCH("",$4:$4,-1),1,1)),"Y")</f>
        <v>0</v>
      </c>
      <c r="H62" s="23">
        <f ca="1">COUNTIF($M62:INDIRECT(ADDRESS(ROW(),MATCH("",$4:$4,-1),1,1)),"Y(즉시조치)")+COUNTIF($M62:INDIRECT(ADDRESS(ROW(),MATCH("",$4:$4,-1),1,1)),"조치완료(즉시조치)")</f>
        <v>0</v>
      </c>
      <c r="I62" s="23">
        <f ca="1">COUNTIF($M62:INDIRECT(ADDRESS(ROW(),MATCH("",$4:$4,-1),1,1)),"N")</f>
        <v>4</v>
      </c>
      <c r="J62" s="23">
        <f ca="1">COUNTIF($M62:INDIRECT(ADDRESS(ROW(),MATCH("",$4:$4,-1),1,1)),"N/A")+COUNTIF($M62:INDIRECT(ADDRESS(ROW(),MATCH("",$4:$4,-1),1,1)),"조치완료(N/A)")</f>
        <v>0</v>
      </c>
      <c r="K62" s="23">
        <f ca="1">VLOOKUP($D62,'parm(hidden)'!$B$8:$C$10,2,FALSE)*($F62-$J62)</f>
        <v>8</v>
      </c>
      <c r="L62" s="35">
        <f ca="1">VLOOKUP($D62,'parm(hidden)'!$B$8:$C$10,2,FALSE)*($G62+$H62)</f>
        <v>0</v>
      </c>
      <c r="M62" s="161" t="str">
        <f t="shared" ca="1" si="3"/>
        <v>N</v>
      </c>
      <c r="N62" s="161" t="str">
        <f t="shared" ca="1" si="3"/>
        <v>N</v>
      </c>
      <c r="O62" s="161" t="str">
        <f t="shared" ca="1" si="3"/>
        <v>N</v>
      </c>
      <c r="P62" s="161" t="str">
        <f t="shared" ca="1" si="3"/>
        <v>N</v>
      </c>
    </row>
    <row r="63" spans="1:16" ht="22.5" customHeight="1">
      <c r="A63" s="32" t="str">
        <f>ChkList!$A58</f>
        <v>보안 관리</v>
      </c>
      <c r="B63" s="32" t="str">
        <f>ChkList!$B58</f>
        <v>W-54</v>
      </c>
      <c r="C63" s="21" t="str">
        <f>ChkList!$C58</f>
        <v>Dos 공격 방어 레지스트리 설정</v>
      </c>
      <c r="D63" s="29" t="s">
        <v>98</v>
      </c>
      <c r="E63" s="54">
        <f t="shared" si="1"/>
        <v>3</v>
      </c>
      <c r="F63" s="23">
        <f ca="1">COUNTA($M63:INDIRECT(ADDRESS(ROW(),MATCH("",$4:$4,-1),1,1)))</f>
        <v>4</v>
      </c>
      <c r="G63" s="23">
        <f ca="1">COUNTIF($M63:INDIRECT(ADDRESS(ROW(),MATCH("",$4:$4,-1),1,1)),"조치완료(Y)")+COUNTIF($M63:INDIRECT(ADDRESS(ROW(),MATCH("",$4:$4,-1),1,1)),"Y")</f>
        <v>0</v>
      </c>
      <c r="H63" s="23">
        <f ca="1">COUNTIF($M63:INDIRECT(ADDRESS(ROW(),MATCH("",$4:$4,-1),1,1)),"Y(즉시조치)")+COUNTIF($M63:INDIRECT(ADDRESS(ROW(),MATCH("",$4:$4,-1),1,1)),"조치완료(즉시조치)")</f>
        <v>0</v>
      </c>
      <c r="I63" s="23">
        <f ca="1">COUNTIF($M63:INDIRECT(ADDRESS(ROW(),MATCH("",$4:$4,-1),1,1)),"N")</f>
        <v>4</v>
      </c>
      <c r="J63" s="23">
        <f ca="1">COUNTIF($M63:INDIRECT(ADDRESS(ROW(),MATCH("",$4:$4,-1),1,1)),"N/A")+COUNTIF($M63:INDIRECT(ADDRESS(ROW(),MATCH("",$4:$4,-1),1,1)),"조치완료(N/A)")</f>
        <v>0</v>
      </c>
      <c r="K63" s="23">
        <f ca="1">VLOOKUP($D63,'parm(hidden)'!$B$8:$C$10,2,FALSE)*($F63-$J63)</f>
        <v>12</v>
      </c>
      <c r="L63" s="35">
        <f ca="1">VLOOKUP($D63,'parm(hidden)'!$B$8:$C$10,2,FALSE)*($G63+$H63)</f>
        <v>0</v>
      </c>
      <c r="M63" s="161" t="str">
        <f t="shared" ca="1" si="3"/>
        <v>N</v>
      </c>
      <c r="N63" s="161" t="str">
        <f t="shared" ca="1" si="3"/>
        <v>N</v>
      </c>
      <c r="O63" s="161" t="str">
        <f t="shared" ca="1" si="3"/>
        <v>N</v>
      </c>
      <c r="P63" s="161" t="str">
        <f t="shared" ca="1" si="3"/>
        <v>N</v>
      </c>
    </row>
    <row r="64" spans="1:16" ht="22.5" customHeight="1">
      <c r="A64" s="32" t="str">
        <f>ChkList!$A59</f>
        <v>보안 관리</v>
      </c>
      <c r="B64" s="32" t="str">
        <f>ChkList!$B59</f>
        <v>W-55</v>
      </c>
      <c r="C64" s="21" t="str">
        <f>ChkList!$C59</f>
        <v>사용자가 프린터 드라이버를 설치할 수 없게 함</v>
      </c>
      <c r="D64" s="29" t="s">
        <v>98</v>
      </c>
      <c r="E64" s="54">
        <f t="shared" si="1"/>
        <v>3</v>
      </c>
      <c r="F64" s="23">
        <f ca="1">COUNTA($M64:INDIRECT(ADDRESS(ROW(),MATCH("",$4:$4,-1),1,1)))</f>
        <v>4</v>
      </c>
      <c r="G64" s="23">
        <f ca="1">COUNTIF($M64:INDIRECT(ADDRESS(ROW(),MATCH("",$4:$4,-1),1,1)),"조치완료(Y)")+COUNTIF($M64:INDIRECT(ADDRESS(ROW(),MATCH("",$4:$4,-1),1,1)),"Y")</f>
        <v>4</v>
      </c>
      <c r="H64" s="23">
        <f ca="1">COUNTIF($M64:INDIRECT(ADDRESS(ROW(),MATCH("",$4:$4,-1),1,1)),"Y(즉시조치)")+COUNTIF($M64:INDIRECT(ADDRESS(ROW(),MATCH("",$4:$4,-1),1,1)),"조치완료(즉시조치)")</f>
        <v>0</v>
      </c>
      <c r="I64" s="23">
        <f ca="1">COUNTIF($M64:INDIRECT(ADDRESS(ROW(),MATCH("",$4:$4,-1),1,1)),"N")</f>
        <v>0</v>
      </c>
      <c r="J64" s="23">
        <f ca="1">COUNTIF($M64:INDIRECT(ADDRESS(ROW(),MATCH("",$4:$4,-1),1,1)),"N/A")+COUNTIF($M64:INDIRECT(ADDRESS(ROW(),MATCH("",$4:$4,-1),1,1)),"조치완료(N/A)")</f>
        <v>0</v>
      </c>
      <c r="K64" s="23">
        <f ca="1">VLOOKUP($D64,'parm(hidden)'!$B$8:$C$10,2,FALSE)*($F64-$J64)</f>
        <v>12</v>
      </c>
      <c r="L64" s="35">
        <f ca="1">VLOOKUP($D64,'parm(hidden)'!$B$8:$C$10,2,FALSE)*($G64+$H64)</f>
        <v>12</v>
      </c>
      <c r="M64" s="161" t="str">
        <f t="shared" ca="1" si="3"/>
        <v>Y</v>
      </c>
      <c r="N64" s="161" t="str">
        <f t="shared" ca="1" si="3"/>
        <v>Y</v>
      </c>
      <c r="O64" s="161" t="str">
        <f t="shared" ca="1" si="3"/>
        <v>Y</v>
      </c>
      <c r="P64" s="161" t="str">
        <f t="shared" ca="1" si="3"/>
        <v>Y</v>
      </c>
    </row>
    <row r="65" spans="1:16" ht="22.5" customHeight="1">
      <c r="A65" s="32" t="str">
        <f>ChkList!$A60</f>
        <v>보안 관리</v>
      </c>
      <c r="B65" s="32" t="str">
        <f>ChkList!$B60</f>
        <v>W-56</v>
      </c>
      <c r="C65" s="21" t="str">
        <f>ChkList!$C60</f>
        <v>SMB 세션 중단 관리 설정</v>
      </c>
      <c r="D65" s="29" t="s">
        <v>69</v>
      </c>
      <c r="E65" s="54">
        <f t="shared" si="1"/>
        <v>1</v>
      </c>
      <c r="F65" s="23">
        <f ca="1">COUNTA($M65:INDIRECT(ADDRESS(ROW(),MATCH("",$4:$4,-1),1,1)))</f>
        <v>4</v>
      </c>
      <c r="G65" s="23">
        <f ca="1">COUNTIF($M65:INDIRECT(ADDRESS(ROW(),MATCH("",$4:$4,-1),1,1)),"조치완료(Y)")+COUNTIF($M65:INDIRECT(ADDRESS(ROW(),MATCH("",$4:$4,-1),1,1)),"Y")</f>
        <v>4</v>
      </c>
      <c r="H65" s="23">
        <f ca="1">COUNTIF($M65:INDIRECT(ADDRESS(ROW(),MATCH("",$4:$4,-1),1,1)),"Y(즉시조치)")+COUNTIF($M65:INDIRECT(ADDRESS(ROW(),MATCH("",$4:$4,-1),1,1)),"조치완료(즉시조치)")</f>
        <v>0</v>
      </c>
      <c r="I65" s="23">
        <f ca="1">COUNTIF($M65:INDIRECT(ADDRESS(ROW(),MATCH("",$4:$4,-1),1,1)),"N")</f>
        <v>0</v>
      </c>
      <c r="J65" s="23">
        <f ca="1">COUNTIF($M65:INDIRECT(ADDRESS(ROW(),MATCH("",$4:$4,-1),1,1)),"N/A")+COUNTIF($M65:INDIRECT(ADDRESS(ROW(),MATCH("",$4:$4,-1),1,1)),"조치완료(N/A)")</f>
        <v>0</v>
      </c>
      <c r="K65" s="23">
        <f ca="1">VLOOKUP($D65,'parm(hidden)'!$B$8:$C$10,2,FALSE)*($F65-$J65)</f>
        <v>4</v>
      </c>
      <c r="L65" s="35">
        <f ca="1">VLOOKUP($D65,'parm(hidden)'!$B$8:$C$10,2,FALSE)*($G65+$H65)</f>
        <v>4</v>
      </c>
      <c r="M65" s="161" t="str">
        <f t="shared" ca="1" si="3"/>
        <v>Y</v>
      </c>
      <c r="N65" s="161" t="str">
        <f t="shared" ca="1" si="3"/>
        <v>Y</v>
      </c>
      <c r="O65" s="161" t="str">
        <f t="shared" ca="1" si="3"/>
        <v>Y</v>
      </c>
      <c r="P65" s="161" t="str">
        <f t="shared" ca="1" si="3"/>
        <v>Y</v>
      </c>
    </row>
    <row r="66" spans="1:16" ht="22.5" customHeight="1">
      <c r="A66" s="32" t="str">
        <f>ChkList!$A61</f>
        <v>보안 관리</v>
      </c>
      <c r="B66" s="32" t="str">
        <f>ChkList!$B61</f>
        <v>W-57</v>
      </c>
      <c r="C66" s="21" t="str">
        <f>ChkList!$C61</f>
        <v>로그온 시 경고 메시지 설정</v>
      </c>
      <c r="D66" s="29" t="s">
        <v>87</v>
      </c>
      <c r="E66" s="54">
        <f t="shared" si="1"/>
        <v>2</v>
      </c>
      <c r="F66" s="23">
        <f ca="1">COUNTA($M66:INDIRECT(ADDRESS(ROW(),MATCH("",$4:$4,-1),1,1)))</f>
        <v>4</v>
      </c>
      <c r="G66" s="23">
        <f ca="1">COUNTIF($M66:INDIRECT(ADDRESS(ROW(),MATCH("",$4:$4,-1),1,1)),"조치완료(Y)")+COUNTIF($M66:INDIRECT(ADDRESS(ROW(),MATCH("",$4:$4,-1),1,1)),"Y")</f>
        <v>0</v>
      </c>
      <c r="H66" s="23">
        <f ca="1">COUNTIF($M66:INDIRECT(ADDRESS(ROW(),MATCH("",$4:$4,-1),1,1)),"Y(즉시조치)")+COUNTIF($M66:INDIRECT(ADDRESS(ROW(),MATCH("",$4:$4,-1),1,1)),"조치완료(즉시조치)")</f>
        <v>0</v>
      </c>
      <c r="I66" s="23">
        <f ca="1">COUNTIF($M66:INDIRECT(ADDRESS(ROW(),MATCH("",$4:$4,-1),1,1)),"N")</f>
        <v>4</v>
      </c>
      <c r="J66" s="23">
        <f ca="1">COUNTIF($M66:INDIRECT(ADDRESS(ROW(),MATCH("",$4:$4,-1),1,1)),"N/A")+COUNTIF($M66:INDIRECT(ADDRESS(ROW(),MATCH("",$4:$4,-1),1,1)),"조치완료(N/A)")</f>
        <v>0</v>
      </c>
      <c r="K66" s="23">
        <f ca="1">VLOOKUP($D66,'parm(hidden)'!$B$8:$C$10,2,FALSE)*($F66-$J66)</f>
        <v>8</v>
      </c>
      <c r="L66" s="35">
        <f ca="1">VLOOKUP($D66,'parm(hidden)'!$B$8:$C$10,2,FALSE)*($G66+$H66)</f>
        <v>0</v>
      </c>
      <c r="M66" s="161" t="str">
        <f t="shared" ca="1" si="3"/>
        <v>N</v>
      </c>
      <c r="N66" s="161" t="str">
        <f t="shared" ca="1" si="3"/>
        <v>N</v>
      </c>
      <c r="O66" s="161" t="str">
        <f t="shared" ca="1" si="3"/>
        <v>N</v>
      </c>
      <c r="P66" s="161" t="str">
        <f t="shared" ca="1" si="3"/>
        <v>N</v>
      </c>
    </row>
    <row r="67" spans="1:16" ht="22.5" customHeight="1">
      <c r="A67" s="32" t="str">
        <f>ChkList!$A62</f>
        <v>보안 관리</v>
      </c>
      <c r="B67" s="32" t="str">
        <f>ChkList!$B62</f>
        <v>W-58</v>
      </c>
      <c r="C67" s="21" t="str">
        <f>ChkList!$C62</f>
        <v>사용자별 홈 디렉터리 권한 설정</v>
      </c>
      <c r="D67" s="29" t="s">
        <v>98</v>
      </c>
      <c r="E67" s="54">
        <f t="shared" si="1"/>
        <v>3</v>
      </c>
      <c r="F67" s="23">
        <f ca="1">COUNTA($M67:INDIRECT(ADDRESS(ROW(),MATCH("",$4:$4,-1),1,1)))</f>
        <v>4</v>
      </c>
      <c r="G67" s="23">
        <f ca="1">COUNTIF($M67:INDIRECT(ADDRESS(ROW(),MATCH("",$4:$4,-1),1,1)),"조치완료(Y)")+COUNTIF($M67:INDIRECT(ADDRESS(ROW(),MATCH("",$4:$4,-1),1,1)),"Y")</f>
        <v>4</v>
      </c>
      <c r="H67" s="23">
        <f ca="1">COUNTIF($M67:INDIRECT(ADDRESS(ROW(),MATCH("",$4:$4,-1),1,1)),"Y(즉시조치)")+COUNTIF($M67:INDIRECT(ADDRESS(ROW(),MATCH("",$4:$4,-1),1,1)),"조치완료(즉시조치)")</f>
        <v>0</v>
      </c>
      <c r="I67" s="23">
        <f ca="1">COUNTIF($M67:INDIRECT(ADDRESS(ROW(),MATCH("",$4:$4,-1),1,1)),"N")</f>
        <v>0</v>
      </c>
      <c r="J67" s="23">
        <f ca="1">COUNTIF($M67:INDIRECT(ADDRESS(ROW(),MATCH("",$4:$4,-1),1,1)),"N/A")+COUNTIF($M67:INDIRECT(ADDRESS(ROW(),MATCH("",$4:$4,-1),1,1)),"조치완료(N/A)")</f>
        <v>0</v>
      </c>
      <c r="K67" s="23">
        <f ca="1">VLOOKUP($D67,'parm(hidden)'!$B$8:$C$10,2,FALSE)*($F67-$J67)</f>
        <v>12</v>
      </c>
      <c r="L67" s="35">
        <f ca="1">VLOOKUP($D67,'parm(hidden)'!$B$8:$C$10,2,FALSE)*($G67+$H67)</f>
        <v>12</v>
      </c>
      <c r="M67" s="161" t="str">
        <f t="shared" ca="1" si="3"/>
        <v>Y</v>
      </c>
      <c r="N67" s="161" t="str">
        <f t="shared" ca="1" si="3"/>
        <v>Y</v>
      </c>
      <c r="O67" s="161" t="str">
        <f t="shared" ca="1" si="3"/>
        <v>Y</v>
      </c>
      <c r="P67" s="161" t="str">
        <f t="shared" ca="1" si="3"/>
        <v>Y</v>
      </c>
    </row>
    <row r="68" spans="1:16" ht="22.5" customHeight="1">
      <c r="A68" s="32" t="str">
        <f>ChkList!$A63</f>
        <v>보안 관리</v>
      </c>
      <c r="B68" s="32" t="str">
        <f>ChkList!$B63</f>
        <v>W-59</v>
      </c>
      <c r="C68" s="21" t="str">
        <f>ChkList!$C63</f>
        <v>LAN Manager 인증 수준</v>
      </c>
      <c r="D68" s="29" t="s">
        <v>98</v>
      </c>
      <c r="E68" s="54">
        <f t="shared" si="1"/>
        <v>3</v>
      </c>
      <c r="F68" s="23">
        <f ca="1">COUNTA($M68:INDIRECT(ADDRESS(ROW(),MATCH("",$4:$4,-1),1,1)))</f>
        <v>4</v>
      </c>
      <c r="G68" s="23">
        <f ca="1">COUNTIF($M68:INDIRECT(ADDRESS(ROW(),MATCH("",$4:$4,-1),1,1)),"조치완료(Y)")+COUNTIF($M68:INDIRECT(ADDRESS(ROW(),MATCH("",$4:$4,-1),1,1)),"Y")</f>
        <v>0</v>
      </c>
      <c r="H68" s="23">
        <f ca="1">COUNTIF($M68:INDIRECT(ADDRESS(ROW(),MATCH("",$4:$4,-1),1,1)),"Y(즉시조치)")+COUNTIF($M68:INDIRECT(ADDRESS(ROW(),MATCH("",$4:$4,-1),1,1)),"조치완료(즉시조치)")</f>
        <v>0</v>
      </c>
      <c r="I68" s="23">
        <f ca="1">COUNTIF($M68:INDIRECT(ADDRESS(ROW(),MATCH("",$4:$4,-1),1,1)),"N")</f>
        <v>4</v>
      </c>
      <c r="J68" s="23">
        <f ca="1">COUNTIF($M68:INDIRECT(ADDRESS(ROW(),MATCH("",$4:$4,-1),1,1)),"N/A")+COUNTIF($M68:INDIRECT(ADDRESS(ROW(),MATCH("",$4:$4,-1),1,1)),"조치완료(N/A)")</f>
        <v>0</v>
      </c>
      <c r="K68" s="23">
        <f ca="1">VLOOKUP($D68,'parm(hidden)'!$B$8:$C$10,2,FALSE)*($F68-$J68)</f>
        <v>12</v>
      </c>
      <c r="L68" s="35">
        <f ca="1">VLOOKUP($D68,'parm(hidden)'!$B$8:$C$10,2,FALSE)*($G68+$H68)</f>
        <v>0</v>
      </c>
      <c r="M68" s="161" t="str">
        <f t="shared" ca="1" si="3"/>
        <v>N</v>
      </c>
      <c r="N68" s="161" t="str">
        <f t="shared" ca="1" si="3"/>
        <v>N</v>
      </c>
      <c r="O68" s="161" t="str">
        <f t="shared" ca="1" si="3"/>
        <v>N</v>
      </c>
      <c r="P68" s="161" t="str">
        <f t="shared" ca="1" si="3"/>
        <v>N</v>
      </c>
    </row>
    <row r="69" spans="1:16" ht="22.5" customHeight="1">
      <c r="A69" s="32" t="str">
        <f>ChkList!$A64</f>
        <v>보안 관리</v>
      </c>
      <c r="B69" s="32" t="str">
        <f>ChkList!$B64</f>
        <v>W-60</v>
      </c>
      <c r="C69" s="21" t="str">
        <f>ChkList!$C64</f>
        <v>보안 채널 데이터 디지털 암호화 또는 서명</v>
      </c>
      <c r="D69" s="29" t="s">
        <v>98</v>
      </c>
      <c r="E69" s="54">
        <f t="shared" si="1"/>
        <v>3</v>
      </c>
      <c r="F69" s="23">
        <f ca="1">COUNTA($M69:INDIRECT(ADDRESS(ROW(),MATCH("",$4:$4,-1),1,1)))</f>
        <v>4</v>
      </c>
      <c r="G69" s="23">
        <f ca="1">COUNTIF($M69:INDIRECT(ADDRESS(ROW(),MATCH("",$4:$4,-1),1,1)),"조치완료(Y)")+COUNTIF($M69:INDIRECT(ADDRESS(ROW(),MATCH("",$4:$4,-1),1,1)),"Y")</f>
        <v>0</v>
      </c>
      <c r="H69" s="23">
        <f ca="1">COUNTIF($M69:INDIRECT(ADDRESS(ROW(),MATCH("",$4:$4,-1),1,1)),"Y(즉시조치)")+COUNTIF($M69:INDIRECT(ADDRESS(ROW(),MATCH("",$4:$4,-1),1,1)),"조치완료(즉시조치)")</f>
        <v>0</v>
      </c>
      <c r="I69" s="23">
        <f ca="1">COUNTIF($M69:INDIRECT(ADDRESS(ROW(),MATCH("",$4:$4,-1),1,1)),"N")</f>
        <v>0</v>
      </c>
      <c r="J69" s="23">
        <f ca="1">COUNTIF($M69:INDIRECT(ADDRESS(ROW(),MATCH("",$4:$4,-1),1,1)),"N/A")+COUNTIF($M69:INDIRECT(ADDRESS(ROW(),MATCH("",$4:$4,-1),1,1)),"조치완료(N/A)")</f>
        <v>0</v>
      </c>
      <c r="K69" s="23">
        <f ca="1">VLOOKUP($D69,'parm(hidden)'!$B$8:$C$10,2,FALSE)*($F69-$J69)</f>
        <v>12</v>
      </c>
      <c r="L69" s="35">
        <f ca="1">VLOOKUP($D69,'parm(hidden)'!$B$8:$C$10,2,FALSE)*($G69+$H69)</f>
        <v>0</v>
      </c>
      <c r="M69" s="161">
        <f t="shared" ca="1" si="3"/>
        <v>0</v>
      </c>
      <c r="N69" s="161">
        <f t="shared" ca="1" si="3"/>
        <v>0</v>
      </c>
      <c r="O69" s="161">
        <f t="shared" ca="1" si="3"/>
        <v>0</v>
      </c>
      <c r="P69" s="161">
        <f t="shared" ca="1" si="3"/>
        <v>0</v>
      </c>
    </row>
    <row r="70" spans="1:16" ht="22.5" customHeight="1">
      <c r="A70" s="32" t="e">
        <f>ChkList!#REF!</f>
        <v>#REF!</v>
      </c>
      <c r="B70" s="32" t="e">
        <f>ChkList!#REF!</f>
        <v>#REF!</v>
      </c>
      <c r="C70" s="21" t="e">
        <f>ChkList!#REF!</f>
        <v>#REF!</v>
      </c>
      <c r="D70" s="29" t="s">
        <v>98</v>
      </c>
      <c r="E70" s="54">
        <f t="shared" si="1"/>
        <v>3</v>
      </c>
      <c r="F70" s="23">
        <f ca="1">COUNTA($M70:INDIRECT(ADDRESS(ROW(),MATCH("",$4:$4,-1),1,1)))</f>
        <v>4</v>
      </c>
      <c r="G70" s="23">
        <f ca="1">COUNTIF($M70:INDIRECT(ADDRESS(ROW(),MATCH("",$4:$4,-1),1,1)),"조치완료(Y)")+COUNTIF($M70:INDIRECT(ADDRESS(ROW(),MATCH("",$4:$4,-1),1,1)),"Y")</f>
        <v>0</v>
      </c>
      <c r="H70" s="23">
        <f ca="1">COUNTIF($M70:INDIRECT(ADDRESS(ROW(),MATCH("",$4:$4,-1),1,1)),"Y(즉시조치)")+COUNTIF($M70:INDIRECT(ADDRESS(ROW(),MATCH("",$4:$4,-1),1,1)),"조치완료(즉시조치)")</f>
        <v>0</v>
      </c>
      <c r="I70" s="23">
        <f ca="1">COUNTIF($M70:INDIRECT(ADDRESS(ROW(),MATCH("",$4:$4,-1),1,1)),"N")</f>
        <v>0</v>
      </c>
      <c r="J70" s="23">
        <f ca="1">COUNTIF($M70:INDIRECT(ADDRESS(ROW(),MATCH("",$4:$4,-1),1,1)),"N/A")+COUNTIF($M70:INDIRECT(ADDRESS(ROW(),MATCH("",$4:$4,-1),1,1)),"조치완료(N/A)")</f>
        <v>0</v>
      </c>
      <c r="K70" s="23">
        <f ca="1">VLOOKUP($D70,'parm(hidden)'!$B$8:$C$10,2,FALSE)*($F70-$J70)</f>
        <v>12</v>
      </c>
      <c r="L70" s="35">
        <f ca="1">VLOOKUP($D70,'parm(hidden)'!$B$8:$C$10,2,FALSE)*($G70+$H70)</f>
        <v>0</v>
      </c>
      <c r="M70" s="161">
        <f t="shared" ca="1" si="3"/>
        <v>0</v>
      </c>
      <c r="N70" s="161">
        <f t="shared" ca="1" si="3"/>
        <v>0</v>
      </c>
      <c r="O70" s="161">
        <f t="shared" ca="1" si="3"/>
        <v>0</v>
      </c>
      <c r="P70" s="161">
        <f t="shared" ca="1" si="3"/>
        <v>0</v>
      </c>
    </row>
    <row r="71" spans="1:16" ht="22.5" customHeight="1">
      <c r="A71" s="32" t="str">
        <f>ChkList!$A65</f>
        <v>보안 관리</v>
      </c>
      <c r="B71" s="32" t="str">
        <f>ChkList!$B65</f>
        <v>W-61</v>
      </c>
      <c r="C71" s="21" t="str">
        <f>ChkList!$C65</f>
        <v>파일 및 디렉토리 보호</v>
      </c>
      <c r="D71" s="29" t="s">
        <v>98</v>
      </c>
      <c r="E71" s="54">
        <f t="shared" ref="E71:E86" si="4">IF(D71="H",3,IF(D71="M",2,IF(D71="L",1,"")))</f>
        <v>3</v>
      </c>
      <c r="F71" s="23">
        <f ca="1">COUNTA($M71:INDIRECT(ADDRESS(ROW(),MATCH("",$4:$4,-1),1,1)))</f>
        <v>4</v>
      </c>
      <c r="G71" s="23">
        <f ca="1">COUNTIF($M71:INDIRECT(ADDRESS(ROW(),MATCH("",$4:$4,-1),1,1)),"조치완료(Y)")+COUNTIF($M71:INDIRECT(ADDRESS(ROW(),MATCH("",$4:$4,-1),1,1)),"Y")</f>
        <v>0</v>
      </c>
      <c r="H71" s="23">
        <f ca="1">COUNTIF($M71:INDIRECT(ADDRESS(ROW(),MATCH("",$4:$4,-1),1,1)),"Y(즉시조치)")+COUNTIF($M71:INDIRECT(ADDRESS(ROW(),MATCH("",$4:$4,-1),1,1)),"조치완료(즉시조치)")</f>
        <v>0</v>
      </c>
      <c r="I71" s="23">
        <f ca="1">COUNTIF($M71:INDIRECT(ADDRESS(ROW(),MATCH("",$4:$4,-1),1,1)),"N")</f>
        <v>0</v>
      </c>
      <c r="J71" s="23">
        <f ca="1">COUNTIF($M71:INDIRECT(ADDRESS(ROW(),MATCH("",$4:$4,-1),1,1)),"N/A")+COUNTIF($M71:INDIRECT(ADDRESS(ROW(),MATCH("",$4:$4,-1),1,1)),"조치완료(N/A)")</f>
        <v>0</v>
      </c>
      <c r="K71" s="23">
        <f ca="1">VLOOKUP($D71,'parm(hidden)'!$B$8:$C$10,2,FALSE)*($F71-$J71)</f>
        <v>12</v>
      </c>
      <c r="L71" s="35">
        <f ca="1">VLOOKUP($D71,'parm(hidden)'!$B$8:$C$10,2,FALSE)*($G71+$H71)</f>
        <v>0</v>
      </c>
      <c r="M71" s="161">
        <f t="shared" ca="1" si="3"/>
        <v>0</v>
      </c>
      <c r="N71" s="161">
        <f t="shared" ca="1" si="3"/>
        <v>0</v>
      </c>
      <c r="O71" s="161">
        <f t="shared" ca="1" si="3"/>
        <v>0</v>
      </c>
      <c r="P71" s="161">
        <f t="shared" ca="1" si="3"/>
        <v>0</v>
      </c>
    </row>
    <row r="72" spans="1:16" ht="22.5" customHeight="1">
      <c r="A72" s="32" t="str">
        <f>ChkList!$A66</f>
        <v>보안 관리</v>
      </c>
      <c r="B72" s="32" t="str">
        <f>ChkList!$B66</f>
        <v>W-62</v>
      </c>
      <c r="C72" s="21" t="str">
        <f>ChkList!$C66</f>
        <v>시작 프로그램 목록 분석</v>
      </c>
      <c r="D72" s="29" t="s">
        <v>98</v>
      </c>
      <c r="E72" s="54">
        <f t="shared" si="4"/>
        <v>3</v>
      </c>
      <c r="F72" s="23">
        <f ca="1">COUNTA($M72:INDIRECT(ADDRESS(ROW(),MATCH("",$4:$4,-1),1,1)))</f>
        <v>4</v>
      </c>
      <c r="G72" s="23">
        <f ca="1">COUNTIF($M72:INDIRECT(ADDRESS(ROW(),MATCH("",$4:$4,-1),1,1)),"조치완료(Y)")+COUNTIF($M72:INDIRECT(ADDRESS(ROW(),MATCH("",$4:$4,-1),1,1)),"Y")</f>
        <v>0</v>
      </c>
      <c r="H72" s="23">
        <f ca="1">COUNTIF($M72:INDIRECT(ADDRESS(ROW(),MATCH("",$4:$4,-1),1,1)),"Y(즉시조치)")+COUNTIF($M72:INDIRECT(ADDRESS(ROW(),MATCH("",$4:$4,-1),1,1)),"조치완료(즉시조치)")</f>
        <v>0</v>
      </c>
      <c r="I72" s="23">
        <f ca="1">COUNTIF($M72:INDIRECT(ADDRESS(ROW(),MATCH("",$4:$4,-1),1,1)),"N")</f>
        <v>0</v>
      </c>
      <c r="J72" s="23">
        <f ca="1">COUNTIF($M72:INDIRECT(ADDRESS(ROW(),MATCH("",$4:$4,-1),1,1)),"N/A")+COUNTIF($M72:INDIRECT(ADDRESS(ROW(),MATCH("",$4:$4,-1),1,1)),"조치완료(N/A)")</f>
        <v>0</v>
      </c>
      <c r="K72" s="23">
        <f ca="1">VLOOKUP($D72,'parm(hidden)'!$B$8:$C$10,2,FALSE)*($F72-$J72)</f>
        <v>12</v>
      </c>
      <c r="L72" s="35">
        <f ca="1">VLOOKUP($D72,'parm(hidden)'!$B$8:$C$10,2,FALSE)*($G72+$H72)</f>
        <v>0</v>
      </c>
      <c r="M72" s="161">
        <f t="shared" ca="1" si="3"/>
        <v>0</v>
      </c>
      <c r="N72" s="161">
        <f ca="1">HYPERLINK("["&amp;MID(CELL("filename"),SEARCH("[",CELL("filename"))+1,SEARCH("]",CELL("filename"))-SEARCH("[",CELL("filename"))-1)&amp;"]"&amp;ADDRESS(ROW()+16,8,1,TRUE,N$4),INDIRECT(ADDRESS(ROW()+16,8,1,TRUE,N$4)))</f>
        <v>0</v>
      </c>
      <c r="O72" s="161">
        <f t="shared" ca="1" si="3"/>
        <v>0</v>
      </c>
      <c r="P72" s="161">
        <f ca="1">HYPERLINK("["&amp;MID(CELL("filename"),SEARCH("[",CELL("filename"))+1,SEARCH("]",CELL("filename"))-SEARCH("[",CELL("filename"))-1)&amp;"]"&amp;ADDRESS(ROW()+16,8,1,TRUE,P$4),INDIRECT(ADDRESS(ROW()+16,8,1,TRUE,P$4)))</f>
        <v>0</v>
      </c>
    </row>
    <row r="73" spans="1:16" ht="22.5" customHeight="1">
      <c r="A73" s="32" t="str">
        <f>ChkList!$A67</f>
        <v>보안 관리</v>
      </c>
      <c r="B73" s="32" t="str">
        <f>ChkList!$B67</f>
        <v>W-63</v>
      </c>
      <c r="C73" s="21" t="str">
        <f>ChkList!$C67</f>
        <v>도메인 컨트롤러-사용자의 시간 동기화</v>
      </c>
      <c r="D73" s="29" t="s">
        <v>98</v>
      </c>
      <c r="E73" s="54">
        <f t="shared" si="4"/>
        <v>3</v>
      </c>
      <c r="F73" s="23">
        <f ca="1">COUNTA($M73:INDIRECT(ADDRESS(ROW(),MATCH("",$4:$4,-1),1,1)))</f>
        <v>4</v>
      </c>
      <c r="G73" s="23">
        <f ca="1">COUNTIF($M73:INDIRECT(ADDRESS(ROW(),MATCH("",$4:$4,-1),1,1)),"조치완료(Y)")+COUNTIF($M73:INDIRECT(ADDRESS(ROW(),MATCH("",$4:$4,-1),1,1)),"Y")</f>
        <v>0</v>
      </c>
      <c r="H73" s="23">
        <f ca="1">COUNTIF($M73:INDIRECT(ADDRESS(ROW(),MATCH("",$4:$4,-1),1,1)),"Y(즉시조치)")+COUNTIF($M73:INDIRECT(ADDRESS(ROW(),MATCH("",$4:$4,-1),1,1)),"조치완료(즉시조치)")</f>
        <v>0</v>
      </c>
      <c r="I73" s="23">
        <f ca="1">COUNTIF($M73:INDIRECT(ADDRESS(ROW(),MATCH("",$4:$4,-1),1,1)),"N")</f>
        <v>0</v>
      </c>
      <c r="J73" s="23">
        <f ca="1">COUNTIF($M73:INDIRECT(ADDRESS(ROW(),MATCH("",$4:$4,-1),1,1)),"N/A")+COUNTIF($M73:INDIRECT(ADDRESS(ROW(),MATCH("",$4:$4,-1),1,1)),"조치완료(N/A)")</f>
        <v>0</v>
      </c>
      <c r="K73" s="23">
        <f ca="1">VLOOKUP($D73,'parm(hidden)'!$B$8:$C$10,2,FALSE)*($F73-$J73)</f>
        <v>12</v>
      </c>
      <c r="L73" s="35">
        <f ca="1">VLOOKUP($D73,'parm(hidden)'!$B$8:$C$10,2,FALSE)*($G73+$H73)</f>
        <v>0</v>
      </c>
      <c r="M73" s="161">
        <f t="shared" ca="1" si="3"/>
        <v>0</v>
      </c>
      <c r="N73" s="161">
        <f t="shared" ca="1" si="3"/>
        <v>0</v>
      </c>
      <c r="O73" s="161">
        <f t="shared" ca="1" si="3"/>
        <v>0</v>
      </c>
      <c r="P73" s="161">
        <f t="shared" ca="1" si="3"/>
        <v>0</v>
      </c>
    </row>
    <row r="74" spans="1:16" ht="22.5" customHeight="1">
      <c r="A74" s="32" t="str">
        <f>ChkList!$A68</f>
        <v>보안 관리</v>
      </c>
      <c r="B74" s="32" t="str">
        <f>ChkList!$B68</f>
        <v>W-64</v>
      </c>
      <c r="C74" s="21" t="str">
        <f>ChkList!$C68</f>
        <v>윈도우 방화벽 설정</v>
      </c>
      <c r="D74" s="29" t="s">
        <v>98</v>
      </c>
      <c r="E74" s="54">
        <f t="shared" si="4"/>
        <v>3</v>
      </c>
      <c r="F74" s="23">
        <f ca="1">COUNTA($M74:INDIRECT(ADDRESS(ROW(),MATCH("",$4:$4,-1),1,1)))</f>
        <v>4</v>
      </c>
      <c r="G74" s="23">
        <f ca="1">COUNTIF($M74:INDIRECT(ADDRESS(ROW(),MATCH("",$4:$4,-1),1,1)),"조치완료(Y)")+COUNTIF($M74:INDIRECT(ADDRESS(ROW(),MATCH("",$4:$4,-1),1,1)),"Y")</f>
        <v>0</v>
      </c>
      <c r="H74" s="23">
        <f ca="1">COUNTIF($M74:INDIRECT(ADDRESS(ROW(),MATCH("",$4:$4,-1),1,1)),"Y(즉시조치)")+COUNTIF($M74:INDIRECT(ADDRESS(ROW(),MATCH("",$4:$4,-1),1,1)),"조치완료(즉시조치)")</f>
        <v>0</v>
      </c>
      <c r="I74" s="23">
        <f ca="1">COUNTIF($M74:INDIRECT(ADDRESS(ROW(),MATCH("",$4:$4,-1),1,1)),"N")</f>
        <v>0</v>
      </c>
      <c r="J74" s="23">
        <f ca="1">COUNTIF($M74:INDIRECT(ADDRESS(ROW(),MATCH("",$4:$4,-1),1,1)),"N/A")+COUNTIF($M74:INDIRECT(ADDRESS(ROW(),MATCH("",$4:$4,-1),1,1)),"조치완료(N/A)")</f>
        <v>0</v>
      </c>
      <c r="K74" s="23">
        <f ca="1">VLOOKUP($D74,'parm(hidden)'!$B$8:$C$10,2,FALSE)*($F74-$J74)</f>
        <v>12</v>
      </c>
      <c r="L74" s="35">
        <f ca="1">VLOOKUP($D74,'parm(hidden)'!$B$8:$C$10,2,FALSE)*($G74+$H74)</f>
        <v>0</v>
      </c>
      <c r="M74" s="161">
        <f t="shared" ref="M74:P86" ca="1" si="5">HYPERLINK("["&amp;MID(CELL("filename"),SEARCH("[",CELL("filename"))+1,SEARCH("]",CELL("filename"))-SEARCH("[",CELL("filename"))-1)&amp;"]"&amp;ADDRESS(ROW()+16,8,1,TRUE,M$4),INDIRECT(ADDRESS(ROW()+16,8,1,TRUE,M$4)))</f>
        <v>0</v>
      </c>
      <c r="N74" s="161">
        <f t="shared" ca="1" si="5"/>
        <v>0</v>
      </c>
      <c r="O74" s="161">
        <f t="shared" ca="1" si="5"/>
        <v>0</v>
      </c>
      <c r="P74" s="161">
        <f t="shared" ca="1" si="5"/>
        <v>0</v>
      </c>
    </row>
    <row r="75" spans="1:16" ht="22.5" customHeight="1">
      <c r="A75" s="32" t="e">
        <f>ChkList!#REF!</f>
        <v>#REF!</v>
      </c>
      <c r="B75" s="32" t="e">
        <f>ChkList!#REF!</f>
        <v>#REF!</v>
      </c>
      <c r="C75" s="21" t="e">
        <f>ChkList!#REF!</f>
        <v>#REF!</v>
      </c>
      <c r="D75" s="29" t="s">
        <v>98</v>
      </c>
      <c r="E75" s="54">
        <f t="shared" si="4"/>
        <v>3</v>
      </c>
      <c r="F75" s="23">
        <f ca="1">COUNTA($M75:INDIRECT(ADDRESS(ROW(),MATCH("",$4:$4,-1),1,1)))</f>
        <v>4</v>
      </c>
      <c r="G75" s="23">
        <f ca="1">COUNTIF($M75:INDIRECT(ADDRESS(ROW(),MATCH("",$4:$4,-1),1,1)),"조치완료(Y)")+COUNTIF($M75:INDIRECT(ADDRESS(ROW(),MATCH("",$4:$4,-1),1,1)),"Y")</f>
        <v>0</v>
      </c>
      <c r="H75" s="23">
        <f ca="1">COUNTIF($M75:INDIRECT(ADDRESS(ROW(),MATCH("",$4:$4,-1),1,1)),"Y(즉시조치)")+COUNTIF($M75:INDIRECT(ADDRESS(ROW(),MATCH("",$4:$4,-1),1,1)),"조치완료(즉시조치)")</f>
        <v>0</v>
      </c>
      <c r="I75" s="23">
        <f ca="1">COUNTIF($M75:INDIRECT(ADDRESS(ROW(),MATCH("",$4:$4,-1),1,1)),"N")</f>
        <v>0</v>
      </c>
      <c r="J75" s="23">
        <f ca="1">COUNTIF($M75:INDIRECT(ADDRESS(ROW(),MATCH("",$4:$4,-1),1,1)),"N/A")+COUNTIF($M75:INDIRECT(ADDRESS(ROW(),MATCH("",$4:$4,-1),1,1)),"조치완료(N/A)")</f>
        <v>0</v>
      </c>
      <c r="K75" s="23">
        <f ca="1">VLOOKUP($D75,'parm(hidden)'!$B$8:$C$10,2,FALSE)*($F75-$J75)</f>
        <v>12</v>
      </c>
      <c r="L75" s="35">
        <f ca="1">VLOOKUP($D75,'parm(hidden)'!$B$8:$C$10,2,FALSE)*($G75+$H75)</f>
        <v>0</v>
      </c>
      <c r="M75" s="161">
        <f t="shared" ca="1" si="5"/>
        <v>0</v>
      </c>
      <c r="N75" s="161">
        <f t="shared" ca="1" si="5"/>
        <v>0</v>
      </c>
      <c r="O75" s="161">
        <f t="shared" ca="1" si="5"/>
        <v>0</v>
      </c>
      <c r="P75" s="161">
        <f t="shared" ca="1" si="5"/>
        <v>0</v>
      </c>
    </row>
    <row r="76" spans="1:16" ht="22.5" customHeight="1">
      <c r="A76" s="32" t="e">
        <f>ChkList!#REF!</f>
        <v>#REF!</v>
      </c>
      <c r="B76" s="32" t="e">
        <f>ChkList!#REF!</f>
        <v>#REF!</v>
      </c>
      <c r="C76" s="21" t="e">
        <f>ChkList!#REF!</f>
        <v>#REF!</v>
      </c>
      <c r="D76" s="29" t="s">
        <v>98</v>
      </c>
      <c r="E76" s="54">
        <f t="shared" si="4"/>
        <v>3</v>
      </c>
      <c r="F76" s="23">
        <f ca="1">COUNTA($M76:INDIRECT(ADDRESS(ROW(),MATCH("",$4:$4,-1),1,1)))</f>
        <v>4</v>
      </c>
      <c r="G76" s="23">
        <f ca="1">COUNTIF($M76:INDIRECT(ADDRESS(ROW(),MATCH("",$4:$4,-1),1,1)),"조치완료(Y)")+COUNTIF($M76:INDIRECT(ADDRESS(ROW(),MATCH("",$4:$4,-1),1,1)),"Y")</f>
        <v>0</v>
      </c>
      <c r="H76" s="23">
        <f ca="1">COUNTIF($M76:INDIRECT(ADDRESS(ROW(),MATCH("",$4:$4,-1),1,1)),"Y(즉시조치)")+COUNTIF($M76:INDIRECT(ADDRESS(ROW(),MATCH("",$4:$4,-1),1,1)),"조치완료(즉시조치)")</f>
        <v>0</v>
      </c>
      <c r="I76" s="23">
        <f ca="1">COUNTIF($M76:INDIRECT(ADDRESS(ROW(),MATCH("",$4:$4,-1),1,1)),"N")</f>
        <v>0</v>
      </c>
      <c r="J76" s="23">
        <f ca="1">COUNTIF($M76:INDIRECT(ADDRESS(ROW(),MATCH("",$4:$4,-1),1,1)),"N/A")+COUNTIF($M76:INDIRECT(ADDRESS(ROW(),MATCH("",$4:$4,-1),1,1)),"조치완료(N/A)")</f>
        <v>0</v>
      </c>
      <c r="K76" s="23">
        <f ca="1">VLOOKUP($D76,'parm(hidden)'!$B$8:$C$10,2,FALSE)*($F76-$J76)</f>
        <v>12</v>
      </c>
      <c r="L76" s="35">
        <f ca="1">VLOOKUP($D76,'parm(hidden)'!$B$8:$C$10,2,FALSE)*($G76+$H76)</f>
        <v>0</v>
      </c>
      <c r="M76" s="161">
        <f t="shared" ca="1" si="5"/>
        <v>0</v>
      </c>
      <c r="N76" s="161">
        <f t="shared" ca="1" si="5"/>
        <v>0</v>
      </c>
      <c r="O76" s="161">
        <f t="shared" ca="1" si="5"/>
        <v>0</v>
      </c>
      <c r="P76" s="161">
        <f t="shared" ca="1" si="5"/>
        <v>0</v>
      </c>
    </row>
    <row r="77" spans="1:16" ht="22.5" customHeight="1">
      <c r="A77" s="32" t="e">
        <f>ChkList!#REF!</f>
        <v>#REF!</v>
      </c>
      <c r="B77" s="32" t="e">
        <f>ChkList!#REF!</f>
        <v>#REF!</v>
      </c>
      <c r="C77" s="21" t="e">
        <f>ChkList!#REF!</f>
        <v>#REF!</v>
      </c>
      <c r="D77" s="29" t="s">
        <v>87</v>
      </c>
      <c r="E77" s="54">
        <f t="shared" si="4"/>
        <v>2</v>
      </c>
      <c r="F77" s="23">
        <f ca="1">COUNTA($M77:INDIRECT(ADDRESS(ROW(),MATCH("",$4:$4,-1),1,1)))</f>
        <v>4</v>
      </c>
      <c r="G77" s="23">
        <f ca="1">COUNTIF($M77:INDIRECT(ADDRESS(ROW(),MATCH("",$4:$4,-1),1,1)),"조치완료(Y)")+COUNTIF($M77:INDIRECT(ADDRESS(ROW(),MATCH("",$4:$4,-1),1,1)),"Y")</f>
        <v>0</v>
      </c>
      <c r="H77" s="23">
        <f ca="1">COUNTIF($M77:INDIRECT(ADDRESS(ROW(),MATCH("",$4:$4,-1),1,1)),"Y(즉시조치)")+COUNTIF($M77:INDIRECT(ADDRESS(ROW(),MATCH("",$4:$4,-1),1,1)),"조치완료(즉시조치)")</f>
        <v>0</v>
      </c>
      <c r="I77" s="23">
        <f ca="1">COUNTIF($M77:INDIRECT(ADDRESS(ROW(),MATCH("",$4:$4,-1),1,1)),"N")</f>
        <v>0</v>
      </c>
      <c r="J77" s="23">
        <f ca="1">COUNTIF($M77:INDIRECT(ADDRESS(ROW(),MATCH("",$4:$4,-1),1,1)),"N/A")+COUNTIF($M77:INDIRECT(ADDRESS(ROW(),MATCH("",$4:$4,-1),1,1)),"조치완료(N/A)")</f>
        <v>0</v>
      </c>
      <c r="K77" s="23">
        <f ca="1">VLOOKUP($D77,'parm(hidden)'!$B$8:$C$10,2,FALSE)*($F77-$J77)</f>
        <v>8</v>
      </c>
      <c r="L77" s="35">
        <f ca="1">VLOOKUP($D77,'parm(hidden)'!$B$8:$C$10,2,FALSE)*($G77+$H77)</f>
        <v>0</v>
      </c>
      <c r="M77" s="161">
        <f t="shared" ca="1" si="5"/>
        <v>0</v>
      </c>
      <c r="N77" s="161">
        <f t="shared" ca="1" si="5"/>
        <v>0</v>
      </c>
      <c r="O77" s="161">
        <f t="shared" ca="1" si="5"/>
        <v>0</v>
      </c>
      <c r="P77" s="161">
        <f t="shared" ca="1" si="5"/>
        <v>0</v>
      </c>
    </row>
    <row r="78" spans="1:16" ht="22.5" customHeight="1">
      <c r="A78" s="32" t="e">
        <f>ChkList!#REF!</f>
        <v>#REF!</v>
      </c>
      <c r="B78" s="32" t="e">
        <f>ChkList!#REF!</f>
        <v>#REF!</v>
      </c>
      <c r="C78" s="21" t="e">
        <f>ChkList!#REF!</f>
        <v>#REF!</v>
      </c>
      <c r="D78" s="29" t="s">
        <v>87</v>
      </c>
      <c r="E78" s="54">
        <f t="shared" si="4"/>
        <v>2</v>
      </c>
      <c r="F78" s="23">
        <f ca="1">COUNTA($M78:INDIRECT(ADDRESS(ROW(),MATCH("",$4:$4,-1),1,1)))</f>
        <v>4</v>
      </c>
      <c r="G78" s="23">
        <f ca="1">COUNTIF($M78:INDIRECT(ADDRESS(ROW(),MATCH("",$4:$4,-1),1,1)),"조치완료(Y)")+COUNTIF($M78:INDIRECT(ADDRESS(ROW(),MATCH("",$4:$4,-1),1,1)),"Y")</f>
        <v>0</v>
      </c>
      <c r="H78" s="23">
        <f ca="1">COUNTIF($M78:INDIRECT(ADDRESS(ROW(),MATCH("",$4:$4,-1),1,1)),"Y(즉시조치)")+COUNTIF($M78:INDIRECT(ADDRESS(ROW(),MATCH("",$4:$4,-1),1,1)),"조치완료(즉시조치)")</f>
        <v>0</v>
      </c>
      <c r="I78" s="23">
        <f ca="1">COUNTIF($M78:INDIRECT(ADDRESS(ROW(),MATCH("",$4:$4,-1),1,1)),"N")</f>
        <v>0</v>
      </c>
      <c r="J78" s="23">
        <f ca="1">COUNTIF($M78:INDIRECT(ADDRESS(ROW(),MATCH("",$4:$4,-1),1,1)),"N/A")+COUNTIF($M78:INDIRECT(ADDRESS(ROW(),MATCH("",$4:$4,-1),1,1)),"조치완료(N/A)")</f>
        <v>0</v>
      </c>
      <c r="K78" s="23">
        <f ca="1">VLOOKUP($D78,'parm(hidden)'!$B$8:$C$10,2,FALSE)*($F78-$J78)</f>
        <v>8</v>
      </c>
      <c r="L78" s="35">
        <f ca="1">VLOOKUP($D78,'parm(hidden)'!$B$8:$C$10,2,FALSE)*($G78+$H78)</f>
        <v>0</v>
      </c>
      <c r="M78" s="161">
        <f t="shared" ca="1" si="5"/>
        <v>0</v>
      </c>
      <c r="N78" s="161">
        <f t="shared" ca="1" si="5"/>
        <v>0</v>
      </c>
      <c r="O78" s="161">
        <f t="shared" ca="1" si="5"/>
        <v>0</v>
      </c>
      <c r="P78" s="161">
        <f t="shared" ca="1" si="5"/>
        <v>0</v>
      </c>
    </row>
    <row r="79" spans="1:16" ht="22.5" customHeight="1">
      <c r="A79" s="32" t="e">
        <f>ChkList!#REF!</f>
        <v>#REF!</v>
      </c>
      <c r="B79" s="32" t="e">
        <f>ChkList!#REF!</f>
        <v>#REF!</v>
      </c>
      <c r="C79" s="21" t="e">
        <f>ChkList!#REF!</f>
        <v>#REF!</v>
      </c>
      <c r="D79" s="29" t="s">
        <v>87</v>
      </c>
      <c r="E79" s="54">
        <f t="shared" si="4"/>
        <v>2</v>
      </c>
      <c r="F79" s="23">
        <f ca="1">COUNTA($M79:INDIRECT(ADDRESS(ROW(),MATCH("",$4:$4,-1),1,1)))</f>
        <v>4</v>
      </c>
      <c r="G79" s="23">
        <f ca="1">COUNTIF($M79:INDIRECT(ADDRESS(ROW(),MATCH("",$4:$4,-1),1,1)),"조치완료(Y)")+COUNTIF($M79:INDIRECT(ADDRESS(ROW(),MATCH("",$4:$4,-1),1,1)),"Y")</f>
        <v>0</v>
      </c>
      <c r="H79" s="23">
        <f ca="1">COUNTIF($M79:INDIRECT(ADDRESS(ROW(),MATCH("",$4:$4,-1),1,1)),"Y(즉시조치)")+COUNTIF($M79:INDIRECT(ADDRESS(ROW(),MATCH("",$4:$4,-1),1,1)),"조치완료(즉시조치)")</f>
        <v>0</v>
      </c>
      <c r="I79" s="23">
        <f ca="1">COUNTIF($M79:INDIRECT(ADDRESS(ROW(),MATCH("",$4:$4,-1),1,1)),"N")</f>
        <v>0</v>
      </c>
      <c r="J79" s="23">
        <f ca="1">COUNTIF($M79:INDIRECT(ADDRESS(ROW(),MATCH("",$4:$4,-1),1,1)),"N/A")+COUNTIF($M79:INDIRECT(ADDRESS(ROW(),MATCH("",$4:$4,-1),1,1)),"조치완료(N/A)")</f>
        <v>0</v>
      </c>
      <c r="K79" s="23">
        <f ca="1">VLOOKUP($D79,'parm(hidden)'!$B$8:$C$10,2,FALSE)*($F79-$J79)</f>
        <v>8</v>
      </c>
      <c r="L79" s="35">
        <f ca="1">VLOOKUP($D79,'parm(hidden)'!$B$8:$C$10,2,FALSE)*($G79+$H79)</f>
        <v>0</v>
      </c>
      <c r="M79" s="161">
        <f t="shared" ca="1" si="5"/>
        <v>0</v>
      </c>
      <c r="N79" s="161">
        <f t="shared" ca="1" si="5"/>
        <v>0</v>
      </c>
      <c r="O79" s="161">
        <f t="shared" ca="1" si="5"/>
        <v>0</v>
      </c>
      <c r="P79" s="161">
        <f t="shared" ca="1" si="5"/>
        <v>0</v>
      </c>
    </row>
    <row r="80" spans="1:16" ht="22.5" customHeight="1">
      <c r="A80" s="32" t="e">
        <f>ChkList!#REF!</f>
        <v>#REF!</v>
      </c>
      <c r="B80" s="32" t="e">
        <f>ChkList!#REF!</f>
        <v>#REF!</v>
      </c>
      <c r="C80" s="21" t="e">
        <f>ChkList!#REF!</f>
        <v>#REF!</v>
      </c>
      <c r="D80" s="29" t="s">
        <v>69</v>
      </c>
      <c r="E80" s="54">
        <f t="shared" si="4"/>
        <v>1</v>
      </c>
      <c r="F80" s="23">
        <f ca="1">COUNTA($M80:INDIRECT(ADDRESS(ROW(),MATCH("",$4:$4,-1),1,1)))</f>
        <v>4</v>
      </c>
      <c r="G80" s="23">
        <f ca="1">COUNTIF($M80:INDIRECT(ADDRESS(ROW(),MATCH("",$4:$4,-1),1,1)),"조치완료(Y)")+COUNTIF($M80:INDIRECT(ADDRESS(ROW(),MATCH("",$4:$4,-1),1,1)),"Y")</f>
        <v>0</v>
      </c>
      <c r="H80" s="23">
        <f ca="1">COUNTIF($M80:INDIRECT(ADDRESS(ROW(),MATCH("",$4:$4,-1),1,1)),"Y(즉시조치)")+COUNTIF($M80:INDIRECT(ADDRESS(ROW(),MATCH("",$4:$4,-1),1,1)),"조치완료(즉시조치)")</f>
        <v>0</v>
      </c>
      <c r="I80" s="23">
        <f ca="1">COUNTIF($M80:INDIRECT(ADDRESS(ROW(),MATCH("",$4:$4,-1),1,1)),"N")</f>
        <v>0</v>
      </c>
      <c r="J80" s="23">
        <f ca="1">COUNTIF($M80:INDIRECT(ADDRESS(ROW(),MATCH("",$4:$4,-1),1,1)),"N/A")+COUNTIF($M80:INDIRECT(ADDRESS(ROW(),MATCH("",$4:$4,-1),1,1)),"조치완료(N/A)")</f>
        <v>0</v>
      </c>
      <c r="K80" s="23">
        <f ca="1">VLOOKUP($D80,'parm(hidden)'!$B$8:$C$10,2,FALSE)*($F80-$J80)</f>
        <v>4</v>
      </c>
      <c r="L80" s="35">
        <f ca="1">VLOOKUP($D80,'parm(hidden)'!$B$8:$C$10,2,FALSE)*($G80+$H80)</f>
        <v>0</v>
      </c>
      <c r="M80" s="161">
        <f t="shared" ca="1" si="5"/>
        <v>0</v>
      </c>
      <c r="N80" s="161">
        <f t="shared" ca="1" si="5"/>
        <v>0</v>
      </c>
      <c r="O80" s="161">
        <f t="shared" ca="1" si="5"/>
        <v>0</v>
      </c>
      <c r="P80" s="161">
        <f t="shared" ca="1" si="5"/>
        <v>0</v>
      </c>
    </row>
    <row r="81" spans="1:16" ht="22.5" customHeight="1">
      <c r="A81" s="32" t="e">
        <f>ChkList!#REF!</f>
        <v>#REF!</v>
      </c>
      <c r="B81" s="32" t="e">
        <f>ChkList!#REF!</f>
        <v>#REF!</v>
      </c>
      <c r="C81" s="21" t="e">
        <f>ChkList!#REF!</f>
        <v>#REF!</v>
      </c>
      <c r="D81" s="29" t="s">
        <v>87</v>
      </c>
      <c r="E81" s="54">
        <f t="shared" si="4"/>
        <v>2</v>
      </c>
      <c r="F81" s="23">
        <f ca="1">COUNTA($M81:INDIRECT(ADDRESS(ROW(),MATCH("",$4:$4,-1),1,1)))</f>
        <v>4</v>
      </c>
      <c r="G81" s="23">
        <f ca="1">COUNTIF($M81:INDIRECT(ADDRESS(ROW(),MATCH("",$4:$4,-1),1,1)),"조치완료(Y)")+COUNTIF($M81:INDIRECT(ADDRESS(ROW(),MATCH("",$4:$4,-1),1,1)),"Y")</f>
        <v>0</v>
      </c>
      <c r="H81" s="23">
        <f ca="1">COUNTIF($M81:INDIRECT(ADDRESS(ROW(),MATCH("",$4:$4,-1),1,1)),"Y(즉시조치)")+COUNTIF($M81:INDIRECT(ADDRESS(ROW(),MATCH("",$4:$4,-1),1,1)),"조치완료(즉시조치)")</f>
        <v>0</v>
      </c>
      <c r="I81" s="23">
        <f ca="1">COUNTIF($M81:INDIRECT(ADDRESS(ROW(),MATCH("",$4:$4,-1),1,1)),"N")</f>
        <v>0</v>
      </c>
      <c r="J81" s="23">
        <f ca="1">COUNTIF($M81:INDIRECT(ADDRESS(ROW(),MATCH("",$4:$4,-1),1,1)),"N/A")+COUNTIF($M81:INDIRECT(ADDRESS(ROW(),MATCH("",$4:$4,-1),1,1)),"조치완료(N/A)")</f>
        <v>0</v>
      </c>
      <c r="K81" s="23">
        <f ca="1">VLOOKUP($D81,'parm(hidden)'!$B$8:$C$10,2,FALSE)*($F81-$J81)</f>
        <v>8</v>
      </c>
      <c r="L81" s="35">
        <f ca="1">VLOOKUP($D81,'parm(hidden)'!$B$8:$C$10,2,FALSE)*($G81+$H81)</f>
        <v>0</v>
      </c>
      <c r="M81" s="161">
        <f t="shared" ca="1" si="5"/>
        <v>0</v>
      </c>
      <c r="N81" s="161">
        <f t="shared" ca="1" si="5"/>
        <v>0</v>
      </c>
      <c r="O81" s="161">
        <f t="shared" ca="1" si="5"/>
        <v>0</v>
      </c>
      <c r="P81" s="161">
        <f t="shared" ca="1" si="5"/>
        <v>0</v>
      </c>
    </row>
    <row r="82" spans="1:16" ht="22.5" customHeight="1">
      <c r="A82" s="32" t="e">
        <f>ChkList!#REF!</f>
        <v>#REF!</v>
      </c>
      <c r="B82" s="32" t="e">
        <f>ChkList!#REF!</f>
        <v>#REF!</v>
      </c>
      <c r="C82" s="21" t="e">
        <f>ChkList!#REF!</f>
        <v>#REF!</v>
      </c>
      <c r="D82" s="29" t="s">
        <v>87</v>
      </c>
      <c r="E82" s="54">
        <f t="shared" si="4"/>
        <v>2</v>
      </c>
      <c r="F82" s="23">
        <f ca="1">COUNTA($M82:INDIRECT(ADDRESS(ROW(),MATCH("",$4:$4,-1),1,1)))</f>
        <v>4</v>
      </c>
      <c r="G82" s="23">
        <f ca="1">COUNTIF($M82:INDIRECT(ADDRESS(ROW(),MATCH("",$4:$4,-1),1,1)),"조치완료(Y)")+COUNTIF($M82:INDIRECT(ADDRESS(ROW(),MATCH("",$4:$4,-1),1,1)),"Y")</f>
        <v>0</v>
      </c>
      <c r="H82" s="23">
        <f ca="1">COUNTIF($M82:INDIRECT(ADDRESS(ROW(),MATCH("",$4:$4,-1),1,1)),"Y(즉시조치)")+COUNTIF($M82:INDIRECT(ADDRESS(ROW(),MATCH("",$4:$4,-1),1,1)),"조치완료(즉시조치)")</f>
        <v>0</v>
      </c>
      <c r="I82" s="23">
        <f ca="1">COUNTIF($M82:INDIRECT(ADDRESS(ROW(),MATCH("",$4:$4,-1),1,1)),"N")</f>
        <v>0</v>
      </c>
      <c r="J82" s="23">
        <f ca="1">COUNTIF($M82:INDIRECT(ADDRESS(ROW(),MATCH("",$4:$4,-1),1,1)),"N/A")+COUNTIF($M82:INDIRECT(ADDRESS(ROW(),MATCH("",$4:$4,-1),1,1)),"조치완료(N/A)")</f>
        <v>0</v>
      </c>
      <c r="K82" s="23">
        <f ca="1">VLOOKUP($D82,'parm(hidden)'!$B$8:$C$10,2,FALSE)*($F82-$J82)</f>
        <v>8</v>
      </c>
      <c r="L82" s="35">
        <f ca="1">VLOOKUP($D82,'parm(hidden)'!$B$8:$C$10,2,FALSE)*($G82+$H82)</f>
        <v>0</v>
      </c>
      <c r="M82" s="161">
        <f t="shared" ca="1" si="5"/>
        <v>0</v>
      </c>
      <c r="N82" s="161">
        <f t="shared" ca="1" si="5"/>
        <v>0</v>
      </c>
      <c r="O82" s="161">
        <f t="shared" ca="1" si="5"/>
        <v>0</v>
      </c>
      <c r="P82" s="161">
        <f t="shared" ca="1" si="5"/>
        <v>0</v>
      </c>
    </row>
    <row r="83" spans="1:16" ht="22.5" customHeight="1">
      <c r="A83" s="32" t="e">
        <f>ChkList!#REF!</f>
        <v>#REF!</v>
      </c>
      <c r="B83" s="32" t="e">
        <f>ChkList!#REF!</f>
        <v>#REF!</v>
      </c>
      <c r="C83" s="21" t="e">
        <f>ChkList!#REF!</f>
        <v>#REF!</v>
      </c>
      <c r="D83" s="29" t="s">
        <v>87</v>
      </c>
      <c r="E83" s="54">
        <f t="shared" si="4"/>
        <v>2</v>
      </c>
      <c r="F83" s="23">
        <f ca="1">COUNTA($M83:INDIRECT(ADDRESS(ROW(),MATCH("",$4:$4,-1),1,1)))</f>
        <v>4</v>
      </c>
      <c r="G83" s="23">
        <f ca="1">COUNTIF($M83:INDIRECT(ADDRESS(ROW(),MATCH("",$4:$4,-1),1,1)),"조치완료(Y)")+COUNTIF($M83:INDIRECT(ADDRESS(ROW(),MATCH("",$4:$4,-1),1,1)),"Y")</f>
        <v>0</v>
      </c>
      <c r="H83" s="23">
        <f ca="1">COUNTIF($M83:INDIRECT(ADDRESS(ROW(),MATCH("",$4:$4,-1),1,1)),"Y(즉시조치)")+COUNTIF($M83:INDIRECT(ADDRESS(ROW(),MATCH("",$4:$4,-1),1,1)),"조치완료(즉시조치)")</f>
        <v>0</v>
      </c>
      <c r="I83" s="23">
        <f ca="1">COUNTIF($M83:INDIRECT(ADDRESS(ROW(),MATCH("",$4:$4,-1),1,1)),"N")</f>
        <v>0</v>
      </c>
      <c r="J83" s="23">
        <f ca="1">COUNTIF($M83:INDIRECT(ADDRESS(ROW(),MATCH("",$4:$4,-1),1,1)),"N/A")+COUNTIF($M83:INDIRECT(ADDRESS(ROW(),MATCH("",$4:$4,-1),1,1)),"조치완료(N/A)")</f>
        <v>0</v>
      </c>
      <c r="K83" s="23">
        <f ca="1">VLOOKUP($D83,'parm(hidden)'!$B$8:$C$10,2,FALSE)*($F83-$J83)</f>
        <v>8</v>
      </c>
      <c r="L83" s="35">
        <f ca="1">VLOOKUP($D83,'parm(hidden)'!$B$8:$C$10,2,FALSE)*($G83+$H83)</f>
        <v>0</v>
      </c>
      <c r="M83" s="161">
        <f t="shared" ca="1" si="5"/>
        <v>0</v>
      </c>
      <c r="N83" s="161">
        <f t="shared" ca="1" si="5"/>
        <v>0</v>
      </c>
      <c r="O83" s="161">
        <f t="shared" ca="1" si="5"/>
        <v>0</v>
      </c>
      <c r="P83" s="161">
        <f t="shared" ca="1" si="5"/>
        <v>0</v>
      </c>
    </row>
    <row r="84" spans="1:16" ht="22.5" customHeight="1">
      <c r="A84" s="32" t="e">
        <f>ChkList!#REF!</f>
        <v>#REF!</v>
      </c>
      <c r="B84" s="32" t="e">
        <f>ChkList!#REF!</f>
        <v>#REF!</v>
      </c>
      <c r="C84" s="21" t="e">
        <f>ChkList!#REF!</f>
        <v>#REF!</v>
      </c>
      <c r="D84" s="29" t="s">
        <v>87</v>
      </c>
      <c r="E84" s="54">
        <f t="shared" si="4"/>
        <v>2</v>
      </c>
      <c r="F84" s="23">
        <f ca="1">COUNTA($M84:INDIRECT(ADDRESS(ROW(),MATCH("",$4:$4,-1),1,1)))</f>
        <v>4</v>
      </c>
      <c r="G84" s="23">
        <f ca="1">COUNTIF($M84:INDIRECT(ADDRESS(ROW(),MATCH("",$4:$4,-1),1,1)),"조치완료(Y)")+COUNTIF($M84:INDIRECT(ADDRESS(ROW(),MATCH("",$4:$4,-1),1,1)),"Y")</f>
        <v>0</v>
      </c>
      <c r="H84" s="23">
        <f ca="1">COUNTIF($M84:INDIRECT(ADDRESS(ROW(),MATCH("",$4:$4,-1),1,1)),"Y(즉시조치)")+COUNTIF($M84:INDIRECT(ADDRESS(ROW(),MATCH("",$4:$4,-1),1,1)),"조치완료(즉시조치)")</f>
        <v>0</v>
      </c>
      <c r="I84" s="23">
        <f ca="1">COUNTIF($M84:INDIRECT(ADDRESS(ROW(),MATCH("",$4:$4,-1),1,1)),"N")</f>
        <v>0</v>
      </c>
      <c r="J84" s="23">
        <f ca="1">COUNTIF($M84:INDIRECT(ADDRESS(ROW(),MATCH("",$4:$4,-1),1,1)),"N/A")+COUNTIF($M84:INDIRECT(ADDRESS(ROW(),MATCH("",$4:$4,-1),1,1)),"조치완료(N/A)")</f>
        <v>0</v>
      </c>
      <c r="K84" s="23">
        <f ca="1">VLOOKUP($D84,'parm(hidden)'!$B$8:$C$10,2,FALSE)*($F84-$J84)</f>
        <v>8</v>
      </c>
      <c r="L84" s="35">
        <f ca="1">VLOOKUP($D84,'parm(hidden)'!$B$8:$C$10,2,FALSE)*($G84+$H84)</f>
        <v>0</v>
      </c>
      <c r="M84" s="161">
        <f t="shared" ca="1" si="5"/>
        <v>0</v>
      </c>
      <c r="N84" s="161">
        <f t="shared" ca="1" si="5"/>
        <v>0</v>
      </c>
      <c r="O84" s="161">
        <f t="shared" ca="1" si="5"/>
        <v>0</v>
      </c>
      <c r="P84" s="161">
        <f t="shared" ca="1" si="5"/>
        <v>0</v>
      </c>
    </row>
    <row r="85" spans="1:16" ht="22.5" customHeight="1">
      <c r="A85" s="32" t="e">
        <f>ChkList!#REF!</f>
        <v>#REF!</v>
      </c>
      <c r="B85" s="32" t="e">
        <f>ChkList!#REF!</f>
        <v>#REF!</v>
      </c>
      <c r="C85" s="21" t="e">
        <f>ChkList!#REF!</f>
        <v>#REF!</v>
      </c>
      <c r="D85" s="29" t="s">
        <v>87</v>
      </c>
      <c r="E85" s="54">
        <f t="shared" si="4"/>
        <v>2</v>
      </c>
      <c r="F85" s="23">
        <f ca="1">COUNTA($M85:INDIRECT(ADDRESS(ROW(),MATCH("",$4:$4,-1),1,1)))</f>
        <v>4</v>
      </c>
      <c r="G85" s="23">
        <f ca="1">COUNTIF($M85:INDIRECT(ADDRESS(ROW(),MATCH("",$4:$4,-1),1,1)),"조치완료(Y)")+COUNTIF($M85:INDIRECT(ADDRESS(ROW(),MATCH("",$4:$4,-1),1,1)),"Y")</f>
        <v>0</v>
      </c>
      <c r="H85" s="23">
        <f ca="1">COUNTIF($M85:INDIRECT(ADDRESS(ROW(),MATCH("",$4:$4,-1),1,1)),"Y(즉시조치)")+COUNTIF($M85:INDIRECT(ADDRESS(ROW(),MATCH("",$4:$4,-1),1,1)),"조치완료(즉시조치)")</f>
        <v>0</v>
      </c>
      <c r="I85" s="23">
        <f ca="1">COUNTIF($M85:INDIRECT(ADDRESS(ROW(),MATCH("",$4:$4,-1),1,1)),"N")</f>
        <v>0</v>
      </c>
      <c r="J85" s="23">
        <f ca="1">COUNTIF($M85:INDIRECT(ADDRESS(ROW(),MATCH("",$4:$4,-1),1,1)),"N/A")+COUNTIF($M85:INDIRECT(ADDRESS(ROW(),MATCH("",$4:$4,-1),1,1)),"조치완료(N/A)")</f>
        <v>0</v>
      </c>
      <c r="K85" s="23">
        <f ca="1">VLOOKUP($D85,'parm(hidden)'!$B$8:$C$10,2,FALSE)*($F85-$J85)</f>
        <v>8</v>
      </c>
      <c r="L85" s="35">
        <f ca="1">VLOOKUP($D85,'parm(hidden)'!$B$8:$C$10,2,FALSE)*($G85+$H85)</f>
        <v>0</v>
      </c>
      <c r="M85" s="161">
        <f t="shared" ca="1" si="5"/>
        <v>0</v>
      </c>
      <c r="N85" s="161">
        <f t="shared" ca="1" si="5"/>
        <v>0</v>
      </c>
      <c r="O85" s="161">
        <f t="shared" ca="1" si="5"/>
        <v>0</v>
      </c>
      <c r="P85" s="161">
        <f t="shared" ca="1" si="5"/>
        <v>0</v>
      </c>
    </row>
    <row r="86" spans="1:16" ht="22.5" customHeight="1">
      <c r="A86" s="32" t="e">
        <f>ChkList!#REF!</f>
        <v>#REF!</v>
      </c>
      <c r="B86" s="32" t="e">
        <f>ChkList!#REF!</f>
        <v>#REF!</v>
      </c>
      <c r="C86" s="21" t="e">
        <f>ChkList!#REF!</f>
        <v>#REF!</v>
      </c>
      <c r="D86" s="29" t="s">
        <v>87</v>
      </c>
      <c r="E86" s="54">
        <f t="shared" si="4"/>
        <v>2</v>
      </c>
      <c r="F86" s="23">
        <f ca="1">COUNTA($M86:INDIRECT(ADDRESS(ROW(),MATCH("",$4:$4,-1),1,1)))</f>
        <v>4</v>
      </c>
      <c r="G86" s="23">
        <f ca="1">COUNTIF($M86:INDIRECT(ADDRESS(ROW(),MATCH("",$4:$4,-1),1,1)),"조치완료(Y)")+COUNTIF($M86:INDIRECT(ADDRESS(ROW(),MATCH("",$4:$4,-1),1,1)),"Y")</f>
        <v>0</v>
      </c>
      <c r="H86" s="23">
        <f ca="1">COUNTIF($M86:INDIRECT(ADDRESS(ROW(),MATCH("",$4:$4,-1),1,1)),"Y(즉시조치)")+COUNTIF($M86:INDIRECT(ADDRESS(ROW(),MATCH("",$4:$4,-1),1,1)),"조치완료(즉시조치)")</f>
        <v>0</v>
      </c>
      <c r="I86" s="23">
        <f ca="1">COUNTIF($M86:INDIRECT(ADDRESS(ROW(),MATCH("",$4:$4,-1),1,1)),"N")</f>
        <v>0</v>
      </c>
      <c r="J86" s="23">
        <f ca="1">COUNTIF($M86:INDIRECT(ADDRESS(ROW(),MATCH("",$4:$4,-1),1,1)),"N/A")+COUNTIF($M86:INDIRECT(ADDRESS(ROW(),MATCH("",$4:$4,-1),1,1)),"조치완료(N/A)")</f>
        <v>0</v>
      </c>
      <c r="K86" s="23">
        <f ca="1">VLOOKUP($D86,'parm(hidden)'!$B$8:$C$10,2,FALSE)*($F86-$J86)</f>
        <v>8</v>
      </c>
      <c r="L86" s="35">
        <f ca="1">VLOOKUP($D86,'parm(hidden)'!$B$8:$C$10,2,FALSE)*($G86+$H86)</f>
        <v>0</v>
      </c>
      <c r="M86" s="161">
        <f t="shared" ca="1" si="5"/>
        <v>0</v>
      </c>
      <c r="N86" s="161">
        <f t="shared" ca="1" si="5"/>
        <v>0</v>
      </c>
      <c r="O86" s="161">
        <f t="shared" ca="1" si="5"/>
        <v>0</v>
      </c>
      <c r="P86" s="161">
        <f t="shared" ca="1" si="5"/>
        <v>0</v>
      </c>
    </row>
    <row r="87" spans="1:16" ht="22.5" customHeight="1">
      <c r="A87" s="141"/>
      <c r="B87" s="142"/>
      <c r="C87" s="143"/>
      <c r="D87" s="144"/>
      <c r="E87" s="144"/>
      <c r="F87" s="144">
        <f t="shared" ref="F87:K87" ca="1" si="6">SUM(F63:F86)</f>
        <v>96</v>
      </c>
      <c r="G87" s="144">
        <f t="shared" ca="1" si="6"/>
        <v>12</v>
      </c>
      <c r="H87" s="144">
        <f t="shared" ca="1" si="6"/>
        <v>0</v>
      </c>
      <c r="I87" s="144">
        <f t="shared" ca="1" si="6"/>
        <v>12</v>
      </c>
      <c r="J87" s="144">
        <f t="shared" ca="1" si="6"/>
        <v>0</v>
      </c>
      <c r="K87" s="144">
        <f t="shared" ca="1" si="6"/>
        <v>232</v>
      </c>
      <c r="L87" s="145">
        <f ca="1">SUM(L5:L86)</f>
        <v>210</v>
      </c>
      <c r="M87" s="145">
        <f ca="1">COUNTIFS(M$5:M$86,"&lt;&gt;",M$5:M$86,"&lt;&gt;0")</f>
        <v>64</v>
      </c>
      <c r="N87" s="145">
        <f ca="1">COUNTIFS(N$5:N$86,"&lt;&gt;",N$5:N$86,"&lt;&gt;0")</f>
        <v>64</v>
      </c>
      <c r="O87" s="145">
        <f ca="1">COUNTIFS(O$5:O$86,"&lt;&gt;",O$5:O$86,"&lt;&gt;0")</f>
        <v>64</v>
      </c>
      <c r="P87" s="145">
        <f ca="1">COUNTIFS(P$5:P$86,"&lt;&gt;",P$5:P$86,"&lt;&gt;0")</f>
        <v>64</v>
      </c>
    </row>
  </sheetData>
  <mergeCells count="5">
    <mergeCell ref="A3:B4"/>
    <mergeCell ref="C3:C4"/>
    <mergeCell ref="D3:E4"/>
    <mergeCell ref="F3:J3"/>
    <mergeCell ref="K3:L3"/>
  </mergeCells>
  <phoneticPr fontId="27" type="noConversion"/>
  <conditionalFormatting sqref="M3:P3">
    <cfRule type="cellIs" dxfId="161" priority="1" operator="equal">
      <formula>"Y"</formula>
    </cfRule>
    <cfRule type="cellIs" dxfId="160" priority="2" stopIfTrue="1" operator="equal">
      <formula>"인터뷰"</formula>
    </cfRule>
  </conditionalFormatting>
  <conditionalFormatting sqref="M5:P86">
    <cfRule type="cellIs" dxfId="159" priority="3" operator="equal">
      <formula>"N"</formula>
    </cfRule>
    <cfRule type="cellIs" dxfId="158" priority="4" operator="equal">
      <formula>"기존 취약점"</formula>
    </cfRule>
    <cfRule type="cellIs" dxfId="157" priority="5" stopIfTrue="1" operator="equal">
      <formula>"인터뷰"</formula>
    </cfRule>
    <cfRule type="cellIs" dxfId="156" priority="6" stopIfTrue="1" operator="equal">
      <formula>"N/A"</formula>
    </cfRule>
    <cfRule type="cellIs" dxfId="155" priority="7" stopIfTrue="1" operator="equal">
      <formula>"신규 취약점"</formula>
    </cfRule>
  </conditionalFormatting>
  <printOptions horizontalCentered="1"/>
  <pageMargins left="0.39347222447395325" right="0.39347222447395325" top="0.59041666984558105" bottom="0.59041666984558105" header="0.39347222447395325" footer="0.39347222447395325"/>
  <pageSetup paperSize="9" scale="61" fitToHeight="99" orientation="landscape" horizontalDpi="4294967294" verticalDpi="4294967294" r:id="rId1"/>
  <headerFooter alignWithMargins="0">
    <oddHeader>&amp;L&amp;"맑은 고딕,Regular"
&amp;R&amp;"맑은 고딕,Regular"&amp;F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T87"/>
  <sheetViews>
    <sheetView showGridLines="0" view="pageBreakPreview" zoomScaleNormal="100" zoomScaleSheetLayoutView="100" workbookViewId="0">
      <pane xSplit="4" ySplit="4" topLeftCell="E8" activePane="bottomRight" state="frozen"/>
      <selection pane="topRight"/>
      <selection pane="bottomLeft"/>
      <selection pane="bottomRight"/>
    </sheetView>
  </sheetViews>
  <sheetFormatPr defaultColWidth="8.77734375" defaultRowHeight="11.25"/>
  <cols>
    <col min="1" max="1" width="7.109375" style="20" customWidth="1"/>
    <col min="2" max="2" width="6.109375" style="17" customWidth="1"/>
    <col min="3" max="3" width="33.77734375" style="22" customWidth="1"/>
    <col min="4" max="4" width="5" style="22" bestFit="1" customWidth="1"/>
    <col min="5" max="5" width="7.44140625" style="22" customWidth="1"/>
    <col min="6" max="7" width="4.6640625" style="22" customWidth="1"/>
    <col min="8" max="8" width="6.109375" style="20" bestFit="1" customWidth="1"/>
    <col min="9" max="12" width="4.6640625" style="20" customWidth="1"/>
    <col min="13" max="13" width="6.109375" style="20" customWidth="1"/>
    <col min="14" max="14" width="4.6640625" style="20" customWidth="1"/>
    <col min="15" max="18" width="7" style="20" customWidth="1"/>
    <col min="19" max="19" width="13.109375" style="20" customWidth="1"/>
    <col min="20" max="20" width="15.33203125" style="20" bestFit="1" customWidth="1"/>
    <col min="21" max="16384" width="8.77734375" style="17"/>
  </cols>
  <sheetData>
    <row r="1" spans="1:20" s="19" customFormat="1" ht="16.5">
      <c r="A1" s="16" t="s">
        <v>49</v>
      </c>
      <c r="F1" s="18"/>
      <c r="G1" s="18"/>
      <c r="J1" s="24"/>
      <c r="K1" s="24"/>
      <c r="L1" s="24"/>
      <c r="M1" s="24"/>
      <c r="N1" s="24"/>
      <c r="Q1" s="14"/>
      <c r="R1" s="14"/>
      <c r="S1" s="14"/>
      <c r="T1" s="14"/>
    </row>
    <row r="2" spans="1:20" s="19" customFormat="1">
      <c r="A2" s="14"/>
      <c r="C2" s="18"/>
      <c r="D2" s="18"/>
      <c r="E2" s="18"/>
      <c r="F2" s="18"/>
      <c r="G2" s="18"/>
      <c r="H2" s="14"/>
      <c r="I2" s="14"/>
      <c r="J2" s="14"/>
      <c r="K2" s="14"/>
      <c r="L2" s="14"/>
      <c r="M2" s="14"/>
      <c r="N2" s="14"/>
      <c r="Q2" s="14"/>
      <c r="R2" s="14"/>
      <c r="S2" s="14"/>
      <c r="T2" s="14"/>
    </row>
    <row r="3" spans="1:20" s="20" customFormat="1" ht="16.350000000000001" customHeight="1">
      <c r="A3" s="239" t="str">
        <f>ChkList!A4</f>
        <v>분류</v>
      </c>
      <c r="B3" s="240"/>
      <c r="C3" s="252" t="str">
        <f>ChkList!C4</f>
        <v>진단항목</v>
      </c>
      <c r="D3" s="245" t="str">
        <f>ChkList!D4</f>
        <v>중요도</v>
      </c>
      <c r="E3" s="251"/>
      <c r="F3" s="249" t="s">
        <v>230</v>
      </c>
      <c r="G3" s="250"/>
      <c r="H3" s="250"/>
      <c r="I3" s="250"/>
      <c r="J3" s="250"/>
      <c r="K3" s="249" t="s">
        <v>124</v>
      </c>
      <c r="L3" s="250"/>
      <c r="M3" s="250"/>
      <c r="N3" s="250"/>
      <c r="O3" s="249" t="s">
        <v>203</v>
      </c>
      <c r="P3" s="250"/>
      <c r="Q3" s="250"/>
      <c r="R3" s="250"/>
      <c r="S3" s="105" t="s">
        <v>225</v>
      </c>
      <c r="T3" s="112" t="s">
        <v>225</v>
      </c>
    </row>
    <row r="4" spans="1:20" s="20" customFormat="1" ht="15.6" customHeight="1">
      <c r="A4" s="241"/>
      <c r="B4" s="242"/>
      <c r="C4" s="253"/>
      <c r="D4" s="247"/>
      <c r="E4" s="254"/>
      <c r="F4" s="101" t="s">
        <v>96</v>
      </c>
      <c r="G4" s="104" t="s">
        <v>76</v>
      </c>
      <c r="H4" s="103" t="s">
        <v>221</v>
      </c>
      <c r="I4" s="104" t="s">
        <v>108</v>
      </c>
      <c r="J4" s="104" t="s">
        <v>78</v>
      </c>
      <c r="K4" s="103" t="s">
        <v>110</v>
      </c>
      <c r="L4" s="111" t="s">
        <v>97</v>
      </c>
      <c r="M4" s="104" t="s">
        <v>219</v>
      </c>
      <c r="N4" s="104" t="s">
        <v>78</v>
      </c>
      <c r="O4" s="102" t="s">
        <v>223</v>
      </c>
      <c r="P4" s="104" t="s">
        <v>246</v>
      </c>
      <c r="Q4" s="104" t="s">
        <v>202</v>
      </c>
      <c r="R4" s="104" t="s">
        <v>235</v>
      </c>
      <c r="S4" s="173" t="str">
        <f ca="1">HYPERLINK("["&amp;MID(CELL("filename"),SEARCH("[",CELL("filename"))+1,SEARCH("]",CELL("filename"))-SEARCH("[",CELL("filename"))-1)&amp;"]"&amp;INDIRECT(ADDRESS(COLUMN()-14,2,1,TRUE,"자산목록"))&amp;"!A1",INDIRECT(ADDRESS(COLUMN()-14,2,1,TRUE,"자산목록")))</f>
        <v>DHCP_HQ_Win</v>
      </c>
      <c r="T4" s="174" t="str">
        <f ca="1">HYPERLINK("["&amp;MID(CELL("filename"),SEARCH("[",CELL("filename"))+1,SEARCH("]",CELL("filename"))-SEARCH("[",CELL("filename"))-1)&amp;"]"&amp;INDIRECT(ADDRESS(COLUMN()-14,2,1,TRUE,"자산목록"))&amp;"!A1",INDIRECT(ADDRESS(COLUMN()-14,2,1,TRUE,"자산목록")))</f>
        <v>DNS_HQ_Win</v>
      </c>
    </row>
    <row r="5" spans="1:20">
      <c r="A5" s="106" t="str">
        <f>ChkList!A5</f>
        <v>계정 관리</v>
      </c>
      <c r="B5" s="29" t="str">
        <f>ChkList!$B5</f>
        <v>W-01</v>
      </c>
      <c r="C5" s="21" t="str">
        <f>ChkList!$C5</f>
        <v>Administrator 계정 이름 변경 등 보안성 강화</v>
      </c>
      <c r="D5" s="32" t="str">
        <f>ChkList!$D5</f>
        <v>H</v>
      </c>
      <c r="E5" s="32">
        <f>ChkList!E5</f>
        <v>3</v>
      </c>
      <c r="F5" s="23">
        <f ca="1">COUNTA($S5:INDIRECT(ADDRESS(ROW(),MATCH("",$4:$4,-1),1,1)))</f>
        <v>2</v>
      </c>
      <c r="G5" s="23">
        <f ca="1">'취약점 진단 항목별 통계'!G5</f>
        <v>1</v>
      </c>
      <c r="H5" s="23">
        <f ca="1">'취약점 진단 항목별 통계'!H5</f>
        <v>0</v>
      </c>
      <c r="I5" s="23">
        <f ca="1">'취약점 진단 항목별 통계'!I5</f>
        <v>3</v>
      </c>
      <c r="J5" s="23">
        <f ca="1">'취약점 진단 항목별 통계'!J5</f>
        <v>0</v>
      </c>
      <c r="K5" s="23">
        <f ca="1">COUNTIF($S5:INDIRECT(ADDRESS(ROW(),MATCH("",$4:$4,-1),1,1)),"조치")</f>
        <v>1</v>
      </c>
      <c r="L5" s="23">
        <f ca="1">COUNTIF($S5:INDIRECT(ADDRESS(ROW(),MATCH("",$4:$4,-1),1,1)),"미조치")</f>
        <v>0</v>
      </c>
      <c r="M5" s="23">
        <f ca="1">COUNTIF($S5:INDIRECT(ADDRESS(ROW(),MATCH("",$4:$4,-1),1,1)),"위험수용")</f>
        <v>0</v>
      </c>
      <c r="N5" s="23">
        <f ca="1">COUNTIF($S5:INDIRECT(ADDRESS(ROW(),MATCH("",$4:$4,-1),1,1)),"N/A")</f>
        <v>0</v>
      </c>
      <c r="O5" s="23">
        <f ca="1">VLOOKUP($D5,'parm(hidden)'!$B$8:$C$10,2,FALSE)*($F5-$J5)</f>
        <v>6</v>
      </c>
      <c r="P5" s="23">
        <f ca="1">VLOOKUP($D5,'parm(hidden)'!$B$8:$C$10,2,FALSE)*($F5-$N5)</f>
        <v>6</v>
      </c>
      <c r="Q5" s="35">
        <f ca="1">VLOOKUP($D5,'parm(hidden)'!$B$8:$C$10,2,FALSE)*($G5+$H5)</f>
        <v>3</v>
      </c>
      <c r="R5" s="23">
        <f ca="1">VLOOKUP($D5,'parm(hidden)'!$B$8:$C$10,2,FALSE)*($G5+$H5+$K5)</f>
        <v>6</v>
      </c>
      <c r="S5" s="161" t="str">
        <f ca="1">HYPERLINK("["&amp;MID(CELL("filename"),SEARCH("[",CELL("filename"))+1,SEARCH("]",CELL("filename"))-SEARCH("[",CELL("filename"))-1)&amp;"]"&amp;ADDRESS(ROW()+16,11,1,TRUE,S$4),INDIRECT(ADDRESS(ROW()+16,11,1,TRUE,S$4)))</f>
        <v>Y</v>
      </c>
      <c r="T5" s="162" t="str">
        <f ca="1">HYPERLINK("["&amp;MID(CELL("filename"),SEARCH("[",CELL("filename"))+1,SEARCH("]",CELL("filename"))-SEARCH("[",CELL("filename"))-1)&amp;"]"&amp;ADDRESS(ROW()+16,11,1,TRUE,T$4),INDIRECT(ADDRESS(ROW()+16,11,1,TRUE,T$4)))</f>
        <v>조치</v>
      </c>
    </row>
    <row r="6" spans="1:20">
      <c r="A6" s="106" t="str">
        <f>ChkList!A6</f>
        <v>계정 관리</v>
      </c>
      <c r="B6" s="29" t="str">
        <f>ChkList!$B6</f>
        <v>W-02</v>
      </c>
      <c r="C6" s="21" t="str">
        <f>ChkList!$C6</f>
        <v>Guest 계정 비활성화</v>
      </c>
      <c r="D6" s="32" t="str">
        <f>ChkList!$D6</f>
        <v>H</v>
      </c>
      <c r="E6" s="32">
        <f>ChkList!E6</f>
        <v>3</v>
      </c>
      <c r="F6" s="23">
        <f ca="1">COUNTA($S6:INDIRECT(ADDRESS(ROW(),MATCH("",$4:$4,-1),1,1)))</f>
        <v>2</v>
      </c>
      <c r="G6" s="23">
        <f ca="1">'취약점 진단 항목별 통계'!G6</f>
        <v>1</v>
      </c>
      <c r="H6" s="23">
        <f ca="1">'취약점 진단 항목별 통계'!H6</f>
        <v>0</v>
      </c>
      <c r="I6" s="23">
        <f ca="1">'취약점 진단 항목별 통계'!I6</f>
        <v>3</v>
      </c>
      <c r="J6" s="23">
        <f ca="1">'취약점 진단 항목별 통계'!J6</f>
        <v>0</v>
      </c>
      <c r="K6" s="23">
        <f ca="1">COUNTIF($S6:INDIRECT(ADDRESS(ROW(),MATCH("",$4:$4,-1),1,1)),"조치")</f>
        <v>1</v>
      </c>
      <c r="L6" s="23">
        <f ca="1">COUNTIF($S6:INDIRECT(ADDRESS(ROW(),MATCH("",$4:$4,-1),1,1)),"미조치")</f>
        <v>0</v>
      </c>
      <c r="M6" s="23">
        <f ca="1">COUNTIF($S6:INDIRECT(ADDRESS(ROW(),MATCH("",$4:$4,-1),1,1)),"위험수용")</f>
        <v>0</v>
      </c>
      <c r="N6" s="23">
        <f ca="1">COUNTIF($S6:INDIRECT(ADDRESS(ROW(),MATCH("",$4:$4,-1),1,1)),"N/A")</f>
        <v>0</v>
      </c>
      <c r="O6" s="23">
        <f ca="1">VLOOKUP($D6,'parm(hidden)'!$B$8:$C$10,2,FALSE)*($F6-$J6)</f>
        <v>6</v>
      </c>
      <c r="P6" s="23">
        <f ca="1">VLOOKUP($D6,'parm(hidden)'!$B$8:$C$10,2,FALSE)*($F6-$N6)</f>
        <v>6</v>
      </c>
      <c r="Q6" s="35">
        <f ca="1">VLOOKUP($D6,'parm(hidden)'!$B$8:$C$10,2,FALSE)*($G6+$H6)</f>
        <v>3</v>
      </c>
      <c r="R6" s="23">
        <f ca="1">VLOOKUP($D6,'parm(hidden)'!$B$8:$C$10,2,FALSE)*($G6+$H6+$K6)</f>
        <v>6</v>
      </c>
      <c r="S6" s="161" t="str">
        <f t="shared" ref="S6:T37" ca="1" si="0">HYPERLINK("["&amp;MID(CELL("filename"),SEARCH("[",CELL("filename"))+1,SEARCH("]",CELL("filename"))-SEARCH("[",CELL("filename"))-1)&amp;"]"&amp;ADDRESS(ROW()+16,11,1,TRUE,S$4),INDIRECT(ADDRESS(ROW()+16,11,1,TRUE,S$4)))</f>
        <v>Y</v>
      </c>
      <c r="T6" s="162" t="str">
        <f t="shared" ca="1" si="0"/>
        <v>조치</v>
      </c>
    </row>
    <row r="7" spans="1:20">
      <c r="A7" s="106" t="str">
        <f>ChkList!A7</f>
        <v>계정 관리</v>
      </c>
      <c r="B7" s="29" t="str">
        <f>ChkList!$B7</f>
        <v>W-03</v>
      </c>
      <c r="C7" s="21" t="str">
        <f>ChkList!$C7</f>
        <v>불필요한 계정 제거</v>
      </c>
      <c r="D7" s="32" t="str">
        <f>ChkList!$D7</f>
        <v>H</v>
      </c>
      <c r="E7" s="32">
        <f>ChkList!E7</f>
        <v>3</v>
      </c>
      <c r="F7" s="23">
        <f ca="1">COUNTA($S7:INDIRECT(ADDRESS(ROW(),MATCH("",$4:$4,-1),1,1)))</f>
        <v>2</v>
      </c>
      <c r="G7" s="23">
        <f ca="1">'취약점 진단 항목별 통계'!G7</f>
        <v>4</v>
      </c>
      <c r="H7" s="23">
        <f ca="1">'취약점 진단 항목별 통계'!H7</f>
        <v>0</v>
      </c>
      <c r="I7" s="23">
        <f ca="1">'취약점 진단 항목별 통계'!I7</f>
        <v>0</v>
      </c>
      <c r="J7" s="23">
        <f ca="1">'취약점 진단 항목별 통계'!J7</f>
        <v>0</v>
      </c>
      <c r="K7" s="23">
        <f ca="1">COUNTIF($S7:INDIRECT(ADDRESS(ROW(),MATCH("",$4:$4,-1),1,1)),"조치")</f>
        <v>0</v>
      </c>
      <c r="L7" s="23">
        <f ca="1">COUNTIF($S7:INDIRECT(ADDRESS(ROW(),MATCH("",$4:$4,-1),1,1)),"미조치")</f>
        <v>0</v>
      </c>
      <c r="M7" s="23">
        <f ca="1">COUNTIF($S7:INDIRECT(ADDRESS(ROW(),MATCH("",$4:$4,-1),1,1)),"위험수용")</f>
        <v>0</v>
      </c>
      <c r="N7" s="23">
        <f ca="1">COUNTIF($S7:INDIRECT(ADDRESS(ROW(),MATCH("",$4:$4,-1),1,1)),"N/A")</f>
        <v>0</v>
      </c>
      <c r="O7" s="23">
        <f ca="1">VLOOKUP($D7,'parm(hidden)'!$B$8:$C$10,2,FALSE)*($F7-$J7)</f>
        <v>6</v>
      </c>
      <c r="P7" s="23">
        <f ca="1">VLOOKUP($D7,'parm(hidden)'!$B$8:$C$10,2,FALSE)*($F7-$N7)</f>
        <v>6</v>
      </c>
      <c r="Q7" s="35">
        <f ca="1">VLOOKUP($D7,'parm(hidden)'!$B$8:$C$10,2,FALSE)*($G7+$H7)</f>
        <v>12</v>
      </c>
      <c r="R7" s="23">
        <f ca="1">VLOOKUP($D7,'parm(hidden)'!$B$8:$C$10,2,FALSE)*($G7+$H7+$K7)</f>
        <v>12</v>
      </c>
      <c r="S7" s="161" t="str">
        <f t="shared" ca="1" si="0"/>
        <v>Y</v>
      </c>
      <c r="T7" s="162" t="str">
        <f t="shared" ca="1" si="0"/>
        <v>Y</v>
      </c>
    </row>
    <row r="8" spans="1:20">
      <c r="A8" s="106" t="str">
        <f>ChkList!A8</f>
        <v>계정 관리</v>
      </c>
      <c r="B8" s="29" t="str">
        <f>ChkList!$B8</f>
        <v>W-04</v>
      </c>
      <c r="C8" s="21" t="str">
        <f>ChkList!$C8</f>
        <v>계정 잠금 임계값 설정</v>
      </c>
      <c r="D8" s="32" t="str">
        <f>ChkList!$D8</f>
        <v>H</v>
      </c>
      <c r="E8" s="32">
        <f>ChkList!E8</f>
        <v>3</v>
      </c>
      <c r="F8" s="23">
        <f ca="1">COUNTA($S8:INDIRECT(ADDRESS(ROW(),MATCH("",$4:$4,-1),1,1)))</f>
        <v>2</v>
      </c>
      <c r="G8" s="23">
        <f ca="1">'취약점 진단 항목별 통계'!G8</f>
        <v>1</v>
      </c>
      <c r="H8" s="23">
        <f ca="1">'취약점 진단 항목별 통계'!H8</f>
        <v>0</v>
      </c>
      <c r="I8" s="23">
        <f ca="1">'취약점 진단 항목별 통계'!I8</f>
        <v>3</v>
      </c>
      <c r="J8" s="23">
        <f ca="1">'취약점 진단 항목별 통계'!J8</f>
        <v>0</v>
      </c>
      <c r="K8" s="23">
        <f ca="1">COUNTIF($S8:INDIRECT(ADDRESS(ROW(),MATCH("",$4:$4,-1),1,1)),"조치")</f>
        <v>1</v>
      </c>
      <c r="L8" s="23">
        <f ca="1">COUNTIF($S8:INDIRECT(ADDRESS(ROW(),MATCH("",$4:$4,-1),1,1)),"미조치")</f>
        <v>0</v>
      </c>
      <c r="M8" s="23">
        <f ca="1">COUNTIF($S8:INDIRECT(ADDRESS(ROW(),MATCH("",$4:$4,-1),1,1)),"위험수용")</f>
        <v>0</v>
      </c>
      <c r="N8" s="23">
        <f ca="1">COUNTIF($S8:INDIRECT(ADDRESS(ROW(),MATCH("",$4:$4,-1),1,1)),"N/A")</f>
        <v>0</v>
      </c>
      <c r="O8" s="23">
        <f ca="1">VLOOKUP($D8,'parm(hidden)'!$B$8:$C$10,2,FALSE)*($F8-$J8)</f>
        <v>6</v>
      </c>
      <c r="P8" s="23">
        <f ca="1">VLOOKUP($D8,'parm(hidden)'!$B$8:$C$10,2,FALSE)*($F8-$N8)</f>
        <v>6</v>
      </c>
      <c r="Q8" s="35">
        <f ca="1">VLOOKUP($D8,'parm(hidden)'!$B$8:$C$10,2,FALSE)*($G8+$H8)</f>
        <v>3</v>
      </c>
      <c r="R8" s="23">
        <f ca="1">VLOOKUP($D8,'parm(hidden)'!$B$8:$C$10,2,FALSE)*($G8+$H8+$K8)</f>
        <v>6</v>
      </c>
      <c r="S8" s="161" t="str">
        <f t="shared" ca="1" si="0"/>
        <v>Y</v>
      </c>
      <c r="T8" s="162" t="str">
        <f t="shared" ca="1" si="0"/>
        <v>조치</v>
      </c>
    </row>
    <row r="9" spans="1:20">
      <c r="A9" s="106" t="str">
        <f>ChkList!A9</f>
        <v>계정 관리</v>
      </c>
      <c r="B9" s="29" t="str">
        <f>ChkList!$B9</f>
        <v>W-05</v>
      </c>
      <c r="C9" s="21" t="str">
        <f>ChkList!$C9</f>
        <v>해독 가능한 암호화를 사용하여 암호 저장 해제</v>
      </c>
      <c r="D9" s="32" t="str">
        <f>ChkList!$D9</f>
        <v>H</v>
      </c>
      <c r="E9" s="32">
        <f>ChkList!E9</f>
        <v>3</v>
      </c>
      <c r="F9" s="23">
        <f ca="1">COUNTA($S9:INDIRECT(ADDRESS(ROW(),MATCH("",$4:$4,-1),1,1)))</f>
        <v>2</v>
      </c>
      <c r="G9" s="23">
        <f ca="1">'취약점 진단 항목별 통계'!G9</f>
        <v>4</v>
      </c>
      <c r="H9" s="23">
        <f ca="1">'취약점 진단 항목별 통계'!H9</f>
        <v>0</v>
      </c>
      <c r="I9" s="23">
        <f ca="1">'취약점 진단 항목별 통계'!I9</f>
        <v>0</v>
      </c>
      <c r="J9" s="23">
        <f ca="1">'취약점 진단 항목별 통계'!J9</f>
        <v>0</v>
      </c>
      <c r="K9" s="23">
        <f ca="1">COUNTIF($S9:INDIRECT(ADDRESS(ROW(),MATCH("",$4:$4,-1),1,1)),"조치")</f>
        <v>0</v>
      </c>
      <c r="L9" s="23">
        <f ca="1">COUNTIF($S9:INDIRECT(ADDRESS(ROW(),MATCH("",$4:$4,-1),1,1)),"미조치")</f>
        <v>0</v>
      </c>
      <c r="M9" s="23">
        <f ca="1">COUNTIF($S9:INDIRECT(ADDRESS(ROW(),MATCH("",$4:$4,-1),1,1)),"위험수용")</f>
        <v>0</v>
      </c>
      <c r="N9" s="23">
        <f ca="1">COUNTIF($S9:INDIRECT(ADDRESS(ROW(),MATCH("",$4:$4,-1),1,1)),"N/A")</f>
        <v>0</v>
      </c>
      <c r="O9" s="23">
        <f ca="1">VLOOKUP($D9,'parm(hidden)'!$B$8:$C$10,2,FALSE)*($F9-$J9)</f>
        <v>6</v>
      </c>
      <c r="P9" s="23">
        <f ca="1">VLOOKUP($D9,'parm(hidden)'!$B$8:$C$10,2,FALSE)*($F9-$N9)</f>
        <v>6</v>
      </c>
      <c r="Q9" s="35">
        <f ca="1">VLOOKUP($D9,'parm(hidden)'!$B$8:$C$10,2,FALSE)*($G9+$H9)</f>
        <v>12</v>
      </c>
      <c r="R9" s="23">
        <f ca="1">VLOOKUP($D9,'parm(hidden)'!$B$8:$C$10,2,FALSE)*($G9+$H9+$K9)</f>
        <v>12</v>
      </c>
      <c r="S9" s="161" t="str">
        <f t="shared" ca="1" si="0"/>
        <v>Y</v>
      </c>
      <c r="T9" s="162" t="str">
        <f t="shared" ca="1" si="0"/>
        <v>Y</v>
      </c>
    </row>
    <row r="10" spans="1:20">
      <c r="A10" s="106" t="str">
        <f>ChkList!A10</f>
        <v>계정 관리</v>
      </c>
      <c r="B10" s="29" t="str">
        <f>ChkList!$B10</f>
        <v>W-06</v>
      </c>
      <c r="C10" s="21" t="str">
        <f>ChkList!$C10</f>
        <v>관리자 그룹에 최소한의 사용자 포함</v>
      </c>
      <c r="D10" s="32" t="str">
        <f>ChkList!$D10</f>
        <v>H</v>
      </c>
      <c r="E10" s="32">
        <f>ChkList!E10</f>
        <v>3</v>
      </c>
      <c r="F10" s="23">
        <f ca="1">COUNTA($S10:INDIRECT(ADDRESS(ROW(),MATCH("",$4:$4,-1),1,1)))</f>
        <v>2</v>
      </c>
      <c r="G10" s="23">
        <f ca="1">'취약점 진단 항목별 통계'!G10</f>
        <v>4</v>
      </c>
      <c r="H10" s="23">
        <f ca="1">'취약점 진단 항목별 통계'!H10</f>
        <v>0</v>
      </c>
      <c r="I10" s="23">
        <f ca="1">'취약점 진단 항목별 통계'!I10</f>
        <v>0</v>
      </c>
      <c r="J10" s="23">
        <f ca="1">'취약점 진단 항목별 통계'!J10</f>
        <v>0</v>
      </c>
      <c r="K10" s="23">
        <f ca="1">COUNTIF($S10:INDIRECT(ADDRESS(ROW(),MATCH("",$4:$4,-1),1,1)),"조치")</f>
        <v>0</v>
      </c>
      <c r="L10" s="23">
        <f ca="1">COUNTIF($S10:INDIRECT(ADDRESS(ROW(),MATCH("",$4:$4,-1),1,1)),"미조치")</f>
        <v>0</v>
      </c>
      <c r="M10" s="23">
        <f ca="1">COUNTIF($S10:INDIRECT(ADDRESS(ROW(),MATCH("",$4:$4,-1),1,1)),"위험수용")</f>
        <v>0</v>
      </c>
      <c r="N10" s="23">
        <f ca="1">COUNTIF($S10:INDIRECT(ADDRESS(ROW(),MATCH("",$4:$4,-1),1,1)),"N/A")</f>
        <v>0</v>
      </c>
      <c r="O10" s="23">
        <f ca="1">VLOOKUP($D10,'parm(hidden)'!$B$8:$C$10,2,FALSE)*($F10-$J10)</f>
        <v>6</v>
      </c>
      <c r="P10" s="23">
        <f ca="1">VLOOKUP($D10,'parm(hidden)'!$B$8:$C$10,2,FALSE)*($F10-$N10)</f>
        <v>6</v>
      </c>
      <c r="Q10" s="35">
        <f ca="1">VLOOKUP($D10,'parm(hidden)'!$B$8:$C$10,2,FALSE)*($G10+$H10)</f>
        <v>12</v>
      </c>
      <c r="R10" s="23">
        <f ca="1">VLOOKUP($D10,'parm(hidden)'!$B$8:$C$10,2,FALSE)*($G10+$H10+$K10)</f>
        <v>12</v>
      </c>
      <c r="S10" s="161" t="str">
        <f t="shared" ca="1" si="0"/>
        <v>Y</v>
      </c>
      <c r="T10" s="162" t="str">
        <f t="shared" ca="1" si="0"/>
        <v>Y</v>
      </c>
    </row>
    <row r="11" spans="1:20">
      <c r="A11" s="106" t="str">
        <f>ChkList!A11</f>
        <v>계정 관리</v>
      </c>
      <c r="B11" s="29" t="str">
        <f>ChkList!$B11</f>
        <v>W-07</v>
      </c>
      <c r="C11" s="21" t="str">
        <f>ChkList!$C11</f>
        <v>Everyone 사용 권한을 익명 사용자에 적용</v>
      </c>
      <c r="D11" s="32" t="str">
        <f>ChkList!$D11</f>
        <v>M</v>
      </c>
      <c r="E11" s="32">
        <f>ChkList!E11</f>
        <v>2</v>
      </c>
      <c r="F11" s="23">
        <f ca="1">COUNTA($S11:INDIRECT(ADDRESS(ROW(),MATCH("",$4:$4,-1),1,1)))</f>
        <v>2</v>
      </c>
      <c r="G11" s="23">
        <f ca="1">'취약점 진단 항목별 통계'!G11</f>
        <v>4</v>
      </c>
      <c r="H11" s="23">
        <f ca="1">'취약점 진단 항목별 통계'!H11</f>
        <v>0</v>
      </c>
      <c r="I11" s="23">
        <f ca="1">'취약점 진단 항목별 통계'!I11</f>
        <v>0</v>
      </c>
      <c r="J11" s="23">
        <f ca="1">'취약점 진단 항목별 통계'!J11</f>
        <v>0</v>
      </c>
      <c r="K11" s="23">
        <f ca="1">COUNTIF($S11:INDIRECT(ADDRESS(ROW(),MATCH("",$4:$4,-1),1,1)),"조치")</f>
        <v>0</v>
      </c>
      <c r="L11" s="23">
        <f ca="1">COUNTIF($S11:INDIRECT(ADDRESS(ROW(),MATCH("",$4:$4,-1),1,1)),"미조치")</f>
        <v>0</v>
      </c>
      <c r="M11" s="23">
        <f ca="1">COUNTIF($S11:INDIRECT(ADDRESS(ROW(),MATCH("",$4:$4,-1),1,1)),"위험수용")</f>
        <v>0</v>
      </c>
      <c r="N11" s="23">
        <f ca="1">COUNTIF($S11:INDIRECT(ADDRESS(ROW(),MATCH("",$4:$4,-1),1,1)),"N/A")</f>
        <v>0</v>
      </c>
      <c r="O11" s="23">
        <f ca="1">VLOOKUP($D11,'parm(hidden)'!$B$8:$C$10,2,FALSE)*($F11-$J11)</f>
        <v>4</v>
      </c>
      <c r="P11" s="23">
        <f ca="1">VLOOKUP($D11,'parm(hidden)'!$B$8:$C$10,2,FALSE)*($F11-$N11)</f>
        <v>4</v>
      </c>
      <c r="Q11" s="35">
        <f ca="1">VLOOKUP($D11,'parm(hidden)'!$B$8:$C$10,2,FALSE)*($G11+$H11)</f>
        <v>8</v>
      </c>
      <c r="R11" s="23">
        <f ca="1">VLOOKUP($D11,'parm(hidden)'!$B$8:$C$10,2,FALSE)*($G11+$H11+$K11)</f>
        <v>8</v>
      </c>
      <c r="S11" s="161" t="str">
        <f t="shared" ca="1" si="0"/>
        <v>Y</v>
      </c>
      <c r="T11" s="162" t="str">
        <f t="shared" ca="1" si="0"/>
        <v>Y</v>
      </c>
    </row>
    <row r="12" spans="1:20">
      <c r="A12" s="106" t="str">
        <f>ChkList!A12</f>
        <v>계정 관리</v>
      </c>
      <c r="B12" s="29" t="str">
        <f>ChkList!$B12</f>
        <v>W-08</v>
      </c>
      <c r="C12" s="21" t="str">
        <f>ChkList!$C12</f>
        <v>계정 잠금 기간 설정</v>
      </c>
      <c r="D12" s="32" t="str">
        <f>ChkList!$D12</f>
        <v>M</v>
      </c>
      <c r="E12" s="32">
        <f>ChkList!E12</f>
        <v>2</v>
      </c>
      <c r="F12" s="23">
        <f ca="1">COUNTA($S12:INDIRECT(ADDRESS(ROW(),MATCH("",$4:$4,-1),1,1)))</f>
        <v>2</v>
      </c>
      <c r="G12" s="23">
        <f ca="1">'취약점 진단 항목별 통계'!G12</f>
        <v>1</v>
      </c>
      <c r="H12" s="23">
        <f ca="1">'취약점 진단 항목별 통계'!H12</f>
        <v>0</v>
      </c>
      <c r="I12" s="23">
        <f ca="1">'취약점 진단 항목별 통계'!I12</f>
        <v>3</v>
      </c>
      <c r="J12" s="23">
        <f ca="1">'취약점 진단 항목별 통계'!J12</f>
        <v>0</v>
      </c>
      <c r="K12" s="23">
        <f ca="1">COUNTIF($S12:INDIRECT(ADDRESS(ROW(),MATCH("",$4:$4,-1),1,1)),"조치")</f>
        <v>1</v>
      </c>
      <c r="L12" s="23">
        <f ca="1">COUNTIF($S12:INDIRECT(ADDRESS(ROW(),MATCH("",$4:$4,-1),1,1)),"미조치")</f>
        <v>0</v>
      </c>
      <c r="M12" s="23">
        <f ca="1">COUNTIF($S12:INDIRECT(ADDRESS(ROW(),MATCH("",$4:$4,-1),1,1)),"위험수용")</f>
        <v>0</v>
      </c>
      <c r="N12" s="23">
        <f ca="1">COUNTIF($S12:INDIRECT(ADDRESS(ROW(),MATCH("",$4:$4,-1),1,1)),"N/A")</f>
        <v>0</v>
      </c>
      <c r="O12" s="23">
        <f ca="1">VLOOKUP($D12,'parm(hidden)'!$B$8:$C$10,2,FALSE)*($F12-$J12)</f>
        <v>4</v>
      </c>
      <c r="P12" s="23">
        <f ca="1">VLOOKUP($D12,'parm(hidden)'!$B$8:$C$10,2,FALSE)*($F12-$N12)</f>
        <v>4</v>
      </c>
      <c r="Q12" s="35">
        <f ca="1">VLOOKUP($D12,'parm(hidden)'!$B$8:$C$10,2,FALSE)*($G12+$H12)</f>
        <v>2</v>
      </c>
      <c r="R12" s="23">
        <f ca="1">VLOOKUP($D12,'parm(hidden)'!$B$8:$C$10,2,FALSE)*($G12+$H12+$K12)</f>
        <v>4</v>
      </c>
      <c r="S12" s="161" t="str">
        <f t="shared" ca="1" si="0"/>
        <v>Y</v>
      </c>
      <c r="T12" s="162" t="str">
        <f t="shared" ca="1" si="0"/>
        <v>조치</v>
      </c>
    </row>
    <row r="13" spans="1:20">
      <c r="A13" s="106" t="str">
        <f>ChkList!A13</f>
        <v>계정 관리</v>
      </c>
      <c r="B13" s="29" t="str">
        <f>ChkList!$B13</f>
        <v>W-09</v>
      </c>
      <c r="C13" s="21" t="str">
        <f>ChkList!$C13</f>
        <v>비밀번호 관리 정책 설정</v>
      </c>
      <c r="D13" s="32" t="str">
        <f>ChkList!$D13</f>
        <v>H</v>
      </c>
      <c r="E13" s="32">
        <f>ChkList!E13</f>
        <v>3</v>
      </c>
      <c r="F13" s="23">
        <f ca="1">COUNTA($S13:INDIRECT(ADDRESS(ROW(),MATCH("",$4:$4,-1),1,1)))</f>
        <v>2</v>
      </c>
      <c r="G13" s="23">
        <f ca="1">'취약점 진단 항목별 통계'!G13</f>
        <v>1</v>
      </c>
      <c r="H13" s="23">
        <f ca="1">'취약점 진단 항목별 통계'!H13</f>
        <v>0</v>
      </c>
      <c r="I13" s="23">
        <f ca="1">'취약점 진단 항목별 통계'!I13</f>
        <v>3</v>
      </c>
      <c r="J13" s="23">
        <f ca="1">'취약점 진단 항목별 통계'!J13</f>
        <v>0</v>
      </c>
      <c r="K13" s="23">
        <f ca="1">COUNTIF($S13:INDIRECT(ADDRESS(ROW(),MATCH("",$4:$4,-1),1,1)),"조치")</f>
        <v>1</v>
      </c>
      <c r="L13" s="23">
        <f ca="1">COUNTIF($S13:INDIRECT(ADDRESS(ROW(),MATCH("",$4:$4,-1),1,1)),"미조치")</f>
        <v>0</v>
      </c>
      <c r="M13" s="23">
        <f ca="1">COUNTIF($S13:INDIRECT(ADDRESS(ROW(),MATCH("",$4:$4,-1),1,1)),"위험수용")</f>
        <v>0</v>
      </c>
      <c r="N13" s="23">
        <f ca="1">COUNTIF($S13:INDIRECT(ADDRESS(ROW(),MATCH("",$4:$4,-1),1,1)),"N/A")</f>
        <v>0</v>
      </c>
      <c r="O13" s="23">
        <f ca="1">VLOOKUP($D13,'parm(hidden)'!$B$8:$C$10,2,FALSE)*($F13-$J13)</f>
        <v>6</v>
      </c>
      <c r="P13" s="23">
        <f ca="1">VLOOKUP($D13,'parm(hidden)'!$B$8:$C$10,2,FALSE)*($F13-$N13)</f>
        <v>6</v>
      </c>
      <c r="Q13" s="35">
        <f ca="1">VLOOKUP($D13,'parm(hidden)'!$B$8:$C$10,2,FALSE)*($G13+$H13)</f>
        <v>3</v>
      </c>
      <c r="R13" s="23">
        <f ca="1">VLOOKUP($D13,'parm(hidden)'!$B$8:$C$10,2,FALSE)*($G13+$H13+$K13)</f>
        <v>6</v>
      </c>
      <c r="S13" s="161" t="str">
        <f t="shared" ca="1" si="0"/>
        <v>Y</v>
      </c>
      <c r="T13" s="162" t="str">
        <f t="shared" ca="1" si="0"/>
        <v>조치</v>
      </c>
    </row>
    <row r="14" spans="1:20">
      <c r="A14" s="106" t="str">
        <f>ChkList!A14</f>
        <v>계정 관리</v>
      </c>
      <c r="B14" s="29" t="str">
        <f>ChkList!$B14</f>
        <v>W-10</v>
      </c>
      <c r="C14" s="21" t="str">
        <f>ChkList!$C14</f>
        <v>마지막 사용자 이름 표시 안 함</v>
      </c>
      <c r="D14" s="32" t="str">
        <f>ChkList!$D14</f>
        <v>M</v>
      </c>
      <c r="E14" s="32">
        <f>ChkList!E14</f>
        <v>2</v>
      </c>
      <c r="F14" s="23">
        <f ca="1">COUNTA($S14:INDIRECT(ADDRESS(ROW(),MATCH("",$4:$4,-1),1,1)))</f>
        <v>2</v>
      </c>
      <c r="G14" s="23">
        <f ca="1">'취약점 진단 항목별 통계'!G14</f>
        <v>1</v>
      </c>
      <c r="H14" s="23">
        <f ca="1">'취약점 진단 항목별 통계'!H14</f>
        <v>0</v>
      </c>
      <c r="I14" s="23">
        <f ca="1">'취약점 진단 항목별 통계'!I14</f>
        <v>3</v>
      </c>
      <c r="J14" s="23">
        <f ca="1">'취약점 진단 항목별 통계'!J14</f>
        <v>0</v>
      </c>
      <c r="K14" s="23">
        <f ca="1">COUNTIF($S14:INDIRECT(ADDRESS(ROW(),MATCH("",$4:$4,-1),1,1)),"조치")</f>
        <v>1</v>
      </c>
      <c r="L14" s="23">
        <f ca="1">COUNTIF($S14:INDIRECT(ADDRESS(ROW(),MATCH("",$4:$4,-1),1,1)),"미조치")</f>
        <v>0</v>
      </c>
      <c r="M14" s="23">
        <f ca="1">COUNTIF($S14:INDIRECT(ADDRESS(ROW(),MATCH("",$4:$4,-1),1,1)),"위험수용")</f>
        <v>0</v>
      </c>
      <c r="N14" s="23">
        <f ca="1">COUNTIF($S14:INDIRECT(ADDRESS(ROW(),MATCH("",$4:$4,-1),1,1)),"N/A")</f>
        <v>0</v>
      </c>
      <c r="O14" s="23">
        <f ca="1">VLOOKUP($D14,'parm(hidden)'!$B$8:$C$10,2,FALSE)*($F14-$J14)</f>
        <v>4</v>
      </c>
      <c r="P14" s="23">
        <f ca="1">VLOOKUP($D14,'parm(hidden)'!$B$8:$C$10,2,FALSE)*($F14-$N14)</f>
        <v>4</v>
      </c>
      <c r="Q14" s="35">
        <f ca="1">VLOOKUP($D14,'parm(hidden)'!$B$8:$C$10,2,FALSE)*($G14+$H14)</f>
        <v>2</v>
      </c>
      <c r="R14" s="23">
        <f ca="1">VLOOKUP($D14,'parm(hidden)'!$B$8:$C$10,2,FALSE)*($G14+$H14+$K14)</f>
        <v>4</v>
      </c>
      <c r="S14" s="161" t="str">
        <f t="shared" ca="1" si="0"/>
        <v>Y</v>
      </c>
      <c r="T14" s="162" t="str">
        <f t="shared" ca="1" si="0"/>
        <v>조치</v>
      </c>
    </row>
    <row r="15" spans="1:20">
      <c r="A15" s="106" t="e">
        <f>ChkList!#REF!</f>
        <v>#REF!</v>
      </c>
      <c r="B15" s="29" t="e">
        <f>ChkList!#REF!</f>
        <v>#REF!</v>
      </c>
      <c r="C15" s="21" t="e">
        <f>ChkList!#REF!</f>
        <v>#REF!</v>
      </c>
      <c r="D15" s="32" t="e">
        <f>ChkList!#REF!</f>
        <v>#REF!</v>
      </c>
      <c r="E15" s="32" t="e">
        <f>ChkList!#REF!</f>
        <v>#REF!</v>
      </c>
      <c r="F15" s="23">
        <f ca="1">COUNTA($S15:INDIRECT(ADDRESS(ROW(),MATCH("",$4:$4,-1),1,1)))</f>
        <v>2</v>
      </c>
      <c r="G15" s="23">
        <f ca="1">'취약점 진단 항목별 통계'!G15</f>
        <v>1</v>
      </c>
      <c r="H15" s="23">
        <f ca="1">'취약점 진단 항목별 통계'!H15</f>
        <v>0</v>
      </c>
      <c r="I15" s="23">
        <f ca="1">'취약점 진단 항목별 통계'!I15</f>
        <v>3</v>
      </c>
      <c r="J15" s="23">
        <f ca="1">'취약점 진단 항목별 통계'!J15</f>
        <v>0</v>
      </c>
      <c r="K15" s="23">
        <f ca="1">COUNTIF($S15:INDIRECT(ADDRESS(ROW(),MATCH("",$4:$4,-1),1,1)),"조치")</f>
        <v>1</v>
      </c>
      <c r="L15" s="23">
        <f ca="1">COUNTIF($S15:INDIRECT(ADDRESS(ROW(),MATCH("",$4:$4,-1),1,1)),"미조치")</f>
        <v>0</v>
      </c>
      <c r="M15" s="23">
        <f ca="1">COUNTIF($S15:INDIRECT(ADDRESS(ROW(),MATCH("",$4:$4,-1),1,1)),"위험수용")</f>
        <v>0</v>
      </c>
      <c r="N15" s="23">
        <f ca="1">COUNTIF($S15:INDIRECT(ADDRESS(ROW(),MATCH("",$4:$4,-1),1,1)),"N/A")</f>
        <v>0</v>
      </c>
      <c r="O15" s="23" t="e">
        <f ca="1">VLOOKUP($D15,'parm(hidden)'!$B$8:$C$10,2,FALSE)*($F15-$J15)</f>
        <v>#REF!</v>
      </c>
      <c r="P15" s="23" t="e">
        <f ca="1">VLOOKUP($D15,'parm(hidden)'!$B$8:$C$10,2,FALSE)*($F15-$N15)</f>
        <v>#REF!</v>
      </c>
      <c r="Q15" s="35" t="e">
        <f ca="1">VLOOKUP($D15,'parm(hidden)'!$B$8:$C$10,2,FALSE)*($G15+$H15)</f>
        <v>#REF!</v>
      </c>
      <c r="R15" s="23" t="e">
        <f ca="1">VLOOKUP($D15,'parm(hidden)'!$B$8:$C$10,2,FALSE)*($G15+$H15+$K15)</f>
        <v>#REF!</v>
      </c>
      <c r="S15" s="161" t="str">
        <f t="shared" ca="1" si="0"/>
        <v>Y</v>
      </c>
      <c r="T15" s="162" t="str">
        <f t="shared" ca="1" si="0"/>
        <v>조치</v>
      </c>
    </row>
    <row r="16" spans="1:20">
      <c r="A16" s="106" t="str">
        <f>ChkList!A15</f>
        <v>계정 관리</v>
      </c>
      <c r="B16" s="29" t="str">
        <f>ChkList!$B15</f>
        <v>W-11</v>
      </c>
      <c r="C16" s="21" t="str">
        <f>ChkList!$C15</f>
        <v>로컬 로그온 허용</v>
      </c>
      <c r="D16" s="32" t="str">
        <f>ChkList!$D15</f>
        <v>M</v>
      </c>
      <c r="E16" s="32">
        <f>ChkList!E15</f>
        <v>2</v>
      </c>
      <c r="F16" s="23">
        <f ca="1">COUNTA($S16:INDIRECT(ADDRESS(ROW(),MATCH("",$4:$4,-1),1,1)))</f>
        <v>2</v>
      </c>
      <c r="G16" s="23">
        <f ca="1">'취약점 진단 항목별 통계'!G16</f>
        <v>1</v>
      </c>
      <c r="H16" s="23">
        <f ca="1">'취약점 진단 항목별 통계'!H16</f>
        <v>0</v>
      </c>
      <c r="I16" s="23">
        <f ca="1">'취약점 진단 항목별 통계'!I16</f>
        <v>3</v>
      </c>
      <c r="J16" s="23">
        <f ca="1">'취약점 진단 항목별 통계'!J16</f>
        <v>0</v>
      </c>
      <c r="K16" s="23">
        <f ca="1">COUNTIF($S16:INDIRECT(ADDRESS(ROW(),MATCH("",$4:$4,-1),1,1)),"조치")</f>
        <v>1</v>
      </c>
      <c r="L16" s="23">
        <f ca="1">COUNTIF($S16:INDIRECT(ADDRESS(ROW(),MATCH("",$4:$4,-1),1,1)),"미조치")</f>
        <v>0</v>
      </c>
      <c r="M16" s="23">
        <f ca="1">COUNTIF($S16:INDIRECT(ADDRESS(ROW(),MATCH("",$4:$4,-1),1,1)),"위험수용")</f>
        <v>0</v>
      </c>
      <c r="N16" s="23">
        <f ca="1">COUNTIF($S16:INDIRECT(ADDRESS(ROW(),MATCH("",$4:$4,-1),1,1)),"N/A")</f>
        <v>0</v>
      </c>
      <c r="O16" s="23">
        <f ca="1">VLOOKUP($D16,'parm(hidden)'!$B$8:$C$10,2,FALSE)*($F16-$J16)</f>
        <v>4</v>
      </c>
      <c r="P16" s="23">
        <f ca="1">VLOOKUP($D16,'parm(hidden)'!$B$8:$C$10,2,FALSE)*($F16-$N16)</f>
        <v>4</v>
      </c>
      <c r="Q16" s="35">
        <f ca="1">VLOOKUP($D16,'parm(hidden)'!$B$8:$C$10,2,FALSE)*($G16+$H16)</f>
        <v>2</v>
      </c>
      <c r="R16" s="23">
        <f ca="1">VLOOKUP($D16,'parm(hidden)'!$B$8:$C$10,2,FALSE)*($G16+$H16+$K16)</f>
        <v>4</v>
      </c>
      <c r="S16" s="161" t="str">
        <f t="shared" ca="1" si="0"/>
        <v>Y</v>
      </c>
      <c r="T16" s="162" t="str">
        <f t="shared" ca="1" si="0"/>
        <v>조치</v>
      </c>
    </row>
    <row r="17" spans="1:20">
      <c r="A17" s="106" t="str">
        <f>ChkList!A16</f>
        <v>계정 관리</v>
      </c>
      <c r="B17" s="29" t="str">
        <f>ChkList!$B16</f>
        <v>W-12</v>
      </c>
      <c r="C17" s="21" t="str">
        <f>ChkList!$C16</f>
        <v>익명 SID/이름 변환 허용 해제</v>
      </c>
      <c r="D17" s="32" t="str">
        <f>ChkList!$D16</f>
        <v>M</v>
      </c>
      <c r="E17" s="32">
        <f>ChkList!E16</f>
        <v>2</v>
      </c>
      <c r="F17" s="23">
        <f ca="1">COUNTA($S17:INDIRECT(ADDRESS(ROW(),MATCH("",$4:$4,-1),1,1)))</f>
        <v>2</v>
      </c>
      <c r="G17" s="23">
        <f ca="1">'취약점 진단 항목별 통계'!G17</f>
        <v>1</v>
      </c>
      <c r="H17" s="23">
        <f ca="1">'취약점 진단 항목별 통계'!H17</f>
        <v>0</v>
      </c>
      <c r="I17" s="23">
        <f ca="1">'취약점 진단 항목별 통계'!I17</f>
        <v>3</v>
      </c>
      <c r="J17" s="23">
        <f ca="1">'취약점 진단 항목별 통계'!J17</f>
        <v>0</v>
      </c>
      <c r="K17" s="23">
        <f ca="1">COUNTIF($S17:INDIRECT(ADDRESS(ROW(),MATCH("",$4:$4,-1),1,1)),"조치")</f>
        <v>1</v>
      </c>
      <c r="L17" s="23">
        <f ca="1">COUNTIF($S17:INDIRECT(ADDRESS(ROW(),MATCH("",$4:$4,-1),1,1)),"미조치")</f>
        <v>0</v>
      </c>
      <c r="M17" s="23">
        <f ca="1">COUNTIF($S17:INDIRECT(ADDRESS(ROW(),MATCH("",$4:$4,-1),1,1)),"위험수용")</f>
        <v>0</v>
      </c>
      <c r="N17" s="23">
        <f ca="1">COUNTIF($S17:INDIRECT(ADDRESS(ROW(),MATCH("",$4:$4,-1),1,1)),"N/A")</f>
        <v>0</v>
      </c>
      <c r="O17" s="23">
        <f ca="1">VLOOKUP($D17,'parm(hidden)'!$B$8:$C$10,2,FALSE)*($F17-$J17)</f>
        <v>4</v>
      </c>
      <c r="P17" s="23">
        <f ca="1">VLOOKUP($D17,'parm(hidden)'!$B$8:$C$10,2,FALSE)*($F17-$N17)</f>
        <v>4</v>
      </c>
      <c r="Q17" s="35">
        <f ca="1">VLOOKUP($D17,'parm(hidden)'!$B$8:$C$10,2,FALSE)*($G17+$H17)</f>
        <v>2</v>
      </c>
      <c r="R17" s="23">
        <f ca="1">VLOOKUP($D17,'parm(hidden)'!$B$8:$C$10,2,FALSE)*($G17+$H17+$K17)</f>
        <v>4</v>
      </c>
      <c r="S17" s="161" t="str">
        <f t="shared" ca="1" si="0"/>
        <v>Y</v>
      </c>
      <c r="T17" s="162" t="str">
        <f t="shared" ca="1" si="0"/>
        <v>조치</v>
      </c>
    </row>
    <row r="18" spans="1:20">
      <c r="A18" s="106" t="str">
        <f>ChkList!A17</f>
        <v>계정 관리</v>
      </c>
      <c r="B18" s="29" t="str">
        <f>ChkList!$B17</f>
        <v>W-13</v>
      </c>
      <c r="C18" s="21" t="str">
        <f>ChkList!$C17</f>
        <v>콘솔 로그온 시 로컬 계정에서 빈 암호 사용 제한</v>
      </c>
      <c r="D18" s="32" t="str">
        <f>ChkList!$D17</f>
        <v>M</v>
      </c>
      <c r="E18" s="32">
        <f>ChkList!E17</f>
        <v>2</v>
      </c>
      <c r="F18" s="23">
        <f ca="1">COUNTA($S18:INDIRECT(ADDRESS(ROW(),MATCH("",$4:$4,-1),1,1)))</f>
        <v>2</v>
      </c>
      <c r="G18" s="23">
        <f ca="1">'취약점 진단 항목별 통계'!G18</f>
        <v>1</v>
      </c>
      <c r="H18" s="23">
        <f ca="1">'취약점 진단 항목별 통계'!H18</f>
        <v>0</v>
      </c>
      <c r="I18" s="23">
        <f ca="1">'취약점 진단 항목별 통계'!I18</f>
        <v>3</v>
      </c>
      <c r="J18" s="23">
        <f ca="1">'취약점 진단 항목별 통계'!J18</f>
        <v>0</v>
      </c>
      <c r="K18" s="23">
        <f ca="1">COUNTIF($S18:INDIRECT(ADDRESS(ROW(),MATCH("",$4:$4,-1),1,1)),"조치")</f>
        <v>1</v>
      </c>
      <c r="L18" s="23">
        <f ca="1">COUNTIF($S18:INDIRECT(ADDRESS(ROW(),MATCH("",$4:$4,-1),1,1)),"미조치")</f>
        <v>0</v>
      </c>
      <c r="M18" s="23">
        <f ca="1">COUNTIF($S18:INDIRECT(ADDRESS(ROW(),MATCH("",$4:$4,-1),1,1)),"위험수용")</f>
        <v>0</v>
      </c>
      <c r="N18" s="23">
        <f ca="1">COUNTIF($S18:INDIRECT(ADDRESS(ROW(),MATCH("",$4:$4,-1),1,1)),"N/A")</f>
        <v>0</v>
      </c>
      <c r="O18" s="23">
        <f ca="1">VLOOKUP($D18,'parm(hidden)'!$B$8:$C$10,2,FALSE)*($F18-$J18)</f>
        <v>4</v>
      </c>
      <c r="P18" s="23">
        <f ca="1">VLOOKUP($D18,'parm(hidden)'!$B$8:$C$10,2,FALSE)*($F18-$N18)</f>
        <v>4</v>
      </c>
      <c r="Q18" s="35">
        <f ca="1">VLOOKUP($D18,'parm(hidden)'!$B$8:$C$10,2,FALSE)*($G18+$H18)</f>
        <v>2</v>
      </c>
      <c r="R18" s="23">
        <f ca="1">VLOOKUP($D18,'parm(hidden)'!$B$8:$C$10,2,FALSE)*($G18+$H18+$K18)</f>
        <v>4</v>
      </c>
      <c r="S18" s="161" t="str">
        <f t="shared" ca="1" si="0"/>
        <v>Y</v>
      </c>
      <c r="T18" s="162" t="str">
        <f t="shared" ca="1" si="0"/>
        <v>조치</v>
      </c>
    </row>
    <row r="19" spans="1:20">
      <c r="A19" s="106" t="str">
        <f>ChkList!A18</f>
        <v>계정 관리</v>
      </c>
      <c r="B19" s="29" t="str">
        <f>ChkList!$B18</f>
        <v>W-14</v>
      </c>
      <c r="C19" s="21" t="str">
        <f>ChkList!$C18</f>
        <v>원격터미널 접속 가능한 사용자 그룹 제한</v>
      </c>
      <c r="D19" s="32" t="str">
        <f>ChkList!$D18</f>
        <v>M</v>
      </c>
      <c r="E19" s="32">
        <f>ChkList!E18</f>
        <v>2</v>
      </c>
      <c r="F19" s="23">
        <f ca="1">COUNTA($S19:INDIRECT(ADDRESS(ROW(),MATCH("",$4:$4,-1),1,1)))</f>
        <v>2</v>
      </c>
      <c r="G19" s="23">
        <f ca="1">'취약점 진단 항목별 통계'!G19</f>
        <v>4</v>
      </c>
      <c r="H19" s="23">
        <f ca="1">'취약점 진단 항목별 통계'!H19</f>
        <v>0</v>
      </c>
      <c r="I19" s="23">
        <f ca="1">'취약점 진단 항목별 통계'!I19</f>
        <v>0</v>
      </c>
      <c r="J19" s="23">
        <f ca="1">'취약점 진단 항목별 통계'!J19</f>
        <v>0</v>
      </c>
      <c r="K19" s="23">
        <f ca="1">COUNTIF($S19:INDIRECT(ADDRESS(ROW(),MATCH("",$4:$4,-1),1,1)),"조치")</f>
        <v>0</v>
      </c>
      <c r="L19" s="23">
        <f ca="1">COUNTIF($S19:INDIRECT(ADDRESS(ROW(),MATCH("",$4:$4,-1),1,1)),"미조치")</f>
        <v>0</v>
      </c>
      <c r="M19" s="23">
        <f ca="1">COUNTIF($S19:INDIRECT(ADDRESS(ROW(),MATCH("",$4:$4,-1),1,1)),"위험수용")</f>
        <v>0</v>
      </c>
      <c r="N19" s="23">
        <f ca="1">COUNTIF($S19:INDIRECT(ADDRESS(ROW(),MATCH("",$4:$4,-1),1,1)),"N/A")</f>
        <v>0</v>
      </c>
      <c r="O19" s="23">
        <f ca="1">VLOOKUP($D19,'parm(hidden)'!$B$8:$C$10,2,FALSE)*($F19-$J19)</f>
        <v>4</v>
      </c>
      <c r="P19" s="23">
        <f ca="1">VLOOKUP($D19,'parm(hidden)'!$B$8:$C$10,2,FALSE)*($F19-$N19)</f>
        <v>4</v>
      </c>
      <c r="Q19" s="35">
        <f ca="1">VLOOKUP($D19,'parm(hidden)'!$B$8:$C$10,2,FALSE)*($G19+$H19)</f>
        <v>8</v>
      </c>
      <c r="R19" s="23">
        <f ca="1">VLOOKUP($D19,'parm(hidden)'!$B$8:$C$10,2,FALSE)*($G19+$H19+$K19)</f>
        <v>8</v>
      </c>
      <c r="S19" s="161" t="str">
        <f t="shared" ca="1" si="0"/>
        <v>Y</v>
      </c>
      <c r="T19" s="162" t="str">
        <f t="shared" ca="1" si="0"/>
        <v>Y</v>
      </c>
    </row>
    <row r="20" spans="1:20">
      <c r="A20" s="106" t="str">
        <f>ChkList!A19</f>
        <v>서비스 관리</v>
      </c>
      <c r="B20" s="29" t="str">
        <f>ChkList!$B19</f>
        <v>W-15</v>
      </c>
      <c r="C20" s="21" t="str">
        <f>ChkList!$C19</f>
        <v>사용자 개인키 사용 시 암호 입력</v>
      </c>
      <c r="D20" s="32" t="str">
        <f>ChkList!$D19</f>
        <v>H</v>
      </c>
      <c r="E20" s="32">
        <f>ChkList!E19</f>
        <v>3</v>
      </c>
      <c r="F20" s="23">
        <f ca="1">COUNTA($S20:INDIRECT(ADDRESS(ROW(),MATCH("",$4:$4,-1),1,1)))</f>
        <v>2</v>
      </c>
      <c r="G20" s="23">
        <f ca="1">'취약점 진단 항목별 통계'!G20</f>
        <v>1</v>
      </c>
      <c r="H20" s="23">
        <f ca="1">'취약점 진단 항목별 통계'!H20</f>
        <v>0</v>
      </c>
      <c r="I20" s="23">
        <f ca="1">'취약점 진단 항목별 통계'!I20</f>
        <v>3</v>
      </c>
      <c r="J20" s="23">
        <f ca="1">'취약점 진단 항목별 통계'!J20</f>
        <v>0</v>
      </c>
      <c r="K20" s="23">
        <f ca="1">COUNTIF($S20:INDIRECT(ADDRESS(ROW(),MATCH("",$4:$4,-1),1,1)),"조치")</f>
        <v>1</v>
      </c>
      <c r="L20" s="23">
        <f ca="1">COUNTIF($S20:INDIRECT(ADDRESS(ROW(),MATCH("",$4:$4,-1),1,1)),"미조치")</f>
        <v>0</v>
      </c>
      <c r="M20" s="23">
        <f ca="1">COUNTIF($S20:INDIRECT(ADDRESS(ROW(),MATCH("",$4:$4,-1),1,1)),"위험수용")</f>
        <v>0</v>
      </c>
      <c r="N20" s="23">
        <f ca="1">COUNTIF($S20:INDIRECT(ADDRESS(ROW(),MATCH("",$4:$4,-1),1,1)),"N/A")</f>
        <v>0</v>
      </c>
      <c r="O20" s="23">
        <f ca="1">VLOOKUP($D20,'parm(hidden)'!$B$8:$C$10,2,FALSE)*($F20-$J20)</f>
        <v>6</v>
      </c>
      <c r="P20" s="23">
        <f ca="1">VLOOKUP($D20,'parm(hidden)'!$B$8:$C$10,2,FALSE)*($F20-$N20)</f>
        <v>6</v>
      </c>
      <c r="Q20" s="35">
        <f ca="1">VLOOKUP($D20,'parm(hidden)'!$B$8:$C$10,2,FALSE)*($G20+$H20)</f>
        <v>3</v>
      </c>
      <c r="R20" s="23">
        <f ca="1">VLOOKUP($D20,'parm(hidden)'!$B$8:$C$10,2,FALSE)*($G20+$H20+$K20)</f>
        <v>6</v>
      </c>
      <c r="S20" s="161" t="str">
        <f t="shared" ca="1" si="0"/>
        <v>Y</v>
      </c>
      <c r="T20" s="162" t="str">
        <f t="shared" ca="1" si="0"/>
        <v>조치</v>
      </c>
    </row>
    <row r="21" spans="1:20">
      <c r="A21" s="106" t="str">
        <f>ChkList!A20</f>
        <v>서비스 관리</v>
      </c>
      <c r="B21" s="29" t="str">
        <f>ChkList!$B20</f>
        <v>W-16</v>
      </c>
      <c r="C21" s="21" t="str">
        <f>ChkList!$C20</f>
        <v>공유 권한 및 사용자 그룹 설정</v>
      </c>
      <c r="D21" s="32" t="str">
        <f>ChkList!$D20</f>
        <v>H</v>
      </c>
      <c r="E21" s="32">
        <f>ChkList!E20</f>
        <v>3</v>
      </c>
      <c r="F21" s="23">
        <f ca="1">COUNTA($S21:INDIRECT(ADDRESS(ROW(),MATCH("",$4:$4,-1),1,1)))</f>
        <v>2</v>
      </c>
      <c r="G21" s="23">
        <f ca="1">'취약점 진단 항목별 통계'!G21</f>
        <v>3</v>
      </c>
      <c r="H21" s="23">
        <f ca="1">'취약점 진단 항목별 통계'!H21</f>
        <v>0</v>
      </c>
      <c r="I21" s="23">
        <f ca="1">'취약점 진단 항목별 통계'!I21</f>
        <v>0</v>
      </c>
      <c r="J21" s="23">
        <f ca="1">'취약점 진단 항목별 통계'!J21</f>
        <v>1</v>
      </c>
      <c r="K21" s="23">
        <f ca="1">COUNTIF($S21:INDIRECT(ADDRESS(ROW(),MATCH("",$4:$4,-1),1,1)),"조치")</f>
        <v>0</v>
      </c>
      <c r="L21" s="23">
        <f ca="1">COUNTIF($S21:INDIRECT(ADDRESS(ROW(),MATCH("",$4:$4,-1),1,1)),"미조치")</f>
        <v>0</v>
      </c>
      <c r="M21" s="23">
        <f ca="1">COUNTIF($S21:INDIRECT(ADDRESS(ROW(),MATCH("",$4:$4,-1),1,1)),"위험수용")</f>
        <v>0</v>
      </c>
      <c r="N21" s="23">
        <f ca="1">COUNTIF($S21:INDIRECT(ADDRESS(ROW(),MATCH("",$4:$4,-1),1,1)),"N/A")</f>
        <v>1</v>
      </c>
      <c r="O21" s="23">
        <f ca="1">VLOOKUP($D21,'parm(hidden)'!$B$8:$C$10,2,FALSE)*($F21-$J21)</f>
        <v>3</v>
      </c>
      <c r="P21" s="23">
        <f ca="1">VLOOKUP($D21,'parm(hidden)'!$B$8:$C$10,2,FALSE)*($F21-$N21)</f>
        <v>3</v>
      </c>
      <c r="Q21" s="35">
        <f ca="1">VLOOKUP($D21,'parm(hidden)'!$B$8:$C$10,2,FALSE)*($G21+$H21)</f>
        <v>9</v>
      </c>
      <c r="R21" s="23">
        <f ca="1">VLOOKUP($D21,'parm(hidden)'!$B$8:$C$10,2,FALSE)*($G21+$H21+$K21)</f>
        <v>9</v>
      </c>
      <c r="S21" s="161" t="str">
        <f t="shared" ca="1" si="0"/>
        <v>N/A</v>
      </c>
      <c r="T21" s="162" t="str">
        <f t="shared" ca="1" si="0"/>
        <v>Y</v>
      </c>
    </row>
    <row r="22" spans="1:20">
      <c r="A22" s="106" t="str">
        <f>ChkList!A21</f>
        <v>서비스 관리</v>
      </c>
      <c r="B22" s="29" t="str">
        <f>ChkList!$B21</f>
        <v>W-17</v>
      </c>
      <c r="C22" s="21" t="str">
        <f>ChkList!$C21</f>
        <v>하드디스크 기본 공유 제거</v>
      </c>
      <c r="D22" s="32" t="str">
        <f>ChkList!$D21</f>
        <v>H</v>
      </c>
      <c r="E22" s="32">
        <f>ChkList!E21</f>
        <v>3</v>
      </c>
      <c r="F22" s="23">
        <f ca="1">COUNTA($S22:INDIRECT(ADDRESS(ROW(),MATCH("",$4:$4,-1),1,1)))</f>
        <v>2</v>
      </c>
      <c r="G22" s="23">
        <f ca="1">'취약점 진단 항목별 통계'!G22</f>
        <v>0</v>
      </c>
      <c r="H22" s="23">
        <f ca="1">'취약점 진단 항목별 통계'!H22</f>
        <v>0</v>
      </c>
      <c r="I22" s="23">
        <f ca="1">'취약점 진단 항목별 통계'!I22</f>
        <v>4</v>
      </c>
      <c r="J22" s="23">
        <f ca="1">'취약점 진단 항목별 통계'!J22</f>
        <v>0</v>
      </c>
      <c r="K22" s="23">
        <f ca="1">COUNTIF($S22:INDIRECT(ADDRESS(ROW(),MATCH("",$4:$4,-1),1,1)),"조치")</f>
        <v>2</v>
      </c>
      <c r="L22" s="23">
        <f ca="1">COUNTIF($S22:INDIRECT(ADDRESS(ROW(),MATCH("",$4:$4,-1),1,1)),"미조치")</f>
        <v>0</v>
      </c>
      <c r="M22" s="23">
        <f ca="1">COUNTIF($S22:INDIRECT(ADDRESS(ROW(),MATCH("",$4:$4,-1),1,1)),"위험수용")</f>
        <v>0</v>
      </c>
      <c r="N22" s="23">
        <f ca="1">COUNTIF($S22:INDIRECT(ADDRESS(ROW(),MATCH("",$4:$4,-1),1,1)),"N/A")</f>
        <v>0</v>
      </c>
      <c r="O22" s="23">
        <f ca="1">VLOOKUP($D22,'parm(hidden)'!$B$8:$C$10,2,FALSE)*($F22-$J22)</f>
        <v>6</v>
      </c>
      <c r="P22" s="23">
        <f ca="1">VLOOKUP($D22,'parm(hidden)'!$B$8:$C$10,2,FALSE)*($F22-$N22)</f>
        <v>6</v>
      </c>
      <c r="Q22" s="35">
        <f ca="1">VLOOKUP($D22,'parm(hidden)'!$B$8:$C$10,2,FALSE)*($G22+$H22)</f>
        <v>0</v>
      </c>
      <c r="R22" s="23">
        <f ca="1">VLOOKUP($D22,'parm(hidden)'!$B$8:$C$10,2,FALSE)*($G22+$H22+$K22)</f>
        <v>6</v>
      </c>
      <c r="S22" s="161" t="str">
        <f t="shared" ca="1" si="0"/>
        <v>조치</v>
      </c>
      <c r="T22" s="162" t="str">
        <f t="shared" ca="1" si="0"/>
        <v>조치</v>
      </c>
    </row>
    <row r="23" spans="1:20">
      <c r="A23" s="106" t="str">
        <f>ChkList!A22</f>
        <v>서비스 관리</v>
      </c>
      <c r="B23" s="29" t="str">
        <f>ChkList!$B22</f>
        <v>W-18</v>
      </c>
      <c r="C23" s="21" t="str">
        <f>ChkList!$C22</f>
        <v>불필요한 서비스 제거</v>
      </c>
      <c r="D23" s="32" t="str">
        <f>ChkList!$D22</f>
        <v>H</v>
      </c>
      <c r="E23" s="32">
        <f>ChkList!E22</f>
        <v>3</v>
      </c>
      <c r="F23" s="23">
        <f ca="1">COUNTA($S23:INDIRECT(ADDRESS(ROW(),MATCH("",$4:$4,-1),1,1)))</f>
        <v>2</v>
      </c>
      <c r="G23" s="23">
        <f ca="1">'취약점 진단 항목별 통계'!G23</f>
        <v>0</v>
      </c>
      <c r="H23" s="23">
        <f ca="1">'취약점 진단 항목별 통계'!H23</f>
        <v>0</v>
      </c>
      <c r="I23" s="23">
        <f ca="1">'취약점 진단 항목별 통계'!I23</f>
        <v>4</v>
      </c>
      <c r="J23" s="23">
        <f ca="1">'취약점 진단 항목별 통계'!J23</f>
        <v>0</v>
      </c>
      <c r="K23" s="23">
        <f ca="1">COUNTIF($S23:INDIRECT(ADDRESS(ROW(),MATCH("",$4:$4,-1),1,1)),"조치")</f>
        <v>2</v>
      </c>
      <c r="L23" s="23">
        <f ca="1">COUNTIF($S23:INDIRECT(ADDRESS(ROW(),MATCH("",$4:$4,-1),1,1)),"미조치")</f>
        <v>0</v>
      </c>
      <c r="M23" s="23">
        <f ca="1">COUNTIF($S23:INDIRECT(ADDRESS(ROW(),MATCH("",$4:$4,-1),1,1)),"위험수용")</f>
        <v>0</v>
      </c>
      <c r="N23" s="23">
        <f ca="1">COUNTIF($S23:INDIRECT(ADDRESS(ROW(),MATCH("",$4:$4,-1),1,1)),"N/A")</f>
        <v>0</v>
      </c>
      <c r="O23" s="23">
        <f ca="1">VLOOKUP($D23,'parm(hidden)'!$B$8:$C$10,2,FALSE)*($F23-$J23)</f>
        <v>6</v>
      </c>
      <c r="P23" s="23">
        <f ca="1">VLOOKUP($D23,'parm(hidden)'!$B$8:$C$10,2,FALSE)*($F23-$N23)</f>
        <v>6</v>
      </c>
      <c r="Q23" s="35">
        <f ca="1">VLOOKUP($D23,'parm(hidden)'!$B$8:$C$10,2,FALSE)*($G23+$H23)</f>
        <v>0</v>
      </c>
      <c r="R23" s="23">
        <f ca="1">VLOOKUP($D23,'parm(hidden)'!$B$8:$C$10,2,FALSE)*($G23+$H23+$K23)</f>
        <v>6</v>
      </c>
      <c r="S23" s="161" t="str">
        <f t="shared" ca="1" si="0"/>
        <v>조치</v>
      </c>
      <c r="T23" s="162" t="str">
        <f t="shared" ca="1" si="0"/>
        <v>조치</v>
      </c>
    </row>
    <row r="24" spans="1:20">
      <c r="A24" s="106" t="str">
        <f>ChkList!A23</f>
        <v>서비스 관리</v>
      </c>
      <c r="B24" s="29" t="str">
        <f>ChkList!$B23</f>
        <v>W-19</v>
      </c>
      <c r="C24" s="21" t="str">
        <f>ChkList!$C23</f>
        <v>불필요한 IIS 서비스 구동 점검</v>
      </c>
      <c r="D24" s="32" t="str">
        <f>ChkList!$D23</f>
        <v>H</v>
      </c>
      <c r="E24" s="32">
        <f>ChkList!E23</f>
        <v>3</v>
      </c>
      <c r="F24" s="23">
        <f ca="1">COUNTA($S24:INDIRECT(ADDRESS(ROW(),MATCH("",$4:$4,-1),1,1)))</f>
        <v>2</v>
      </c>
      <c r="G24" s="23">
        <f ca="1">'취약점 진단 항목별 통계'!G24</f>
        <v>0</v>
      </c>
      <c r="H24" s="23">
        <f ca="1">'취약점 진단 항목별 통계'!H24</f>
        <v>0</v>
      </c>
      <c r="I24" s="23">
        <f ca="1">'취약점 진단 항목별 통계'!I24</f>
        <v>4</v>
      </c>
      <c r="J24" s="23">
        <f ca="1">'취약점 진단 항목별 통계'!J24</f>
        <v>0</v>
      </c>
      <c r="K24" s="23">
        <f ca="1">COUNTIF($S24:INDIRECT(ADDRESS(ROW(),MATCH("",$4:$4,-1),1,1)),"조치")</f>
        <v>2</v>
      </c>
      <c r="L24" s="23">
        <f ca="1">COUNTIF($S24:INDIRECT(ADDRESS(ROW(),MATCH("",$4:$4,-1),1,1)),"미조치")</f>
        <v>0</v>
      </c>
      <c r="M24" s="23">
        <f ca="1">COUNTIF($S24:INDIRECT(ADDRESS(ROW(),MATCH("",$4:$4,-1),1,1)),"위험수용")</f>
        <v>0</v>
      </c>
      <c r="N24" s="23">
        <f ca="1">COUNTIF($S24:INDIRECT(ADDRESS(ROW(),MATCH("",$4:$4,-1),1,1)),"N/A")</f>
        <v>0</v>
      </c>
      <c r="O24" s="23">
        <f ca="1">VLOOKUP($D24,'parm(hidden)'!$B$8:$C$10,2,FALSE)*($F24-$J24)</f>
        <v>6</v>
      </c>
      <c r="P24" s="23">
        <f ca="1">VLOOKUP($D24,'parm(hidden)'!$B$8:$C$10,2,FALSE)*($F24-$N24)</f>
        <v>6</v>
      </c>
      <c r="Q24" s="35">
        <f ca="1">VLOOKUP($D24,'parm(hidden)'!$B$8:$C$10,2,FALSE)*($G24+$H24)</f>
        <v>0</v>
      </c>
      <c r="R24" s="23">
        <f ca="1">VLOOKUP($D24,'parm(hidden)'!$B$8:$C$10,2,FALSE)*($G24+$H24+$K24)</f>
        <v>6</v>
      </c>
      <c r="S24" s="161" t="str">
        <f t="shared" ca="1" si="0"/>
        <v>조치</v>
      </c>
      <c r="T24" s="162" t="str">
        <f t="shared" ca="1" si="0"/>
        <v>조치</v>
      </c>
    </row>
    <row r="25" spans="1:20">
      <c r="A25" s="106" t="str">
        <f>ChkList!A24</f>
        <v>서비스 관리</v>
      </c>
      <c r="B25" s="29" t="str">
        <f>ChkList!$B24</f>
        <v>W-20</v>
      </c>
      <c r="C25" s="21" t="str">
        <f>ChkList!$C24</f>
        <v>NetBIOS 바인딩 서비스 구동 점검</v>
      </c>
      <c r="D25" s="32" t="str">
        <f>ChkList!$D24</f>
        <v>H</v>
      </c>
      <c r="E25" s="32">
        <f>ChkList!E24</f>
        <v>3</v>
      </c>
      <c r="F25" s="23">
        <f ca="1">COUNTA($S25:INDIRECT(ADDRESS(ROW(),MATCH("",$4:$4,-1),1,1)))</f>
        <v>2</v>
      </c>
      <c r="G25" s="23">
        <f ca="1">'취약점 진단 항목별 통계'!G25</f>
        <v>0</v>
      </c>
      <c r="H25" s="23">
        <f ca="1">'취약점 진단 항목별 통계'!H25</f>
        <v>0</v>
      </c>
      <c r="I25" s="23">
        <f ca="1">'취약점 진단 항목별 통계'!I25</f>
        <v>4</v>
      </c>
      <c r="J25" s="23">
        <f ca="1">'취약점 진단 항목별 통계'!J25</f>
        <v>0</v>
      </c>
      <c r="K25" s="23">
        <f ca="1">COUNTIF($S25:INDIRECT(ADDRESS(ROW(),MATCH("",$4:$4,-1),1,1)),"조치")</f>
        <v>1</v>
      </c>
      <c r="L25" s="23">
        <f ca="1">COUNTIF($S25:INDIRECT(ADDRESS(ROW(),MATCH("",$4:$4,-1),1,1)),"미조치")</f>
        <v>0</v>
      </c>
      <c r="M25" s="23">
        <f ca="1">COUNTIF($S25:INDIRECT(ADDRESS(ROW(),MATCH("",$4:$4,-1),1,1)),"위험수용")</f>
        <v>0</v>
      </c>
      <c r="N25" s="23">
        <f ca="1">COUNTIF($S25:INDIRECT(ADDRESS(ROW(),MATCH("",$4:$4,-1),1,1)),"N/A")</f>
        <v>1</v>
      </c>
      <c r="O25" s="23">
        <f ca="1">VLOOKUP($D25,'parm(hidden)'!$B$8:$C$10,2,FALSE)*($F25-$J25)</f>
        <v>6</v>
      </c>
      <c r="P25" s="23">
        <f ca="1">VLOOKUP($D25,'parm(hidden)'!$B$8:$C$10,2,FALSE)*($F25-$N25)</f>
        <v>3</v>
      </c>
      <c r="Q25" s="35">
        <f ca="1">VLOOKUP($D25,'parm(hidden)'!$B$8:$C$10,2,FALSE)*($G25+$H25)</f>
        <v>0</v>
      </c>
      <c r="R25" s="23">
        <f ca="1">VLOOKUP($D25,'parm(hidden)'!$B$8:$C$10,2,FALSE)*($G25+$H25+$K25)</f>
        <v>3</v>
      </c>
      <c r="S25" s="161" t="str">
        <f t="shared" ca="1" si="0"/>
        <v>조치</v>
      </c>
      <c r="T25" s="162" t="str">
        <f t="shared" ca="1" si="0"/>
        <v>N/A</v>
      </c>
    </row>
    <row r="26" spans="1:20">
      <c r="A26" s="106" t="e">
        <f>ChkList!#REF!</f>
        <v>#REF!</v>
      </c>
      <c r="B26" s="29" t="e">
        <f>ChkList!#REF!</f>
        <v>#REF!</v>
      </c>
      <c r="C26" s="21" t="e">
        <f>ChkList!#REF!</f>
        <v>#REF!</v>
      </c>
      <c r="D26" s="32" t="e">
        <f>ChkList!#REF!</f>
        <v>#REF!</v>
      </c>
      <c r="E26" s="32" t="e">
        <f>ChkList!#REF!</f>
        <v>#REF!</v>
      </c>
      <c r="F26" s="23">
        <f ca="1">COUNTA($S26:INDIRECT(ADDRESS(ROW(),MATCH("",$4:$4,-1),1,1)))</f>
        <v>2</v>
      </c>
      <c r="G26" s="23">
        <f ca="1">'취약점 진단 항목별 통계'!G26</f>
        <v>1</v>
      </c>
      <c r="H26" s="23">
        <f ca="1">'취약점 진단 항목별 통계'!H26</f>
        <v>0</v>
      </c>
      <c r="I26" s="23">
        <f ca="1">'취약점 진단 항목별 통계'!I26</f>
        <v>3</v>
      </c>
      <c r="J26" s="23">
        <f ca="1">'취약점 진단 항목별 통계'!J26</f>
        <v>0</v>
      </c>
      <c r="K26" s="23">
        <f ca="1">COUNTIF($S26:INDIRECT(ADDRESS(ROW(),MATCH("",$4:$4,-1),1,1)),"조치")</f>
        <v>1</v>
      </c>
      <c r="L26" s="23">
        <f ca="1">COUNTIF($S26:INDIRECT(ADDRESS(ROW(),MATCH("",$4:$4,-1),1,1)),"미조치")</f>
        <v>0</v>
      </c>
      <c r="M26" s="23">
        <f ca="1">COUNTIF($S26:INDIRECT(ADDRESS(ROW(),MATCH("",$4:$4,-1),1,1)),"위험수용")</f>
        <v>0</v>
      </c>
      <c r="N26" s="23">
        <f ca="1">COUNTIF($S26:INDIRECT(ADDRESS(ROW(),MATCH("",$4:$4,-1),1,1)),"N/A")</f>
        <v>0</v>
      </c>
      <c r="O26" s="23" t="e">
        <f ca="1">VLOOKUP($D26,'parm(hidden)'!$B$8:$C$10,2,FALSE)*($F26-$J26)</f>
        <v>#REF!</v>
      </c>
      <c r="P26" s="23" t="e">
        <f ca="1">VLOOKUP($D26,'parm(hidden)'!$B$8:$C$10,2,FALSE)*($F26-$N26)</f>
        <v>#REF!</v>
      </c>
      <c r="Q26" s="35" t="e">
        <f ca="1">VLOOKUP($D26,'parm(hidden)'!$B$8:$C$10,2,FALSE)*($G26+$H26)</f>
        <v>#REF!</v>
      </c>
      <c r="R26" s="23" t="e">
        <f ca="1">VLOOKUP($D26,'parm(hidden)'!$B$8:$C$10,2,FALSE)*($G26+$H26+$K26)</f>
        <v>#REF!</v>
      </c>
      <c r="S26" s="161" t="str">
        <f t="shared" ca="1" si="0"/>
        <v>Y</v>
      </c>
      <c r="T26" s="162" t="str">
        <f t="shared" ca="1" si="0"/>
        <v>조치</v>
      </c>
    </row>
    <row r="27" spans="1:20">
      <c r="A27" s="106" t="str">
        <f>ChkList!A25</f>
        <v>서비스 관리</v>
      </c>
      <c r="B27" s="29" t="str">
        <f>ChkList!$B25</f>
        <v>W-21</v>
      </c>
      <c r="C27" s="21" t="str">
        <f>ChkList!$C25</f>
        <v>암호화되지 않는 FTP 서비스 비활성화</v>
      </c>
      <c r="D27" s="32" t="str">
        <f>ChkList!$D25</f>
        <v>H</v>
      </c>
      <c r="E27" s="32">
        <f>ChkList!E25</f>
        <v>3</v>
      </c>
      <c r="F27" s="23">
        <f ca="1">COUNTA($S27:INDIRECT(ADDRESS(ROW(),MATCH("",$4:$4,-1),1,1)))</f>
        <v>2</v>
      </c>
      <c r="G27" s="23">
        <f ca="1">'취약점 진단 항목별 통계'!G27</f>
        <v>1</v>
      </c>
      <c r="H27" s="23">
        <f ca="1">'취약점 진단 항목별 통계'!H27</f>
        <v>0</v>
      </c>
      <c r="I27" s="23">
        <f ca="1">'취약점 진단 항목별 통계'!I27</f>
        <v>3</v>
      </c>
      <c r="J27" s="23">
        <f ca="1">'취약점 진단 항목별 통계'!J27</f>
        <v>0</v>
      </c>
      <c r="K27" s="23">
        <f ca="1">COUNTIF($S27:INDIRECT(ADDRESS(ROW(),MATCH("",$4:$4,-1),1,1)),"조치")</f>
        <v>1</v>
      </c>
      <c r="L27" s="23">
        <f ca="1">COUNTIF($S27:INDIRECT(ADDRESS(ROW(),MATCH("",$4:$4,-1),1,1)),"미조치")</f>
        <v>0</v>
      </c>
      <c r="M27" s="23">
        <f ca="1">COUNTIF($S27:INDIRECT(ADDRESS(ROW(),MATCH("",$4:$4,-1),1,1)),"위험수용")</f>
        <v>0</v>
      </c>
      <c r="N27" s="23">
        <f ca="1">COUNTIF($S27:INDIRECT(ADDRESS(ROW(),MATCH("",$4:$4,-1),1,1)),"N/A")</f>
        <v>0</v>
      </c>
      <c r="O27" s="23">
        <f ca="1">VLOOKUP($D27,'parm(hidden)'!$B$8:$C$10,2,FALSE)*($F27-$J27)</f>
        <v>6</v>
      </c>
      <c r="P27" s="23">
        <f ca="1">VLOOKUP($D27,'parm(hidden)'!$B$8:$C$10,2,FALSE)*($F27-$N27)</f>
        <v>6</v>
      </c>
      <c r="Q27" s="35">
        <f ca="1">VLOOKUP($D27,'parm(hidden)'!$B$8:$C$10,2,FALSE)*($G27+$H27)</f>
        <v>3</v>
      </c>
      <c r="R27" s="23">
        <f ca="1">VLOOKUP($D27,'parm(hidden)'!$B$8:$C$10,2,FALSE)*($G27+$H27+$K27)</f>
        <v>6</v>
      </c>
      <c r="S27" s="161" t="str">
        <f t="shared" ca="1" si="0"/>
        <v>Y</v>
      </c>
      <c r="T27" s="162" t="str">
        <f t="shared" ca="1" si="0"/>
        <v>조치</v>
      </c>
    </row>
    <row r="28" spans="1:20">
      <c r="A28" s="106" t="str">
        <f>ChkList!A26</f>
        <v>서비스 관리</v>
      </c>
      <c r="B28" s="29" t="str">
        <f>ChkList!$B26</f>
        <v>W-22</v>
      </c>
      <c r="C28" s="21" t="str">
        <f>ChkList!$C26</f>
        <v>FTP 디렉토리 접근권한 설정</v>
      </c>
      <c r="D28" s="32" t="str">
        <f>ChkList!$D26</f>
        <v>H</v>
      </c>
      <c r="E28" s="32">
        <f>ChkList!E26</f>
        <v>3</v>
      </c>
      <c r="F28" s="23">
        <f ca="1">COUNTA($S28:INDIRECT(ADDRESS(ROW(),MATCH("",$4:$4,-1),1,1)))</f>
        <v>2</v>
      </c>
      <c r="G28" s="23">
        <f ca="1">'취약점 진단 항목별 통계'!G28</f>
        <v>1</v>
      </c>
      <c r="H28" s="23">
        <f ca="1">'취약점 진단 항목별 통계'!H28</f>
        <v>0</v>
      </c>
      <c r="I28" s="23">
        <f ca="1">'취약점 진단 항목별 통계'!I28</f>
        <v>3</v>
      </c>
      <c r="J28" s="23">
        <f ca="1">'취약점 진단 항목별 통계'!J28</f>
        <v>0</v>
      </c>
      <c r="K28" s="23">
        <f ca="1">COUNTIF($S28:INDIRECT(ADDRESS(ROW(),MATCH("",$4:$4,-1),1,1)),"조치")</f>
        <v>1</v>
      </c>
      <c r="L28" s="23">
        <f ca="1">COUNTIF($S28:INDIRECT(ADDRESS(ROW(),MATCH("",$4:$4,-1),1,1)),"미조치")</f>
        <v>0</v>
      </c>
      <c r="M28" s="23">
        <f ca="1">COUNTIF($S28:INDIRECT(ADDRESS(ROW(),MATCH("",$4:$4,-1),1,1)),"위험수용")</f>
        <v>0</v>
      </c>
      <c r="N28" s="23">
        <f ca="1">COUNTIF($S28:INDIRECT(ADDRESS(ROW(),MATCH("",$4:$4,-1),1,1)),"N/A")</f>
        <v>0</v>
      </c>
      <c r="O28" s="23">
        <f ca="1">VLOOKUP($D28,'parm(hidden)'!$B$8:$C$10,2,FALSE)*($F28-$J28)</f>
        <v>6</v>
      </c>
      <c r="P28" s="23">
        <f ca="1">VLOOKUP($D28,'parm(hidden)'!$B$8:$C$10,2,FALSE)*($F28-$N28)</f>
        <v>6</v>
      </c>
      <c r="Q28" s="35">
        <f ca="1">VLOOKUP($D28,'parm(hidden)'!$B$8:$C$10,2,FALSE)*($G28+$H28)</f>
        <v>3</v>
      </c>
      <c r="R28" s="23">
        <f ca="1">VLOOKUP($D28,'parm(hidden)'!$B$8:$C$10,2,FALSE)*($G28+$H28+$K28)</f>
        <v>6</v>
      </c>
      <c r="S28" s="161" t="str">
        <f t="shared" ca="1" si="0"/>
        <v>Y</v>
      </c>
      <c r="T28" s="162" t="str">
        <f t="shared" ca="1" si="0"/>
        <v>조치</v>
      </c>
    </row>
    <row r="29" spans="1:20">
      <c r="A29" s="106" t="str">
        <f>ChkList!A27</f>
        <v>서비스 관리</v>
      </c>
      <c r="B29" s="29" t="str">
        <f>ChkList!$B27</f>
        <v>W-23</v>
      </c>
      <c r="C29" s="21" t="str">
        <f>ChkList!$C27</f>
        <v>공유 서비스에 대한 익명 접근 제한 설정</v>
      </c>
      <c r="D29" s="32" t="str">
        <f>ChkList!$D27</f>
        <v>H</v>
      </c>
      <c r="E29" s="32">
        <f>ChkList!E27</f>
        <v>3</v>
      </c>
      <c r="F29" s="23">
        <f ca="1">COUNTA($S29:INDIRECT(ADDRESS(ROW(),MATCH("",$4:$4,-1),1,1)))</f>
        <v>2</v>
      </c>
      <c r="G29" s="23">
        <f ca="1">'취약점 진단 항목별 통계'!G29</f>
        <v>1</v>
      </c>
      <c r="H29" s="23">
        <f ca="1">'취약점 진단 항목별 통계'!H29</f>
        <v>0</v>
      </c>
      <c r="I29" s="23">
        <f ca="1">'취약점 진단 항목별 통계'!I29</f>
        <v>3</v>
      </c>
      <c r="J29" s="23">
        <f ca="1">'취약점 진단 항목별 통계'!J29</f>
        <v>0</v>
      </c>
      <c r="K29" s="23">
        <f ca="1">COUNTIF($S29:INDIRECT(ADDRESS(ROW(),MATCH("",$4:$4,-1),1,1)),"조치")</f>
        <v>1</v>
      </c>
      <c r="L29" s="23">
        <f ca="1">COUNTIF($S29:INDIRECT(ADDRESS(ROW(),MATCH("",$4:$4,-1),1,1)),"미조치")</f>
        <v>0</v>
      </c>
      <c r="M29" s="23">
        <f ca="1">COUNTIF($S29:INDIRECT(ADDRESS(ROW(),MATCH("",$4:$4,-1),1,1)),"위험수용")</f>
        <v>0</v>
      </c>
      <c r="N29" s="23">
        <f ca="1">COUNTIF($S29:INDIRECT(ADDRESS(ROW(),MATCH("",$4:$4,-1),1,1)),"N/A")</f>
        <v>0</v>
      </c>
      <c r="O29" s="23">
        <f ca="1">VLOOKUP($D29,'parm(hidden)'!$B$8:$C$10,2,FALSE)*($F29-$J29)</f>
        <v>6</v>
      </c>
      <c r="P29" s="23">
        <f ca="1">VLOOKUP($D29,'parm(hidden)'!$B$8:$C$10,2,FALSE)*($F29-$N29)</f>
        <v>6</v>
      </c>
      <c r="Q29" s="35">
        <f ca="1">VLOOKUP($D29,'parm(hidden)'!$B$8:$C$10,2,FALSE)*($G29+$H29)</f>
        <v>3</v>
      </c>
      <c r="R29" s="23">
        <f ca="1">VLOOKUP($D29,'parm(hidden)'!$B$8:$C$10,2,FALSE)*($G29+$H29+$K29)</f>
        <v>6</v>
      </c>
      <c r="S29" s="161" t="str">
        <f t="shared" ca="1" si="0"/>
        <v>Y</v>
      </c>
      <c r="T29" s="162" t="str">
        <f t="shared" ca="1" si="0"/>
        <v>조치</v>
      </c>
    </row>
    <row r="30" spans="1:20">
      <c r="A30" s="106" t="str">
        <f>ChkList!A28</f>
        <v>서비스 관리</v>
      </c>
      <c r="B30" s="29" t="str">
        <f>ChkList!$B28</f>
        <v>W-24</v>
      </c>
      <c r="C30" s="21" t="str">
        <f>ChkList!$C28</f>
        <v>FTP 접근 제어 설정</v>
      </c>
      <c r="D30" s="32" t="str">
        <f>ChkList!$D28</f>
        <v>H</v>
      </c>
      <c r="E30" s="32">
        <f>ChkList!E28</f>
        <v>3</v>
      </c>
      <c r="F30" s="23">
        <f ca="1">COUNTA($S30:INDIRECT(ADDRESS(ROW(),MATCH("",$4:$4,-1),1,1)))</f>
        <v>2</v>
      </c>
      <c r="G30" s="23">
        <f ca="1">'취약점 진단 항목별 통계'!G30</f>
        <v>1</v>
      </c>
      <c r="H30" s="23">
        <f ca="1">'취약점 진단 항목별 통계'!H30</f>
        <v>0</v>
      </c>
      <c r="I30" s="23">
        <f ca="1">'취약점 진단 항목별 통계'!I30</f>
        <v>3</v>
      </c>
      <c r="J30" s="23">
        <f ca="1">'취약점 진단 항목별 통계'!J30</f>
        <v>0</v>
      </c>
      <c r="K30" s="23">
        <f ca="1">COUNTIF($S30:INDIRECT(ADDRESS(ROW(),MATCH("",$4:$4,-1),1,1)),"조치")</f>
        <v>1</v>
      </c>
      <c r="L30" s="23">
        <f ca="1">COUNTIF($S30:INDIRECT(ADDRESS(ROW(),MATCH("",$4:$4,-1),1,1)),"미조치")</f>
        <v>0</v>
      </c>
      <c r="M30" s="23">
        <f ca="1">COUNTIF($S30:INDIRECT(ADDRESS(ROW(),MATCH("",$4:$4,-1),1,1)),"위험수용")</f>
        <v>0</v>
      </c>
      <c r="N30" s="23">
        <f ca="1">COUNTIF($S30:INDIRECT(ADDRESS(ROW(),MATCH("",$4:$4,-1),1,1)),"N/A")</f>
        <v>0</v>
      </c>
      <c r="O30" s="23">
        <f ca="1">VLOOKUP($D30,'parm(hidden)'!$B$8:$C$10,2,FALSE)*($F30-$J30)</f>
        <v>6</v>
      </c>
      <c r="P30" s="23">
        <f ca="1">VLOOKUP($D30,'parm(hidden)'!$B$8:$C$10,2,FALSE)*($F30-$N30)</f>
        <v>6</v>
      </c>
      <c r="Q30" s="35">
        <f ca="1">VLOOKUP($D30,'parm(hidden)'!$B$8:$C$10,2,FALSE)*($G30+$H30)</f>
        <v>3</v>
      </c>
      <c r="R30" s="23">
        <f ca="1">VLOOKUP($D30,'parm(hidden)'!$B$8:$C$10,2,FALSE)*($G30+$H30+$K30)</f>
        <v>6</v>
      </c>
      <c r="S30" s="161" t="str">
        <f t="shared" ca="1" si="0"/>
        <v>Y</v>
      </c>
      <c r="T30" s="162" t="str">
        <f t="shared" ca="1" si="0"/>
        <v>조치</v>
      </c>
    </row>
    <row r="31" spans="1:20">
      <c r="A31" s="106" t="str">
        <f>ChkList!A29</f>
        <v>서비스 관리</v>
      </c>
      <c r="B31" s="29" t="str">
        <f>ChkList!$B29</f>
        <v>W-25</v>
      </c>
      <c r="C31" s="21" t="str">
        <f>ChkList!$C29</f>
        <v>DNS Zone Transfer 설정</v>
      </c>
      <c r="D31" s="32" t="str">
        <f>ChkList!$D29</f>
        <v>H</v>
      </c>
      <c r="E31" s="32">
        <f>ChkList!E29</f>
        <v>3</v>
      </c>
      <c r="F31" s="23">
        <f ca="1">COUNTA($S31:INDIRECT(ADDRESS(ROW(),MATCH("",$4:$4,-1),1,1)))</f>
        <v>2</v>
      </c>
      <c r="G31" s="23">
        <f ca="1">'취약점 진단 항목별 통계'!G31</f>
        <v>1</v>
      </c>
      <c r="H31" s="23">
        <f ca="1">'취약점 진단 항목별 통계'!H31</f>
        <v>0</v>
      </c>
      <c r="I31" s="23">
        <f ca="1">'취약점 진단 항목별 통계'!I31</f>
        <v>3</v>
      </c>
      <c r="J31" s="23">
        <f ca="1">'취약점 진단 항목별 통계'!J31</f>
        <v>0</v>
      </c>
      <c r="K31" s="23">
        <f ca="1">COUNTIF($S31:INDIRECT(ADDRESS(ROW(),MATCH("",$4:$4,-1),1,1)),"조치")</f>
        <v>1</v>
      </c>
      <c r="L31" s="23">
        <f ca="1">COUNTIF($S31:INDIRECT(ADDRESS(ROW(),MATCH("",$4:$4,-1),1,1)),"미조치")</f>
        <v>0</v>
      </c>
      <c r="M31" s="23">
        <f ca="1">COUNTIF($S31:INDIRECT(ADDRESS(ROW(),MATCH("",$4:$4,-1),1,1)),"위험수용")</f>
        <v>0</v>
      </c>
      <c r="N31" s="23">
        <f ca="1">COUNTIF($S31:INDIRECT(ADDRESS(ROW(),MATCH("",$4:$4,-1),1,1)),"N/A")</f>
        <v>0</v>
      </c>
      <c r="O31" s="23">
        <f ca="1">VLOOKUP($D31,'parm(hidden)'!$B$8:$C$10,2,FALSE)*($F31-$J31)</f>
        <v>6</v>
      </c>
      <c r="P31" s="23">
        <f ca="1">VLOOKUP($D31,'parm(hidden)'!$B$8:$C$10,2,FALSE)*($F31-$N31)</f>
        <v>6</v>
      </c>
      <c r="Q31" s="35">
        <f ca="1">VLOOKUP($D31,'parm(hidden)'!$B$8:$C$10,2,FALSE)*($G31+$H31)</f>
        <v>3</v>
      </c>
      <c r="R31" s="23">
        <f ca="1">VLOOKUP($D31,'parm(hidden)'!$B$8:$C$10,2,FALSE)*($G31+$H31+$K31)</f>
        <v>6</v>
      </c>
      <c r="S31" s="161" t="str">
        <f t="shared" ca="1" si="0"/>
        <v>Y</v>
      </c>
      <c r="T31" s="162" t="str">
        <f t="shared" ca="1" si="0"/>
        <v>조치</v>
      </c>
    </row>
    <row r="32" spans="1:20">
      <c r="A32" s="106" t="str">
        <f>ChkList!A30</f>
        <v>서비스 관리</v>
      </c>
      <c r="B32" s="29" t="str">
        <f>ChkList!$B30</f>
        <v>W-26</v>
      </c>
      <c r="C32" s="21" t="str">
        <f>ChkList!$C30</f>
        <v>RDS(Remote Data Services)제거</v>
      </c>
      <c r="D32" s="32" t="str">
        <f>ChkList!$D30</f>
        <v>H</v>
      </c>
      <c r="E32" s="32">
        <f>ChkList!E30</f>
        <v>3</v>
      </c>
      <c r="F32" s="23">
        <f ca="1">COUNTA($S32:INDIRECT(ADDRESS(ROW(),MATCH("",$4:$4,-1),1,1)))</f>
        <v>2</v>
      </c>
      <c r="G32" s="23">
        <f ca="1">'취약점 진단 항목별 통계'!G32</f>
        <v>1</v>
      </c>
      <c r="H32" s="23">
        <f ca="1">'취약점 진단 항목별 통계'!H32</f>
        <v>0</v>
      </c>
      <c r="I32" s="23">
        <f ca="1">'취약점 진단 항목별 통계'!I32</f>
        <v>3</v>
      </c>
      <c r="J32" s="23">
        <f ca="1">'취약점 진단 항목별 통계'!J32</f>
        <v>0</v>
      </c>
      <c r="K32" s="23">
        <f ca="1">COUNTIF($S32:INDIRECT(ADDRESS(ROW(),MATCH("",$4:$4,-1),1,1)),"조치")</f>
        <v>1</v>
      </c>
      <c r="L32" s="23">
        <f ca="1">COUNTIF($S32:INDIRECT(ADDRESS(ROW(),MATCH("",$4:$4,-1),1,1)),"미조치")</f>
        <v>0</v>
      </c>
      <c r="M32" s="23">
        <f ca="1">COUNTIF($S32:INDIRECT(ADDRESS(ROW(),MATCH("",$4:$4,-1),1,1)),"위험수용")</f>
        <v>0</v>
      </c>
      <c r="N32" s="23">
        <f ca="1">COUNTIF($S32:INDIRECT(ADDRESS(ROW(),MATCH("",$4:$4,-1),1,1)),"N/A")</f>
        <v>0</v>
      </c>
      <c r="O32" s="23">
        <f ca="1">VLOOKUP($D32,'parm(hidden)'!$B$8:$C$10,2,FALSE)*($F32-$J32)</f>
        <v>6</v>
      </c>
      <c r="P32" s="23">
        <f ca="1">VLOOKUP($D32,'parm(hidden)'!$B$8:$C$10,2,FALSE)*($F32-$N32)</f>
        <v>6</v>
      </c>
      <c r="Q32" s="35">
        <f ca="1">VLOOKUP($D32,'parm(hidden)'!$B$8:$C$10,2,FALSE)*($G32+$H32)</f>
        <v>3</v>
      </c>
      <c r="R32" s="23">
        <f ca="1">VLOOKUP($D32,'parm(hidden)'!$B$8:$C$10,2,FALSE)*($G32+$H32+$K32)</f>
        <v>6</v>
      </c>
      <c r="S32" s="161" t="str">
        <f t="shared" ca="1" si="0"/>
        <v>Y</v>
      </c>
      <c r="T32" s="162" t="str">
        <f t="shared" ca="1" si="0"/>
        <v>조치</v>
      </c>
    </row>
    <row r="33" spans="1:20">
      <c r="A33" s="106" t="str">
        <f>ChkList!A31</f>
        <v>서비스 관리</v>
      </c>
      <c r="B33" s="29" t="str">
        <f>ChkList!$B31</f>
        <v>W-27</v>
      </c>
      <c r="C33" s="21" t="str">
        <f>ChkList!$C31</f>
        <v>최신 Windows OS Build 버전 적용</v>
      </c>
      <c r="D33" s="32" t="str">
        <f>ChkList!$D31</f>
        <v>H</v>
      </c>
      <c r="E33" s="32">
        <f>ChkList!E31</f>
        <v>3</v>
      </c>
      <c r="F33" s="23">
        <f ca="1">COUNTA($S33:INDIRECT(ADDRESS(ROW(),MATCH("",$4:$4,-1),1,1)))</f>
        <v>2</v>
      </c>
      <c r="G33" s="23">
        <f ca="1">'취약점 진단 항목별 통계'!G33</f>
        <v>1</v>
      </c>
      <c r="H33" s="23">
        <f ca="1">'취약점 진단 항목별 통계'!H33</f>
        <v>0</v>
      </c>
      <c r="I33" s="23">
        <f ca="1">'취약점 진단 항목별 통계'!I33</f>
        <v>3</v>
      </c>
      <c r="J33" s="23">
        <f ca="1">'취약점 진단 항목별 통계'!J33</f>
        <v>0</v>
      </c>
      <c r="K33" s="23">
        <f ca="1">COUNTIF($S33:INDIRECT(ADDRESS(ROW(),MATCH("",$4:$4,-1),1,1)),"조치")</f>
        <v>1</v>
      </c>
      <c r="L33" s="23">
        <f ca="1">COUNTIF($S33:INDIRECT(ADDRESS(ROW(),MATCH("",$4:$4,-1),1,1)),"미조치")</f>
        <v>0</v>
      </c>
      <c r="M33" s="23">
        <f ca="1">COUNTIF($S33:INDIRECT(ADDRESS(ROW(),MATCH("",$4:$4,-1),1,1)),"위험수용")</f>
        <v>0</v>
      </c>
      <c r="N33" s="23">
        <f ca="1">COUNTIF($S33:INDIRECT(ADDRESS(ROW(),MATCH("",$4:$4,-1),1,1)),"N/A")</f>
        <v>0</v>
      </c>
      <c r="O33" s="23">
        <f ca="1">VLOOKUP($D33,'parm(hidden)'!$B$8:$C$10,2,FALSE)*($F33-$J33)</f>
        <v>6</v>
      </c>
      <c r="P33" s="23">
        <f ca="1">VLOOKUP($D33,'parm(hidden)'!$B$8:$C$10,2,FALSE)*($F33-$N33)</f>
        <v>6</v>
      </c>
      <c r="Q33" s="35">
        <f ca="1">VLOOKUP($D33,'parm(hidden)'!$B$8:$C$10,2,FALSE)*($G33+$H33)</f>
        <v>3</v>
      </c>
      <c r="R33" s="23">
        <f ca="1">VLOOKUP($D33,'parm(hidden)'!$B$8:$C$10,2,FALSE)*($G33+$H33+$K33)</f>
        <v>6</v>
      </c>
      <c r="S33" s="161" t="str">
        <f t="shared" ca="1" si="0"/>
        <v>Y</v>
      </c>
      <c r="T33" s="162" t="str">
        <f t="shared" ca="1" si="0"/>
        <v>조치</v>
      </c>
    </row>
    <row r="34" spans="1:20">
      <c r="A34" s="106" t="str">
        <f>ChkList!A32</f>
        <v>서비스 관리</v>
      </c>
      <c r="B34" s="29" t="str">
        <f>ChkList!$B32</f>
        <v>W-28</v>
      </c>
      <c r="C34" s="21" t="str">
        <f>ChkList!$C32</f>
        <v>터미널 서비스 암호화 수준 설정</v>
      </c>
      <c r="D34" s="32" t="str">
        <f>ChkList!$D32</f>
        <v>M</v>
      </c>
      <c r="E34" s="32">
        <f>ChkList!E32</f>
        <v>2</v>
      </c>
      <c r="F34" s="23">
        <f ca="1">COUNTA($S34:INDIRECT(ADDRESS(ROW(),MATCH("",$4:$4,-1),1,1)))</f>
        <v>2</v>
      </c>
      <c r="G34" s="23">
        <f ca="1">'취약점 진단 항목별 통계'!G34</f>
        <v>1</v>
      </c>
      <c r="H34" s="23">
        <f ca="1">'취약점 진단 항목별 통계'!H34</f>
        <v>0</v>
      </c>
      <c r="I34" s="23">
        <f ca="1">'취약점 진단 항목별 통계'!I34</f>
        <v>3</v>
      </c>
      <c r="J34" s="23">
        <f ca="1">'취약점 진단 항목별 통계'!J34</f>
        <v>0</v>
      </c>
      <c r="K34" s="23">
        <f ca="1">COUNTIF($S34:INDIRECT(ADDRESS(ROW(),MATCH("",$4:$4,-1),1,1)),"조치")</f>
        <v>1</v>
      </c>
      <c r="L34" s="23">
        <f ca="1">COUNTIF($S34:INDIRECT(ADDRESS(ROW(),MATCH("",$4:$4,-1),1,1)),"미조치")</f>
        <v>0</v>
      </c>
      <c r="M34" s="23">
        <f ca="1">COUNTIF($S34:INDIRECT(ADDRESS(ROW(),MATCH("",$4:$4,-1),1,1)),"위험수용")</f>
        <v>0</v>
      </c>
      <c r="N34" s="23">
        <f ca="1">COUNTIF($S34:INDIRECT(ADDRESS(ROW(),MATCH("",$4:$4,-1),1,1)),"N/A")</f>
        <v>0</v>
      </c>
      <c r="O34" s="23">
        <f ca="1">VLOOKUP($D34,'parm(hidden)'!$B$8:$C$10,2,FALSE)*($F34-$J34)</f>
        <v>4</v>
      </c>
      <c r="P34" s="23">
        <f ca="1">VLOOKUP($D34,'parm(hidden)'!$B$8:$C$10,2,FALSE)*($F34-$N34)</f>
        <v>4</v>
      </c>
      <c r="Q34" s="35">
        <f ca="1">VLOOKUP($D34,'parm(hidden)'!$B$8:$C$10,2,FALSE)*($G34+$H34)</f>
        <v>2</v>
      </c>
      <c r="R34" s="23">
        <f ca="1">VLOOKUP($D34,'parm(hidden)'!$B$8:$C$10,2,FALSE)*($G34+$H34+$K34)</f>
        <v>4</v>
      </c>
      <c r="S34" s="161" t="str">
        <f t="shared" ca="1" si="0"/>
        <v>Y</v>
      </c>
      <c r="T34" s="162" t="str">
        <f t="shared" ca="1" si="0"/>
        <v>조치</v>
      </c>
    </row>
    <row r="35" spans="1:20">
      <c r="A35" s="106" t="str">
        <f>ChkList!A33</f>
        <v>서비스 관리</v>
      </c>
      <c r="B35" s="29" t="str">
        <f>ChkList!$B33</f>
        <v>W-29</v>
      </c>
      <c r="C35" s="21" t="str">
        <f>ChkList!$C33</f>
        <v>불필요한 SNMP 서비스 구동 점검</v>
      </c>
      <c r="D35" s="32" t="str">
        <f>ChkList!$D33</f>
        <v>M</v>
      </c>
      <c r="E35" s="32">
        <f>ChkList!E33</f>
        <v>2</v>
      </c>
      <c r="F35" s="23">
        <f ca="1">COUNTA($S35:INDIRECT(ADDRESS(ROW(),MATCH("",$4:$4,-1),1,1)))</f>
        <v>2</v>
      </c>
      <c r="G35" s="23">
        <f ca="1">'취약점 진단 항목별 통계'!G35</f>
        <v>1</v>
      </c>
      <c r="H35" s="23">
        <f ca="1">'취약점 진단 항목별 통계'!H35</f>
        <v>0</v>
      </c>
      <c r="I35" s="23">
        <f ca="1">'취약점 진단 항목별 통계'!I35</f>
        <v>3</v>
      </c>
      <c r="J35" s="23">
        <f ca="1">'취약점 진단 항목별 통계'!J35</f>
        <v>0</v>
      </c>
      <c r="K35" s="23">
        <f ca="1">COUNTIF($S35:INDIRECT(ADDRESS(ROW(),MATCH("",$4:$4,-1),1,1)),"조치")</f>
        <v>1</v>
      </c>
      <c r="L35" s="23">
        <f ca="1">COUNTIF($S35:INDIRECT(ADDRESS(ROW(),MATCH("",$4:$4,-1),1,1)),"미조치")</f>
        <v>0</v>
      </c>
      <c r="M35" s="23">
        <f ca="1">COUNTIF($S35:INDIRECT(ADDRESS(ROW(),MATCH("",$4:$4,-1),1,1)),"위험수용")</f>
        <v>0</v>
      </c>
      <c r="N35" s="23">
        <f ca="1">COUNTIF($S35:INDIRECT(ADDRESS(ROW(),MATCH("",$4:$4,-1),1,1)),"N/A")</f>
        <v>0</v>
      </c>
      <c r="O35" s="23">
        <f ca="1">VLOOKUP($D35,'parm(hidden)'!$B$8:$C$10,2,FALSE)*($F35-$J35)</f>
        <v>4</v>
      </c>
      <c r="P35" s="23">
        <f ca="1">VLOOKUP($D35,'parm(hidden)'!$B$8:$C$10,2,FALSE)*($F35-$N35)</f>
        <v>4</v>
      </c>
      <c r="Q35" s="35">
        <f ca="1">VLOOKUP($D35,'parm(hidden)'!$B$8:$C$10,2,FALSE)*($G35+$H35)</f>
        <v>2</v>
      </c>
      <c r="R35" s="23">
        <f ca="1">VLOOKUP($D35,'parm(hidden)'!$B$8:$C$10,2,FALSE)*($G35+$H35+$K35)</f>
        <v>4</v>
      </c>
      <c r="S35" s="161" t="str">
        <f t="shared" ca="1" si="0"/>
        <v>Y</v>
      </c>
      <c r="T35" s="162" t="str">
        <f t="shared" ca="1" si="0"/>
        <v>조치</v>
      </c>
    </row>
    <row r="36" spans="1:20">
      <c r="A36" s="106" t="str">
        <f>ChkList!A34</f>
        <v>서비스 관리</v>
      </c>
      <c r="B36" s="29" t="str">
        <f>ChkList!$B34</f>
        <v>W-30</v>
      </c>
      <c r="C36" s="21" t="str">
        <f>ChkList!$C34</f>
        <v>SNMP Community String 복잡성 설정</v>
      </c>
      <c r="D36" s="32" t="str">
        <f>ChkList!$D34</f>
        <v>M</v>
      </c>
      <c r="E36" s="32">
        <f>ChkList!E34</f>
        <v>2</v>
      </c>
      <c r="F36" s="23">
        <f ca="1">COUNTA($S36:INDIRECT(ADDRESS(ROW(),MATCH("",$4:$4,-1),1,1)))</f>
        <v>2</v>
      </c>
      <c r="G36" s="23">
        <f ca="1">'취약점 진단 항목별 통계'!G36</f>
        <v>1</v>
      </c>
      <c r="H36" s="23">
        <f ca="1">'취약점 진단 항목별 통계'!H36</f>
        <v>0</v>
      </c>
      <c r="I36" s="23">
        <f ca="1">'취약점 진단 항목별 통계'!I36</f>
        <v>3</v>
      </c>
      <c r="J36" s="23">
        <f ca="1">'취약점 진단 항목별 통계'!J36</f>
        <v>0</v>
      </c>
      <c r="K36" s="23">
        <f ca="1">COUNTIF($S36:INDIRECT(ADDRESS(ROW(),MATCH("",$4:$4,-1),1,1)),"조치")</f>
        <v>1</v>
      </c>
      <c r="L36" s="23">
        <f ca="1">COUNTIF($S36:INDIRECT(ADDRESS(ROW(),MATCH("",$4:$4,-1),1,1)),"미조치")</f>
        <v>0</v>
      </c>
      <c r="M36" s="23">
        <f ca="1">COUNTIF($S36:INDIRECT(ADDRESS(ROW(),MATCH("",$4:$4,-1),1,1)),"위험수용")</f>
        <v>0</v>
      </c>
      <c r="N36" s="23">
        <f ca="1">COUNTIF($S36:INDIRECT(ADDRESS(ROW(),MATCH("",$4:$4,-1),1,1)),"N/A")</f>
        <v>0</v>
      </c>
      <c r="O36" s="23">
        <f ca="1">VLOOKUP($D36,'parm(hidden)'!$B$8:$C$10,2,FALSE)*($F36-$J36)</f>
        <v>4</v>
      </c>
      <c r="P36" s="23">
        <f ca="1">VLOOKUP($D36,'parm(hidden)'!$B$8:$C$10,2,FALSE)*($F36-$N36)</f>
        <v>4</v>
      </c>
      <c r="Q36" s="35">
        <f ca="1">VLOOKUP($D36,'parm(hidden)'!$B$8:$C$10,2,FALSE)*($G36+$H36)</f>
        <v>2</v>
      </c>
      <c r="R36" s="23">
        <f ca="1">VLOOKUP($D36,'parm(hidden)'!$B$8:$C$10,2,FALSE)*($G36+$H36+$K36)</f>
        <v>4</v>
      </c>
      <c r="S36" s="161" t="str">
        <f t="shared" ca="1" si="0"/>
        <v>Y</v>
      </c>
      <c r="T36" s="162" t="str">
        <f t="shared" ca="1" si="0"/>
        <v>조치</v>
      </c>
    </row>
    <row r="37" spans="1:20">
      <c r="A37" s="106" t="e">
        <f>ChkList!#REF!</f>
        <v>#REF!</v>
      </c>
      <c r="B37" s="29" t="e">
        <f>ChkList!#REF!</f>
        <v>#REF!</v>
      </c>
      <c r="C37" s="21" t="e">
        <f>ChkList!#REF!</f>
        <v>#REF!</v>
      </c>
      <c r="D37" s="32" t="e">
        <f>ChkList!#REF!</f>
        <v>#REF!</v>
      </c>
      <c r="E37" s="32" t="e">
        <f>ChkList!#REF!</f>
        <v>#REF!</v>
      </c>
      <c r="F37" s="23">
        <f ca="1">COUNTA($S37:INDIRECT(ADDRESS(ROW(),MATCH("",$4:$4,-1),1,1)))</f>
        <v>2</v>
      </c>
      <c r="G37" s="23">
        <f ca="1">'취약점 진단 항목별 통계'!G37</f>
        <v>1</v>
      </c>
      <c r="H37" s="23">
        <f ca="1">'취약점 진단 항목별 통계'!H37</f>
        <v>0</v>
      </c>
      <c r="I37" s="23">
        <f ca="1">'취약점 진단 항목별 통계'!I37</f>
        <v>3</v>
      </c>
      <c r="J37" s="23">
        <f ca="1">'취약점 진단 항목별 통계'!J37</f>
        <v>0</v>
      </c>
      <c r="K37" s="23">
        <f ca="1">COUNTIF($S37:INDIRECT(ADDRESS(ROW(),MATCH("",$4:$4,-1),1,1)),"조치")</f>
        <v>1</v>
      </c>
      <c r="L37" s="23">
        <f ca="1">COUNTIF($S37:INDIRECT(ADDRESS(ROW(),MATCH("",$4:$4,-1),1,1)),"미조치")</f>
        <v>0</v>
      </c>
      <c r="M37" s="23">
        <f ca="1">COUNTIF($S37:INDIRECT(ADDRESS(ROW(),MATCH("",$4:$4,-1),1,1)),"위험수용")</f>
        <v>0</v>
      </c>
      <c r="N37" s="23">
        <f ca="1">COUNTIF($S37:INDIRECT(ADDRESS(ROW(),MATCH("",$4:$4,-1),1,1)),"N/A")</f>
        <v>0</v>
      </c>
      <c r="O37" s="23" t="e">
        <f ca="1">VLOOKUP($D37,'parm(hidden)'!$B$8:$C$10,2,FALSE)*($F37-$J37)</f>
        <v>#REF!</v>
      </c>
      <c r="P37" s="23" t="e">
        <f ca="1">VLOOKUP($D37,'parm(hidden)'!$B$8:$C$10,2,FALSE)*($F37-$N37)</f>
        <v>#REF!</v>
      </c>
      <c r="Q37" s="35" t="e">
        <f ca="1">VLOOKUP($D37,'parm(hidden)'!$B$8:$C$10,2,FALSE)*($G37+$H37)</f>
        <v>#REF!</v>
      </c>
      <c r="R37" s="23" t="e">
        <f ca="1">VLOOKUP($D37,'parm(hidden)'!$B$8:$C$10,2,FALSE)*($G37+$H37+$K37)</f>
        <v>#REF!</v>
      </c>
      <c r="S37" s="161" t="str">
        <f t="shared" ca="1" si="0"/>
        <v>Y</v>
      </c>
      <c r="T37" s="162" t="str">
        <f t="shared" ca="1" si="0"/>
        <v>조치</v>
      </c>
    </row>
    <row r="38" spans="1:20">
      <c r="A38" s="106" t="str">
        <f>ChkList!A35</f>
        <v>서비스 관리</v>
      </c>
      <c r="B38" s="29" t="str">
        <f>ChkList!$B35</f>
        <v>W-31</v>
      </c>
      <c r="C38" s="21" t="str">
        <f>ChkList!$C35</f>
        <v>SNMP Access Control 설정</v>
      </c>
      <c r="D38" s="32" t="str">
        <f>ChkList!$D35</f>
        <v>M</v>
      </c>
      <c r="E38" s="32">
        <f>ChkList!E35</f>
        <v>2</v>
      </c>
      <c r="F38" s="23">
        <f ca="1">COUNTA($S38:INDIRECT(ADDRESS(ROW(),MATCH("",$4:$4,-1),1,1)))</f>
        <v>2</v>
      </c>
      <c r="G38" s="23">
        <f ca="1">'취약점 진단 항목별 통계'!G38</f>
        <v>1</v>
      </c>
      <c r="H38" s="23">
        <f ca="1">'취약점 진단 항목별 통계'!H38</f>
        <v>0</v>
      </c>
      <c r="I38" s="23">
        <f ca="1">'취약점 진단 항목별 통계'!I38</f>
        <v>3</v>
      </c>
      <c r="J38" s="23">
        <f ca="1">'취약점 진단 항목별 통계'!J38</f>
        <v>0</v>
      </c>
      <c r="K38" s="23">
        <f ca="1">COUNTIF($S38:INDIRECT(ADDRESS(ROW(),MATCH("",$4:$4,-1),1,1)),"조치")</f>
        <v>1</v>
      </c>
      <c r="L38" s="23">
        <f ca="1">COUNTIF($S38:INDIRECT(ADDRESS(ROW(),MATCH("",$4:$4,-1),1,1)),"미조치")</f>
        <v>0</v>
      </c>
      <c r="M38" s="23">
        <f ca="1">COUNTIF($S38:INDIRECT(ADDRESS(ROW(),MATCH("",$4:$4,-1),1,1)),"위험수용")</f>
        <v>0</v>
      </c>
      <c r="N38" s="23">
        <f ca="1">COUNTIF($S38:INDIRECT(ADDRESS(ROW(),MATCH("",$4:$4,-1),1,1)),"N/A")</f>
        <v>0</v>
      </c>
      <c r="O38" s="23">
        <f ca="1">VLOOKUP($D38,'parm(hidden)'!$B$8:$C$10,2,FALSE)*($F38-$J38)</f>
        <v>4</v>
      </c>
      <c r="P38" s="23">
        <f ca="1">VLOOKUP($D38,'parm(hidden)'!$B$8:$C$10,2,FALSE)*($F38-$N38)</f>
        <v>4</v>
      </c>
      <c r="Q38" s="35">
        <f ca="1">VLOOKUP($D38,'parm(hidden)'!$B$8:$C$10,2,FALSE)*($G38+$H38)</f>
        <v>2</v>
      </c>
      <c r="R38" s="23">
        <f ca="1">VLOOKUP($D38,'parm(hidden)'!$B$8:$C$10,2,FALSE)*($G38+$H38+$K38)</f>
        <v>4</v>
      </c>
      <c r="S38" s="161" t="str">
        <f t="shared" ref="S38:T70" ca="1" si="1">HYPERLINK("["&amp;MID(CELL("filename"),SEARCH("[",CELL("filename"))+1,SEARCH("]",CELL("filename"))-SEARCH("[",CELL("filename"))-1)&amp;"]"&amp;ADDRESS(ROW()+16,11,1,TRUE,S$4),INDIRECT(ADDRESS(ROW()+16,11,1,TRUE,S$4)))</f>
        <v>Y</v>
      </c>
      <c r="T38" s="162" t="str">
        <f t="shared" ca="1" si="1"/>
        <v>조치</v>
      </c>
    </row>
    <row r="39" spans="1:20">
      <c r="A39" s="106" t="str">
        <f>ChkList!A36</f>
        <v>서비스 관리</v>
      </c>
      <c r="B39" s="29" t="str">
        <f>ChkList!$B36</f>
        <v>W-32</v>
      </c>
      <c r="C39" s="21" t="str">
        <f>ChkList!$C36</f>
        <v>DNS 서비스 구동 점검</v>
      </c>
      <c r="D39" s="32" t="str">
        <f>ChkList!$D36</f>
        <v>M</v>
      </c>
      <c r="E39" s="32">
        <f>ChkList!E36</f>
        <v>2</v>
      </c>
      <c r="F39" s="23">
        <f ca="1">COUNTA($S39:INDIRECT(ADDRESS(ROW(),MATCH("",$4:$4,-1),1,1)))</f>
        <v>2</v>
      </c>
      <c r="G39" s="23">
        <f ca="1">'취약점 진단 항목별 통계'!G39</f>
        <v>1</v>
      </c>
      <c r="H39" s="23">
        <f ca="1">'취약점 진단 항목별 통계'!H39</f>
        <v>0</v>
      </c>
      <c r="I39" s="23">
        <f ca="1">'취약점 진단 항목별 통계'!I39</f>
        <v>3</v>
      </c>
      <c r="J39" s="23">
        <f ca="1">'취약점 진단 항목별 통계'!J39</f>
        <v>0</v>
      </c>
      <c r="K39" s="23">
        <f ca="1">COUNTIF($S39:INDIRECT(ADDRESS(ROW(),MATCH("",$4:$4,-1),1,1)),"조치")</f>
        <v>1</v>
      </c>
      <c r="L39" s="23">
        <f ca="1">COUNTIF($S39:INDIRECT(ADDRESS(ROW(),MATCH("",$4:$4,-1),1,1)),"미조치")</f>
        <v>0</v>
      </c>
      <c r="M39" s="23">
        <f ca="1">COUNTIF($S39:INDIRECT(ADDRESS(ROW(),MATCH("",$4:$4,-1),1,1)),"위험수용")</f>
        <v>0</v>
      </c>
      <c r="N39" s="23">
        <f ca="1">COUNTIF($S39:INDIRECT(ADDRESS(ROW(),MATCH("",$4:$4,-1),1,1)),"N/A")</f>
        <v>0</v>
      </c>
      <c r="O39" s="23">
        <f ca="1">VLOOKUP($D39,'parm(hidden)'!$B$8:$C$10,2,FALSE)*($F39-$J39)</f>
        <v>4</v>
      </c>
      <c r="P39" s="23">
        <f ca="1">VLOOKUP($D39,'parm(hidden)'!$B$8:$C$10,2,FALSE)*($F39-$N39)</f>
        <v>4</v>
      </c>
      <c r="Q39" s="35">
        <f ca="1">VLOOKUP($D39,'parm(hidden)'!$B$8:$C$10,2,FALSE)*($G39+$H39)</f>
        <v>2</v>
      </c>
      <c r="R39" s="23">
        <f ca="1">VLOOKUP($D39,'parm(hidden)'!$B$8:$C$10,2,FALSE)*($G39+$H39+$K39)</f>
        <v>4</v>
      </c>
      <c r="S39" s="161" t="str">
        <f t="shared" ca="1" si="1"/>
        <v>Y</v>
      </c>
      <c r="T39" s="162" t="str">
        <f t="shared" ca="1" si="1"/>
        <v>조치</v>
      </c>
    </row>
    <row r="40" spans="1:20">
      <c r="A40" s="106" t="str">
        <f>ChkList!A37</f>
        <v>서비스 관리</v>
      </c>
      <c r="B40" s="29" t="str">
        <f>ChkList!$B37</f>
        <v>W-33</v>
      </c>
      <c r="C40" s="21" t="str">
        <f>ChkList!$C37</f>
        <v>HTTP/FTP/SMTP 배너 차단</v>
      </c>
      <c r="D40" s="32" t="str">
        <f>ChkList!$D37</f>
        <v>L</v>
      </c>
      <c r="E40" s="32">
        <f>ChkList!E37</f>
        <v>1</v>
      </c>
      <c r="F40" s="23">
        <f ca="1">COUNTA($S40:INDIRECT(ADDRESS(ROW(),MATCH("",$4:$4,-1),1,1)))</f>
        <v>2</v>
      </c>
      <c r="G40" s="23">
        <f ca="1">'취약점 진단 항목별 통계'!G40</f>
        <v>0</v>
      </c>
      <c r="H40" s="23">
        <f ca="1">'취약점 진단 항목별 통계'!H40</f>
        <v>0</v>
      </c>
      <c r="I40" s="23">
        <f ca="1">'취약점 진단 항목별 통계'!I40</f>
        <v>4</v>
      </c>
      <c r="J40" s="23">
        <f ca="1">'취약점 진단 항목별 통계'!J40</f>
        <v>0</v>
      </c>
      <c r="K40" s="23">
        <f ca="1">COUNTIF($S40:INDIRECT(ADDRESS(ROW(),MATCH("",$4:$4,-1),1,1)),"조치")</f>
        <v>2</v>
      </c>
      <c r="L40" s="23">
        <f ca="1">COUNTIF($S40:INDIRECT(ADDRESS(ROW(),MATCH("",$4:$4,-1),1,1)),"미조치")</f>
        <v>0</v>
      </c>
      <c r="M40" s="23">
        <f ca="1">COUNTIF($S40:INDIRECT(ADDRESS(ROW(),MATCH("",$4:$4,-1),1,1)),"위험수용")</f>
        <v>0</v>
      </c>
      <c r="N40" s="23">
        <f ca="1">COUNTIF($S40:INDIRECT(ADDRESS(ROW(),MATCH("",$4:$4,-1),1,1)),"N/A")</f>
        <v>0</v>
      </c>
      <c r="O40" s="23">
        <f ca="1">VLOOKUP($D40,'parm(hidden)'!$B$8:$C$10,2,FALSE)*($F40-$J40)</f>
        <v>2</v>
      </c>
      <c r="P40" s="23">
        <f ca="1">VLOOKUP($D40,'parm(hidden)'!$B$8:$C$10,2,FALSE)*($F40-$N40)</f>
        <v>2</v>
      </c>
      <c r="Q40" s="35">
        <f ca="1">VLOOKUP($D40,'parm(hidden)'!$B$8:$C$10,2,FALSE)*($G40+$H40)</f>
        <v>0</v>
      </c>
      <c r="R40" s="23">
        <f ca="1">VLOOKUP($D40,'parm(hidden)'!$B$8:$C$10,2,FALSE)*($G40+$H40+$K40)</f>
        <v>2</v>
      </c>
      <c r="S40" s="161" t="str">
        <f t="shared" ca="1" si="1"/>
        <v>조치</v>
      </c>
      <c r="T40" s="162" t="str">
        <f t="shared" ca="1" si="1"/>
        <v>조치</v>
      </c>
    </row>
    <row r="41" spans="1:20">
      <c r="A41" s="106" t="str">
        <f>ChkList!A38</f>
        <v>서비스 관리</v>
      </c>
      <c r="B41" s="29" t="str">
        <f>ChkList!$B38</f>
        <v>W-34</v>
      </c>
      <c r="C41" s="21" t="str">
        <f>ChkList!$C38</f>
        <v>Telnet 서비스 비활성화</v>
      </c>
      <c r="D41" s="32" t="str">
        <f>ChkList!$D38</f>
        <v>M</v>
      </c>
      <c r="E41" s="32">
        <f>ChkList!E38</f>
        <v>2</v>
      </c>
      <c r="F41" s="23">
        <f ca="1">COUNTA($S41:INDIRECT(ADDRESS(ROW(),MATCH("",$4:$4,-1),1,1)))</f>
        <v>2</v>
      </c>
      <c r="G41" s="23">
        <f ca="1">'취약점 진단 항목별 통계'!G41</f>
        <v>1</v>
      </c>
      <c r="H41" s="23">
        <f ca="1">'취약점 진단 항목별 통계'!H41</f>
        <v>0</v>
      </c>
      <c r="I41" s="23">
        <f ca="1">'취약점 진단 항목별 통계'!I41</f>
        <v>3</v>
      </c>
      <c r="J41" s="23">
        <f ca="1">'취약점 진단 항목별 통계'!J41</f>
        <v>0</v>
      </c>
      <c r="K41" s="23">
        <f ca="1">COUNTIF($S41:INDIRECT(ADDRESS(ROW(),MATCH("",$4:$4,-1),1,1)),"조치")</f>
        <v>1</v>
      </c>
      <c r="L41" s="23">
        <f ca="1">COUNTIF($S41:INDIRECT(ADDRESS(ROW(),MATCH("",$4:$4,-1),1,1)),"미조치")</f>
        <v>0</v>
      </c>
      <c r="M41" s="23">
        <f ca="1">COUNTIF($S41:INDIRECT(ADDRESS(ROW(),MATCH("",$4:$4,-1),1,1)),"위험수용")</f>
        <v>0</v>
      </c>
      <c r="N41" s="23">
        <f ca="1">COUNTIF($S41:INDIRECT(ADDRESS(ROW(),MATCH("",$4:$4,-1),1,1)),"N/A")</f>
        <v>0</v>
      </c>
      <c r="O41" s="23">
        <f ca="1">VLOOKUP($D41,'parm(hidden)'!$B$8:$C$10,2,FALSE)*($F41-$J41)</f>
        <v>4</v>
      </c>
      <c r="P41" s="23">
        <f ca="1">VLOOKUP($D41,'parm(hidden)'!$B$8:$C$10,2,FALSE)*($F41-$N41)</f>
        <v>4</v>
      </c>
      <c r="Q41" s="35">
        <f ca="1">VLOOKUP($D41,'parm(hidden)'!$B$8:$C$10,2,FALSE)*($G41+$H41)</f>
        <v>2</v>
      </c>
      <c r="R41" s="23">
        <f ca="1">VLOOKUP($D41,'parm(hidden)'!$B$8:$C$10,2,FALSE)*($G41+$H41+$K41)</f>
        <v>4</v>
      </c>
      <c r="S41" s="161" t="str">
        <f t="shared" ca="1" si="1"/>
        <v>Y</v>
      </c>
      <c r="T41" s="162" t="str">
        <f t="shared" ca="1" si="1"/>
        <v>조치</v>
      </c>
    </row>
    <row r="42" spans="1:20">
      <c r="A42" s="106" t="str">
        <f>ChkList!A39</f>
        <v>서비스 관리</v>
      </c>
      <c r="B42" s="29" t="str">
        <f>ChkList!$B39</f>
        <v>W-35</v>
      </c>
      <c r="C42" s="21" t="str">
        <f>ChkList!$C39</f>
        <v>불필요한 ODBC/OLE-DB 데이터 소스와 드라이브 제거</v>
      </c>
      <c r="D42" s="32" t="str">
        <f>ChkList!$D39</f>
        <v>M</v>
      </c>
      <c r="E42" s="32">
        <f>ChkList!E39</f>
        <v>2</v>
      </c>
      <c r="F42" s="23">
        <f ca="1">COUNTA($S42:INDIRECT(ADDRESS(ROW(),MATCH("",$4:$4,-1),1,1)))</f>
        <v>2</v>
      </c>
      <c r="G42" s="23">
        <f ca="1">'취약점 진단 항목별 통계'!G42</f>
        <v>1</v>
      </c>
      <c r="H42" s="23">
        <f ca="1">'취약점 진단 항목별 통계'!H42</f>
        <v>0</v>
      </c>
      <c r="I42" s="23">
        <f ca="1">'취약점 진단 항목별 통계'!I42</f>
        <v>3</v>
      </c>
      <c r="J42" s="23">
        <f ca="1">'취약점 진단 항목별 통계'!J42</f>
        <v>0</v>
      </c>
      <c r="K42" s="23">
        <f ca="1">COUNTIF($S42:INDIRECT(ADDRESS(ROW(),MATCH("",$4:$4,-1),1,1)),"조치")</f>
        <v>0</v>
      </c>
      <c r="L42" s="23">
        <f ca="1">COUNTIF($S42:INDIRECT(ADDRESS(ROW(),MATCH("",$4:$4,-1),1,1)),"미조치")</f>
        <v>0</v>
      </c>
      <c r="M42" s="23">
        <f ca="1">COUNTIF($S42:INDIRECT(ADDRESS(ROW(),MATCH("",$4:$4,-1),1,1)),"위험수용")</f>
        <v>0</v>
      </c>
      <c r="N42" s="23">
        <f ca="1">COUNTIF($S42:INDIRECT(ADDRESS(ROW(),MATCH("",$4:$4,-1),1,1)),"N/A")</f>
        <v>1</v>
      </c>
      <c r="O42" s="23">
        <f ca="1">VLOOKUP($D42,'parm(hidden)'!$B$8:$C$10,2,FALSE)*($F42-$J42)</f>
        <v>4</v>
      </c>
      <c r="P42" s="23">
        <f ca="1">VLOOKUP($D42,'parm(hidden)'!$B$8:$C$10,2,FALSE)*($F42-$N42)</f>
        <v>2</v>
      </c>
      <c r="Q42" s="35">
        <f ca="1">VLOOKUP($D42,'parm(hidden)'!$B$8:$C$10,2,FALSE)*($G42+$H42)</f>
        <v>2</v>
      </c>
      <c r="R42" s="23">
        <f ca="1">VLOOKUP($D42,'parm(hidden)'!$B$8:$C$10,2,FALSE)*($G42+$H42+$K42)</f>
        <v>2</v>
      </c>
      <c r="S42" s="161" t="str">
        <f t="shared" ca="1" si="1"/>
        <v>Y</v>
      </c>
      <c r="T42" s="162" t="str">
        <f t="shared" ca="1" si="1"/>
        <v>N/A</v>
      </c>
    </row>
    <row r="43" spans="1:20">
      <c r="A43" s="106" t="str">
        <f>ChkList!A40</f>
        <v>서비스 관리</v>
      </c>
      <c r="B43" s="29" t="str">
        <f>ChkList!$B40</f>
        <v>W-36</v>
      </c>
      <c r="C43" s="21" t="str">
        <f>ChkList!$C40</f>
        <v>원격터미널 접속 타임아웃 설정</v>
      </c>
      <c r="D43" s="32" t="str">
        <f>ChkList!$D40</f>
        <v>M</v>
      </c>
      <c r="E43" s="32">
        <f>ChkList!E40</f>
        <v>2</v>
      </c>
      <c r="F43" s="23">
        <f ca="1">COUNTA($S43:INDIRECT(ADDRESS(ROW(),MATCH("",$4:$4,-1),1,1)))</f>
        <v>2</v>
      </c>
      <c r="G43" s="23">
        <f ca="1">'취약점 진단 항목별 통계'!G43</f>
        <v>1</v>
      </c>
      <c r="H43" s="23">
        <f ca="1">'취약점 진단 항목별 통계'!H43</f>
        <v>0</v>
      </c>
      <c r="I43" s="23">
        <f ca="1">'취약점 진단 항목별 통계'!I43</f>
        <v>3</v>
      </c>
      <c r="J43" s="23">
        <f ca="1">'취약점 진단 항목별 통계'!J43</f>
        <v>0</v>
      </c>
      <c r="K43" s="23">
        <f ca="1">COUNTIF($S43:INDIRECT(ADDRESS(ROW(),MATCH("",$4:$4,-1),1,1)),"조치")</f>
        <v>0</v>
      </c>
      <c r="L43" s="23">
        <f ca="1">COUNTIF($S43:INDIRECT(ADDRESS(ROW(),MATCH("",$4:$4,-1),1,1)),"미조치")</f>
        <v>0</v>
      </c>
      <c r="M43" s="23">
        <f ca="1">COUNTIF($S43:INDIRECT(ADDRESS(ROW(),MATCH("",$4:$4,-1),1,1)),"위험수용")</f>
        <v>0</v>
      </c>
      <c r="N43" s="23">
        <f ca="1">COUNTIF($S43:INDIRECT(ADDRESS(ROW(),MATCH("",$4:$4,-1),1,1)),"N/A")</f>
        <v>1</v>
      </c>
      <c r="O43" s="23">
        <f ca="1">VLOOKUP($D43,'parm(hidden)'!$B$8:$C$10,2,FALSE)*($F43-$J43)</f>
        <v>4</v>
      </c>
      <c r="P43" s="23">
        <f ca="1">VLOOKUP($D43,'parm(hidden)'!$B$8:$C$10,2,FALSE)*($F43-$N43)</f>
        <v>2</v>
      </c>
      <c r="Q43" s="35">
        <f ca="1">VLOOKUP($D43,'parm(hidden)'!$B$8:$C$10,2,FALSE)*($G43+$H43)</f>
        <v>2</v>
      </c>
      <c r="R43" s="23">
        <f ca="1">VLOOKUP($D43,'parm(hidden)'!$B$8:$C$10,2,FALSE)*($G43+$H43+$K43)</f>
        <v>2</v>
      </c>
      <c r="S43" s="161" t="str">
        <f t="shared" ca="1" si="1"/>
        <v>Y</v>
      </c>
      <c r="T43" s="162" t="str">
        <f t="shared" ca="1" si="1"/>
        <v>N/A</v>
      </c>
    </row>
    <row r="44" spans="1:20">
      <c r="A44" s="106" t="str">
        <f>ChkList!A41</f>
        <v>서비스 관리</v>
      </c>
      <c r="B44" s="29" t="str">
        <f>ChkList!$B41</f>
        <v>W-37</v>
      </c>
      <c r="C44" s="21" t="str">
        <f>ChkList!$C41</f>
        <v>예약된 작업에 의심스러운 명령이 등록되어 있는지 점검</v>
      </c>
      <c r="D44" s="32" t="str">
        <f>ChkList!$D41</f>
        <v>M</v>
      </c>
      <c r="E44" s="32">
        <f>ChkList!E41</f>
        <v>2</v>
      </c>
      <c r="F44" s="23">
        <f ca="1">COUNTA($S44:INDIRECT(ADDRESS(ROW(),MATCH("",$4:$4,-1),1,1)))</f>
        <v>2</v>
      </c>
      <c r="G44" s="23">
        <f ca="1">'취약점 진단 항목별 통계'!G44</f>
        <v>1</v>
      </c>
      <c r="H44" s="23">
        <f ca="1">'취약점 진단 항목별 통계'!H44</f>
        <v>0</v>
      </c>
      <c r="I44" s="23">
        <f ca="1">'취약점 진단 항목별 통계'!I44</f>
        <v>3</v>
      </c>
      <c r="J44" s="23">
        <f ca="1">'취약점 진단 항목별 통계'!J44</f>
        <v>0</v>
      </c>
      <c r="K44" s="23">
        <f ca="1">COUNTIF($S44:INDIRECT(ADDRESS(ROW(),MATCH("",$4:$4,-1),1,1)),"조치")</f>
        <v>0</v>
      </c>
      <c r="L44" s="23">
        <f ca="1">COUNTIF($S44:INDIRECT(ADDRESS(ROW(),MATCH("",$4:$4,-1),1,1)),"미조치")</f>
        <v>0</v>
      </c>
      <c r="M44" s="23">
        <f ca="1">COUNTIF($S44:INDIRECT(ADDRESS(ROW(),MATCH("",$4:$4,-1),1,1)),"위험수용")</f>
        <v>0</v>
      </c>
      <c r="N44" s="23">
        <f ca="1">COUNTIF($S44:INDIRECT(ADDRESS(ROW(),MATCH("",$4:$4,-1),1,1)),"N/A")</f>
        <v>1</v>
      </c>
      <c r="O44" s="23">
        <f ca="1">VLOOKUP($D44,'parm(hidden)'!$B$8:$C$10,2,FALSE)*($F44-$J44)</f>
        <v>4</v>
      </c>
      <c r="P44" s="23">
        <f ca="1">VLOOKUP($D44,'parm(hidden)'!$B$8:$C$10,2,FALSE)*($F44-$N44)</f>
        <v>2</v>
      </c>
      <c r="Q44" s="35">
        <f ca="1">VLOOKUP($D44,'parm(hidden)'!$B$8:$C$10,2,FALSE)*($G44+$H44)</f>
        <v>2</v>
      </c>
      <c r="R44" s="23">
        <f ca="1">VLOOKUP($D44,'parm(hidden)'!$B$8:$C$10,2,FALSE)*($G44+$H44+$K44)</f>
        <v>2</v>
      </c>
      <c r="S44" s="161" t="str">
        <f t="shared" ca="1" si="1"/>
        <v>Y</v>
      </c>
      <c r="T44" s="162" t="str">
        <f t="shared" ca="1" si="1"/>
        <v>N/A</v>
      </c>
    </row>
    <row r="45" spans="1:20">
      <c r="A45" s="106" t="str">
        <f>ChkList!A42</f>
        <v>패치 관리</v>
      </c>
      <c r="B45" s="29" t="str">
        <f>ChkList!$B42</f>
        <v>W-38</v>
      </c>
      <c r="C45" s="21" t="str">
        <f>ChkList!$C42</f>
        <v>주기적 보안 패치 및 벤더 권고사항 적용</v>
      </c>
      <c r="D45" s="32" t="str">
        <f>ChkList!$D42</f>
        <v>H</v>
      </c>
      <c r="E45" s="32">
        <f>ChkList!E42</f>
        <v>3</v>
      </c>
      <c r="F45" s="23">
        <f ca="1">COUNTA($S45:INDIRECT(ADDRESS(ROW(),MATCH("",$4:$4,-1),1,1)))</f>
        <v>2</v>
      </c>
      <c r="G45" s="23">
        <f ca="1">'취약점 진단 항목별 통계'!G45</f>
        <v>1</v>
      </c>
      <c r="H45" s="23">
        <f ca="1">'취약점 진단 항목별 통계'!H45</f>
        <v>0</v>
      </c>
      <c r="I45" s="23">
        <f ca="1">'취약점 진단 항목별 통계'!I45</f>
        <v>3</v>
      </c>
      <c r="J45" s="23">
        <f ca="1">'취약점 진단 항목별 통계'!J45</f>
        <v>0</v>
      </c>
      <c r="K45" s="23">
        <f ca="1">COUNTIF($S45:INDIRECT(ADDRESS(ROW(),MATCH("",$4:$4,-1),1,1)),"조치")</f>
        <v>0</v>
      </c>
      <c r="L45" s="23">
        <f ca="1">COUNTIF($S45:INDIRECT(ADDRESS(ROW(),MATCH("",$4:$4,-1),1,1)),"미조치")</f>
        <v>0</v>
      </c>
      <c r="M45" s="23">
        <f ca="1">COUNTIF($S45:INDIRECT(ADDRESS(ROW(),MATCH("",$4:$4,-1),1,1)),"위험수용")</f>
        <v>0</v>
      </c>
      <c r="N45" s="23">
        <f ca="1">COUNTIF($S45:INDIRECT(ADDRESS(ROW(),MATCH("",$4:$4,-1),1,1)),"N/A")</f>
        <v>1</v>
      </c>
      <c r="O45" s="23">
        <f ca="1">VLOOKUP($D45,'parm(hidden)'!$B$8:$C$10,2,FALSE)*($F45-$J45)</f>
        <v>6</v>
      </c>
      <c r="P45" s="23">
        <f ca="1">VLOOKUP($D45,'parm(hidden)'!$B$8:$C$10,2,FALSE)*($F45-$N45)</f>
        <v>3</v>
      </c>
      <c r="Q45" s="35">
        <f ca="1">VLOOKUP($D45,'parm(hidden)'!$B$8:$C$10,2,FALSE)*($G45+$H45)</f>
        <v>3</v>
      </c>
      <c r="R45" s="23">
        <f ca="1">VLOOKUP($D45,'parm(hidden)'!$B$8:$C$10,2,FALSE)*($G45+$H45+$K45)</f>
        <v>3</v>
      </c>
      <c r="S45" s="161" t="str">
        <f t="shared" ca="1" si="1"/>
        <v>Y</v>
      </c>
      <c r="T45" s="162" t="str">
        <f t="shared" ca="1" si="1"/>
        <v>N/A</v>
      </c>
    </row>
    <row r="46" spans="1:20">
      <c r="A46" s="106" t="str">
        <f>ChkList!A43</f>
        <v>패치 관리</v>
      </c>
      <c r="B46" s="29" t="str">
        <f>ChkList!$B43</f>
        <v>W-39</v>
      </c>
      <c r="C46" s="21" t="str">
        <f>ChkList!$C43</f>
        <v>백신 프로그램 업데이트</v>
      </c>
      <c r="D46" s="32" t="str">
        <f>ChkList!$D43</f>
        <v>H</v>
      </c>
      <c r="E46" s="32">
        <f>ChkList!E43</f>
        <v>3</v>
      </c>
      <c r="F46" s="23">
        <f ca="1">COUNTA($S46:INDIRECT(ADDRESS(ROW(),MATCH("",$4:$4,-1),1,1)))</f>
        <v>2</v>
      </c>
      <c r="G46" s="23">
        <f ca="1">'취약점 진단 항목별 통계'!G46</f>
        <v>1</v>
      </c>
      <c r="H46" s="23">
        <f ca="1">'취약점 진단 항목별 통계'!H46</f>
        <v>0</v>
      </c>
      <c r="I46" s="23">
        <f ca="1">'취약점 진단 항목별 통계'!I46</f>
        <v>3</v>
      </c>
      <c r="J46" s="23">
        <f ca="1">'취약점 진단 항목별 통계'!J46</f>
        <v>0</v>
      </c>
      <c r="K46" s="23">
        <f ca="1">COUNTIF($S46:INDIRECT(ADDRESS(ROW(),MATCH("",$4:$4,-1),1,1)),"조치")</f>
        <v>0</v>
      </c>
      <c r="L46" s="23">
        <f ca="1">COUNTIF($S46:INDIRECT(ADDRESS(ROW(),MATCH("",$4:$4,-1),1,1)),"미조치")</f>
        <v>0</v>
      </c>
      <c r="M46" s="23">
        <f ca="1">COUNTIF($S46:INDIRECT(ADDRESS(ROW(),MATCH("",$4:$4,-1),1,1)),"위험수용")</f>
        <v>0</v>
      </c>
      <c r="N46" s="23">
        <f ca="1">COUNTIF($S46:INDIRECT(ADDRESS(ROW(),MATCH("",$4:$4,-1),1,1)),"N/A")</f>
        <v>1</v>
      </c>
      <c r="O46" s="23">
        <f ca="1">VLOOKUP($D46,'parm(hidden)'!$B$8:$C$10,2,FALSE)*($F46-$J46)</f>
        <v>6</v>
      </c>
      <c r="P46" s="23">
        <f ca="1">VLOOKUP($D46,'parm(hidden)'!$B$8:$C$10,2,FALSE)*($F46-$N46)</f>
        <v>3</v>
      </c>
      <c r="Q46" s="35">
        <f ca="1">VLOOKUP($D46,'parm(hidden)'!$B$8:$C$10,2,FALSE)*($G46+$H46)</f>
        <v>3</v>
      </c>
      <c r="R46" s="23">
        <f ca="1">VLOOKUP($D46,'parm(hidden)'!$B$8:$C$10,2,FALSE)*($G46+$H46+$K46)</f>
        <v>3</v>
      </c>
      <c r="S46" s="161" t="str">
        <f t="shared" ca="1" si="1"/>
        <v>Y</v>
      </c>
      <c r="T46" s="162" t="str">
        <f t="shared" ca="1" si="1"/>
        <v>N/A</v>
      </c>
    </row>
    <row r="47" spans="1:20">
      <c r="A47" s="106" t="str">
        <f>ChkList!A44</f>
        <v>로그 관리</v>
      </c>
      <c r="B47" s="29" t="str">
        <f>ChkList!$B44</f>
        <v>W-40</v>
      </c>
      <c r="C47" s="21" t="str">
        <f>ChkList!$C44</f>
        <v>정책에 따른 시스템 로깅 설정</v>
      </c>
      <c r="D47" s="32" t="str">
        <f>ChkList!$D44</f>
        <v>M</v>
      </c>
      <c r="E47" s="32">
        <f>ChkList!E44</f>
        <v>2</v>
      </c>
      <c r="F47" s="23">
        <f ca="1">COUNTA($S47:INDIRECT(ADDRESS(ROW(),MATCH("",$4:$4,-1),1,1)))</f>
        <v>2</v>
      </c>
      <c r="G47" s="23">
        <f ca="1">'취약점 진단 항목별 통계'!G47</f>
        <v>0</v>
      </c>
      <c r="H47" s="23">
        <f ca="1">'취약점 진단 항목별 통계'!H47</f>
        <v>0</v>
      </c>
      <c r="I47" s="23">
        <f ca="1">'취약점 진단 항목별 통계'!I47</f>
        <v>4</v>
      </c>
      <c r="J47" s="23">
        <f ca="1">'취약점 진단 항목별 통계'!J47</f>
        <v>0</v>
      </c>
      <c r="K47" s="23">
        <f ca="1">COUNTIF($S47:INDIRECT(ADDRESS(ROW(),MATCH("",$4:$4,-1),1,1)),"조치")</f>
        <v>0</v>
      </c>
      <c r="L47" s="23">
        <f ca="1">COUNTIF($S47:INDIRECT(ADDRESS(ROW(),MATCH("",$4:$4,-1),1,1)),"미조치")</f>
        <v>1</v>
      </c>
      <c r="M47" s="23">
        <f ca="1">COUNTIF($S47:INDIRECT(ADDRESS(ROW(),MATCH("",$4:$4,-1),1,1)),"위험수용")</f>
        <v>0</v>
      </c>
      <c r="N47" s="23">
        <f ca="1">COUNTIF($S47:INDIRECT(ADDRESS(ROW(),MATCH("",$4:$4,-1),1,1)),"N/A")</f>
        <v>1</v>
      </c>
      <c r="O47" s="23">
        <f ca="1">VLOOKUP($D47,'parm(hidden)'!$B$8:$C$10,2,FALSE)*($F47-$J47)</f>
        <v>4</v>
      </c>
      <c r="P47" s="23">
        <f ca="1">VLOOKUP($D47,'parm(hidden)'!$B$8:$C$10,2,FALSE)*($F47-$N47)</f>
        <v>2</v>
      </c>
      <c r="Q47" s="35">
        <f ca="1">VLOOKUP($D47,'parm(hidden)'!$B$8:$C$10,2,FALSE)*($G47+$H47)</f>
        <v>0</v>
      </c>
      <c r="R47" s="23">
        <f ca="1">VLOOKUP($D47,'parm(hidden)'!$B$8:$C$10,2,FALSE)*($G47+$H47+$K47)</f>
        <v>0</v>
      </c>
      <c r="S47" s="161" t="str">
        <f t="shared" ca="1" si="1"/>
        <v>미조치</v>
      </c>
      <c r="T47" s="162" t="str">
        <f t="shared" ca="1" si="1"/>
        <v>N/A</v>
      </c>
    </row>
    <row r="48" spans="1:20">
      <c r="A48" s="106" t="e">
        <f>ChkList!#REF!</f>
        <v>#REF!</v>
      </c>
      <c r="B48" s="29" t="e">
        <f>ChkList!#REF!</f>
        <v>#REF!</v>
      </c>
      <c r="C48" s="21" t="e">
        <f>ChkList!#REF!</f>
        <v>#REF!</v>
      </c>
      <c r="D48" s="32" t="e">
        <f>ChkList!#REF!</f>
        <v>#REF!</v>
      </c>
      <c r="E48" s="32" t="e">
        <f>ChkList!#REF!</f>
        <v>#REF!</v>
      </c>
      <c r="F48" s="23">
        <f ca="1">COUNTA($S48:INDIRECT(ADDRESS(ROW(),MATCH("",$4:$4,-1),1,1)))</f>
        <v>2</v>
      </c>
      <c r="G48" s="23">
        <f ca="1">'취약점 진단 항목별 통계'!G48</f>
        <v>0</v>
      </c>
      <c r="H48" s="23">
        <f ca="1">'취약점 진단 항목별 통계'!H48</f>
        <v>0</v>
      </c>
      <c r="I48" s="23">
        <f ca="1">'취약점 진단 항목별 통계'!I48</f>
        <v>4</v>
      </c>
      <c r="J48" s="23">
        <f ca="1">'취약점 진단 항목별 통계'!J48</f>
        <v>0</v>
      </c>
      <c r="K48" s="23">
        <f ca="1">COUNTIF($S48:INDIRECT(ADDRESS(ROW(),MATCH("",$4:$4,-1),1,1)),"조치")</f>
        <v>1</v>
      </c>
      <c r="L48" s="23">
        <f ca="1">COUNTIF($S48:INDIRECT(ADDRESS(ROW(),MATCH("",$4:$4,-1),1,1)),"미조치")</f>
        <v>0</v>
      </c>
      <c r="M48" s="23">
        <f ca="1">COUNTIF($S48:INDIRECT(ADDRESS(ROW(),MATCH("",$4:$4,-1),1,1)),"위험수용")</f>
        <v>0</v>
      </c>
      <c r="N48" s="23">
        <f ca="1">COUNTIF($S48:INDIRECT(ADDRESS(ROW(),MATCH("",$4:$4,-1),1,1)),"N/A")</f>
        <v>1</v>
      </c>
      <c r="O48" s="23" t="e">
        <f ca="1">VLOOKUP($D48,'parm(hidden)'!$B$8:$C$10,2,FALSE)*($F48-$J48)</f>
        <v>#REF!</v>
      </c>
      <c r="P48" s="23" t="e">
        <f ca="1">VLOOKUP($D48,'parm(hidden)'!$B$8:$C$10,2,FALSE)*($F48-$N48)</f>
        <v>#REF!</v>
      </c>
      <c r="Q48" s="35" t="e">
        <f ca="1">VLOOKUP($D48,'parm(hidden)'!$B$8:$C$10,2,FALSE)*($G48+$H48)</f>
        <v>#REF!</v>
      </c>
      <c r="R48" s="23" t="e">
        <f ca="1">VLOOKUP($D48,'parm(hidden)'!$B$8:$C$10,2,FALSE)*($G48+$H48+$K48)</f>
        <v>#REF!</v>
      </c>
      <c r="S48" s="161" t="str">
        <f t="shared" ca="1" si="1"/>
        <v>조치</v>
      </c>
      <c r="T48" s="162" t="str">
        <f t="shared" ca="1" si="1"/>
        <v>N/A</v>
      </c>
    </row>
    <row r="49" spans="1:20">
      <c r="A49" s="106" t="str">
        <f>ChkList!A45</f>
        <v>로그 관리</v>
      </c>
      <c r="B49" s="29" t="str">
        <f>ChkList!$B45</f>
        <v>W-41</v>
      </c>
      <c r="C49" s="21" t="str">
        <f>ChkList!$C45</f>
        <v>NTP 및 시각 동기화 설정</v>
      </c>
      <c r="D49" s="32" t="str">
        <f>ChkList!$D45</f>
        <v>M</v>
      </c>
      <c r="E49" s="32">
        <f>ChkList!E45</f>
        <v>2</v>
      </c>
      <c r="F49" s="23">
        <f ca="1">COUNTA($S49:INDIRECT(ADDRESS(ROW(),MATCH("",$4:$4,-1),1,1)))</f>
        <v>2</v>
      </c>
      <c r="G49" s="23">
        <f ca="1">'취약점 진단 항목별 통계'!G49</f>
        <v>1</v>
      </c>
      <c r="H49" s="23">
        <f ca="1">'취약점 진단 항목별 통계'!H49</f>
        <v>0</v>
      </c>
      <c r="I49" s="23">
        <f ca="1">'취약점 진단 항목별 통계'!I49</f>
        <v>3</v>
      </c>
      <c r="J49" s="23">
        <f ca="1">'취약점 진단 항목별 통계'!J49</f>
        <v>0</v>
      </c>
      <c r="K49" s="23">
        <f ca="1">COUNTIF($S49:INDIRECT(ADDRESS(ROW(),MATCH("",$4:$4,-1),1,1)),"조치")</f>
        <v>0</v>
      </c>
      <c r="L49" s="23">
        <f ca="1">COUNTIF($S49:INDIRECT(ADDRESS(ROW(),MATCH("",$4:$4,-1),1,1)),"미조치")</f>
        <v>0</v>
      </c>
      <c r="M49" s="23">
        <f ca="1">COUNTIF($S49:INDIRECT(ADDRESS(ROW(),MATCH("",$4:$4,-1),1,1)),"위험수용")</f>
        <v>0</v>
      </c>
      <c r="N49" s="23">
        <f ca="1">COUNTIF($S49:INDIRECT(ADDRESS(ROW(),MATCH("",$4:$4,-1),1,1)),"N/A")</f>
        <v>1</v>
      </c>
      <c r="O49" s="23">
        <f ca="1">VLOOKUP($D49,'parm(hidden)'!$B$8:$C$10,2,FALSE)*($F49-$J49)</f>
        <v>4</v>
      </c>
      <c r="P49" s="23">
        <f ca="1">VLOOKUP($D49,'parm(hidden)'!$B$8:$C$10,2,FALSE)*($F49-$N49)</f>
        <v>2</v>
      </c>
      <c r="Q49" s="35">
        <f ca="1">VLOOKUP($D49,'parm(hidden)'!$B$8:$C$10,2,FALSE)*($G49+$H49)</f>
        <v>2</v>
      </c>
      <c r="R49" s="23">
        <f ca="1">VLOOKUP($D49,'parm(hidden)'!$B$8:$C$10,2,FALSE)*($G49+$H49+$K49)</f>
        <v>2</v>
      </c>
      <c r="S49" s="161" t="str">
        <f t="shared" ca="1" si="1"/>
        <v>Y</v>
      </c>
      <c r="T49" s="162" t="str">
        <f t="shared" ca="1" si="1"/>
        <v>N/A</v>
      </c>
    </row>
    <row r="50" spans="1:20">
      <c r="A50" s="106" t="str">
        <f>ChkList!A46</f>
        <v>로그 관리</v>
      </c>
      <c r="B50" s="29" t="str">
        <f>ChkList!$B46</f>
        <v>W-42</v>
      </c>
      <c r="C50" s="21" t="str">
        <f>ChkList!$C46</f>
        <v>이벤트 로그 관리 설정</v>
      </c>
      <c r="D50" s="32" t="str">
        <f>ChkList!$D46</f>
        <v>L</v>
      </c>
      <c r="E50" s="32">
        <f>ChkList!E46</f>
        <v>1</v>
      </c>
      <c r="F50" s="23">
        <f ca="1">COUNTA($S50:INDIRECT(ADDRESS(ROW(),MATCH("",$4:$4,-1),1,1)))</f>
        <v>2</v>
      </c>
      <c r="G50" s="23">
        <f ca="1">'취약점 진단 항목별 통계'!G50</f>
        <v>1</v>
      </c>
      <c r="H50" s="23">
        <f ca="1">'취약점 진단 항목별 통계'!H50</f>
        <v>0</v>
      </c>
      <c r="I50" s="23">
        <f ca="1">'취약점 진단 항목별 통계'!I50</f>
        <v>3</v>
      </c>
      <c r="J50" s="23">
        <f ca="1">'취약점 진단 항목별 통계'!J50</f>
        <v>0</v>
      </c>
      <c r="K50" s="23">
        <f ca="1">COUNTIF($S50:INDIRECT(ADDRESS(ROW(),MATCH("",$4:$4,-1),1,1)),"조치")</f>
        <v>1</v>
      </c>
      <c r="L50" s="23">
        <f ca="1">COUNTIF($S50:INDIRECT(ADDRESS(ROW(),MATCH("",$4:$4,-1),1,1)),"미조치")</f>
        <v>0</v>
      </c>
      <c r="M50" s="23">
        <f ca="1">COUNTIF($S50:INDIRECT(ADDRESS(ROW(),MATCH("",$4:$4,-1),1,1)),"위험수용")</f>
        <v>0</v>
      </c>
      <c r="N50" s="23">
        <f ca="1">COUNTIF($S50:INDIRECT(ADDRESS(ROW(),MATCH("",$4:$4,-1),1,1)),"N/A")</f>
        <v>0</v>
      </c>
      <c r="O50" s="23">
        <f ca="1">VLOOKUP($D50,'parm(hidden)'!$B$8:$C$10,2,FALSE)*($F50-$J50)</f>
        <v>2</v>
      </c>
      <c r="P50" s="23">
        <f ca="1">VLOOKUP($D50,'parm(hidden)'!$B$8:$C$10,2,FALSE)*($F50-$N50)</f>
        <v>2</v>
      </c>
      <c r="Q50" s="35">
        <f ca="1">VLOOKUP($D50,'parm(hidden)'!$B$8:$C$10,2,FALSE)*($G50+$H50)</f>
        <v>1</v>
      </c>
      <c r="R50" s="23">
        <f ca="1">VLOOKUP($D50,'parm(hidden)'!$B$8:$C$10,2,FALSE)*($G50+$H50+$K50)</f>
        <v>2</v>
      </c>
      <c r="S50" s="161" t="str">
        <f t="shared" ca="1" si="1"/>
        <v>Y</v>
      </c>
      <c r="T50" s="162" t="str">
        <f t="shared" ca="1" si="1"/>
        <v>조치</v>
      </c>
    </row>
    <row r="51" spans="1:20">
      <c r="A51" s="106" t="str">
        <f>ChkList!A47</f>
        <v>로그 관리</v>
      </c>
      <c r="B51" s="29" t="str">
        <f>ChkList!$B47</f>
        <v>W-43</v>
      </c>
      <c r="C51" s="21" t="str">
        <f>ChkList!$C47</f>
        <v>이벤트 로그 파일 접근 통제 설정</v>
      </c>
      <c r="D51" s="32" t="str">
        <f>ChkList!$D47</f>
        <v>M</v>
      </c>
      <c r="E51" s="32">
        <f>ChkList!E47</f>
        <v>2</v>
      </c>
      <c r="F51" s="23">
        <f ca="1">COUNTA($S51:INDIRECT(ADDRESS(ROW(),MATCH("",$4:$4,-1),1,1)))</f>
        <v>2</v>
      </c>
      <c r="G51" s="23">
        <f ca="1">'취약점 진단 항목별 통계'!G51</f>
        <v>4</v>
      </c>
      <c r="H51" s="23">
        <f ca="1">'취약점 진단 항목별 통계'!H51</f>
        <v>0</v>
      </c>
      <c r="I51" s="23">
        <f ca="1">'취약점 진단 항목별 통계'!I51</f>
        <v>0</v>
      </c>
      <c r="J51" s="23">
        <f ca="1">'취약점 진단 항목별 통계'!J51</f>
        <v>0</v>
      </c>
      <c r="K51" s="23">
        <f ca="1">COUNTIF($S51:INDIRECT(ADDRESS(ROW(),MATCH("",$4:$4,-1),1,1)),"조치")</f>
        <v>0</v>
      </c>
      <c r="L51" s="23">
        <f ca="1">COUNTIF($S51:INDIRECT(ADDRESS(ROW(),MATCH("",$4:$4,-1),1,1)),"미조치")</f>
        <v>0</v>
      </c>
      <c r="M51" s="23">
        <f ca="1">COUNTIF($S51:INDIRECT(ADDRESS(ROW(),MATCH("",$4:$4,-1),1,1)),"위험수용")</f>
        <v>0</v>
      </c>
      <c r="N51" s="23">
        <f ca="1">COUNTIF($S51:INDIRECT(ADDRESS(ROW(),MATCH("",$4:$4,-1),1,1)),"N/A")</f>
        <v>0</v>
      </c>
      <c r="O51" s="23">
        <f ca="1">VLOOKUP($D51,'parm(hidden)'!$B$8:$C$10,2,FALSE)*($F51-$J51)</f>
        <v>4</v>
      </c>
      <c r="P51" s="23">
        <f ca="1">VLOOKUP($D51,'parm(hidden)'!$B$8:$C$10,2,FALSE)*($F51-$N51)</f>
        <v>4</v>
      </c>
      <c r="Q51" s="35">
        <f ca="1">VLOOKUP($D51,'parm(hidden)'!$B$8:$C$10,2,FALSE)*($G51+$H51)</f>
        <v>8</v>
      </c>
      <c r="R51" s="23">
        <f ca="1">VLOOKUP($D51,'parm(hidden)'!$B$8:$C$10,2,FALSE)*($G51+$H51+$K51)</f>
        <v>8</v>
      </c>
      <c r="S51" s="161" t="str">
        <f t="shared" ca="1" si="1"/>
        <v>Y</v>
      </c>
      <c r="T51" s="162" t="str">
        <f t="shared" ca="1" si="1"/>
        <v>Y</v>
      </c>
    </row>
    <row r="52" spans="1:20">
      <c r="A52" s="106" t="str">
        <f>ChkList!A48</f>
        <v>보안 관리</v>
      </c>
      <c r="B52" s="29" t="str">
        <f>ChkList!$B48</f>
        <v>W-44</v>
      </c>
      <c r="C52" s="21" t="str">
        <f>ChkList!$C48</f>
        <v>원격으로 액세스할 수 있는 레지스트리 경로</v>
      </c>
      <c r="D52" s="32" t="str">
        <f>ChkList!$D48</f>
        <v>H</v>
      </c>
      <c r="E52" s="32">
        <f>ChkList!E48</f>
        <v>3</v>
      </c>
      <c r="F52" s="23">
        <f ca="1">COUNTA($S52:INDIRECT(ADDRESS(ROW(),MATCH("",$4:$4,-1),1,1)))</f>
        <v>2</v>
      </c>
      <c r="G52" s="23">
        <f ca="1">'취약점 진단 항목별 통계'!G52</f>
        <v>1</v>
      </c>
      <c r="H52" s="23">
        <f ca="1">'취약점 진단 항목별 통계'!H52</f>
        <v>0</v>
      </c>
      <c r="I52" s="23">
        <f ca="1">'취약점 진단 항목별 통계'!I52</f>
        <v>3</v>
      </c>
      <c r="J52" s="23">
        <f ca="1">'취약점 진단 항목별 통계'!J52</f>
        <v>0</v>
      </c>
      <c r="K52" s="23">
        <f ca="1">COUNTIF($S52:INDIRECT(ADDRESS(ROW(),MATCH("",$4:$4,-1),1,1)),"조치")</f>
        <v>1</v>
      </c>
      <c r="L52" s="23">
        <f ca="1">COUNTIF($S52:INDIRECT(ADDRESS(ROW(),MATCH("",$4:$4,-1),1,1)),"미조치")</f>
        <v>0</v>
      </c>
      <c r="M52" s="23">
        <f ca="1">COUNTIF($S52:INDIRECT(ADDRESS(ROW(),MATCH("",$4:$4,-1),1,1)),"위험수용")</f>
        <v>0</v>
      </c>
      <c r="N52" s="23">
        <f ca="1">COUNTIF($S52:INDIRECT(ADDRESS(ROW(),MATCH("",$4:$4,-1),1,1)),"N/A")</f>
        <v>0</v>
      </c>
      <c r="O52" s="23">
        <f ca="1">VLOOKUP($D52,'parm(hidden)'!$B$8:$C$10,2,FALSE)*($F52-$J52)</f>
        <v>6</v>
      </c>
      <c r="P52" s="23">
        <f ca="1">VLOOKUP($D52,'parm(hidden)'!$B$8:$C$10,2,FALSE)*($F52-$N52)</f>
        <v>6</v>
      </c>
      <c r="Q52" s="35">
        <f ca="1">VLOOKUP($D52,'parm(hidden)'!$B$8:$C$10,2,FALSE)*($G52+$H52)</f>
        <v>3</v>
      </c>
      <c r="R52" s="23">
        <f ca="1">VLOOKUP($D52,'parm(hidden)'!$B$8:$C$10,2,FALSE)*($G52+$H52+$K52)</f>
        <v>6</v>
      </c>
      <c r="S52" s="161" t="str">
        <f t="shared" ca="1" si="1"/>
        <v>Y</v>
      </c>
      <c r="T52" s="162" t="str">
        <f t="shared" ca="1" si="1"/>
        <v>조치</v>
      </c>
    </row>
    <row r="53" spans="1:20">
      <c r="A53" s="106" t="str">
        <f>ChkList!A49</f>
        <v>보안 관리</v>
      </c>
      <c r="B53" s="29" t="str">
        <f>ChkList!$B49</f>
        <v>W-45</v>
      </c>
      <c r="C53" s="21" t="str">
        <f>ChkList!$C49</f>
        <v>백신 프로그램 설치</v>
      </c>
      <c r="D53" s="32" t="str">
        <f>ChkList!$D49</f>
        <v>H</v>
      </c>
      <c r="E53" s="32">
        <f>ChkList!E49</f>
        <v>3</v>
      </c>
      <c r="F53" s="23">
        <f ca="1">COUNTA($S53:INDIRECT(ADDRESS(ROW(),MATCH("",$4:$4,-1),1,1)))</f>
        <v>2</v>
      </c>
      <c r="G53" s="23">
        <f ca="1">'취약점 진단 항목별 통계'!G53</f>
        <v>1</v>
      </c>
      <c r="H53" s="23">
        <f ca="1">'취약점 진단 항목별 통계'!H53</f>
        <v>0</v>
      </c>
      <c r="I53" s="23">
        <f ca="1">'취약점 진단 항목별 통계'!I53</f>
        <v>3</v>
      </c>
      <c r="J53" s="23">
        <f ca="1">'취약점 진단 항목별 통계'!J53</f>
        <v>0</v>
      </c>
      <c r="K53" s="23">
        <f ca="1">COUNTIF($S53:INDIRECT(ADDRESS(ROW(),MATCH("",$4:$4,-1),1,1)),"조치")</f>
        <v>1</v>
      </c>
      <c r="L53" s="23">
        <f ca="1">COUNTIF($S53:INDIRECT(ADDRESS(ROW(),MATCH("",$4:$4,-1),1,1)),"미조치")</f>
        <v>0</v>
      </c>
      <c r="M53" s="23">
        <f ca="1">COUNTIF($S53:INDIRECT(ADDRESS(ROW(),MATCH("",$4:$4,-1),1,1)),"위험수용")</f>
        <v>0</v>
      </c>
      <c r="N53" s="23">
        <f ca="1">COUNTIF($S53:INDIRECT(ADDRESS(ROW(),MATCH("",$4:$4,-1),1,1)),"N/A")</f>
        <v>0</v>
      </c>
      <c r="O53" s="23">
        <f ca="1">VLOOKUP($D53,'parm(hidden)'!$B$8:$C$10,2,FALSE)*($F53-$J53)</f>
        <v>6</v>
      </c>
      <c r="P53" s="23">
        <f ca="1">VLOOKUP($D53,'parm(hidden)'!$B$8:$C$10,2,FALSE)*($F53-$N53)</f>
        <v>6</v>
      </c>
      <c r="Q53" s="35">
        <f ca="1">VLOOKUP($D53,'parm(hidden)'!$B$8:$C$10,2,FALSE)*($G53+$H53)</f>
        <v>3</v>
      </c>
      <c r="R53" s="23">
        <f ca="1">VLOOKUP($D53,'parm(hidden)'!$B$8:$C$10,2,FALSE)*($G53+$H53+$K53)</f>
        <v>6</v>
      </c>
      <c r="S53" s="161" t="str">
        <f t="shared" ca="1" si="1"/>
        <v>Y</v>
      </c>
      <c r="T53" s="162" t="str">
        <f t="shared" ca="1" si="1"/>
        <v>조치</v>
      </c>
    </row>
    <row r="54" spans="1:20">
      <c r="A54" s="106" t="str">
        <f>ChkList!A50</f>
        <v>보안 관리</v>
      </c>
      <c r="B54" s="29" t="str">
        <f>ChkList!$B50</f>
        <v>W-46</v>
      </c>
      <c r="C54" s="21" t="str">
        <f>ChkList!$C50</f>
        <v>SAM 파일 접근 통제 설정</v>
      </c>
      <c r="D54" s="32" t="str">
        <f>ChkList!$D50</f>
        <v>H</v>
      </c>
      <c r="E54" s="32">
        <f>ChkList!E50</f>
        <v>3</v>
      </c>
      <c r="F54" s="23">
        <f ca="1">COUNTA($S54:INDIRECT(ADDRESS(ROW(),MATCH("",$4:$4,-1),1,1)))</f>
        <v>2</v>
      </c>
      <c r="G54" s="23">
        <f ca="1">'취약점 진단 항목별 통계'!G54</f>
        <v>1</v>
      </c>
      <c r="H54" s="23">
        <f ca="1">'취약점 진단 항목별 통계'!H54</f>
        <v>0</v>
      </c>
      <c r="I54" s="23">
        <f ca="1">'취약점 진단 항목별 통계'!I54</f>
        <v>3</v>
      </c>
      <c r="J54" s="23">
        <f ca="1">'취약점 진단 항목별 통계'!J54</f>
        <v>0</v>
      </c>
      <c r="K54" s="23">
        <f ca="1">COUNTIF($S54:INDIRECT(ADDRESS(ROW(),MATCH("",$4:$4,-1),1,1)),"조치")</f>
        <v>1</v>
      </c>
      <c r="L54" s="23">
        <f ca="1">COUNTIF($S54:INDIRECT(ADDRESS(ROW(),MATCH("",$4:$4,-1),1,1)),"미조치")</f>
        <v>0</v>
      </c>
      <c r="M54" s="23">
        <f ca="1">COUNTIF($S54:INDIRECT(ADDRESS(ROW(),MATCH("",$4:$4,-1),1,1)),"위험수용")</f>
        <v>0</v>
      </c>
      <c r="N54" s="23">
        <f ca="1">COUNTIF($S54:INDIRECT(ADDRESS(ROW(),MATCH("",$4:$4,-1),1,1)),"N/A")</f>
        <v>0</v>
      </c>
      <c r="O54" s="23">
        <f ca="1">VLOOKUP($D54,'parm(hidden)'!$B$8:$C$10,2,FALSE)*($F54-$J54)</f>
        <v>6</v>
      </c>
      <c r="P54" s="23">
        <f ca="1">VLOOKUP($D54,'parm(hidden)'!$B$8:$C$10,2,FALSE)*($F54-$N54)</f>
        <v>6</v>
      </c>
      <c r="Q54" s="35">
        <f ca="1">VLOOKUP($D54,'parm(hidden)'!$B$8:$C$10,2,FALSE)*($G54+$H54)</f>
        <v>3</v>
      </c>
      <c r="R54" s="23">
        <f ca="1">VLOOKUP($D54,'parm(hidden)'!$B$8:$C$10,2,FALSE)*($G54+$H54+$K54)</f>
        <v>6</v>
      </c>
      <c r="S54" s="161" t="str">
        <f t="shared" ca="1" si="1"/>
        <v>Y</v>
      </c>
      <c r="T54" s="162" t="str">
        <f t="shared" ca="1" si="1"/>
        <v>조치</v>
      </c>
    </row>
    <row r="55" spans="1:20">
      <c r="A55" s="106" t="str">
        <f>ChkList!A51</f>
        <v>보안 관리</v>
      </c>
      <c r="B55" s="29" t="str">
        <f>ChkList!$B51</f>
        <v>W-47</v>
      </c>
      <c r="C55" s="21" t="str">
        <f>ChkList!$C51</f>
        <v>화면 보호기 설정</v>
      </c>
      <c r="D55" s="32" t="str">
        <f>ChkList!$D51</f>
        <v>L</v>
      </c>
      <c r="E55" s="32">
        <f>ChkList!E51</f>
        <v>1</v>
      </c>
      <c r="F55" s="23">
        <f ca="1">COUNTA($S55:INDIRECT(ADDRESS(ROW(),MATCH("",$4:$4,-1),1,1)))</f>
        <v>2</v>
      </c>
      <c r="G55" s="23">
        <f ca="1">'취약점 진단 항목별 통계'!G55</f>
        <v>1</v>
      </c>
      <c r="H55" s="23">
        <f ca="1">'취약점 진단 항목별 통계'!H55</f>
        <v>0</v>
      </c>
      <c r="I55" s="23">
        <f ca="1">'취약점 진단 항목별 통계'!I55</f>
        <v>3</v>
      </c>
      <c r="J55" s="23">
        <f ca="1">'취약점 진단 항목별 통계'!J55</f>
        <v>0</v>
      </c>
      <c r="K55" s="23">
        <f ca="1">COUNTIF($S55:INDIRECT(ADDRESS(ROW(),MATCH("",$4:$4,-1),1,1)),"조치")</f>
        <v>1</v>
      </c>
      <c r="L55" s="23">
        <f ca="1">COUNTIF($S55:INDIRECT(ADDRESS(ROW(),MATCH("",$4:$4,-1),1,1)),"미조치")</f>
        <v>0</v>
      </c>
      <c r="M55" s="23">
        <f ca="1">COUNTIF($S55:INDIRECT(ADDRESS(ROW(),MATCH("",$4:$4,-1),1,1)),"위험수용")</f>
        <v>0</v>
      </c>
      <c r="N55" s="23">
        <f ca="1">COUNTIF($S55:INDIRECT(ADDRESS(ROW(),MATCH("",$4:$4,-1),1,1)),"N/A")</f>
        <v>0</v>
      </c>
      <c r="O55" s="23">
        <f ca="1">VLOOKUP($D55,'parm(hidden)'!$B$8:$C$10,2,FALSE)*($F55-$J55)</f>
        <v>2</v>
      </c>
      <c r="P55" s="23">
        <f ca="1">VLOOKUP($D55,'parm(hidden)'!$B$8:$C$10,2,FALSE)*($F55-$N55)</f>
        <v>2</v>
      </c>
      <c r="Q55" s="35">
        <f ca="1">VLOOKUP($D55,'parm(hidden)'!$B$8:$C$10,2,FALSE)*($G55+$H55)</f>
        <v>1</v>
      </c>
      <c r="R55" s="23">
        <f ca="1">VLOOKUP($D55,'parm(hidden)'!$B$8:$C$10,2,FALSE)*($G55+$H55+$K55)</f>
        <v>2</v>
      </c>
      <c r="S55" s="161" t="str">
        <f t="shared" ca="1" si="1"/>
        <v>Y</v>
      </c>
      <c r="T55" s="162" t="str">
        <f t="shared" ca="1" si="1"/>
        <v>조치</v>
      </c>
    </row>
    <row r="56" spans="1:20">
      <c r="A56" s="106" t="str">
        <f>ChkList!A52</f>
        <v>보안 관리</v>
      </c>
      <c r="B56" s="29" t="str">
        <f>ChkList!$B52</f>
        <v>W-48</v>
      </c>
      <c r="C56" s="21" t="str">
        <f>ChkList!$C52</f>
        <v>로그온하지 않고 시스템 종료 허용</v>
      </c>
      <c r="D56" s="32" t="str">
        <f>ChkList!$D52</f>
        <v>H</v>
      </c>
      <c r="E56" s="32">
        <f>ChkList!E52</f>
        <v>3</v>
      </c>
      <c r="F56" s="23">
        <f ca="1">COUNTA($S56:INDIRECT(ADDRESS(ROW(),MATCH("",$4:$4,-1),1,1)))</f>
        <v>2</v>
      </c>
      <c r="G56" s="23">
        <f ca="1">'취약점 진단 항목별 통계'!G56</f>
        <v>4</v>
      </c>
      <c r="H56" s="23">
        <f ca="1">'취약점 진단 항목별 통계'!H56</f>
        <v>0</v>
      </c>
      <c r="I56" s="23">
        <f ca="1">'취약점 진단 항목별 통계'!I56</f>
        <v>0</v>
      </c>
      <c r="J56" s="23">
        <f ca="1">'취약점 진단 항목별 통계'!J56</f>
        <v>0</v>
      </c>
      <c r="K56" s="23">
        <f ca="1">COUNTIF($S56:INDIRECT(ADDRESS(ROW(),MATCH("",$4:$4,-1),1,1)),"조치")</f>
        <v>0</v>
      </c>
      <c r="L56" s="23">
        <f ca="1">COUNTIF($S56:INDIRECT(ADDRESS(ROW(),MATCH("",$4:$4,-1),1,1)),"미조치")</f>
        <v>0</v>
      </c>
      <c r="M56" s="23">
        <f ca="1">COUNTIF($S56:INDIRECT(ADDRESS(ROW(),MATCH("",$4:$4,-1),1,1)),"위험수용")</f>
        <v>0</v>
      </c>
      <c r="N56" s="23">
        <f ca="1">COUNTIF($S56:INDIRECT(ADDRESS(ROW(),MATCH("",$4:$4,-1),1,1)),"N/A")</f>
        <v>0</v>
      </c>
      <c r="O56" s="23">
        <f ca="1">VLOOKUP($D56,'parm(hidden)'!$B$8:$C$10,2,FALSE)*($F56-$J56)</f>
        <v>6</v>
      </c>
      <c r="P56" s="23">
        <f ca="1">VLOOKUP($D56,'parm(hidden)'!$B$8:$C$10,2,FALSE)*($F56-$N56)</f>
        <v>6</v>
      </c>
      <c r="Q56" s="35">
        <f ca="1">VLOOKUP($D56,'parm(hidden)'!$B$8:$C$10,2,FALSE)*($G56+$H56)</f>
        <v>12</v>
      </c>
      <c r="R56" s="23">
        <f ca="1">VLOOKUP($D56,'parm(hidden)'!$B$8:$C$10,2,FALSE)*($G56+$H56+$K56)</f>
        <v>12</v>
      </c>
      <c r="S56" s="161" t="str">
        <f t="shared" ca="1" si="1"/>
        <v>Y</v>
      </c>
      <c r="T56" s="162" t="str">
        <f t="shared" ca="1" si="1"/>
        <v>Y</v>
      </c>
    </row>
    <row r="57" spans="1:20">
      <c r="A57" s="106" t="str">
        <f>ChkList!A53</f>
        <v>보안 관리</v>
      </c>
      <c r="B57" s="29" t="str">
        <f>ChkList!$B53</f>
        <v>W-49</v>
      </c>
      <c r="C57" s="21" t="str">
        <f>ChkList!$C53</f>
        <v>원격 시스템에서 강제로 시스템 종료</v>
      </c>
      <c r="D57" s="32" t="str">
        <f>ChkList!$D53</f>
        <v>H</v>
      </c>
      <c r="E57" s="32">
        <f>ChkList!E53</f>
        <v>3</v>
      </c>
      <c r="F57" s="23">
        <f ca="1">COUNTA($S57:INDIRECT(ADDRESS(ROW(),MATCH("",$4:$4,-1),1,1)))</f>
        <v>2</v>
      </c>
      <c r="G57" s="23">
        <f ca="1">'취약점 진단 항목별 통계'!G57</f>
        <v>0</v>
      </c>
      <c r="H57" s="23">
        <f ca="1">'취약점 진단 항목별 통계'!H57</f>
        <v>0</v>
      </c>
      <c r="I57" s="23">
        <f ca="1">'취약점 진단 항목별 통계'!I57</f>
        <v>4</v>
      </c>
      <c r="J57" s="23">
        <f ca="1">'취약점 진단 항목별 통계'!J57</f>
        <v>0</v>
      </c>
      <c r="K57" s="23">
        <f ca="1">COUNTIF($S57:INDIRECT(ADDRESS(ROW(),MATCH("",$4:$4,-1),1,1)),"조치")</f>
        <v>2</v>
      </c>
      <c r="L57" s="23">
        <f ca="1">COUNTIF($S57:INDIRECT(ADDRESS(ROW(),MATCH("",$4:$4,-1),1,1)),"미조치")</f>
        <v>0</v>
      </c>
      <c r="M57" s="23">
        <f ca="1">COUNTIF($S57:INDIRECT(ADDRESS(ROW(),MATCH("",$4:$4,-1),1,1)),"위험수용")</f>
        <v>0</v>
      </c>
      <c r="N57" s="23">
        <f ca="1">COUNTIF($S57:INDIRECT(ADDRESS(ROW(),MATCH("",$4:$4,-1),1,1)),"N/A")</f>
        <v>0</v>
      </c>
      <c r="O57" s="23">
        <f ca="1">VLOOKUP($D57,'parm(hidden)'!$B$8:$C$10,2,FALSE)*($F57-$J57)</f>
        <v>6</v>
      </c>
      <c r="P57" s="23">
        <f ca="1">VLOOKUP($D57,'parm(hidden)'!$B$8:$C$10,2,FALSE)*($F57-$N57)</f>
        <v>6</v>
      </c>
      <c r="Q57" s="35">
        <f ca="1">VLOOKUP($D57,'parm(hidden)'!$B$8:$C$10,2,FALSE)*($G57+$H57)</f>
        <v>0</v>
      </c>
      <c r="R57" s="23">
        <f ca="1">VLOOKUP($D57,'parm(hidden)'!$B$8:$C$10,2,FALSE)*($G57+$H57+$K57)</f>
        <v>6</v>
      </c>
      <c r="S57" s="161" t="str">
        <f t="shared" ca="1" si="1"/>
        <v>조치</v>
      </c>
      <c r="T57" s="162" t="str">
        <f t="shared" ca="1" si="1"/>
        <v>조치</v>
      </c>
    </row>
    <row r="58" spans="1:20">
      <c r="A58" s="106" t="str">
        <f>ChkList!A54</f>
        <v>보안 관리</v>
      </c>
      <c r="B58" s="29" t="str">
        <f>ChkList!$B54</f>
        <v>W-50</v>
      </c>
      <c r="C58" s="21" t="str">
        <f>ChkList!$C54</f>
        <v>보안 감사를 로그 할 수 없는 경우 즉시 시스템 종료</v>
      </c>
      <c r="D58" s="32" t="str">
        <f>ChkList!$D54</f>
        <v>H</v>
      </c>
      <c r="E58" s="32">
        <f>ChkList!E54</f>
        <v>3</v>
      </c>
      <c r="F58" s="23">
        <f ca="1">COUNTA($S58:INDIRECT(ADDRESS(ROW(),MATCH("",$4:$4,-1),1,1)))</f>
        <v>2</v>
      </c>
      <c r="G58" s="23">
        <f ca="1">'취약점 진단 항목별 통계'!G58</f>
        <v>4</v>
      </c>
      <c r="H58" s="23">
        <f ca="1">'취약점 진단 항목별 통계'!H58</f>
        <v>0</v>
      </c>
      <c r="I58" s="23">
        <f ca="1">'취약점 진단 항목별 통계'!I58</f>
        <v>0</v>
      </c>
      <c r="J58" s="23">
        <f ca="1">'취약점 진단 항목별 통계'!J58</f>
        <v>0</v>
      </c>
      <c r="K58" s="23">
        <f ca="1">COUNTIF($S58:INDIRECT(ADDRESS(ROW(),MATCH("",$4:$4,-1),1,1)),"조치")</f>
        <v>0</v>
      </c>
      <c r="L58" s="23">
        <f ca="1">COUNTIF($S58:INDIRECT(ADDRESS(ROW(),MATCH("",$4:$4,-1),1,1)),"미조치")</f>
        <v>0</v>
      </c>
      <c r="M58" s="23">
        <f ca="1">COUNTIF($S58:INDIRECT(ADDRESS(ROW(),MATCH("",$4:$4,-1),1,1)),"위험수용")</f>
        <v>0</v>
      </c>
      <c r="N58" s="23">
        <f ca="1">COUNTIF($S58:INDIRECT(ADDRESS(ROW(),MATCH("",$4:$4,-1),1,1)),"N/A")</f>
        <v>0</v>
      </c>
      <c r="O58" s="23">
        <f ca="1">VLOOKUP($D58,'parm(hidden)'!$B$8:$C$10,2,FALSE)*($F58-$J58)</f>
        <v>6</v>
      </c>
      <c r="P58" s="23">
        <f ca="1">VLOOKUP($D58,'parm(hidden)'!$B$8:$C$10,2,FALSE)*($F58-$N58)</f>
        <v>6</v>
      </c>
      <c r="Q58" s="35">
        <f ca="1">VLOOKUP($D58,'parm(hidden)'!$B$8:$C$10,2,FALSE)*($G58+$H58)</f>
        <v>12</v>
      </c>
      <c r="R58" s="23">
        <f ca="1">VLOOKUP($D58,'parm(hidden)'!$B$8:$C$10,2,FALSE)*($G58+$H58+$K58)</f>
        <v>12</v>
      </c>
      <c r="S58" s="161" t="str">
        <f t="shared" ca="1" si="1"/>
        <v>Y</v>
      </c>
      <c r="T58" s="162" t="str">
        <f t="shared" ca="1" si="1"/>
        <v>Y</v>
      </c>
    </row>
    <row r="59" spans="1:20">
      <c r="A59" s="106" t="e">
        <f>ChkList!#REF!</f>
        <v>#REF!</v>
      </c>
      <c r="B59" s="29" t="e">
        <f>ChkList!#REF!</f>
        <v>#REF!</v>
      </c>
      <c r="C59" s="21" t="e">
        <f>ChkList!#REF!</f>
        <v>#REF!</v>
      </c>
      <c r="D59" s="32" t="e">
        <f>ChkList!#REF!</f>
        <v>#REF!</v>
      </c>
      <c r="E59" s="32" t="e">
        <f>ChkList!#REF!</f>
        <v>#REF!</v>
      </c>
      <c r="F59" s="23">
        <f ca="1">COUNTA($S59:INDIRECT(ADDRESS(ROW(),MATCH("",$4:$4,-1),1,1)))</f>
        <v>2</v>
      </c>
      <c r="G59" s="23">
        <f ca="1">'취약점 진단 항목별 통계'!G59</f>
        <v>0</v>
      </c>
      <c r="H59" s="23">
        <f ca="1">'취약점 진단 항목별 통계'!H59</f>
        <v>0</v>
      </c>
      <c r="I59" s="23">
        <f ca="1">'취약점 진단 항목별 통계'!I59</f>
        <v>4</v>
      </c>
      <c r="J59" s="23">
        <f ca="1">'취약점 진단 항목별 통계'!J59</f>
        <v>0</v>
      </c>
      <c r="K59" s="23">
        <f ca="1">COUNTIF($S59:INDIRECT(ADDRESS(ROW(),MATCH("",$4:$4,-1),1,1)),"조치")</f>
        <v>1</v>
      </c>
      <c r="L59" s="23">
        <f ca="1">COUNTIF($S59:INDIRECT(ADDRESS(ROW(),MATCH("",$4:$4,-1),1,1)),"미조치")</f>
        <v>1</v>
      </c>
      <c r="M59" s="23">
        <f ca="1">COUNTIF($S59:INDIRECT(ADDRESS(ROW(),MATCH("",$4:$4,-1),1,1)),"위험수용")</f>
        <v>0</v>
      </c>
      <c r="N59" s="23">
        <f ca="1">COUNTIF($S59:INDIRECT(ADDRESS(ROW(),MATCH("",$4:$4,-1),1,1)),"N/A")</f>
        <v>0</v>
      </c>
      <c r="O59" s="23" t="e">
        <f ca="1">VLOOKUP($D59,'parm(hidden)'!$B$8:$C$10,2,FALSE)*($F59-$J59)</f>
        <v>#REF!</v>
      </c>
      <c r="P59" s="23" t="e">
        <f ca="1">VLOOKUP($D59,'parm(hidden)'!$B$8:$C$10,2,FALSE)*($F59-$N59)</f>
        <v>#REF!</v>
      </c>
      <c r="Q59" s="35" t="e">
        <f ca="1">VLOOKUP($D59,'parm(hidden)'!$B$8:$C$10,2,FALSE)*($G59+$H59)</f>
        <v>#REF!</v>
      </c>
      <c r="R59" s="23" t="e">
        <f ca="1">VLOOKUP($D59,'parm(hidden)'!$B$8:$C$10,2,FALSE)*($G59+$H59+$K59)</f>
        <v>#REF!</v>
      </c>
      <c r="S59" s="161" t="str">
        <f t="shared" ca="1" si="1"/>
        <v>미조치</v>
      </c>
      <c r="T59" s="162" t="str">
        <f t="shared" ca="1" si="1"/>
        <v>조치</v>
      </c>
    </row>
    <row r="60" spans="1:20">
      <c r="A60" s="106" t="str">
        <f>ChkList!A55</f>
        <v>보안 관리</v>
      </c>
      <c r="B60" s="29" t="str">
        <f>ChkList!$B55</f>
        <v>W-51</v>
      </c>
      <c r="C60" s="21" t="str">
        <f>ChkList!$C55</f>
        <v>SAM 계정과 공유의 익명 열거 허용 안 함</v>
      </c>
      <c r="D60" s="32" t="str">
        <f>ChkList!$D55</f>
        <v>H</v>
      </c>
      <c r="E60" s="32">
        <f>ChkList!E55</f>
        <v>3</v>
      </c>
      <c r="F60" s="23">
        <f ca="1">COUNTA($S60:INDIRECT(ADDRESS(ROW(),MATCH("",$4:$4,-1),1,1)))</f>
        <v>2</v>
      </c>
      <c r="G60" s="23">
        <f ca="1">'취약점 진단 항목별 통계'!G60</f>
        <v>0</v>
      </c>
      <c r="H60" s="23">
        <f ca="1">'취약점 진단 항목별 통계'!H60</f>
        <v>0</v>
      </c>
      <c r="I60" s="23">
        <f ca="1">'취약점 진단 항목별 통계'!I60</f>
        <v>4</v>
      </c>
      <c r="J60" s="23">
        <f ca="1">'취약점 진단 항목별 통계'!J60</f>
        <v>0</v>
      </c>
      <c r="K60" s="23">
        <f ca="1">COUNTIF($S60:INDIRECT(ADDRESS(ROW(),MATCH("",$4:$4,-1),1,1)),"조치")</f>
        <v>2</v>
      </c>
      <c r="L60" s="23">
        <f ca="1">COUNTIF($S60:INDIRECT(ADDRESS(ROW(),MATCH("",$4:$4,-1),1,1)),"미조치")</f>
        <v>0</v>
      </c>
      <c r="M60" s="23">
        <f ca="1">COUNTIF($S60:INDIRECT(ADDRESS(ROW(),MATCH("",$4:$4,-1),1,1)),"위험수용")</f>
        <v>0</v>
      </c>
      <c r="N60" s="23">
        <f ca="1">COUNTIF($S60:INDIRECT(ADDRESS(ROW(),MATCH("",$4:$4,-1),1,1)),"N/A")</f>
        <v>0</v>
      </c>
      <c r="O60" s="23">
        <f ca="1">VLOOKUP($D60,'parm(hidden)'!$B$8:$C$10,2,FALSE)*($F60-$J60)</f>
        <v>6</v>
      </c>
      <c r="P60" s="23">
        <f ca="1">VLOOKUP($D60,'parm(hidden)'!$B$8:$C$10,2,FALSE)*($F60-$N60)</f>
        <v>6</v>
      </c>
      <c r="Q60" s="35">
        <f ca="1">VLOOKUP($D60,'parm(hidden)'!$B$8:$C$10,2,FALSE)*($G60+$H60)</f>
        <v>0</v>
      </c>
      <c r="R60" s="23">
        <f ca="1">VLOOKUP($D60,'parm(hidden)'!$B$8:$C$10,2,FALSE)*($G60+$H60+$K60)</f>
        <v>6</v>
      </c>
      <c r="S60" s="161" t="str">
        <f t="shared" ca="1" si="1"/>
        <v>조치</v>
      </c>
      <c r="T60" s="162" t="str">
        <f t="shared" ca="1" si="1"/>
        <v>조치</v>
      </c>
    </row>
    <row r="61" spans="1:20">
      <c r="A61" s="106" t="str">
        <f>ChkList!A56</f>
        <v>보안 관리</v>
      </c>
      <c r="B61" s="29" t="str">
        <f>ChkList!$B56</f>
        <v>W-52</v>
      </c>
      <c r="C61" s="21" t="str">
        <f>ChkList!$C56</f>
        <v>Autologon 기능 제어</v>
      </c>
      <c r="D61" s="32" t="str">
        <f>ChkList!$D56</f>
        <v>H</v>
      </c>
      <c r="E61" s="32">
        <f>ChkList!E56</f>
        <v>3</v>
      </c>
      <c r="F61" s="23">
        <f ca="1">COUNTA($S61:INDIRECT(ADDRESS(ROW(),MATCH("",$4:$4,-1),1,1)))</f>
        <v>2</v>
      </c>
      <c r="G61" s="23">
        <f ca="1">'취약점 진단 항목별 통계'!G61</f>
        <v>0</v>
      </c>
      <c r="H61" s="23">
        <f ca="1">'취약점 진단 항목별 통계'!H61</f>
        <v>0</v>
      </c>
      <c r="I61" s="23">
        <f ca="1">'취약점 진단 항목별 통계'!I61</f>
        <v>4</v>
      </c>
      <c r="J61" s="23">
        <f ca="1">'취약점 진단 항목별 통계'!J61</f>
        <v>0</v>
      </c>
      <c r="K61" s="23">
        <f ca="1">COUNTIF($S61:INDIRECT(ADDRESS(ROW(),MATCH("",$4:$4,-1),1,1)),"조치")</f>
        <v>2</v>
      </c>
      <c r="L61" s="23">
        <f ca="1">COUNTIF($S61:INDIRECT(ADDRESS(ROW(),MATCH("",$4:$4,-1),1,1)),"미조치")</f>
        <v>0</v>
      </c>
      <c r="M61" s="23">
        <f ca="1">COUNTIF($S61:INDIRECT(ADDRESS(ROW(),MATCH("",$4:$4,-1),1,1)),"위험수용")</f>
        <v>0</v>
      </c>
      <c r="N61" s="23">
        <f ca="1">COUNTIF($S61:INDIRECT(ADDRESS(ROW(),MATCH("",$4:$4,-1),1,1)),"N/A")</f>
        <v>0</v>
      </c>
      <c r="O61" s="23">
        <f ca="1">VLOOKUP($D61,'parm(hidden)'!$B$8:$C$10,2,FALSE)*($F61-$J61)</f>
        <v>6</v>
      </c>
      <c r="P61" s="23">
        <f ca="1">VLOOKUP($D61,'parm(hidden)'!$B$8:$C$10,2,FALSE)*($F61-$N61)</f>
        <v>6</v>
      </c>
      <c r="Q61" s="35">
        <f ca="1">VLOOKUP($D61,'parm(hidden)'!$B$8:$C$10,2,FALSE)*($G61+$H61)</f>
        <v>0</v>
      </c>
      <c r="R61" s="23">
        <f ca="1">VLOOKUP($D61,'parm(hidden)'!$B$8:$C$10,2,FALSE)*($G61+$H61+$K61)</f>
        <v>6</v>
      </c>
      <c r="S61" s="161" t="str">
        <f t="shared" ca="1" si="1"/>
        <v>조치</v>
      </c>
      <c r="T61" s="162" t="str">
        <f t="shared" ca="1" si="1"/>
        <v>조치</v>
      </c>
    </row>
    <row r="62" spans="1:20">
      <c r="A62" s="106" t="str">
        <f>ChkList!A57</f>
        <v>보안 관리</v>
      </c>
      <c r="B62" s="29" t="str">
        <f>ChkList!$B57</f>
        <v>W-53</v>
      </c>
      <c r="C62" s="21" t="str">
        <f>ChkList!$C57</f>
        <v>이동식 미디어 포맷 및 꺼내기 허용</v>
      </c>
      <c r="D62" s="32" t="str">
        <f>ChkList!$D57</f>
        <v>H</v>
      </c>
      <c r="E62" s="32">
        <f>ChkList!E57</f>
        <v>3</v>
      </c>
      <c r="F62" s="23">
        <f ca="1">COUNTA($S62:INDIRECT(ADDRESS(ROW(),MATCH("",$4:$4,-1),1,1)))</f>
        <v>2</v>
      </c>
      <c r="G62" s="23">
        <f ca="1">'취약점 진단 항목별 통계'!G62</f>
        <v>0</v>
      </c>
      <c r="H62" s="23">
        <f ca="1">'취약점 진단 항목별 통계'!H62</f>
        <v>0</v>
      </c>
      <c r="I62" s="23">
        <f ca="1">'취약점 진단 항목별 통계'!I62</f>
        <v>4</v>
      </c>
      <c r="J62" s="23">
        <f ca="1">'취약점 진단 항목별 통계'!J62</f>
        <v>0</v>
      </c>
      <c r="K62" s="23">
        <f ca="1">COUNTIF($S62:INDIRECT(ADDRESS(ROW(),MATCH("",$4:$4,-1),1,1)),"조치")</f>
        <v>0</v>
      </c>
      <c r="L62" s="23">
        <f ca="1">COUNTIF($S62:INDIRECT(ADDRESS(ROW(),MATCH("",$4:$4,-1),1,1)),"미조치")</f>
        <v>1</v>
      </c>
      <c r="M62" s="23">
        <f ca="1">COUNTIF($S62:INDIRECT(ADDRESS(ROW(),MATCH("",$4:$4,-1),1,1)),"위험수용")</f>
        <v>0</v>
      </c>
      <c r="N62" s="23">
        <f ca="1">COUNTIF($S62:INDIRECT(ADDRESS(ROW(),MATCH("",$4:$4,-1),1,1)),"N/A")</f>
        <v>1</v>
      </c>
      <c r="O62" s="23">
        <f ca="1">VLOOKUP($D62,'parm(hidden)'!$B$8:$C$10,2,FALSE)*($F62-$J62)</f>
        <v>6</v>
      </c>
      <c r="P62" s="23">
        <f ca="1">VLOOKUP($D62,'parm(hidden)'!$B$8:$C$10,2,FALSE)*($F62-$N62)</f>
        <v>3</v>
      </c>
      <c r="Q62" s="35">
        <f ca="1">VLOOKUP($D62,'parm(hidden)'!$B$8:$C$10,2,FALSE)*($G62+$H62)</f>
        <v>0</v>
      </c>
      <c r="R62" s="23">
        <f ca="1">VLOOKUP($D62,'parm(hidden)'!$B$8:$C$10,2,FALSE)*($G62+$H62+$K62)</f>
        <v>0</v>
      </c>
      <c r="S62" s="161" t="str">
        <f t="shared" ca="1" si="1"/>
        <v>미조치</v>
      </c>
      <c r="T62" s="162" t="str">
        <f t="shared" ca="1" si="1"/>
        <v>N/A</v>
      </c>
    </row>
    <row r="63" spans="1:20">
      <c r="A63" s="106" t="str">
        <f>ChkList!A58</f>
        <v>보안 관리</v>
      </c>
      <c r="B63" s="29" t="str">
        <f>ChkList!$B58</f>
        <v>W-54</v>
      </c>
      <c r="C63" s="21" t="str">
        <f>ChkList!$C58</f>
        <v>Dos 공격 방어 레지스트리 설정</v>
      </c>
      <c r="D63" s="32" t="str">
        <f>ChkList!$D58</f>
        <v>M</v>
      </c>
      <c r="E63" s="32">
        <f>ChkList!E58</f>
        <v>2</v>
      </c>
      <c r="F63" s="23">
        <f ca="1">COUNTA($S63:INDIRECT(ADDRESS(ROW(),MATCH("",$4:$4,-1),1,1)))</f>
        <v>2</v>
      </c>
      <c r="G63" s="23">
        <f ca="1">'취약점 진단 항목별 통계'!G63</f>
        <v>0</v>
      </c>
      <c r="H63" s="23">
        <f ca="1">'취약점 진단 항목별 통계'!H63</f>
        <v>0</v>
      </c>
      <c r="I63" s="23">
        <f ca="1">'취약점 진단 항목별 통계'!I63</f>
        <v>4</v>
      </c>
      <c r="J63" s="23">
        <f ca="1">'취약점 진단 항목별 통계'!J63</f>
        <v>0</v>
      </c>
      <c r="K63" s="23">
        <f ca="1">COUNTIF($S63:INDIRECT(ADDRESS(ROW(),MATCH("",$4:$4,-1),1,1)),"조치")</f>
        <v>2</v>
      </c>
      <c r="L63" s="23">
        <f ca="1">COUNTIF($S63:INDIRECT(ADDRESS(ROW(),MATCH("",$4:$4,-1),1,1)),"미조치")</f>
        <v>0</v>
      </c>
      <c r="M63" s="23">
        <f ca="1">COUNTIF($S63:INDIRECT(ADDRESS(ROW(),MATCH("",$4:$4,-1),1,1)),"위험수용")</f>
        <v>0</v>
      </c>
      <c r="N63" s="23">
        <f ca="1">COUNTIF($S63:INDIRECT(ADDRESS(ROW(),MATCH("",$4:$4,-1),1,1)),"N/A")</f>
        <v>0</v>
      </c>
      <c r="O63" s="23">
        <f ca="1">VLOOKUP($D63,'parm(hidden)'!$B$8:$C$10,2,FALSE)*($F63-$J63)</f>
        <v>4</v>
      </c>
      <c r="P63" s="23">
        <f ca="1">VLOOKUP($D63,'parm(hidden)'!$B$8:$C$10,2,FALSE)*($F63-$N63)</f>
        <v>4</v>
      </c>
      <c r="Q63" s="35">
        <f ca="1">VLOOKUP($D63,'parm(hidden)'!$B$8:$C$10,2,FALSE)*($G63+$H63)</f>
        <v>0</v>
      </c>
      <c r="R63" s="23">
        <f ca="1">VLOOKUP($D63,'parm(hidden)'!$B$8:$C$10,2,FALSE)*($G63+$H63+$K63)</f>
        <v>4</v>
      </c>
      <c r="S63" s="161" t="str">
        <f t="shared" ca="1" si="1"/>
        <v>조치</v>
      </c>
      <c r="T63" s="162" t="str">
        <f t="shared" ca="1" si="1"/>
        <v>조치</v>
      </c>
    </row>
    <row r="64" spans="1:20">
      <c r="A64" s="106" t="str">
        <f>ChkList!A59</f>
        <v>보안 관리</v>
      </c>
      <c r="B64" s="29" t="str">
        <f>ChkList!$B59</f>
        <v>W-55</v>
      </c>
      <c r="C64" s="21" t="str">
        <f>ChkList!$C59</f>
        <v>사용자가 프린터 드라이버를 설치할 수 없게 함</v>
      </c>
      <c r="D64" s="32" t="str">
        <f>ChkList!$D59</f>
        <v>M</v>
      </c>
      <c r="E64" s="32">
        <f>ChkList!E59</f>
        <v>2</v>
      </c>
      <c r="F64" s="23">
        <f ca="1">COUNTA($S64:INDIRECT(ADDRESS(ROW(),MATCH("",$4:$4,-1),1,1)))</f>
        <v>2</v>
      </c>
      <c r="G64" s="23">
        <f ca="1">'취약점 진단 항목별 통계'!G64</f>
        <v>4</v>
      </c>
      <c r="H64" s="23">
        <f ca="1">'취약점 진단 항목별 통계'!H64</f>
        <v>0</v>
      </c>
      <c r="I64" s="23">
        <f ca="1">'취약점 진단 항목별 통계'!I64</f>
        <v>0</v>
      </c>
      <c r="J64" s="23">
        <f ca="1">'취약점 진단 항목별 통계'!J64</f>
        <v>0</v>
      </c>
      <c r="K64" s="23">
        <f ca="1">COUNTIF($S64:INDIRECT(ADDRESS(ROW(),MATCH("",$4:$4,-1),1,1)),"조치")</f>
        <v>0</v>
      </c>
      <c r="L64" s="23">
        <f ca="1">COUNTIF($S64:INDIRECT(ADDRESS(ROW(),MATCH("",$4:$4,-1),1,1)),"미조치")</f>
        <v>0</v>
      </c>
      <c r="M64" s="23">
        <f ca="1">COUNTIF($S64:INDIRECT(ADDRESS(ROW(),MATCH("",$4:$4,-1),1,1)),"위험수용")</f>
        <v>0</v>
      </c>
      <c r="N64" s="23">
        <f ca="1">COUNTIF($S64:INDIRECT(ADDRESS(ROW(),MATCH("",$4:$4,-1),1,1)),"N/A")</f>
        <v>0</v>
      </c>
      <c r="O64" s="23">
        <f ca="1">VLOOKUP($D64,'parm(hidden)'!$B$8:$C$10,2,FALSE)*($F64-$J64)</f>
        <v>4</v>
      </c>
      <c r="P64" s="23">
        <f ca="1">VLOOKUP($D64,'parm(hidden)'!$B$8:$C$10,2,FALSE)*($F64-$N64)</f>
        <v>4</v>
      </c>
      <c r="Q64" s="35">
        <f ca="1">VLOOKUP($D64,'parm(hidden)'!$B$8:$C$10,2,FALSE)*($G64+$H64)</f>
        <v>8</v>
      </c>
      <c r="R64" s="23">
        <f ca="1">VLOOKUP($D64,'parm(hidden)'!$B$8:$C$10,2,FALSE)*($G64+$H64+$K64)</f>
        <v>8</v>
      </c>
      <c r="S64" s="161" t="str">
        <f t="shared" ca="1" si="1"/>
        <v>Y</v>
      </c>
      <c r="T64" s="162" t="str">
        <f t="shared" ca="1" si="1"/>
        <v>Y</v>
      </c>
    </row>
    <row r="65" spans="1:20">
      <c r="A65" s="106" t="str">
        <f>ChkList!A60</f>
        <v>보안 관리</v>
      </c>
      <c r="B65" s="29" t="str">
        <f>ChkList!$B60</f>
        <v>W-56</v>
      </c>
      <c r="C65" s="21" t="str">
        <f>ChkList!$C60</f>
        <v>SMB 세션 중단 관리 설정</v>
      </c>
      <c r="D65" s="32" t="str">
        <f>ChkList!$D60</f>
        <v>M</v>
      </c>
      <c r="E65" s="32">
        <f>ChkList!E60</f>
        <v>2</v>
      </c>
      <c r="F65" s="23">
        <f ca="1">COUNTA($S65:INDIRECT(ADDRESS(ROW(),MATCH("",$4:$4,-1),1,1)))</f>
        <v>2</v>
      </c>
      <c r="G65" s="23">
        <f ca="1">'취약점 진단 항목별 통계'!G65</f>
        <v>4</v>
      </c>
      <c r="H65" s="23">
        <f ca="1">'취약점 진단 항목별 통계'!H65</f>
        <v>0</v>
      </c>
      <c r="I65" s="23">
        <f ca="1">'취약점 진단 항목별 통계'!I65</f>
        <v>0</v>
      </c>
      <c r="J65" s="23">
        <f ca="1">'취약점 진단 항목별 통계'!J65</f>
        <v>0</v>
      </c>
      <c r="K65" s="23">
        <f ca="1">COUNTIF($S65:INDIRECT(ADDRESS(ROW(),MATCH("",$4:$4,-1),1,1)),"조치")</f>
        <v>0</v>
      </c>
      <c r="L65" s="23">
        <f ca="1">COUNTIF($S65:INDIRECT(ADDRESS(ROW(),MATCH("",$4:$4,-1),1,1)),"미조치")</f>
        <v>0</v>
      </c>
      <c r="M65" s="23">
        <f ca="1">COUNTIF($S65:INDIRECT(ADDRESS(ROW(),MATCH("",$4:$4,-1),1,1)),"위험수용")</f>
        <v>0</v>
      </c>
      <c r="N65" s="23">
        <f ca="1">COUNTIF($S65:INDIRECT(ADDRESS(ROW(),MATCH("",$4:$4,-1),1,1)),"N/A")</f>
        <v>0</v>
      </c>
      <c r="O65" s="23">
        <f ca="1">VLOOKUP($D65,'parm(hidden)'!$B$8:$C$10,2,FALSE)*($F65-$J65)</f>
        <v>4</v>
      </c>
      <c r="P65" s="23">
        <f ca="1">VLOOKUP($D65,'parm(hidden)'!$B$8:$C$10,2,FALSE)*($F65-$N65)</f>
        <v>4</v>
      </c>
      <c r="Q65" s="35">
        <f ca="1">VLOOKUP($D65,'parm(hidden)'!$B$8:$C$10,2,FALSE)*($G65+$H65)</f>
        <v>8</v>
      </c>
      <c r="R65" s="23">
        <f ca="1">VLOOKUP($D65,'parm(hidden)'!$B$8:$C$10,2,FALSE)*($G65+$H65+$K65)</f>
        <v>8</v>
      </c>
      <c r="S65" s="161" t="str">
        <f t="shared" ca="1" si="1"/>
        <v>Y</v>
      </c>
      <c r="T65" s="162" t="str">
        <f t="shared" ca="1" si="1"/>
        <v>Y</v>
      </c>
    </row>
    <row r="66" spans="1:20">
      <c r="A66" s="106" t="str">
        <f>ChkList!A61</f>
        <v>보안 관리</v>
      </c>
      <c r="B66" s="29" t="str">
        <f>ChkList!$B61</f>
        <v>W-57</v>
      </c>
      <c r="C66" s="21" t="str">
        <f>ChkList!$C61</f>
        <v>로그온 시 경고 메시지 설정</v>
      </c>
      <c r="D66" s="32" t="str">
        <f>ChkList!$D61</f>
        <v>L</v>
      </c>
      <c r="E66" s="32">
        <f>ChkList!E61</f>
        <v>1</v>
      </c>
      <c r="F66" s="23">
        <f ca="1">COUNTA($S66:INDIRECT(ADDRESS(ROW(),MATCH("",$4:$4,-1),1,1)))</f>
        <v>2</v>
      </c>
      <c r="G66" s="23">
        <f ca="1">'취약점 진단 항목별 통계'!G66</f>
        <v>0</v>
      </c>
      <c r="H66" s="23">
        <f ca="1">'취약점 진단 항목별 통계'!H66</f>
        <v>0</v>
      </c>
      <c r="I66" s="23">
        <f ca="1">'취약점 진단 항목별 통계'!I66</f>
        <v>4</v>
      </c>
      <c r="J66" s="23">
        <f ca="1">'취약점 진단 항목별 통계'!J66</f>
        <v>0</v>
      </c>
      <c r="K66" s="23">
        <f ca="1">COUNTIF($S66:INDIRECT(ADDRESS(ROW(),MATCH("",$4:$4,-1),1,1)),"조치")</f>
        <v>2</v>
      </c>
      <c r="L66" s="23">
        <f ca="1">COUNTIF($S66:INDIRECT(ADDRESS(ROW(),MATCH("",$4:$4,-1),1,1)),"미조치")</f>
        <v>0</v>
      </c>
      <c r="M66" s="23">
        <f ca="1">COUNTIF($S66:INDIRECT(ADDRESS(ROW(),MATCH("",$4:$4,-1),1,1)),"위험수용")</f>
        <v>0</v>
      </c>
      <c r="N66" s="23">
        <f ca="1">COUNTIF($S66:INDIRECT(ADDRESS(ROW(),MATCH("",$4:$4,-1),1,1)),"N/A")</f>
        <v>0</v>
      </c>
      <c r="O66" s="23">
        <f ca="1">VLOOKUP($D66,'parm(hidden)'!$B$8:$C$10,2,FALSE)*($F66-$J66)</f>
        <v>2</v>
      </c>
      <c r="P66" s="23">
        <f ca="1">VLOOKUP($D66,'parm(hidden)'!$B$8:$C$10,2,FALSE)*($F66-$N66)</f>
        <v>2</v>
      </c>
      <c r="Q66" s="35">
        <f ca="1">VLOOKUP($D66,'parm(hidden)'!$B$8:$C$10,2,FALSE)*($G66+$H66)</f>
        <v>0</v>
      </c>
      <c r="R66" s="23">
        <f ca="1">VLOOKUP($D66,'parm(hidden)'!$B$8:$C$10,2,FALSE)*($G66+$H66+$K66)</f>
        <v>2</v>
      </c>
      <c r="S66" s="161" t="str">
        <f t="shared" ca="1" si="1"/>
        <v>조치</v>
      </c>
      <c r="T66" s="162" t="str">
        <f t="shared" ca="1" si="1"/>
        <v>조치</v>
      </c>
    </row>
    <row r="67" spans="1:20">
      <c r="A67" s="106" t="str">
        <f>ChkList!A62</f>
        <v>보안 관리</v>
      </c>
      <c r="B67" s="29" t="str">
        <f>ChkList!$B62</f>
        <v>W-58</v>
      </c>
      <c r="C67" s="21" t="str">
        <f>ChkList!$C62</f>
        <v>사용자별 홈 디렉터리 권한 설정</v>
      </c>
      <c r="D67" s="32" t="str">
        <f>ChkList!$D62</f>
        <v>M</v>
      </c>
      <c r="E67" s="32">
        <f>ChkList!E62</f>
        <v>2</v>
      </c>
      <c r="F67" s="23">
        <f ca="1">COUNTA($S67:INDIRECT(ADDRESS(ROW(),MATCH("",$4:$4,-1),1,1)))</f>
        <v>2</v>
      </c>
      <c r="G67" s="23">
        <f ca="1">'취약점 진단 항목별 통계'!G67</f>
        <v>4</v>
      </c>
      <c r="H67" s="23">
        <f ca="1">'취약점 진단 항목별 통계'!H67</f>
        <v>0</v>
      </c>
      <c r="I67" s="23">
        <f ca="1">'취약점 진단 항목별 통계'!I67</f>
        <v>0</v>
      </c>
      <c r="J67" s="23">
        <f ca="1">'취약점 진단 항목별 통계'!J67</f>
        <v>0</v>
      </c>
      <c r="K67" s="23">
        <f ca="1">COUNTIF($S67:INDIRECT(ADDRESS(ROW(),MATCH("",$4:$4,-1),1,1)),"조치")</f>
        <v>0</v>
      </c>
      <c r="L67" s="23">
        <f ca="1">COUNTIF($S67:INDIRECT(ADDRESS(ROW(),MATCH("",$4:$4,-1),1,1)),"미조치")</f>
        <v>0</v>
      </c>
      <c r="M67" s="23">
        <f ca="1">COUNTIF($S67:INDIRECT(ADDRESS(ROW(),MATCH("",$4:$4,-1),1,1)),"위험수용")</f>
        <v>0</v>
      </c>
      <c r="N67" s="23">
        <f ca="1">COUNTIF($S67:INDIRECT(ADDRESS(ROW(),MATCH("",$4:$4,-1),1,1)),"N/A")</f>
        <v>0</v>
      </c>
      <c r="O67" s="23">
        <f ca="1">VLOOKUP($D67,'parm(hidden)'!$B$8:$C$10,2,FALSE)*($F67-$J67)</f>
        <v>4</v>
      </c>
      <c r="P67" s="23">
        <f ca="1">VLOOKUP($D67,'parm(hidden)'!$B$8:$C$10,2,FALSE)*($F67-$N67)</f>
        <v>4</v>
      </c>
      <c r="Q67" s="35">
        <f ca="1">VLOOKUP($D67,'parm(hidden)'!$B$8:$C$10,2,FALSE)*($G67+$H67)</f>
        <v>8</v>
      </c>
      <c r="R67" s="23">
        <f ca="1">VLOOKUP($D67,'parm(hidden)'!$B$8:$C$10,2,FALSE)*($G67+$H67+$K67)</f>
        <v>8</v>
      </c>
      <c r="S67" s="161" t="str">
        <f t="shared" ca="1" si="1"/>
        <v>Y</v>
      </c>
      <c r="T67" s="162" t="str">
        <f t="shared" ca="1" si="1"/>
        <v>Y</v>
      </c>
    </row>
    <row r="68" spans="1:20">
      <c r="A68" s="106" t="str">
        <f>ChkList!A63</f>
        <v>보안 관리</v>
      </c>
      <c r="B68" s="29" t="str">
        <f>ChkList!$B63</f>
        <v>W-59</v>
      </c>
      <c r="C68" s="21" t="str">
        <f>ChkList!$C63</f>
        <v>LAN Manager 인증 수준</v>
      </c>
      <c r="D68" s="32" t="str">
        <f>ChkList!$D63</f>
        <v>M</v>
      </c>
      <c r="E68" s="32">
        <f>ChkList!E63</f>
        <v>2</v>
      </c>
      <c r="F68" s="23">
        <f ca="1">COUNTA($S68:INDIRECT(ADDRESS(ROW(),MATCH("",$4:$4,-1),1,1)))</f>
        <v>2</v>
      </c>
      <c r="G68" s="23">
        <f ca="1">'취약점 진단 항목별 통계'!G68</f>
        <v>0</v>
      </c>
      <c r="H68" s="23">
        <f ca="1">'취약점 진단 항목별 통계'!H68</f>
        <v>0</v>
      </c>
      <c r="I68" s="23">
        <f ca="1">'취약점 진단 항목별 통계'!I68</f>
        <v>4</v>
      </c>
      <c r="J68" s="23">
        <f ca="1">'취약점 진단 항목별 통계'!J68</f>
        <v>0</v>
      </c>
      <c r="K68" s="23">
        <f ca="1">COUNTIF($S68:INDIRECT(ADDRESS(ROW(),MATCH("",$4:$4,-1),1,1)),"조치")</f>
        <v>1</v>
      </c>
      <c r="L68" s="23">
        <f ca="1">COUNTIF($S68:INDIRECT(ADDRESS(ROW(),MATCH("",$4:$4,-1),1,1)),"미조치")</f>
        <v>1</v>
      </c>
      <c r="M68" s="23">
        <f ca="1">COUNTIF($S68:INDIRECT(ADDRESS(ROW(),MATCH("",$4:$4,-1),1,1)),"위험수용")</f>
        <v>0</v>
      </c>
      <c r="N68" s="23">
        <f ca="1">COUNTIF($S68:INDIRECT(ADDRESS(ROW(),MATCH("",$4:$4,-1),1,1)),"N/A")</f>
        <v>0</v>
      </c>
      <c r="O68" s="23">
        <f ca="1">VLOOKUP($D68,'parm(hidden)'!$B$8:$C$10,2,FALSE)*($F68-$J68)</f>
        <v>4</v>
      </c>
      <c r="P68" s="23">
        <f ca="1">VLOOKUP($D68,'parm(hidden)'!$B$8:$C$10,2,FALSE)*($F68-$N68)</f>
        <v>4</v>
      </c>
      <c r="Q68" s="35">
        <f ca="1">VLOOKUP($D68,'parm(hidden)'!$B$8:$C$10,2,FALSE)*($G68+$H68)</f>
        <v>0</v>
      </c>
      <c r="R68" s="23">
        <f ca="1">VLOOKUP($D68,'parm(hidden)'!$B$8:$C$10,2,FALSE)*($G68+$H68+$K68)</f>
        <v>2</v>
      </c>
      <c r="S68" s="161" t="str">
        <f t="shared" ca="1" si="1"/>
        <v>미조치</v>
      </c>
      <c r="T68" s="162" t="str">
        <f t="shared" ca="1" si="1"/>
        <v>조치</v>
      </c>
    </row>
    <row r="69" spans="1:20">
      <c r="A69" s="106" t="str">
        <f>ChkList!A64</f>
        <v>보안 관리</v>
      </c>
      <c r="B69" s="29" t="str">
        <f>ChkList!$B64</f>
        <v>W-60</v>
      </c>
      <c r="C69" s="21" t="str">
        <f>ChkList!$C64</f>
        <v>보안 채널 데이터 디지털 암호화 또는 서명</v>
      </c>
      <c r="D69" s="32" t="str">
        <f>ChkList!$D64</f>
        <v>M</v>
      </c>
      <c r="E69" s="32">
        <f>ChkList!E64</f>
        <v>2</v>
      </c>
      <c r="F69" s="23">
        <f ca="1">COUNTA($S69:INDIRECT(ADDRESS(ROW(),MATCH("",$4:$4,-1),1,1)))</f>
        <v>2</v>
      </c>
      <c r="G69" s="23">
        <f ca="1">'취약점 진단 항목별 통계'!G69</f>
        <v>0</v>
      </c>
      <c r="H69" s="23">
        <f ca="1">'취약점 진단 항목별 통계'!H69</f>
        <v>0</v>
      </c>
      <c r="I69" s="23">
        <f ca="1">'취약점 진단 항목별 통계'!I69</f>
        <v>0</v>
      </c>
      <c r="J69" s="23">
        <f ca="1">'취약점 진단 항목별 통계'!J69</f>
        <v>0</v>
      </c>
      <c r="K69" s="23">
        <f ca="1">COUNTIF($S69:INDIRECT(ADDRESS(ROW(),MATCH("",$4:$4,-1),1,1)),"조치")</f>
        <v>0</v>
      </c>
      <c r="L69" s="23">
        <f ca="1">COUNTIF($S69:INDIRECT(ADDRESS(ROW(),MATCH("",$4:$4,-1),1,1)),"미조치")</f>
        <v>0</v>
      </c>
      <c r="M69" s="23">
        <f ca="1">COUNTIF($S69:INDIRECT(ADDRESS(ROW(),MATCH("",$4:$4,-1),1,1)),"위험수용")</f>
        <v>0</v>
      </c>
      <c r="N69" s="23">
        <f ca="1">COUNTIF($S69:INDIRECT(ADDRESS(ROW(),MATCH("",$4:$4,-1),1,1)),"N/A")</f>
        <v>0</v>
      </c>
      <c r="O69" s="23">
        <f ca="1">VLOOKUP($D69,'parm(hidden)'!$B$8:$C$10,2,FALSE)*($F69-$J69)</f>
        <v>4</v>
      </c>
      <c r="P69" s="23">
        <f ca="1">VLOOKUP($D69,'parm(hidden)'!$B$8:$C$10,2,FALSE)*($F69-$N69)</f>
        <v>4</v>
      </c>
      <c r="Q69" s="35">
        <f ca="1">VLOOKUP($D69,'parm(hidden)'!$B$8:$C$10,2,FALSE)*($G69+$H69)</f>
        <v>0</v>
      </c>
      <c r="R69" s="23">
        <f ca="1">VLOOKUP($D69,'parm(hidden)'!$B$8:$C$10,2,FALSE)*($G69+$H69+$K69)</f>
        <v>0</v>
      </c>
      <c r="S69" s="161">
        <f t="shared" ca="1" si="1"/>
        <v>0</v>
      </c>
      <c r="T69" s="162">
        <f t="shared" ca="1" si="1"/>
        <v>0</v>
      </c>
    </row>
    <row r="70" spans="1:20">
      <c r="A70" s="106" t="e">
        <f>ChkList!#REF!</f>
        <v>#REF!</v>
      </c>
      <c r="B70" s="29" t="e">
        <f>ChkList!#REF!</f>
        <v>#REF!</v>
      </c>
      <c r="C70" s="21" t="e">
        <f>ChkList!#REF!</f>
        <v>#REF!</v>
      </c>
      <c r="D70" s="32" t="e">
        <f>ChkList!#REF!</f>
        <v>#REF!</v>
      </c>
      <c r="E70" s="32" t="e">
        <f>ChkList!#REF!</f>
        <v>#REF!</v>
      </c>
      <c r="F70" s="23">
        <f ca="1">COUNTA($S70:INDIRECT(ADDRESS(ROW(),MATCH("",$4:$4,-1),1,1)))</f>
        <v>2</v>
      </c>
      <c r="G70" s="23">
        <f ca="1">'취약점 진단 항목별 통계'!G70</f>
        <v>0</v>
      </c>
      <c r="H70" s="23">
        <f ca="1">'취약점 진단 항목별 통계'!H70</f>
        <v>0</v>
      </c>
      <c r="I70" s="23">
        <f ca="1">'취약점 진단 항목별 통계'!I70</f>
        <v>0</v>
      </c>
      <c r="J70" s="23">
        <f ca="1">'취약점 진단 항목별 통계'!J70</f>
        <v>0</v>
      </c>
      <c r="K70" s="23">
        <f ca="1">COUNTIF($S70:INDIRECT(ADDRESS(ROW(),MATCH("",$4:$4,-1),1,1)),"조치")</f>
        <v>0</v>
      </c>
      <c r="L70" s="23">
        <f ca="1">COUNTIF($S70:INDIRECT(ADDRESS(ROW(),MATCH("",$4:$4,-1),1,1)),"미조치")</f>
        <v>0</v>
      </c>
      <c r="M70" s="23">
        <f ca="1">COUNTIF($S70:INDIRECT(ADDRESS(ROW(),MATCH("",$4:$4,-1),1,1)),"위험수용")</f>
        <v>0</v>
      </c>
      <c r="N70" s="23">
        <f ca="1">COUNTIF($S70:INDIRECT(ADDRESS(ROW(),MATCH("",$4:$4,-1),1,1)),"N/A")</f>
        <v>0</v>
      </c>
      <c r="O70" s="23" t="e">
        <f ca="1">VLOOKUP($D70,'parm(hidden)'!$B$8:$C$10,2,FALSE)*($F70-$J70)</f>
        <v>#REF!</v>
      </c>
      <c r="P70" s="23" t="e">
        <f ca="1">VLOOKUP($D70,'parm(hidden)'!$B$8:$C$10,2,FALSE)*($F70-$N70)</f>
        <v>#REF!</v>
      </c>
      <c r="Q70" s="35" t="e">
        <f ca="1">VLOOKUP($D70,'parm(hidden)'!$B$8:$C$10,2,FALSE)*($G70+$H70)</f>
        <v>#REF!</v>
      </c>
      <c r="R70" s="23" t="e">
        <f ca="1">VLOOKUP($D70,'parm(hidden)'!$B$8:$C$10,2,FALSE)*($G70+$H70+$K70)</f>
        <v>#REF!</v>
      </c>
      <c r="S70" s="161">
        <f t="shared" ca="1" si="1"/>
        <v>0</v>
      </c>
      <c r="T70" s="162">
        <f t="shared" ca="1" si="1"/>
        <v>0</v>
      </c>
    </row>
    <row r="71" spans="1:20">
      <c r="A71" s="106" t="str">
        <f>ChkList!A65</f>
        <v>보안 관리</v>
      </c>
      <c r="B71" s="29" t="str">
        <f>ChkList!$B65</f>
        <v>W-61</v>
      </c>
      <c r="C71" s="21" t="str">
        <f>ChkList!$C65</f>
        <v>파일 및 디렉토리 보호</v>
      </c>
      <c r="D71" s="32" t="str">
        <f>ChkList!$D65</f>
        <v>M</v>
      </c>
      <c r="E71" s="32">
        <f>ChkList!E65</f>
        <v>2</v>
      </c>
      <c r="F71" s="23">
        <f ca="1">COUNTA($S71:INDIRECT(ADDRESS(ROW(),MATCH("",$4:$4,-1),1,1)))</f>
        <v>2</v>
      </c>
      <c r="G71" s="23">
        <f ca="1">'취약점 진단 항목별 통계'!G71</f>
        <v>0</v>
      </c>
      <c r="H71" s="23">
        <f ca="1">'취약점 진단 항목별 통계'!H71</f>
        <v>0</v>
      </c>
      <c r="I71" s="23">
        <f ca="1">'취약점 진단 항목별 통계'!I71</f>
        <v>0</v>
      </c>
      <c r="J71" s="23">
        <f ca="1">'취약점 진단 항목별 통계'!J71</f>
        <v>0</v>
      </c>
      <c r="K71" s="23">
        <f ca="1">COUNTIF($S71:INDIRECT(ADDRESS(ROW(),MATCH("",$4:$4,-1),1,1)),"조치")</f>
        <v>0</v>
      </c>
      <c r="L71" s="23">
        <f ca="1">COUNTIF($S71:INDIRECT(ADDRESS(ROW(),MATCH("",$4:$4,-1),1,1)),"미조치")</f>
        <v>0</v>
      </c>
      <c r="M71" s="23">
        <f ca="1">COUNTIF($S71:INDIRECT(ADDRESS(ROW(),MATCH("",$4:$4,-1),1,1)),"위험수용")</f>
        <v>0</v>
      </c>
      <c r="N71" s="23">
        <f ca="1">COUNTIF($S71:INDIRECT(ADDRESS(ROW(),MATCH("",$4:$4,-1),1,1)),"N/A")</f>
        <v>0</v>
      </c>
      <c r="O71" s="23">
        <f ca="1">VLOOKUP($D71,'parm(hidden)'!$B$8:$C$10,2,FALSE)*($F71-$J71)</f>
        <v>4</v>
      </c>
      <c r="P71" s="23">
        <f ca="1">VLOOKUP($D71,'parm(hidden)'!$B$8:$C$10,2,FALSE)*($F71-$N71)</f>
        <v>4</v>
      </c>
      <c r="Q71" s="35">
        <f ca="1">VLOOKUP($D71,'parm(hidden)'!$B$8:$C$10,2,FALSE)*($G71+$H71)</f>
        <v>0</v>
      </c>
      <c r="R71" s="23">
        <f ca="1">VLOOKUP($D71,'parm(hidden)'!$B$8:$C$10,2,FALSE)*($G71+$H71+$K71)</f>
        <v>0</v>
      </c>
      <c r="S71" s="161">
        <f ca="1">HYPERLINK("["&amp;MID(CELL("filename"),SEARCH("[",CELL("filename"))+1,SEARCH("]",CELL("filename"))-SEARCH("[",CELL("filename"))-1)&amp;"]"&amp;ADDRESS(ROW()+16,11,1,TRUE,S$4),INDIRECT(ADDRESS(ROW()+16,11,1,TRUE,S$4)))</f>
        <v>0</v>
      </c>
      <c r="T71" s="162">
        <f ca="1">HYPERLINK("["&amp;MID(CELL("filename"),SEARCH("[",CELL("filename"))+1,SEARCH("]",CELL("filename"))-SEARCH("[",CELL("filename"))-1)&amp;"]"&amp;ADDRESS(ROW()+16,11,1,TRUE,T$4),INDIRECT(ADDRESS(ROW()+16,11,1,TRUE,T$4)))</f>
        <v>0</v>
      </c>
    </row>
    <row r="72" spans="1:20">
      <c r="A72" s="106" t="str">
        <f>ChkList!A66</f>
        <v>보안 관리</v>
      </c>
      <c r="B72" s="29" t="str">
        <f>ChkList!$B66</f>
        <v>W-62</v>
      </c>
      <c r="C72" s="21" t="str">
        <f>ChkList!$C66</f>
        <v>시작 프로그램 목록 분석</v>
      </c>
      <c r="D72" s="32" t="str">
        <f>ChkList!$D66</f>
        <v>M</v>
      </c>
      <c r="E72" s="32">
        <f>ChkList!E66</f>
        <v>2</v>
      </c>
      <c r="F72" s="23">
        <f ca="1">COUNTA($S72:INDIRECT(ADDRESS(ROW(),MATCH("",$4:$4,-1),1,1)))</f>
        <v>2</v>
      </c>
      <c r="G72" s="23">
        <f ca="1">'취약점 진단 항목별 통계'!G72</f>
        <v>0</v>
      </c>
      <c r="H72" s="23">
        <f ca="1">'취약점 진단 항목별 통계'!H72</f>
        <v>0</v>
      </c>
      <c r="I72" s="23">
        <f ca="1">'취약점 진단 항목별 통계'!I72</f>
        <v>0</v>
      </c>
      <c r="J72" s="23">
        <f ca="1">'취약점 진단 항목별 통계'!J72</f>
        <v>0</v>
      </c>
      <c r="K72" s="23">
        <f ca="1">COUNTIF($S72:INDIRECT(ADDRESS(ROW(),MATCH("",$4:$4,-1),1,1)),"조치")</f>
        <v>0</v>
      </c>
      <c r="L72" s="23">
        <f ca="1">COUNTIF($S72:INDIRECT(ADDRESS(ROW(),MATCH("",$4:$4,-1),1,1)),"미조치")</f>
        <v>0</v>
      </c>
      <c r="M72" s="23">
        <f ca="1">COUNTIF($S72:INDIRECT(ADDRESS(ROW(),MATCH("",$4:$4,-1),1,1)),"위험수용")</f>
        <v>0</v>
      </c>
      <c r="N72" s="23">
        <f ca="1">COUNTIF($S72:INDIRECT(ADDRESS(ROW(),MATCH("",$4:$4,-1),1,1)),"N/A")</f>
        <v>0</v>
      </c>
      <c r="O72" s="23">
        <f ca="1">VLOOKUP($D72,'parm(hidden)'!$B$8:$C$10,2,FALSE)*($F72-$J72)</f>
        <v>4</v>
      </c>
      <c r="P72" s="23">
        <f ca="1">VLOOKUP($D72,'parm(hidden)'!$B$8:$C$10,2,FALSE)*($F72-$N72)</f>
        <v>4</v>
      </c>
      <c r="Q72" s="35">
        <f ca="1">VLOOKUP($D72,'parm(hidden)'!$B$8:$C$10,2,FALSE)*($G72+$H72)</f>
        <v>0</v>
      </c>
      <c r="R72" s="23">
        <f ca="1">VLOOKUP($D72,'parm(hidden)'!$B$8:$C$10,2,FALSE)*($G72+$H72+$K72)</f>
        <v>0</v>
      </c>
      <c r="S72" s="161">
        <f t="shared" ref="S72:T77" ca="1" si="2">HYPERLINK("["&amp;MID(CELL("filename"),SEARCH("[",CELL("filename"))+1,SEARCH("]",CELL("filename"))-SEARCH("[",CELL("filename"))-1)&amp;"]"&amp;ADDRESS(ROW()+16,11,1,TRUE,S$4),INDIRECT(ADDRESS(ROW()+16,11,1,TRUE,S$4)))</f>
        <v>0</v>
      </c>
      <c r="T72" s="162">
        <f t="shared" ca="1" si="2"/>
        <v>0</v>
      </c>
    </row>
    <row r="73" spans="1:20">
      <c r="A73" s="106" t="str">
        <f>ChkList!A67</f>
        <v>보안 관리</v>
      </c>
      <c r="B73" s="29" t="str">
        <f>ChkList!$B67</f>
        <v>W-63</v>
      </c>
      <c r="C73" s="21" t="str">
        <f>ChkList!$C67</f>
        <v>도메인 컨트롤러-사용자의 시간 동기화</v>
      </c>
      <c r="D73" s="32" t="str">
        <f>ChkList!$D67</f>
        <v>M</v>
      </c>
      <c r="E73" s="32">
        <f>ChkList!E67</f>
        <v>2</v>
      </c>
      <c r="F73" s="23">
        <f ca="1">COUNTA($S73:INDIRECT(ADDRESS(ROW(),MATCH("",$4:$4,-1),1,1)))</f>
        <v>2</v>
      </c>
      <c r="G73" s="23">
        <f ca="1">'취약점 진단 항목별 통계'!G73</f>
        <v>0</v>
      </c>
      <c r="H73" s="23">
        <f ca="1">'취약점 진단 항목별 통계'!H73</f>
        <v>0</v>
      </c>
      <c r="I73" s="23">
        <f ca="1">'취약점 진단 항목별 통계'!I73</f>
        <v>0</v>
      </c>
      <c r="J73" s="23">
        <f ca="1">'취약점 진단 항목별 통계'!J73</f>
        <v>0</v>
      </c>
      <c r="K73" s="23">
        <f ca="1">COUNTIF($S73:INDIRECT(ADDRESS(ROW(),MATCH("",$4:$4,-1),1,1)),"조치")</f>
        <v>0</v>
      </c>
      <c r="L73" s="23">
        <f ca="1">COUNTIF($S73:INDIRECT(ADDRESS(ROW(),MATCH("",$4:$4,-1),1,1)),"미조치")</f>
        <v>0</v>
      </c>
      <c r="M73" s="23">
        <f ca="1">COUNTIF($S73:INDIRECT(ADDRESS(ROW(),MATCH("",$4:$4,-1),1,1)),"위험수용")</f>
        <v>0</v>
      </c>
      <c r="N73" s="23">
        <f ca="1">COUNTIF($S73:INDIRECT(ADDRESS(ROW(),MATCH("",$4:$4,-1),1,1)),"N/A")</f>
        <v>0</v>
      </c>
      <c r="O73" s="23">
        <f ca="1">VLOOKUP($D73,'parm(hidden)'!$B$8:$C$10,2,FALSE)*($F73-$J73)</f>
        <v>4</v>
      </c>
      <c r="P73" s="23">
        <f ca="1">VLOOKUP($D73,'parm(hidden)'!$B$8:$C$10,2,FALSE)*($F73-$N73)</f>
        <v>4</v>
      </c>
      <c r="Q73" s="35">
        <f ca="1">VLOOKUP($D73,'parm(hidden)'!$B$8:$C$10,2,FALSE)*($G73+$H73)</f>
        <v>0</v>
      </c>
      <c r="R73" s="23">
        <f ca="1">VLOOKUP($D73,'parm(hidden)'!$B$8:$C$10,2,FALSE)*($G73+$H73+$K73)</f>
        <v>0</v>
      </c>
      <c r="S73" s="161">
        <f t="shared" ca="1" si="2"/>
        <v>0</v>
      </c>
      <c r="T73" s="162">
        <f t="shared" ca="1" si="2"/>
        <v>0</v>
      </c>
    </row>
    <row r="74" spans="1:20">
      <c r="A74" s="106" t="str">
        <f>ChkList!A68</f>
        <v>보안 관리</v>
      </c>
      <c r="B74" s="29" t="str">
        <f>ChkList!$B68</f>
        <v>W-64</v>
      </c>
      <c r="C74" s="21" t="str">
        <f>ChkList!$C68</f>
        <v>윈도우 방화벽 설정</v>
      </c>
      <c r="D74" s="32" t="str">
        <f>ChkList!$D68</f>
        <v>M</v>
      </c>
      <c r="E74" s="32">
        <f>ChkList!E68</f>
        <v>2</v>
      </c>
      <c r="F74" s="23">
        <f ca="1">COUNTA($S74:INDIRECT(ADDRESS(ROW(),MATCH("",$4:$4,-1),1,1)))</f>
        <v>2</v>
      </c>
      <c r="G74" s="23">
        <f ca="1">'취약점 진단 항목별 통계'!G74</f>
        <v>0</v>
      </c>
      <c r="H74" s="23">
        <f ca="1">'취약점 진단 항목별 통계'!H74</f>
        <v>0</v>
      </c>
      <c r="I74" s="23">
        <f ca="1">'취약점 진단 항목별 통계'!I74</f>
        <v>0</v>
      </c>
      <c r="J74" s="23">
        <f ca="1">'취약점 진단 항목별 통계'!J74</f>
        <v>0</v>
      </c>
      <c r="K74" s="23">
        <f ca="1">COUNTIF($S74:INDIRECT(ADDRESS(ROW(),MATCH("",$4:$4,-1),1,1)),"조치")</f>
        <v>0</v>
      </c>
      <c r="L74" s="23">
        <f ca="1">COUNTIF($S74:INDIRECT(ADDRESS(ROW(),MATCH("",$4:$4,-1),1,1)),"미조치")</f>
        <v>0</v>
      </c>
      <c r="M74" s="23">
        <f ca="1">COUNTIF($S74:INDIRECT(ADDRESS(ROW(),MATCH("",$4:$4,-1),1,1)),"위험수용")</f>
        <v>0</v>
      </c>
      <c r="N74" s="23">
        <f ca="1">COUNTIF($S74:INDIRECT(ADDRESS(ROW(),MATCH("",$4:$4,-1),1,1)),"N/A")</f>
        <v>0</v>
      </c>
      <c r="O74" s="23">
        <f ca="1">VLOOKUP($D74,'parm(hidden)'!$B$8:$C$10,2,FALSE)*($F74-$J74)</f>
        <v>4</v>
      </c>
      <c r="P74" s="23">
        <f ca="1">VLOOKUP($D74,'parm(hidden)'!$B$8:$C$10,2,FALSE)*($F74-$N74)</f>
        <v>4</v>
      </c>
      <c r="Q74" s="35">
        <f ca="1">VLOOKUP($D74,'parm(hidden)'!$B$8:$C$10,2,FALSE)*($G74+$H74)</f>
        <v>0</v>
      </c>
      <c r="R74" s="23">
        <f ca="1">VLOOKUP($D74,'parm(hidden)'!$B$8:$C$10,2,FALSE)*($G74+$H74+$K74)</f>
        <v>0</v>
      </c>
      <c r="S74" s="161">
        <f t="shared" ca="1" si="2"/>
        <v>0</v>
      </c>
      <c r="T74" s="162">
        <f t="shared" ca="1" si="2"/>
        <v>0</v>
      </c>
    </row>
    <row r="75" spans="1:20">
      <c r="A75" s="106" t="e">
        <f>ChkList!#REF!</f>
        <v>#REF!</v>
      </c>
      <c r="B75" s="29" t="e">
        <f>ChkList!#REF!</f>
        <v>#REF!</v>
      </c>
      <c r="C75" s="21" t="e">
        <f>ChkList!#REF!</f>
        <v>#REF!</v>
      </c>
      <c r="D75" s="32" t="e">
        <f>ChkList!#REF!</f>
        <v>#REF!</v>
      </c>
      <c r="E75" s="32" t="e">
        <f>ChkList!#REF!</f>
        <v>#REF!</v>
      </c>
      <c r="F75" s="23">
        <f ca="1">COUNTA($S75:INDIRECT(ADDRESS(ROW(),MATCH("",$4:$4,-1),1,1)))</f>
        <v>2</v>
      </c>
      <c r="G75" s="23">
        <f ca="1">'취약점 진단 항목별 통계'!G75</f>
        <v>0</v>
      </c>
      <c r="H75" s="23">
        <f ca="1">'취약점 진단 항목별 통계'!H75</f>
        <v>0</v>
      </c>
      <c r="I75" s="23">
        <f ca="1">'취약점 진단 항목별 통계'!I75</f>
        <v>0</v>
      </c>
      <c r="J75" s="23">
        <f ca="1">'취약점 진단 항목별 통계'!J75</f>
        <v>0</v>
      </c>
      <c r="K75" s="23">
        <f ca="1">COUNTIF($S75:INDIRECT(ADDRESS(ROW(),MATCH("",$4:$4,-1),1,1)),"조치")</f>
        <v>0</v>
      </c>
      <c r="L75" s="23">
        <f ca="1">COUNTIF($S75:INDIRECT(ADDRESS(ROW(),MATCH("",$4:$4,-1),1,1)),"미조치")</f>
        <v>0</v>
      </c>
      <c r="M75" s="23">
        <f ca="1">COUNTIF($S75:INDIRECT(ADDRESS(ROW(),MATCH("",$4:$4,-1),1,1)),"위험수용")</f>
        <v>0</v>
      </c>
      <c r="N75" s="23">
        <f ca="1">COUNTIF($S75:INDIRECT(ADDRESS(ROW(),MATCH("",$4:$4,-1),1,1)),"N/A")</f>
        <v>0</v>
      </c>
      <c r="O75" s="23" t="e">
        <f ca="1">VLOOKUP($D75,'parm(hidden)'!$B$8:$C$10,2,FALSE)*($F75-$J75)</f>
        <v>#REF!</v>
      </c>
      <c r="P75" s="23" t="e">
        <f ca="1">VLOOKUP($D75,'parm(hidden)'!$B$8:$C$10,2,FALSE)*($F75-$N75)</f>
        <v>#REF!</v>
      </c>
      <c r="Q75" s="35" t="e">
        <f ca="1">VLOOKUP($D75,'parm(hidden)'!$B$8:$C$10,2,FALSE)*($G75+$H75)</f>
        <v>#REF!</v>
      </c>
      <c r="R75" s="23" t="e">
        <f ca="1">VLOOKUP($D75,'parm(hidden)'!$B$8:$C$10,2,FALSE)*($G75+$H75+$K75)</f>
        <v>#REF!</v>
      </c>
      <c r="S75" s="161">
        <f t="shared" ca="1" si="2"/>
        <v>0</v>
      </c>
      <c r="T75" s="162">
        <f t="shared" ca="1" si="2"/>
        <v>0</v>
      </c>
    </row>
    <row r="76" spans="1:20">
      <c r="A76" s="106" t="e">
        <f>ChkList!#REF!</f>
        <v>#REF!</v>
      </c>
      <c r="B76" s="29" t="e">
        <f>ChkList!#REF!</f>
        <v>#REF!</v>
      </c>
      <c r="C76" s="21" t="e">
        <f>ChkList!#REF!</f>
        <v>#REF!</v>
      </c>
      <c r="D76" s="32" t="e">
        <f>ChkList!#REF!</f>
        <v>#REF!</v>
      </c>
      <c r="E76" s="32" t="e">
        <f>ChkList!#REF!</f>
        <v>#REF!</v>
      </c>
      <c r="F76" s="23">
        <f ca="1">COUNTA($S76:INDIRECT(ADDRESS(ROW(),MATCH("",$4:$4,-1),1,1)))</f>
        <v>2</v>
      </c>
      <c r="G76" s="23">
        <f ca="1">'취약점 진단 항목별 통계'!G76</f>
        <v>0</v>
      </c>
      <c r="H76" s="23">
        <f ca="1">'취약점 진단 항목별 통계'!H76</f>
        <v>0</v>
      </c>
      <c r="I76" s="23">
        <f ca="1">'취약점 진단 항목별 통계'!I76</f>
        <v>0</v>
      </c>
      <c r="J76" s="23">
        <f ca="1">'취약점 진단 항목별 통계'!J76</f>
        <v>0</v>
      </c>
      <c r="K76" s="23">
        <f ca="1">COUNTIF($S76:INDIRECT(ADDRESS(ROW(),MATCH("",$4:$4,-1),1,1)),"조치")</f>
        <v>0</v>
      </c>
      <c r="L76" s="23">
        <f ca="1">COUNTIF($S76:INDIRECT(ADDRESS(ROW(),MATCH("",$4:$4,-1),1,1)),"미조치")</f>
        <v>0</v>
      </c>
      <c r="M76" s="23">
        <f ca="1">COUNTIF($S76:INDIRECT(ADDRESS(ROW(),MATCH("",$4:$4,-1),1,1)),"위험수용")</f>
        <v>0</v>
      </c>
      <c r="N76" s="23">
        <f ca="1">COUNTIF($S76:INDIRECT(ADDRESS(ROW(),MATCH("",$4:$4,-1),1,1)),"N/A")</f>
        <v>0</v>
      </c>
      <c r="O76" s="23" t="e">
        <f ca="1">VLOOKUP($D76,'parm(hidden)'!$B$8:$C$10,2,FALSE)*($F76-$J76)</f>
        <v>#REF!</v>
      </c>
      <c r="P76" s="23" t="e">
        <f ca="1">VLOOKUP($D76,'parm(hidden)'!$B$8:$C$10,2,FALSE)*($F76-$N76)</f>
        <v>#REF!</v>
      </c>
      <c r="Q76" s="35" t="e">
        <f ca="1">VLOOKUP($D76,'parm(hidden)'!$B$8:$C$10,2,FALSE)*($G76+$H76)</f>
        <v>#REF!</v>
      </c>
      <c r="R76" s="23" t="e">
        <f ca="1">VLOOKUP($D76,'parm(hidden)'!$B$8:$C$10,2,FALSE)*($G76+$H76+$K76)</f>
        <v>#REF!</v>
      </c>
      <c r="S76" s="161">
        <f t="shared" ca="1" si="2"/>
        <v>0</v>
      </c>
      <c r="T76" s="162">
        <f t="shared" ca="1" si="2"/>
        <v>0</v>
      </c>
    </row>
    <row r="77" spans="1:20">
      <c r="A77" s="106" t="e">
        <f>ChkList!#REF!</f>
        <v>#REF!</v>
      </c>
      <c r="B77" s="29" t="e">
        <f>ChkList!#REF!</f>
        <v>#REF!</v>
      </c>
      <c r="C77" s="21" t="e">
        <f>ChkList!#REF!</f>
        <v>#REF!</v>
      </c>
      <c r="D77" s="32" t="e">
        <f>ChkList!#REF!</f>
        <v>#REF!</v>
      </c>
      <c r="E77" s="32" t="e">
        <f>ChkList!#REF!</f>
        <v>#REF!</v>
      </c>
      <c r="F77" s="23">
        <f ca="1">COUNTA($S77:INDIRECT(ADDRESS(ROW(),MATCH("",$4:$4,-1),1,1)))</f>
        <v>2</v>
      </c>
      <c r="G77" s="23">
        <f ca="1">'취약점 진단 항목별 통계'!G77</f>
        <v>0</v>
      </c>
      <c r="H77" s="23">
        <f ca="1">'취약점 진단 항목별 통계'!H77</f>
        <v>0</v>
      </c>
      <c r="I77" s="23">
        <f ca="1">'취약점 진단 항목별 통계'!I77</f>
        <v>0</v>
      </c>
      <c r="J77" s="23">
        <f ca="1">'취약점 진단 항목별 통계'!J77</f>
        <v>0</v>
      </c>
      <c r="K77" s="23">
        <f ca="1">COUNTIF($S77:INDIRECT(ADDRESS(ROW(),MATCH("",$4:$4,-1),1,1)),"조치")</f>
        <v>0</v>
      </c>
      <c r="L77" s="23">
        <f ca="1">COUNTIF($S77:INDIRECT(ADDRESS(ROW(),MATCH("",$4:$4,-1),1,1)),"미조치")</f>
        <v>0</v>
      </c>
      <c r="M77" s="23">
        <f ca="1">COUNTIF($S77:INDIRECT(ADDRESS(ROW(),MATCH("",$4:$4,-1),1,1)),"위험수용")</f>
        <v>0</v>
      </c>
      <c r="N77" s="23">
        <f ca="1">COUNTIF($S77:INDIRECT(ADDRESS(ROW(),MATCH("",$4:$4,-1),1,1)),"N/A")</f>
        <v>0</v>
      </c>
      <c r="O77" s="23" t="e">
        <f ca="1">VLOOKUP($D77,'parm(hidden)'!$B$8:$C$10,2,FALSE)*($F77-$J77)</f>
        <v>#REF!</v>
      </c>
      <c r="P77" s="23" t="e">
        <f ca="1">VLOOKUP($D77,'parm(hidden)'!$B$8:$C$10,2,FALSE)*($F77-$N77)</f>
        <v>#REF!</v>
      </c>
      <c r="Q77" s="35" t="e">
        <f ca="1">VLOOKUP($D77,'parm(hidden)'!$B$8:$C$10,2,FALSE)*($G77+$H77)</f>
        <v>#REF!</v>
      </c>
      <c r="R77" s="23" t="e">
        <f ca="1">VLOOKUP($D77,'parm(hidden)'!$B$8:$C$10,2,FALSE)*($G77+$H77+$K77)</f>
        <v>#REF!</v>
      </c>
      <c r="S77" s="161">
        <f t="shared" ca="1" si="2"/>
        <v>0</v>
      </c>
      <c r="T77" s="162">
        <f t="shared" ca="1" si="2"/>
        <v>0</v>
      </c>
    </row>
    <row r="78" spans="1:20">
      <c r="A78" s="106" t="e">
        <f>ChkList!#REF!</f>
        <v>#REF!</v>
      </c>
      <c r="B78" s="29" t="e">
        <f>ChkList!#REF!</f>
        <v>#REF!</v>
      </c>
      <c r="C78" s="21" t="e">
        <f>ChkList!#REF!</f>
        <v>#REF!</v>
      </c>
      <c r="D78" s="32" t="e">
        <f>ChkList!#REF!</f>
        <v>#REF!</v>
      </c>
      <c r="E78" s="32" t="e">
        <f>ChkList!#REF!</f>
        <v>#REF!</v>
      </c>
      <c r="F78" s="23">
        <f ca="1">COUNTA($S78:INDIRECT(ADDRESS(ROW(),MATCH("",$4:$4,-1),1,1)))</f>
        <v>2</v>
      </c>
      <c r="G78" s="23">
        <f ca="1">'취약점 진단 항목별 통계'!G78</f>
        <v>0</v>
      </c>
      <c r="H78" s="23">
        <f ca="1">'취약점 진단 항목별 통계'!H78</f>
        <v>0</v>
      </c>
      <c r="I78" s="23">
        <f ca="1">'취약점 진단 항목별 통계'!I78</f>
        <v>0</v>
      </c>
      <c r="J78" s="23">
        <f ca="1">'취약점 진단 항목별 통계'!J78</f>
        <v>0</v>
      </c>
      <c r="K78" s="23">
        <f ca="1">COUNTIF($S78:INDIRECT(ADDRESS(ROW(),MATCH("",$4:$4,-1),1,1)),"조치")</f>
        <v>0</v>
      </c>
      <c r="L78" s="23">
        <f ca="1">COUNTIF($S78:INDIRECT(ADDRESS(ROW(),MATCH("",$4:$4,-1),1,1)),"미조치")</f>
        <v>0</v>
      </c>
      <c r="M78" s="23">
        <f ca="1">COUNTIF($S78:INDIRECT(ADDRESS(ROW(),MATCH("",$4:$4,-1),1,1)),"위험수용")</f>
        <v>0</v>
      </c>
      <c r="N78" s="23">
        <f ca="1">COUNTIF($S78:INDIRECT(ADDRESS(ROW(),MATCH("",$4:$4,-1),1,1)),"N/A")</f>
        <v>0</v>
      </c>
      <c r="O78" s="23" t="e">
        <f ca="1">VLOOKUP($D78,'parm(hidden)'!$B$8:$C$10,2,FALSE)*($F78-$J78)</f>
        <v>#REF!</v>
      </c>
      <c r="P78" s="23" t="e">
        <f ca="1">VLOOKUP($D78,'parm(hidden)'!$B$8:$C$10,2,FALSE)*($F78-$N78)</f>
        <v>#REF!</v>
      </c>
      <c r="Q78" s="35" t="e">
        <f ca="1">VLOOKUP($D78,'parm(hidden)'!$B$8:$C$10,2,FALSE)*($G78+$H78)</f>
        <v>#REF!</v>
      </c>
      <c r="R78" s="23" t="e">
        <f ca="1">VLOOKUP($D78,'parm(hidden)'!$B$8:$C$10,2,FALSE)*($G78+$H78+$K78)</f>
        <v>#REF!</v>
      </c>
      <c r="S78" s="161">
        <f ca="1">HYPERLINK("["&amp;MID(CELL("filename"),SEARCH("[",CELL("filename"))+1,SEARCH("]",CELL("filename"))-SEARCH("[",CELL("filename"))-1)&amp;"]"&amp;ADDRESS(ROW()+16,11,1,TRUE,S$4),INDIRECT(ADDRESS(ROW()+16,11,1,TRUE,S$4)))</f>
        <v>0</v>
      </c>
      <c r="T78" s="162">
        <f ca="1">HYPERLINK("["&amp;MID(CELL("filename"),SEARCH("[",CELL("filename"))+1,SEARCH("]",CELL("filename"))-SEARCH("[",CELL("filename"))-1)&amp;"]"&amp;ADDRESS(ROW()+16,11,1,TRUE,T$4),INDIRECT(ADDRESS(ROW()+16,11,1,TRUE,T$4)))</f>
        <v>0</v>
      </c>
    </row>
    <row r="79" spans="1:20">
      <c r="A79" s="106" t="e">
        <f>ChkList!#REF!</f>
        <v>#REF!</v>
      </c>
      <c r="B79" s="29" t="e">
        <f>ChkList!#REF!</f>
        <v>#REF!</v>
      </c>
      <c r="C79" s="21" t="e">
        <f>ChkList!#REF!</f>
        <v>#REF!</v>
      </c>
      <c r="D79" s="32" t="e">
        <f>ChkList!#REF!</f>
        <v>#REF!</v>
      </c>
      <c r="E79" s="32" t="e">
        <f>ChkList!#REF!</f>
        <v>#REF!</v>
      </c>
      <c r="F79" s="23">
        <f ca="1">COUNTA($S79:INDIRECT(ADDRESS(ROW(),MATCH("",$4:$4,-1),1,1)))</f>
        <v>2</v>
      </c>
      <c r="G79" s="23">
        <f ca="1">'취약점 진단 항목별 통계'!G79</f>
        <v>0</v>
      </c>
      <c r="H79" s="23">
        <f ca="1">'취약점 진단 항목별 통계'!H79</f>
        <v>0</v>
      </c>
      <c r="I79" s="23">
        <f ca="1">'취약점 진단 항목별 통계'!I79</f>
        <v>0</v>
      </c>
      <c r="J79" s="23">
        <f ca="1">'취약점 진단 항목별 통계'!J79</f>
        <v>0</v>
      </c>
      <c r="K79" s="23">
        <f ca="1">COUNTIF($S79:INDIRECT(ADDRESS(ROW(),MATCH("",$4:$4,-1),1,1)),"조치")</f>
        <v>0</v>
      </c>
      <c r="L79" s="23">
        <f ca="1">COUNTIF($S79:INDIRECT(ADDRESS(ROW(),MATCH("",$4:$4,-1),1,1)),"미조치")</f>
        <v>0</v>
      </c>
      <c r="M79" s="23">
        <f ca="1">COUNTIF($S79:INDIRECT(ADDRESS(ROW(),MATCH("",$4:$4,-1),1,1)),"위험수용")</f>
        <v>0</v>
      </c>
      <c r="N79" s="23">
        <f ca="1">COUNTIF($S79:INDIRECT(ADDRESS(ROW(),MATCH("",$4:$4,-1),1,1)),"N/A")</f>
        <v>0</v>
      </c>
      <c r="O79" s="23" t="e">
        <f ca="1">VLOOKUP($D79,'parm(hidden)'!$B$8:$C$10,2,FALSE)*($F79-$J79)</f>
        <v>#REF!</v>
      </c>
      <c r="P79" s="23" t="e">
        <f ca="1">VLOOKUP($D79,'parm(hidden)'!$B$8:$C$10,2,FALSE)*($F79-$N79)</f>
        <v>#REF!</v>
      </c>
      <c r="Q79" s="35" t="e">
        <f ca="1">VLOOKUP($D79,'parm(hidden)'!$B$8:$C$10,2,FALSE)*($G79+$H79)</f>
        <v>#REF!</v>
      </c>
      <c r="R79" s="23" t="e">
        <f ca="1">VLOOKUP($D79,'parm(hidden)'!$B$8:$C$10,2,FALSE)*($G79+$H79+$K79)</f>
        <v>#REF!</v>
      </c>
      <c r="S79" s="161">
        <f t="shared" ref="S79:T84" ca="1" si="3">HYPERLINK("["&amp;MID(CELL("filename"),SEARCH("[",CELL("filename"))+1,SEARCH("]",CELL("filename"))-SEARCH("[",CELL("filename"))-1)&amp;"]"&amp;ADDRESS(ROW()+16,11,1,TRUE,S$4),INDIRECT(ADDRESS(ROW()+16,11,1,TRUE,S$4)))</f>
        <v>0</v>
      </c>
      <c r="T79" s="162">
        <f t="shared" ca="1" si="3"/>
        <v>0</v>
      </c>
    </row>
    <row r="80" spans="1:20">
      <c r="A80" s="106" t="e">
        <f>ChkList!#REF!</f>
        <v>#REF!</v>
      </c>
      <c r="B80" s="29" t="e">
        <f>ChkList!#REF!</f>
        <v>#REF!</v>
      </c>
      <c r="C80" s="21" t="e">
        <f>ChkList!#REF!</f>
        <v>#REF!</v>
      </c>
      <c r="D80" s="32" t="e">
        <f>ChkList!#REF!</f>
        <v>#REF!</v>
      </c>
      <c r="E80" s="32" t="e">
        <f>ChkList!#REF!</f>
        <v>#REF!</v>
      </c>
      <c r="F80" s="23">
        <f ca="1">COUNTA($S80:INDIRECT(ADDRESS(ROW(),MATCH("",$4:$4,-1),1,1)))</f>
        <v>2</v>
      </c>
      <c r="G80" s="23">
        <f ca="1">'취약점 진단 항목별 통계'!G80</f>
        <v>0</v>
      </c>
      <c r="H80" s="23">
        <f ca="1">'취약점 진단 항목별 통계'!H80</f>
        <v>0</v>
      </c>
      <c r="I80" s="23">
        <f ca="1">'취약점 진단 항목별 통계'!I80</f>
        <v>0</v>
      </c>
      <c r="J80" s="23">
        <f ca="1">'취약점 진단 항목별 통계'!J80</f>
        <v>0</v>
      </c>
      <c r="K80" s="23">
        <f ca="1">COUNTIF($S80:INDIRECT(ADDRESS(ROW(),MATCH("",$4:$4,-1),1,1)),"조치")</f>
        <v>0</v>
      </c>
      <c r="L80" s="23">
        <f ca="1">COUNTIF($S80:INDIRECT(ADDRESS(ROW(),MATCH("",$4:$4,-1),1,1)),"미조치")</f>
        <v>0</v>
      </c>
      <c r="M80" s="23">
        <f ca="1">COUNTIF($S80:INDIRECT(ADDRESS(ROW(),MATCH("",$4:$4,-1),1,1)),"위험수용")</f>
        <v>0</v>
      </c>
      <c r="N80" s="23">
        <f ca="1">COUNTIF($S80:INDIRECT(ADDRESS(ROW(),MATCH("",$4:$4,-1),1,1)),"N/A")</f>
        <v>0</v>
      </c>
      <c r="O80" s="23" t="e">
        <f ca="1">VLOOKUP($D80,'parm(hidden)'!$B$8:$C$10,2,FALSE)*($F80-$J80)</f>
        <v>#REF!</v>
      </c>
      <c r="P80" s="23" t="e">
        <f ca="1">VLOOKUP($D80,'parm(hidden)'!$B$8:$C$10,2,FALSE)*($F80-$N80)</f>
        <v>#REF!</v>
      </c>
      <c r="Q80" s="35" t="e">
        <f ca="1">VLOOKUP($D80,'parm(hidden)'!$B$8:$C$10,2,FALSE)*($G80+$H80)</f>
        <v>#REF!</v>
      </c>
      <c r="R80" s="23" t="e">
        <f ca="1">VLOOKUP($D80,'parm(hidden)'!$B$8:$C$10,2,FALSE)*($G80+$H80+$K80)</f>
        <v>#REF!</v>
      </c>
      <c r="S80" s="161">
        <f t="shared" ca="1" si="3"/>
        <v>0</v>
      </c>
      <c r="T80" s="162">
        <f t="shared" ca="1" si="3"/>
        <v>0</v>
      </c>
    </row>
    <row r="81" spans="1:20">
      <c r="A81" s="106" t="e">
        <f>ChkList!#REF!</f>
        <v>#REF!</v>
      </c>
      <c r="B81" s="29" t="e">
        <f>ChkList!#REF!</f>
        <v>#REF!</v>
      </c>
      <c r="C81" s="21" t="e">
        <f>ChkList!#REF!</f>
        <v>#REF!</v>
      </c>
      <c r="D81" s="32" t="e">
        <f>ChkList!#REF!</f>
        <v>#REF!</v>
      </c>
      <c r="E81" s="32" t="e">
        <f>ChkList!#REF!</f>
        <v>#REF!</v>
      </c>
      <c r="F81" s="23">
        <f ca="1">COUNTA($S81:INDIRECT(ADDRESS(ROW(),MATCH("",$4:$4,-1),1,1)))</f>
        <v>2</v>
      </c>
      <c r="G81" s="23">
        <f ca="1">'취약점 진단 항목별 통계'!G81</f>
        <v>0</v>
      </c>
      <c r="H81" s="23">
        <f ca="1">'취약점 진단 항목별 통계'!H81</f>
        <v>0</v>
      </c>
      <c r="I81" s="23">
        <f ca="1">'취약점 진단 항목별 통계'!I81</f>
        <v>0</v>
      </c>
      <c r="J81" s="23">
        <f ca="1">'취약점 진단 항목별 통계'!J81</f>
        <v>0</v>
      </c>
      <c r="K81" s="23">
        <f ca="1">COUNTIF($S81:INDIRECT(ADDRESS(ROW(),MATCH("",$4:$4,-1),1,1)),"조치")</f>
        <v>0</v>
      </c>
      <c r="L81" s="23">
        <f ca="1">COUNTIF($S81:INDIRECT(ADDRESS(ROW(),MATCH("",$4:$4,-1),1,1)),"미조치")</f>
        <v>0</v>
      </c>
      <c r="M81" s="23">
        <f ca="1">COUNTIF($S81:INDIRECT(ADDRESS(ROW(),MATCH("",$4:$4,-1),1,1)),"위험수용")</f>
        <v>0</v>
      </c>
      <c r="N81" s="23">
        <f ca="1">COUNTIF($S81:INDIRECT(ADDRESS(ROW(),MATCH("",$4:$4,-1),1,1)),"N/A")</f>
        <v>0</v>
      </c>
      <c r="O81" s="23" t="e">
        <f ca="1">VLOOKUP($D81,'parm(hidden)'!$B$8:$C$10,2,FALSE)*($F81-$J81)</f>
        <v>#REF!</v>
      </c>
      <c r="P81" s="23" t="e">
        <f ca="1">VLOOKUP($D81,'parm(hidden)'!$B$8:$C$10,2,FALSE)*($F81-$N81)</f>
        <v>#REF!</v>
      </c>
      <c r="Q81" s="35" t="e">
        <f ca="1">VLOOKUP($D81,'parm(hidden)'!$B$8:$C$10,2,FALSE)*($G81+$H81)</f>
        <v>#REF!</v>
      </c>
      <c r="R81" s="23" t="e">
        <f ca="1">VLOOKUP($D81,'parm(hidden)'!$B$8:$C$10,2,FALSE)*($G81+$H81+$K81)</f>
        <v>#REF!</v>
      </c>
      <c r="S81" s="161">
        <f t="shared" ca="1" si="3"/>
        <v>0</v>
      </c>
      <c r="T81" s="162">
        <f t="shared" ca="1" si="3"/>
        <v>0</v>
      </c>
    </row>
    <row r="82" spans="1:20">
      <c r="A82" s="106" t="e">
        <f>ChkList!#REF!</f>
        <v>#REF!</v>
      </c>
      <c r="B82" s="29" t="e">
        <f>ChkList!#REF!</f>
        <v>#REF!</v>
      </c>
      <c r="C82" s="21" t="e">
        <f>ChkList!#REF!</f>
        <v>#REF!</v>
      </c>
      <c r="D82" s="32" t="e">
        <f>ChkList!#REF!</f>
        <v>#REF!</v>
      </c>
      <c r="E82" s="32" t="e">
        <f>ChkList!#REF!</f>
        <v>#REF!</v>
      </c>
      <c r="F82" s="23">
        <f ca="1">COUNTA($S82:INDIRECT(ADDRESS(ROW(),MATCH("",$4:$4,-1),1,1)))</f>
        <v>2</v>
      </c>
      <c r="G82" s="23">
        <f ca="1">'취약점 진단 항목별 통계'!G82</f>
        <v>0</v>
      </c>
      <c r="H82" s="23">
        <f ca="1">'취약점 진단 항목별 통계'!H82</f>
        <v>0</v>
      </c>
      <c r="I82" s="23">
        <f ca="1">'취약점 진단 항목별 통계'!I82</f>
        <v>0</v>
      </c>
      <c r="J82" s="23">
        <f ca="1">'취약점 진단 항목별 통계'!J82</f>
        <v>0</v>
      </c>
      <c r="K82" s="23">
        <f ca="1">COUNTIF($S82:INDIRECT(ADDRESS(ROW(),MATCH("",$4:$4,-1),1,1)),"조치")</f>
        <v>0</v>
      </c>
      <c r="L82" s="23">
        <f ca="1">COUNTIF($S82:INDIRECT(ADDRESS(ROW(),MATCH("",$4:$4,-1),1,1)),"미조치")</f>
        <v>0</v>
      </c>
      <c r="M82" s="23">
        <f ca="1">COUNTIF($S82:INDIRECT(ADDRESS(ROW(),MATCH("",$4:$4,-1),1,1)),"위험수용")</f>
        <v>0</v>
      </c>
      <c r="N82" s="23">
        <f ca="1">COUNTIF($S82:INDIRECT(ADDRESS(ROW(),MATCH("",$4:$4,-1),1,1)),"N/A")</f>
        <v>0</v>
      </c>
      <c r="O82" s="23" t="e">
        <f ca="1">VLOOKUP($D82,'parm(hidden)'!$B$8:$C$10,2,FALSE)*($F82-$J82)</f>
        <v>#REF!</v>
      </c>
      <c r="P82" s="23" t="e">
        <f ca="1">VLOOKUP($D82,'parm(hidden)'!$B$8:$C$10,2,FALSE)*($F82-$N82)</f>
        <v>#REF!</v>
      </c>
      <c r="Q82" s="35" t="e">
        <f ca="1">VLOOKUP($D82,'parm(hidden)'!$B$8:$C$10,2,FALSE)*($G82+$H82)</f>
        <v>#REF!</v>
      </c>
      <c r="R82" s="23" t="e">
        <f ca="1">VLOOKUP($D82,'parm(hidden)'!$B$8:$C$10,2,FALSE)*($G82+$H82+$K82)</f>
        <v>#REF!</v>
      </c>
      <c r="S82" s="161">
        <f t="shared" ca="1" si="3"/>
        <v>0</v>
      </c>
      <c r="T82" s="162">
        <f t="shared" ca="1" si="3"/>
        <v>0</v>
      </c>
    </row>
    <row r="83" spans="1:20">
      <c r="A83" s="106" t="e">
        <f>ChkList!#REF!</f>
        <v>#REF!</v>
      </c>
      <c r="B83" s="29" t="e">
        <f>ChkList!#REF!</f>
        <v>#REF!</v>
      </c>
      <c r="C83" s="21" t="e">
        <f>ChkList!#REF!</f>
        <v>#REF!</v>
      </c>
      <c r="D83" s="32" t="e">
        <f>ChkList!#REF!</f>
        <v>#REF!</v>
      </c>
      <c r="E83" s="32" t="e">
        <f>ChkList!#REF!</f>
        <v>#REF!</v>
      </c>
      <c r="F83" s="23">
        <f ca="1">COUNTA($S83:INDIRECT(ADDRESS(ROW(),MATCH("",$4:$4,-1),1,1)))</f>
        <v>2</v>
      </c>
      <c r="G83" s="23">
        <f ca="1">'취약점 진단 항목별 통계'!G83</f>
        <v>0</v>
      </c>
      <c r="H83" s="23">
        <f ca="1">'취약점 진단 항목별 통계'!H83</f>
        <v>0</v>
      </c>
      <c r="I83" s="23">
        <f ca="1">'취약점 진단 항목별 통계'!I83</f>
        <v>0</v>
      </c>
      <c r="J83" s="23">
        <f ca="1">'취약점 진단 항목별 통계'!J83</f>
        <v>0</v>
      </c>
      <c r="K83" s="23">
        <f ca="1">COUNTIF($S83:INDIRECT(ADDRESS(ROW(),MATCH("",$4:$4,-1),1,1)),"조치")</f>
        <v>0</v>
      </c>
      <c r="L83" s="23">
        <f ca="1">COUNTIF($S83:INDIRECT(ADDRESS(ROW(),MATCH("",$4:$4,-1),1,1)),"미조치")</f>
        <v>0</v>
      </c>
      <c r="M83" s="23">
        <f ca="1">COUNTIF($S83:INDIRECT(ADDRESS(ROW(),MATCH("",$4:$4,-1),1,1)),"위험수용")</f>
        <v>0</v>
      </c>
      <c r="N83" s="23">
        <f ca="1">COUNTIF($S83:INDIRECT(ADDRESS(ROW(),MATCH("",$4:$4,-1),1,1)),"N/A")</f>
        <v>0</v>
      </c>
      <c r="O83" s="23" t="e">
        <f ca="1">VLOOKUP($D83,'parm(hidden)'!$B$8:$C$10,2,FALSE)*($F83-$J83)</f>
        <v>#REF!</v>
      </c>
      <c r="P83" s="23" t="e">
        <f ca="1">VLOOKUP($D83,'parm(hidden)'!$B$8:$C$10,2,FALSE)*($F83-$N83)</f>
        <v>#REF!</v>
      </c>
      <c r="Q83" s="35" t="e">
        <f ca="1">VLOOKUP($D83,'parm(hidden)'!$B$8:$C$10,2,FALSE)*($G83+$H83)</f>
        <v>#REF!</v>
      </c>
      <c r="R83" s="23" t="e">
        <f ca="1">VLOOKUP($D83,'parm(hidden)'!$B$8:$C$10,2,FALSE)*($G83+$H83+$K83)</f>
        <v>#REF!</v>
      </c>
      <c r="S83" s="161">
        <f t="shared" ca="1" si="3"/>
        <v>0</v>
      </c>
      <c r="T83" s="162">
        <f t="shared" ca="1" si="3"/>
        <v>0</v>
      </c>
    </row>
    <row r="84" spans="1:20">
      <c r="A84" s="106" t="e">
        <f>ChkList!#REF!</f>
        <v>#REF!</v>
      </c>
      <c r="B84" s="29" t="e">
        <f>ChkList!#REF!</f>
        <v>#REF!</v>
      </c>
      <c r="C84" s="21" t="e">
        <f>ChkList!#REF!</f>
        <v>#REF!</v>
      </c>
      <c r="D84" s="32" t="e">
        <f>ChkList!#REF!</f>
        <v>#REF!</v>
      </c>
      <c r="E84" s="32" t="e">
        <f>ChkList!#REF!</f>
        <v>#REF!</v>
      </c>
      <c r="F84" s="23">
        <f ca="1">COUNTA($S84:INDIRECT(ADDRESS(ROW(),MATCH("",$4:$4,-1),1,1)))</f>
        <v>2</v>
      </c>
      <c r="G84" s="23">
        <f ca="1">'취약점 진단 항목별 통계'!G84</f>
        <v>0</v>
      </c>
      <c r="H84" s="23">
        <f ca="1">'취약점 진단 항목별 통계'!H84</f>
        <v>0</v>
      </c>
      <c r="I84" s="23">
        <f ca="1">'취약점 진단 항목별 통계'!I84</f>
        <v>0</v>
      </c>
      <c r="J84" s="23">
        <f ca="1">'취약점 진단 항목별 통계'!J84</f>
        <v>0</v>
      </c>
      <c r="K84" s="23">
        <f ca="1">COUNTIF($S84:INDIRECT(ADDRESS(ROW(),MATCH("",$4:$4,-1),1,1)),"조치")</f>
        <v>0</v>
      </c>
      <c r="L84" s="23">
        <f ca="1">COUNTIF($S84:INDIRECT(ADDRESS(ROW(),MATCH("",$4:$4,-1),1,1)),"미조치")</f>
        <v>0</v>
      </c>
      <c r="M84" s="23">
        <f ca="1">COUNTIF($S84:INDIRECT(ADDRESS(ROW(),MATCH("",$4:$4,-1),1,1)),"위험수용")</f>
        <v>0</v>
      </c>
      <c r="N84" s="23">
        <f ca="1">COUNTIF($S84:INDIRECT(ADDRESS(ROW(),MATCH("",$4:$4,-1),1,1)),"N/A")</f>
        <v>0</v>
      </c>
      <c r="O84" s="23" t="e">
        <f ca="1">VLOOKUP($D84,'parm(hidden)'!$B$8:$C$10,2,FALSE)*($F84-$J84)</f>
        <v>#REF!</v>
      </c>
      <c r="P84" s="23" t="e">
        <f ca="1">VLOOKUP($D84,'parm(hidden)'!$B$8:$C$10,2,FALSE)*($F84-$N84)</f>
        <v>#REF!</v>
      </c>
      <c r="Q84" s="35" t="e">
        <f ca="1">VLOOKUP($D84,'parm(hidden)'!$B$8:$C$10,2,FALSE)*($G84+$H84)</f>
        <v>#REF!</v>
      </c>
      <c r="R84" s="23" t="e">
        <f ca="1">VLOOKUP($D84,'parm(hidden)'!$B$8:$C$10,2,FALSE)*($G84+$H84+$K84)</f>
        <v>#REF!</v>
      </c>
      <c r="S84" s="161">
        <f t="shared" ca="1" si="3"/>
        <v>0</v>
      </c>
      <c r="T84" s="162">
        <f t="shared" ca="1" si="3"/>
        <v>0</v>
      </c>
    </row>
    <row r="85" spans="1:20">
      <c r="A85" s="106" t="e">
        <f>ChkList!#REF!</f>
        <v>#REF!</v>
      </c>
      <c r="B85" s="29" t="e">
        <f>ChkList!#REF!</f>
        <v>#REF!</v>
      </c>
      <c r="C85" s="21" t="e">
        <f>ChkList!#REF!</f>
        <v>#REF!</v>
      </c>
      <c r="D85" s="32" t="e">
        <f>ChkList!#REF!</f>
        <v>#REF!</v>
      </c>
      <c r="E85" s="32" t="e">
        <f>ChkList!#REF!</f>
        <v>#REF!</v>
      </c>
      <c r="F85" s="23">
        <f ca="1">COUNTA($S85:INDIRECT(ADDRESS(ROW(),MATCH("",$4:$4,-1),1,1)))</f>
        <v>2</v>
      </c>
      <c r="G85" s="23">
        <f ca="1">'취약점 진단 항목별 통계'!G85</f>
        <v>0</v>
      </c>
      <c r="H85" s="23">
        <f ca="1">'취약점 진단 항목별 통계'!H85</f>
        <v>0</v>
      </c>
      <c r="I85" s="23">
        <f ca="1">'취약점 진단 항목별 통계'!I85</f>
        <v>0</v>
      </c>
      <c r="J85" s="23">
        <f ca="1">'취약점 진단 항목별 통계'!J85</f>
        <v>0</v>
      </c>
      <c r="K85" s="23">
        <f ca="1">COUNTIF($S85:INDIRECT(ADDRESS(ROW(),MATCH("",$4:$4,-1),1,1)),"조치")</f>
        <v>0</v>
      </c>
      <c r="L85" s="23">
        <f ca="1">COUNTIF($S85:INDIRECT(ADDRESS(ROW(),MATCH("",$4:$4,-1),1,1)),"미조치")</f>
        <v>0</v>
      </c>
      <c r="M85" s="23">
        <f ca="1">COUNTIF($S85:INDIRECT(ADDRESS(ROW(),MATCH("",$4:$4,-1),1,1)),"위험수용")</f>
        <v>0</v>
      </c>
      <c r="N85" s="23">
        <f ca="1">COUNTIF($S85:INDIRECT(ADDRESS(ROW(),MATCH("",$4:$4,-1),1,1)),"N/A")</f>
        <v>0</v>
      </c>
      <c r="O85" s="23" t="e">
        <f ca="1">VLOOKUP($D85,'parm(hidden)'!$B$8:$C$10,2,FALSE)*($F85-$J85)</f>
        <v>#REF!</v>
      </c>
      <c r="P85" s="23" t="e">
        <f ca="1">VLOOKUP($D85,'parm(hidden)'!$B$8:$C$10,2,FALSE)*($F85-$N85)</f>
        <v>#REF!</v>
      </c>
      <c r="Q85" s="35" t="e">
        <f ca="1">VLOOKUP($D85,'parm(hidden)'!$B$8:$C$10,2,FALSE)*($G85+$H85)</f>
        <v>#REF!</v>
      </c>
      <c r="R85" s="23" t="e">
        <f ca="1">VLOOKUP($D85,'parm(hidden)'!$B$8:$C$10,2,FALSE)*($G85+$H85+$K85)</f>
        <v>#REF!</v>
      </c>
      <c r="S85" s="161">
        <f ca="1">HYPERLINK("["&amp;MID(CELL("filename"),SEARCH("[",CELL("filename"))+1,SEARCH("]",CELL("filename"))-SEARCH("[",CELL("filename"))-1)&amp;"]"&amp;ADDRESS(ROW()+16,11,1,TRUE,S$4),INDIRECT(ADDRESS(ROW()+16,11,1,TRUE,S$4)))</f>
        <v>0</v>
      </c>
      <c r="T85" s="162">
        <f ca="1">HYPERLINK("["&amp;MID(CELL("filename"),SEARCH("[",CELL("filename"))+1,SEARCH("]",CELL("filename"))-SEARCH("[",CELL("filename"))-1)&amp;"]"&amp;ADDRESS(ROW()+16,11,1,TRUE,T$4),INDIRECT(ADDRESS(ROW()+16,11,1,TRUE,T$4)))</f>
        <v>0</v>
      </c>
    </row>
    <row r="86" spans="1:20">
      <c r="A86" s="106" t="e">
        <f>ChkList!#REF!</f>
        <v>#REF!</v>
      </c>
      <c r="B86" s="29" t="e">
        <f>ChkList!#REF!</f>
        <v>#REF!</v>
      </c>
      <c r="C86" s="21" t="e">
        <f>ChkList!#REF!</f>
        <v>#REF!</v>
      </c>
      <c r="D86" s="32" t="e">
        <f>ChkList!#REF!</f>
        <v>#REF!</v>
      </c>
      <c r="E86" s="32" t="e">
        <f>ChkList!#REF!</f>
        <v>#REF!</v>
      </c>
      <c r="F86" s="23">
        <f ca="1">COUNTA($S86:INDIRECT(ADDRESS(ROW(),MATCH("",$4:$4,-1),1,1)))</f>
        <v>2</v>
      </c>
      <c r="G86" s="23">
        <f ca="1">'취약점 진단 항목별 통계'!G86</f>
        <v>0</v>
      </c>
      <c r="H86" s="23">
        <f ca="1">'취약점 진단 항목별 통계'!H86</f>
        <v>0</v>
      </c>
      <c r="I86" s="23">
        <f ca="1">'취약점 진단 항목별 통계'!I86</f>
        <v>0</v>
      </c>
      <c r="J86" s="23">
        <f ca="1">'취약점 진단 항목별 통계'!J86</f>
        <v>0</v>
      </c>
      <c r="K86" s="23">
        <f ca="1">COUNTIF($S86:INDIRECT(ADDRESS(ROW(),MATCH("",$4:$4,-1),1,1)),"조치")</f>
        <v>0</v>
      </c>
      <c r="L86" s="23">
        <f ca="1">COUNTIF($S86:INDIRECT(ADDRESS(ROW(),MATCH("",$4:$4,-1),1,1)),"미조치")</f>
        <v>0</v>
      </c>
      <c r="M86" s="23">
        <f ca="1">COUNTIF($S86:INDIRECT(ADDRESS(ROW(),MATCH("",$4:$4,-1),1,1)),"위험수용")</f>
        <v>0</v>
      </c>
      <c r="N86" s="23">
        <f ca="1">COUNTIF($S86:INDIRECT(ADDRESS(ROW(),MATCH("",$4:$4,-1),1,1)),"N/A")</f>
        <v>0</v>
      </c>
      <c r="O86" s="23" t="e">
        <f ca="1">VLOOKUP($D86,'parm(hidden)'!$B$8:$C$10,2,FALSE)*($F86-$J86)</f>
        <v>#REF!</v>
      </c>
      <c r="P86" s="23" t="e">
        <f ca="1">VLOOKUP($D86,'parm(hidden)'!$B$8:$C$10,2,FALSE)*($F86-$N86)</f>
        <v>#REF!</v>
      </c>
      <c r="Q86" s="35" t="e">
        <f ca="1">VLOOKUP($D86,'parm(hidden)'!$B$8:$C$10,2,FALSE)*($G86+$H86)</f>
        <v>#REF!</v>
      </c>
      <c r="R86" s="23" t="e">
        <f ca="1">VLOOKUP($D86,'parm(hidden)'!$B$8:$C$10,2,FALSE)*($G86+$H86+$K86)</f>
        <v>#REF!</v>
      </c>
      <c r="S86" s="161">
        <f t="shared" ref="S86:T86" ca="1" si="4">HYPERLINK("["&amp;MID(CELL("filename"),SEARCH("[",CELL("filename"))+1,SEARCH("]",CELL("filename"))-SEARCH("[",CELL("filename"))-1)&amp;"]"&amp;ADDRESS(ROW()+16,11,1,TRUE,S$4),INDIRECT(ADDRESS(ROW()+16,11,1,TRUE,S$4)))</f>
        <v>0</v>
      </c>
      <c r="T86" s="162">
        <f t="shared" ca="1" si="4"/>
        <v>0</v>
      </c>
    </row>
    <row r="87" spans="1:20">
      <c r="A87" s="78"/>
      <c r="B87" s="107"/>
      <c r="C87" s="108"/>
      <c r="D87" s="108"/>
      <c r="E87" s="108"/>
      <c r="F87" s="109">
        <f t="shared" ref="F87:R87" ca="1" si="5">SUM(F5:F86)</f>
        <v>164</v>
      </c>
      <c r="G87" s="109">
        <f t="shared" ca="1" si="5"/>
        <v>84</v>
      </c>
      <c r="H87" s="109">
        <f t="shared" ca="1" si="5"/>
        <v>0</v>
      </c>
      <c r="I87" s="109">
        <f t="shared" ca="1" si="5"/>
        <v>171</v>
      </c>
      <c r="J87" s="109">
        <f t="shared" ca="1" si="5"/>
        <v>1</v>
      </c>
      <c r="K87" s="109">
        <f t="shared" ca="1" si="5"/>
        <v>53</v>
      </c>
      <c r="L87" s="109">
        <f t="shared" ca="1" si="5"/>
        <v>4</v>
      </c>
      <c r="M87" s="109">
        <f t="shared" ca="1" si="5"/>
        <v>0</v>
      </c>
      <c r="N87" s="109">
        <f t="shared" ca="1" si="5"/>
        <v>11</v>
      </c>
      <c r="O87" s="109" t="e">
        <f t="shared" ca="1" si="5"/>
        <v>#REF!</v>
      </c>
      <c r="P87" s="109" t="e">
        <f t="shared" ca="1" si="5"/>
        <v>#REF!</v>
      </c>
      <c r="Q87" s="109" t="e">
        <f t="shared" ca="1" si="5"/>
        <v>#REF!</v>
      </c>
      <c r="R87" s="109" t="e">
        <f t="shared" ca="1" si="5"/>
        <v>#REF!</v>
      </c>
      <c r="S87" s="109">
        <f ca="1">COUNTIFS(S$5:S$86,"&lt;&gt;",S$5:S$86,"&lt;&gt;0")</f>
        <v>64</v>
      </c>
      <c r="T87" s="110">
        <f ca="1">COUNTIFS(T$5:T$86,"&lt;&gt;",T$5:T$86,"&lt;&gt;0")</f>
        <v>64</v>
      </c>
    </row>
  </sheetData>
  <mergeCells count="6">
    <mergeCell ref="O3:R3"/>
    <mergeCell ref="A3:B4"/>
    <mergeCell ref="C3:C4"/>
    <mergeCell ref="D3:E4"/>
    <mergeCell ref="F3:J3"/>
    <mergeCell ref="K3:N3"/>
  </mergeCells>
  <phoneticPr fontId="27" type="noConversion"/>
  <conditionalFormatting sqref="S1:T3 S87:T1048576">
    <cfRule type="cellIs" dxfId="154" priority="1" operator="equal">
      <formula>"Y"</formula>
    </cfRule>
    <cfRule type="cellIs" dxfId="153" priority="2" stopIfTrue="1" operator="equal">
      <formula>"인터뷰"</formula>
    </cfRule>
  </conditionalFormatting>
  <conditionalFormatting sqref="S5:T86">
    <cfRule type="containsText" dxfId="152" priority="45" operator="containsText" text="위험수용">
      <formula>NOT(ISERROR(SEARCH("위험수용",S5)))</formula>
    </cfRule>
    <cfRule type="containsText" dxfId="151" priority="46" operator="containsText" text="미조치">
      <formula>NOT(ISERROR(SEARCH("미조치",S5)))</formula>
    </cfRule>
    <cfRule type="cellIs" dxfId="150" priority="47" stopIfTrue="1" operator="equal">
      <formula>"인터뷰"</formula>
    </cfRule>
    <cfRule type="cellIs" dxfId="149" priority="48" stopIfTrue="1" operator="equal">
      <formula>"N/A"</formula>
    </cfRule>
    <cfRule type="cellIs" dxfId="148" priority="49" stopIfTrue="1" operator="equal">
      <formula>"N"</formula>
    </cfRule>
  </conditionalFormatting>
  <printOptions horizontalCentered="1"/>
  <pageMargins left="0.39347222447395325" right="0.39347222447395325" top="0.59041666984558105" bottom="0.59041666984558105" header="0.39347222447395325" footer="0.39347222447395325"/>
  <pageSetup paperSize="9" scale="61" fitToHeight="99" orientation="landscape" horizontalDpi="4294967294" verticalDpi="4294967294" r:id="rId1"/>
  <headerFooter alignWithMargins="0">
    <oddHeader>&amp;L&amp;"맑은 고딕,Regular"
&amp;R&amp;"맑은 고딕,Regular"&amp;F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Y84"/>
  <sheetViews>
    <sheetView showGridLines="0" tabSelected="1" view="pageBreakPreview" topLeftCell="A19" zoomScaleNormal="100" zoomScaleSheetLayoutView="100" workbookViewId="0">
      <selection activeCell="A37" sqref="A37:XFD37"/>
    </sheetView>
  </sheetViews>
  <sheetFormatPr defaultColWidth="8.77734375" defaultRowHeight="12"/>
  <cols>
    <col min="1" max="1" width="12.77734375" style="12" customWidth="1"/>
    <col min="2" max="2" width="6.6640625" style="12" bestFit="1" customWidth="1"/>
    <col min="3" max="3" width="14.21875" style="12" customWidth="1"/>
    <col min="4" max="4" width="7.6640625" style="12" customWidth="1"/>
    <col min="5" max="5" width="10.88671875" style="12" customWidth="1"/>
    <col min="6" max="8" width="7.6640625" style="12" customWidth="1"/>
    <col min="9" max="9" width="102.109375" style="12" customWidth="1"/>
    <col min="10" max="15" width="7.6640625" style="12" customWidth="1"/>
    <col min="16" max="16" width="22.88671875" style="12" customWidth="1"/>
    <col min="17" max="17" width="44.44140625" style="12" customWidth="1"/>
    <col min="18" max="18" width="13.77734375" style="10" customWidth="1"/>
    <col min="19" max="20" width="11.77734375" style="12" customWidth="1"/>
    <col min="21" max="21" width="12.44140625" style="12" customWidth="1"/>
    <col min="22" max="23" width="8.77734375" style="12" customWidth="1"/>
    <col min="24" max="24" width="18" style="12" customWidth="1"/>
    <col min="25" max="25" width="14.6640625" style="12" customWidth="1"/>
    <col min="26" max="16384" width="8.77734375" style="12"/>
  </cols>
  <sheetData>
    <row r="1" spans="1:25" ht="16.5">
      <c r="A1" s="16" t="str">
        <f ca="1">"■ "&amp;$B$4&amp;" 상세 진단결과"</f>
        <v>■ DHCP_HQ_Win 상세 진단결과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35" customHeight="1">
      <c r="A3" s="46" t="s">
        <v>116</v>
      </c>
      <c r="B3" s="46"/>
      <c r="C3" s="46"/>
      <c r="D3" s="46"/>
      <c r="E3" s="46"/>
      <c r="F3" s="46"/>
      <c r="G3" s="46"/>
      <c r="H3" s="5"/>
      <c r="I3" s="5"/>
      <c r="R3" s="5" t="s">
        <v>234</v>
      </c>
      <c r="X3" s="5"/>
      <c r="Y3" s="5"/>
    </row>
    <row r="4" spans="1:25" ht="17.100000000000001" customHeight="1">
      <c r="A4" s="113" t="s">
        <v>142</v>
      </c>
      <c r="B4" s="255" t="str">
        <f ca="1">REPLACE(CELL("filename",A1),1,FIND("]",CELL("filename",A1)),"")</f>
        <v>DHCP_HQ_Win</v>
      </c>
      <c r="C4" s="256"/>
      <c r="D4" s="257" t="s">
        <v>222</v>
      </c>
      <c r="E4" s="258"/>
      <c r="F4" s="259" t="str">
        <f ca="1">IFERROR(VLOOKUP($B$4,자산목록!$B$1:$Q$838,8,FALSE),"N/A")</f>
        <v>본사 DHCP 서버</v>
      </c>
      <c r="G4" s="260"/>
      <c r="H4" s="56"/>
      <c r="I4" s="47"/>
      <c r="R4" s="25" t="s">
        <v>70</v>
      </c>
      <c r="S4" s="37">
        <f ca="1">IFERROR(VLOOKUP($B$4,자산목록!$B$1:$Q$838,13,FALSE),"N/A")</f>
        <v>3</v>
      </c>
      <c r="T4" s="261" t="s">
        <v>241</v>
      </c>
      <c r="U4" s="262" t="str">
        <f ca="1">IFERROR(VLOOKUP($B$4,자산목록!$B$1:$Q$838,16,FALSE),"N/A")</f>
        <v>H</v>
      </c>
      <c r="X4" s="5"/>
      <c r="Y4" s="5"/>
    </row>
    <row r="5" spans="1:25" ht="17.100000000000001" customHeight="1">
      <c r="A5" s="114" t="s">
        <v>120</v>
      </c>
      <c r="B5" s="263" t="str">
        <f ca="1">IFERROR(VLOOKUP($B$4,자산목록!$B$1:$Q$838,6,FALSE)&amp;" "&amp;VLOOKUP($B$4,자산목록!$B$1:$Q$838,7,FALSE),"N/A")</f>
        <v>- 2016</v>
      </c>
      <c r="C5" s="263"/>
      <c r="D5" s="264" t="s">
        <v>146</v>
      </c>
      <c r="E5" s="264"/>
      <c r="F5" s="263" t="str">
        <f ca="1">IFERROR(VLOOKUP($B$4,자산목록!$B$1:$Q$838,2,FALSE),"N/A")</f>
        <v>10.10.40.17</v>
      </c>
      <c r="G5" s="265"/>
      <c r="H5" s="56"/>
      <c r="I5" s="47"/>
      <c r="R5" s="25" t="s">
        <v>77</v>
      </c>
      <c r="S5" s="37">
        <f ca="1">IFERROR(VLOOKUP($B$4,자산목록!$B$1:$Q$838,14,FALSE),"N/A")</f>
        <v>3</v>
      </c>
      <c r="T5" s="261"/>
      <c r="U5" s="262"/>
      <c r="X5" s="5"/>
      <c r="Y5" s="5"/>
    </row>
    <row r="6" spans="1:25" ht="17.100000000000001" customHeight="1">
      <c r="A6" s="115" t="s">
        <v>71</v>
      </c>
      <c r="B6" s="266" t="str">
        <f ca="1">IFERROR(VLOOKUP($B$4,자산목록!$B$1:$Q$838,11,FALSE),"N/A")</f>
        <v>이재원</v>
      </c>
      <c r="C6" s="266"/>
      <c r="D6" s="267" t="s">
        <v>226</v>
      </c>
      <c r="E6" s="267"/>
      <c r="F6" s="266" t="str">
        <f ca="1">IFERROR(VLOOKUP($B$4,자산목록!$B$1:$Q$838,9,FALSE),"N/A")</f>
        <v>내부망</v>
      </c>
      <c r="G6" s="268"/>
      <c r="H6" s="56"/>
      <c r="I6" s="47"/>
      <c r="R6" s="25" t="s">
        <v>106</v>
      </c>
      <c r="S6" s="37">
        <f ca="1">IFERROR(VLOOKUP($B$4,자산목록!$B$1:$Q$838,15,FALSE),"N/A")</f>
        <v>3</v>
      </c>
      <c r="T6" s="261"/>
      <c r="U6" s="262"/>
      <c r="X6" s="5"/>
      <c r="Y6" s="5"/>
    </row>
    <row r="7" spans="1:25" ht="22.35" customHeight="1">
      <c r="R7" s="20"/>
      <c r="S7" s="17"/>
      <c r="X7" s="5"/>
      <c r="Y7" s="5"/>
    </row>
    <row r="8" spans="1:25" ht="34.35" customHeight="1">
      <c r="A8" s="5" t="s">
        <v>137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3.5">
      <c r="A9" s="48" t="s">
        <v>113</v>
      </c>
      <c r="B9" s="46"/>
      <c r="C9" s="46"/>
      <c r="D9" s="46"/>
      <c r="E9" s="46"/>
      <c r="F9" s="46"/>
      <c r="G9" s="46"/>
      <c r="H9" s="5"/>
      <c r="I9" s="5"/>
      <c r="M9" s="5"/>
      <c r="N9" s="5"/>
      <c r="O9" s="5"/>
      <c r="P9" s="5"/>
      <c r="R9" s="14"/>
      <c r="S9" s="49"/>
    </row>
    <row r="10" spans="1:25" ht="20.100000000000001" customHeight="1">
      <c r="A10" s="269" t="s">
        <v>79</v>
      </c>
      <c r="B10" s="251"/>
      <c r="C10" s="251"/>
      <c r="D10" s="271" t="s">
        <v>44</v>
      </c>
      <c r="E10" s="272"/>
      <c r="F10" s="272"/>
      <c r="G10" s="272"/>
      <c r="H10" s="272"/>
      <c r="I10" s="273" t="s">
        <v>134</v>
      </c>
      <c r="J10" s="275" t="s">
        <v>233</v>
      </c>
      <c r="K10" s="275"/>
      <c r="L10" s="275"/>
      <c r="M10" s="275"/>
      <c r="N10" s="275"/>
      <c r="O10" s="276"/>
      <c r="R10" s="277" t="s">
        <v>212</v>
      </c>
      <c r="S10" s="277"/>
      <c r="T10" s="277"/>
      <c r="U10" s="277"/>
      <c r="V10" s="278" t="s">
        <v>134</v>
      </c>
      <c r="W10" s="278"/>
      <c r="X10" s="278"/>
      <c r="Y10" s="278"/>
    </row>
    <row r="11" spans="1:25" ht="20.100000000000001" customHeight="1">
      <c r="A11" s="270"/>
      <c r="B11" s="254"/>
      <c r="C11" s="254"/>
      <c r="D11" s="116" t="s">
        <v>96</v>
      </c>
      <c r="E11" s="117" t="s">
        <v>76</v>
      </c>
      <c r="F11" s="118" t="s">
        <v>108</v>
      </c>
      <c r="G11" s="119" t="s">
        <v>78</v>
      </c>
      <c r="H11" s="119" t="s">
        <v>75</v>
      </c>
      <c r="I11" s="274"/>
      <c r="J11" s="129" t="s">
        <v>110</v>
      </c>
      <c r="K11" s="120" t="s">
        <v>97</v>
      </c>
      <c r="L11" s="121" t="s">
        <v>219</v>
      </c>
      <c r="M11" s="121" t="s">
        <v>78</v>
      </c>
      <c r="N11" s="121" t="s">
        <v>93</v>
      </c>
      <c r="O11" s="122" t="s">
        <v>75</v>
      </c>
      <c r="R11" s="41" t="s">
        <v>122</v>
      </c>
      <c r="S11" s="42" t="s">
        <v>119</v>
      </c>
      <c r="T11" s="42" t="s">
        <v>125</v>
      </c>
      <c r="U11" s="44" t="s">
        <v>127</v>
      </c>
      <c r="V11" s="279" t="s">
        <v>79</v>
      </c>
      <c r="W11" s="279"/>
      <c r="X11" s="11" t="s">
        <v>44</v>
      </c>
      <c r="Y11" s="11" t="s">
        <v>233</v>
      </c>
    </row>
    <row r="12" spans="1:25" ht="32.1" customHeight="1">
      <c r="A12" s="280" t="s">
        <v>217</v>
      </c>
      <c r="B12" s="281"/>
      <c r="C12" s="282"/>
      <c r="D12" s="37">
        <f ca="1">COUNTIF($A$21:INDIRECT(ADDRESS(MATCH("",$A:$A,-1),1,1,1)),$A12)</f>
        <v>14</v>
      </c>
      <c r="E12" s="37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14</v>
      </c>
      <c r="F12" s="37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14</v>
      </c>
      <c r="G12" s="37">
        <f ca="1">COUNTIFS($A$21:INDIRECT(ADDRESS(MATCH("",$A:$A,-1),1,1,1)),$A12&amp;"*",$H$21:INDIRECT(ADDRESS(MATCH("",$A:$A,-1),8,1,1)),"N/A")</f>
        <v>0</v>
      </c>
      <c r="H12" s="59" t="e">
        <f t="shared" ref="H12:H17" ca="1" si="0">IF($G12=$D12,"N/A",(S12/R12))</f>
        <v>#REF!</v>
      </c>
      <c r="I12" s="283"/>
      <c r="J12" s="54">
        <f ca="1">COUNTIFS($A$21:INDIRECT(ADDRESS(MATCH("",$A:$A,-1),1,1,1)),$A12,$K$21:INDIRECT(ADDRESS(MATCH("",$B:$B,-1),11,1,1)),"조치")</f>
        <v>0</v>
      </c>
      <c r="K12" s="29">
        <f ca="1">COUNTIFS($A$21:INDIRECT(ADDRESS(MATCH("",$A:$A,-1),1,1,1)),$A12,$K$21:INDIRECT(ADDRESS(MATCH("",$B:$B,-1),11,1,1)),"미조치")</f>
        <v>0</v>
      </c>
      <c r="L12" s="29">
        <f ca="1">COUNTIFS($A$21:INDIRECT(ADDRESS(MATCH("",$A:$A,-1),1,1,1)),$A12,$K$21:INDIRECT(ADDRESS(MATCH("",$B:$B,-1),11,1,1)),"위험수용")</f>
        <v>0</v>
      </c>
      <c r="M12" s="29">
        <f ca="1">COUNTIFS($A$21:INDIRECT(ADDRESS(MATCH("",$A:$A,-1),1,1,1)),$A12,$K$21:INDIRECT(ADDRESS(MATCH("",$B:$B,-1),11,1,1)),"N/A")</f>
        <v>0</v>
      </c>
      <c r="N12" s="50">
        <f ca="1">IFERROR($J12/($F12-(M12-G12)),"N/A")</f>
        <v>0</v>
      </c>
      <c r="O12" s="123">
        <f ca="1">IF(OR($G12=$D12,$D12=$M12),"N/A",($T12/$U12))</f>
        <v>1</v>
      </c>
      <c r="R12" s="37" t="e">
        <f ca="1">SUMIF($A$21:INDIRECT(ADDRESS(MATCH("",$A:$A,-1),1,1,1)),$A12,$R$21:INDIRECT(ADDRESS(MATCH("",$A:$A,-1),18,1,1)))</f>
        <v>#REF!</v>
      </c>
      <c r="S12" s="37">
        <f ca="1">SUMIF($A$21:INDIRECT(ADDRESS(MATCH("",$A:$A,-1),1,1,1)),$A12,$S$21:INDIRECT(ADDRESS(MATCH("",$A:$A,-1),19,1,1)))</f>
        <v>0</v>
      </c>
      <c r="T12" s="37">
        <f ca="1">SUMIF($A$21:INDIRECT(ADDRESS(MATCH("",$A:$A,-1),1,1,1)),$A12,$T$21:INDIRECT(ADDRESS(MATCH("",$A:$A,-1),20,1,1)))</f>
        <v>35</v>
      </c>
      <c r="U12" s="37">
        <f ca="1">SUMIF($A$21:INDIRECT(ADDRESS(MATCH("",$A:$A,-1),2,1,1)),$A12&amp;"*",$U$21:INDIRECT(ADDRESS(MATCH("",$A:$A,-1),21,1,1)))</f>
        <v>35</v>
      </c>
      <c r="V12" s="285">
        <f>B12</f>
        <v>0</v>
      </c>
      <c r="W12" s="282"/>
      <c r="X12" s="57" t="e">
        <f t="shared" ref="X12:X17" ca="1" si="1">H12</f>
        <v>#REF!</v>
      </c>
      <c r="Y12" s="57">
        <f t="shared" ref="Y12:Y17" ca="1" si="2">O12</f>
        <v>1</v>
      </c>
    </row>
    <row r="13" spans="1:25" ht="32.1" customHeight="1">
      <c r="A13" s="280" t="s">
        <v>194</v>
      </c>
      <c r="B13" s="281"/>
      <c r="C13" s="282"/>
      <c r="D13" s="37">
        <f ca="1">COUNTIF($A$21:INDIRECT(ADDRESS(MATCH("",$A:$A,-1),1,1,1)),$A13)</f>
        <v>0</v>
      </c>
      <c r="E13" s="37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0</v>
      </c>
      <c r="F13" s="37">
        <f ca="1">COUNTIFS($A$21:INDIRECT(ADDRESS(MATCH("",$A:$A,-1),1,1,1)),$A13&amp;"*",$H$21:INDIRECT(ADDRESS(MATCH("",$A:$A,-1),8,1,1)),"N")</f>
        <v>0</v>
      </c>
      <c r="G13" s="37">
        <f ca="1">COUNTIFS($A$21:INDIRECT(ADDRESS(MATCH("",$A:$A,-1),1,1,1)),$A13&amp;"*",$H$21:INDIRECT(ADDRESS(MATCH("",$A:$A,-1),8,1,1)),"N/A")</f>
        <v>0</v>
      </c>
      <c r="H13" s="59" t="str">
        <f t="shared" ca="1" si="0"/>
        <v>N/A</v>
      </c>
      <c r="I13" s="283"/>
      <c r="J13" s="54">
        <f ca="1">COUNTIFS($A$21:INDIRECT(ADDRESS(MATCH("",$A:$A,-1),1,1,1)),$A13,$K$21:INDIRECT(ADDRESS(MATCH("",$B:$B,-1),11,1,1)),"조치")</f>
        <v>0</v>
      </c>
      <c r="K13" s="29">
        <f ca="1">COUNTIFS($A$21:INDIRECT(ADDRESS(MATCH("",$A:$A,-1),1,1,1)),$A13,$K$21:INDIRECT(ADDRESS(MATCH("",$B:$B,-1),11,1,1)),"미조치")</f>
        <v>0</v>
      </c>
      <c r="L13" s="29">
        <f ca="1">COUNTIFS($A$21:INDIRECT(ADDRESS(MATCH("",$A:$A,-1),1,1,1)),$A13,$K$21:INDIRECT(ADDRESS(MATCH("",$B:$B,-1),11,1,1)),"위험수용")</f>
        <v>0</v>
      </c>
      <c r="M13" s="29">
        <f ca="1">COUNTIFS($A$21:INDIRECT(ADDRESS(MATCH("",$A:$A,-1),1,1,1)),$A13,$K$21:INDIRECT(ADDRESS(MATCH("",$B:$B,-1),11,1,1)),"N/A")</f>
        <v>0</v>
      </c>
      <c r="N13" s="50" t="str">
        <f ca="1">IFERROR($J13/($F13-(M13-G13)),"N/A")</f>
        <v>N/A</v>
      </c>
      <c r="O13" s="123" t="str">
        <f ca="1">IF(OR($G13=$D13,$D13=$M13),"N/A",($T13/$U13))</f>
        <v>N/A</v>
      </c>
      <c r="R13" s="37">
        <f ca="1">SUMIF($A$21:INDIRECT(ADDRESS(MATCH("",$A:$A,-1),1,1,1)),$A13,$R$21:INDIRECT(ADDRESS(MATCH("",$A:$A,-1),18,1,1)))</f>
        <v>0</v>
      </c>
      <c r="S13" s="37">
        <f ca="1">SUMIF($A$21:INDIRECT(ADDRESS(MATCH("",$A:$A,-1),1,1,1)),$A13,$S$21:INDIRECT(ADDRESS(MATCH("",$A:$A,-1),19,1,1)))</f>
        <v>0</v>
      </c>
      <c r="T13" s="37">
        <f ca="1">SUMIF($A$21:INDIRECT(ADDRESS(MATCH("",$A:$A,-1),1,1,1)),$A13,$T$21:INDIRECT(ADDRESS(MATCH("",$A:$A,-1),20,1,1)))</f>
        <v>0</v>
      </c>
      <c r="U13" s="37">
        <f ca="1">SUMIF($A$21:INDIRECT(ADDRESS(MATCH("",$A:$A,-1),2,1,1)),$A13&amp;"*",$U$21:INDIRECT(ADDRESS(MATCH("",$A:$A,-1),21,1,1)))</f>
        <v>0</v>
      </c>
      <c r="V13" s="285">
        <f>B13</f>
        <v>0</v>
      </c>
      <c r="W13" s="282"/>
      <c r="X13" s="57" t="str">
        <f t="shared" ca="1" si="1"/>
        <v>N/A</v>
      </c>
      <c r="Y13" s="57" t="str">
        <f t="shared" ca="1" si="2"/>
        <v>N/A</v>
      </c>
    </row>
    <row r="14" spans="1:25" ht="32.1" customHeight="1">
      <c r="A14" s="280" t="s">
        <v>211</v>
      </c>
      <c r="B14" s="281"/>
      <c r="C14" s="282"/>
      <c r="D14" s="37">
        <f ca="1">COUNTIF($A$21:INDIRECT(ADDRESS(MATCH("",$A:$A,-1),1,1,1)),$A14)</f>
        <v>2</v>
      </c>
      <c r="E14" s="37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2</v>
      </c>
      <c r="F14" s="37">
        <f ca="1">COUNTIFS($A$21:INDIRECT(ADDRESS(MATCH("",$A:$A,-1),1,1,1)),$A14&amp;"*",$H$21:INDIRECT(ADDRESS(MATCH("",$A:$A,-1),8,1,1)),"N")</f>
        <v>0</v>
      </c>
      <c r="G14" s="37">
        <f ca="1">COUNTIFS($A$21:INDIRECT(ADDRESS(MATCH("",$A:$A,-1),1,1,1)),$A14&amp;"*",$H$21:INDIRECT(ADDRESS(MATCH("",$A:$A,-1),8,1,1)),"N/A")</f>
        <v>0</v>
      </c>
      <c r="H14" s="59">
        <f t="shared" ca="1" si="0"/>
        <v>0</v>
      </c>
      <c r="I14" s="283"/>
      <c r="J14" s="54">
        <f ca="1">COUNTIFS($A$21:INDIRECT(ADDRESS(MATCH("",$A:$A,-1),1,1,1)),$A14,$K$21:INDIRECT(ADDRESS(MATCH("",$B:$B,-1),11,1,1)),"조치")</f>
        <v>0</v>
      </c>
      <c r="K14" s="29">
        <f ca="1">COUNTIFS($A$21:INDIRECT(ADDRESS(MATCH("",$A:$A,-1),1,1,1)),$A14,$K$21:INDIRECT(ADDRESS(MATCH("",$B:$B,-1),11,1,1)),"미조치")</f>
        <v>0</v>
      </c>
      <c r="L14" s="29">
        <f ca="1">COUNTIFS($A$21:INDIRECT(ADDRESS(MATCH("",$A:$A,-1),1,1,1)),$A14,$K$21:INDIRECT(ADDRESS(MATCH("",$B:$B,-1),11,1,1)),"위험수용")</f>
        <v>0</v>
      </c>
      <c r="M14" s="29">
        <f ca="1">COUNTIFS($A$21:INDIRECT(ADDRESS(MATCH("",$A:$A,-1),1,1,1)),$A14,$K$21:INDIRECT(ADDRESS(MATCH("",$B:$B,-1),11,1,1)),"N/A")</f>
        <v>0</v>
      </c>
      <c r="N14" s="50" t="str">
        <f ca="1">IFERROR($J14/($F14-(M14-G14)),"N/A")</f>
        <v>N/A</v>
      </c>
      <c r="O14" s="123" t="e">
        <f ca="1">IF(OR($G14=$D14,$D14=$M14),"N/A",($T14/$U14))</f>
        <v>#DIV/0!</v>
      </c>
      <c r="R14" s="37">
        <f ca="1">SUMIF($A$21:INDIRECT(ADDRESS(MATCH("",$A:$A,-1),1,1,1)),$A14,$R$21:INDIRECT(ADDRESS(MATCH("",$A:$A,-1),18,1,1)))</f>
        <v>6</v>
      </c>
      <c r="S14" s="37">
        <f ca="1">SUMIF($A$21:INDIRECT(ADDRESS(MATCH("",$A:$A,-1),1,1,1)),$A14,$S$21:INDIRECT(ADDRESS(MATCH("",$A:$A,-1),19,1,1)))</f>
        <v>0</v>
      </c>
      <c r="T14" s="37">
        <f ca="1">SUMIF($A$21:INDIRECT(ADDRESS(MATCH("",$A:$A,-1),1,1,1)),$A14,$T$21:INDIRECT(ADDRESS(MATCH("",$A:$A,-1),20,1,1)))</f>
        <v>6</v>
      </c>
      <c r="U14" s="37">
        <f ca="1">SUMIF($A$21:INDIRECT(ADDRESS(MATCH("",$A:$A,-1),2,1,1)),$A14&amp;"*",$U$21:INDIRECT(ADDRESS(MATCH("",$A:$A,-1),21,1,1)))</f>
        <v>0</v>
      </c>
      <c r="V14" s="285">
        <f>B14</f>
        <v>0</v>
      </c>
      <c r="W14" s="282"/>
      <c r="X14" s="57">
        <f t="shared" ca="1" si="1"/>
        <v>0</v>
      </c>
      <c r="Y14" s="57" t="e">
        <f t="shared" ca="1" si="2"/>
        <v>#DIV/0!</v>
      </c>
    </row>
    <row r="15" spans="1:25" ht="32.1" customHeight="1">
      <c r="A15" s="280" t="s">
        <v>238</v>
      </c>
      <c r="B15" s="281"/>
      <c r="C15" s="282"/>
      <c r="D15" s="37">
        <f ca="1">COUNTIF($A$21:INDIRECT(ADDRESS(MATCH("",$A:$A,-1),1,1,1)),$A15)</f>
        <v>4</v>
      </c>
      <c r="E15" s="37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3</v>
      </c>
      <c r="F15" s="37">
        <f ca="1">COUNTIFS($A$21:INDIRECT(ADDRESS(MATCH("",$A:$A,-1),1,1,1)),$A15&amp;"*",$H$21:INDIRECT(ADDRESS(MATCH("",$A:$A,-1),8,1,1)),"N")</f>
        <v>1</v>
      </c>
      <c r="G15" s="37">
        <f ca="1">COUNTIFS($A$21:INDIRECT(ADDRESS(MATCH("",$A:$A,-1),1,1,1)),$A15&amp;"*",$H$21:INDIRECT(ADDRESS(MATCH("",$A:$A,-1),8,1,1)),"N/A")</f>
        <v>0</v>
      </c>
      <c r="H15" s="59">
        <f t="shared" ca="1" si="0"/>
        <v>0.14285714285714285</v>
      </c>
      <c r="I15" s="283"/>
      <c r="J15" s="54">
        <f ca="1">COUNTIFS($A$21:INDIRECT(ADDRESS(MATCH("",$A:$A,-1),1,1,1)),$A15,$K$21:INDIRECT(ADDRESS(MATCH("",$B:$B,-1),11,1,1)),"조치")</f>
        <v>0</v>
      </c>
      <c r="K15" s="29">
        <f ca="1">COUNTIFS($A$21:INDIRECT(ADDRESS(MATCH("",$A:$A,-1),1,1,1)),$A15,$K$21:INDIRECT(ADDRESS(MATCH("",$B:$B,-1),11,1,1)),"미조치")</f>
        <v>1</v>
      </c>
      <c r="L15" s="29">
        <f ca="1">COUNTIFS($A$21:INDIRECT(ADDRESS(MATCH("",$A:$A,-1),1,1,1)),$A15,$K$21:INDIRECT(ADDRESS(MATCH("",$B:$B,-1),11,1,1)),"위험수용")</f>
        <v>0</v>
      </c>
      <c r="M15" s="29">
        <f ca="1">COUNTIFS($A$21:INDIRECT(ADDRESS(MATCH("",$A:$A,-1),1,1,1)),$A15,$K$21:INDIRECT(ADDRESS(MATCH("",$B:$B,-1),11,1,1)),"N/A")</f>
        <v>0</v>
      </c>
      <c r="N15" s="50">
        <f ca="1">IFERROR($J15/($F15-(M15-G15)),"N/A")</f>
        <v>0</v>
      </c>
      <c r="O15" s="123">
        <f ca="1">IF(OR($G15=$D15,$D15=$M15),"N/A",($T15/$U15))</f>
        <v>2.5</v>
      </c>
      <c r="R15" s="37">
        <f ca="1">SUMIF($A$21:INDIRECT(ADDRESS(MATCH("",$A:$A,-1),1,1,1)),$A15,$R$21:INDIRECT(ADDRESS(MATCH("",$A:$A,-1),18,1,1)))</f>
        <v>7</v>
      </c>
      <c r="S15" s="37">
        <f ca="1">SUMIF($A$21:INDIRECT(ADDRESS(MATCH("",$A:$A,-1),1,1,1)),$A15,$S$21:INDIRECT(ADDRESS(MATCH("",$A:$A,-1),19,1,1)))</f>
        <v>1</v>
      </c>
      <c r="T15" s="37">
        <f ca="1">SUMIF($A$21:INDIRECT(ADDRESS(MATCH("",$A:$A,-1),1,1,1)),$A15,$T$21:INDIRECT(ADDRESS(MATCH("",$A:$A,-1),20,1,1)))</f>
        <v>5</v>
      </c>
      <c r="U15" s="37">
        <f ca="1">SUMIF($A$21:INDIRECT(ADDRESS(MATCH("",$A:$A,-1),2,1,1)),$A15&amp;"*",$U$21:INDIRECT(ADDRESS(MATCH("",$A:$A,-1),21,1,1)))</f>
        <v>2</v>
      </c>
      <c r="V15" s="285">
        <f>B15</f>
        <v>0</v>
      </c>
      <c r="W15" s="282"/>
      <c r="X15" s="57">
        <f t="shared" ca="1" si="1"/>
        <v>0.14285714285714285</v>
      </c>
      <c r="Y15" s="57">
        <f t="shared" ca="1" si="2"/>
        <v>2.5</v>
      </c>
    </row>
    <row r="16" spans="1:25" ht="32.1" customHeight="1">
      <c r="A16" s="280" t="s">
        <v>197</v>
      </c>
      <c r="B16" s="281"/>
      <c r="C16" s="282"/>
      <c r="D16" s="37">
        <f ca="1">COUNTIF($A$21:INDIRECT(ADDRESS(MATCH("",$A:$A,-1),1,1,1)),$A16)</f>
        <v>0</v>
      </c>
      <c r="E16" s="37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0</v>
      </c>
      <c r="F16" s="37">
        <f ca="1">COUNTIFS($A$21:INDIRECT(ADDRESS(MATCH("",$A:$A,-1),1,1,1)),$A16&amp;"*",$H$21:INDIRECT(ADDRESS(MATCH("",$A:$A,-1),8,1,1)),"N")</f>
        <v>0</v>
      </c>
      <c r="G16" s="37">
        <f ca="1">COUNTIFS($A$21:INDIRECT(ADDRESS(MATCH("",$A:$A,-1),1,1,1)),$A16&amp;"*",$H$21:INDIRECT(ADDRESS(MATCH("",$A:$A,-1),8,1,1)),"N/A")</f>
        <v>0</v>
      </c>
      <c r="H16" s="59" t="str">
        <f t="shared" ca="1" si="0"/>
        <v>N/A</v>
      </c>
      <c r="I16" s="283"/>
      <c r="J16" s="54">
        <f ca="1">COUNTIFS($A$21:INDIRECT(ADDRESS(MATCH("",$A:$A,-1),1,1,1)),$A16,$K$21:INDIRECT(ADDRESS(MATCH("",$B:$B,-1),11,1,1)),"조치")</f>
        <v>0</v>
      </c>
      <c r="K16" s="29">
        <f ca="1">COUNTIFS($A$21:INDIRECT(ADDRESS(MATCH("",$A:$A,-1),1,1,1)),$A16,$K$21:INDIRECT(ADDRESS(MATCH("",$B:$B,-1),11,1,1)),"미조치")</f>
        <v>0</v>
      </c>
      <c r="L16" s="29">
        <f ca="1">COUNTIFS($A$21:INDIRECT(ADDRESS(MATCH("",$A:$A,-1),1,1,1)),$A16,$K$21:INDIRECT(ADDRESS(MATCH("",$B:$B,-1),11,1,1)),"위험수용")</f>
        <v>0</v>
      </c>
      <c r="M16" s="29">
        <f ca="1">COUNTIFS($A$21:INDIRECT(ADDRESS(MATCH("",$A:$A,-1),1,1,1)),$A16,$K$21:INDIRECT(ADDRESS(MATCH("",$B:$B,-1),11,1,1)),"N/A")</f>
        <v>0</v>
      </c>
      <c r="N16" s="50" t="str">
        <f ca="1">IFERROR($J16/($F16-(M16-G16)),"N/A")</f>
        <v>N/A</v>
      </c>
      <c r="O16" s="123" t="str">
        <f ca="1">IF(OR($G16=$D16,$D16=$M16),"N/A",($T16/$U16))</f>
        <v>N/A</v>
      </c>
      <c r="R16" s="37">
        <f ca="1">SUMIF($A$21:INDIRECT(ADDRESS(MATCH("",$A:$A,-1),1,1,1)),$A16,$R$21:INDIRECT(ADDRESS(MATCH("",$A:$A,-1),18,1,1)))</f>
        <v>0</v>
      </c>
      <c r="S16" s="37">
        <f ca="1">SUMIF($A$21:INDIRECT(ADDRESS(MATCH("",$A:$A,-1),1,1,1)),$A16,$S$21:INDIRECT(ADDRESS(MATCH("",$A:$A,-1),19,1,1)))</f>
        <v>0</v>
      </c>
      <c r="T16" s="37">
        <f ca="1">SUMIF($A$21:INDIRECT(ADDRESS(MATCH("",$A:$A,-1),1,1,1)),$A16,$T$21:INDIRECT(ADDRESS(MATCH("",$A:$A,-1),20,1,1)))</f>
        <v>0</v>
      </c>
      <c r="U16" s="37">
        <f ca="1">SUMIF($A$21:INDIRECT(ADDRESS(MATCH("",$A:$A,-1),2,1,1)),$A16&amp;"*",$U$21:INDIRECT(ADDRESS(MATCH("",$A:$A,-1),21,1,1)))</f>
        <v>0</v>
      </c>
      <c r="V16" s="286">
        <f>B16</f>
        <v>0</v>
      </c>
      <c r="W16" s="287"/>
      <c r="X16" s="61" t="str">
        <f t="shared" ca="1" si="1"/>
        <v>N/A</v>
      </c>
      <c r="Y16" s="61" t="str">
        <f t="shared" ca="1" si="2"/>
        <v>N/A</v>
      </c>
    </row>
    <row r="17" spans="1:25" ht="20.100000000000001" customHeight="1">
      <c r="A17" s="288" t="s">
        <v>121</v>
      </c>
      <c r="B17" s="289"/>
      <c r="C17" s="290"/>
      <c r="D17" s="124">
        <f ca="1">SUM(D12:D16)</f>
        <v>20</v>
      </c>
      <c r="E17" s="124">
        <f ca="1">SUM(E12:E16)</f>
        <v>19</v>
      </c>
      <c r="F17" s="124">
        <f ca="1">SUM(F12:F16)</f>
        <v>15</v>
      </c>
      <c r="G17" s="125">
        <f ca="1">SUM(G12:G16)</f>
        <v>0</v>
      </c>
      <c r="H17" s="126" t="e">
        <f t="shared" ca="1" si="0"/>
        <v>#REF!</v>
      </c>
      <c r="I17" s="284"/>
      <c r="J17" s="135">
        <f ca="1">SUM(J12:J16)</f>
        <v>0</v>
      </c>
      <c r="K17" s="124">
        <f ca="1">SUM(K12:K16)</f>
        <v>1</v>
      </c>
      <c r="L17" s="124">
        <f ca="1">SUM(L12:L16)</f>
        <v>0</v>
      </c>
      <c r="M17" s="124">
        <f ca="1">SUM(M12:M16)</f>
        <v>0</v>
      </c>
      <c r="N17" s="127">
        <f ca="1">IF($O17="N/A","N/A",IFERROR($J17/($F17-(M17-G17)),"N/A"))</f>
        <v>0</v>
      </c>
      <c r="O17" s="128">
        <f ca="1">IF($G17=$D17,"N/A",IFERROR((T17/U17),"N/A"))</f>
        <v>1.2432432432432432</v>
      </c>
      <c r="R17" s="39" t="e">
        <f ca="1">SUM(R12:R16)</f>
        <v>#REF!</v>
      </c>
      <c r="S17" s="40">
        <f ca="1">SUM(S12:S16)</f>
        <v>1</v>
      </c>
      <c r="T17" s="40">
        <f ca="1">SUM(T12:T16)</f>
        <v>46</v>
      </c>
      <c r="U17" s="39">
        <f ca="1">SUM(U12:U16)</f>
        <v>37</v>
      </c>
      <c r="V17" s="291" t="s">
        <v>140</v>
      </c>
      <c r="W17" s="292"/>
      <c r="X17" s="60" t="e">
        <f t="shared" ca="1" si="1"/>
        <v>#REF!</v>
      </c>
      <c r="Y17" s="60">
        <f t="shared" ca="1" si="2"/>
        <v>1.2432432432432432</v>
      </c>
    </row>
    <row r="18" spans="1:25">
      <c r="A18" s="9"/>
      <c r="B18" s="9"/>
      <c r="C18" s="9"/>
      <c r="D18" s="9"/>
      <c r="E18" s="9"/>
      <c r="F18" s="9"/>
      <c r="G18" s="9"/>
      <c r="H18" s="9"/>
      <c r="I18" s="9"/>
      <c r="M18" s="9"/>
      <c r="N18" s="9"/>
    </row>
    <row r="19" spans="1:25">
      <c r="A19" s="9" t="s">
        <v>126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7" t="s">
        <v>53</v>
      </c>
      <c r="S19" s="17"/>
    </row>
    <row r="20" spans="1:25" ht="21.95" customHeight="1">
      <c r="A20" s="293" t="s">
        <v>79</v>
      </c>
      <c r="B20" s="294"/>
      <c r="C20" s="295" t="s">
        <v>201</v>
      </c>
      <c r="D20" s="295"/>
      <c r="E20" s="295"/>
      <c r="F20" s="296" t="s">
        <v>101</v>
      </c>
      <c r="G20" s="295"/>
      <c r="H20" s="131" t="s">
        <v>218</v>
      </c>
      <c r="I20" s="132" t="s">
        <v>143</v>
      </c>
      <c r="J20" s="130" t="s">
        <v>233</v>
      </c>
      <c r="K20" s="132" t="s">
        <v>198</v>
      </c>
      <c r="L20" s="296" t="s">
        <v>245</v>
      </c>
      <c r="M20" s="295"/>
      <c r="N20" s="295"/>
      <c r="O20" s="295"/>
      <c r="P20" s="297"/>
      <c r="Q20" s="133" t="s">
        <v>112</v>
      </c>
      <c r="R20" s="45" t="s">
        <v>144</v>
      </c>
      <c r="S20" s="44" t="s">
        <v>119</v>
      </c>
      <c r="T20" s="25" t="s">
        <v>125</v>
      </c>
      <c r="U20" s="44" t="s">
        <v>127</v>
      </c>
      <c r="V20" s="298" t="s">
        <v>233</v>
      </c>
      <c r="W20" s="299"/>
      <c r="Y20" s="62"/>
    </row>
    <row r="21" spans="1:25" ht="12" customHeight="1">
      <c r="A21" s="32" t="str">
        <f>ChkList!A5</f>
        <v>계정 관리</v>
      </c>
      <c r="B21" s="51" t="str">
        <f>ChkList!B5</f>
        <v>W-01</v>
      </c>
      <c r="C21" s="300" t="str">
        <f>ChkList!C5</f>
        <v>Administrator 계정 이름 변경 등 보안성 강화</v>
      </c>
      <c r="D21" s="301"/>
      <c r="E21" s="302"/>
      <c r="F21" s="32" t="str">
        <f>ChkList!D5</f>
        <v>H</v>
      </c>
      <c r="G21" s="32">
        <f>ChkList!E5</f>
        <v>3</v>
      </c>
      <c r="H21" s="323" t="s">
        <v>88</v>
      </c>
      <c r="I21" s="152" t="s">
        <v>419</v>
      </c>
      <c r="J21" s="29" t="s">
        <v>315</v>
      </c>
      <c r="K21" s="29" t="str">
        <f>IF($J21="","",IF(OR($H21="Y",$H21="N/A",$H21="Y(즉시조치)"),$H21,IF(AND($H21="N",$J21="Y"),"조치",IF(AND($H21="N",$J21="N/A"),"N/A",IF(IFERROR(FIND("위험수용",$L21),0),"위험수용","미조치")))))</f>
        <v>Y</v>
      </c>
      <c r="L21" s="303" t="s">
        <v>318</v>
      </c>
      <c r="M21" s="304"/>
      <c r="N21" s="304"/>
      <c r="O21" s="304"/>
      <c r="P21" s="305"/>
      <c r="Q21" s="21"/>
      <c r="R21" s="32">
        <f>IF($H21="N/A",0,VLOOKUP($F21,'parm(hidden)'!$B$8:$C$10,2,FALSE))*1</f>
        <v>3</v>
      </c>
      <c r="S21" s="32">
        <f>IFERROR(VLOOKUP($F21,'parm(hidden)'!$B$8:$C$10,2,FALSE)*VLOOKUP(#REF!,'parm(hidden)'!$B$15:$C$19,2,FALSE),0)</f>
        <v>0</v>
      </c>
      <c r="T21" s="32">
        <f>IFERROR(VLOOKUP($F21,'parm(hidden)'!$B$8:$C$10,2,FALSE)*VLOOKUP($K21,$V$22:$W$27,2,FALSE),0)</f>
        <v>3</v>
      </c>
      <c r="U21" s="11">
        <f>IF($J21="N/A",0,VLOOKUP($F21,'parm(hidden)'!$B$8:$C$10,2,FALSE))*1</f>
        <v>3</v>
      </c>
      <c r="V21" s="52" t="s">
        <v>82</v>
      </c>
      <c r="W21" s="38" t="s">
        <v>102</v>
      </c>
      <c r="Y21" s="10"/>
    </row>
    <row r="22" spans="1:25" ht="12" customHeight="1">
      <c r="A22" s="170" t="str">
        <f>ChkList!A6</f>
        <v>계정 관리</v>
      </c>
      <c r="B22" s="172" t="str">
        <f>ChkList!B6</f>
        <v>W-02</v>
      </c>
      <c r="C22" s="300" t="str">
        <f>ChkList!C6</f>
        <v>Guest 계정 비활성화</v>
      </c>
      <c r="D22" s="301"/>
      <c r="E22" s="302"/>
      <c r="F22" s="170" t="str">
        <f>ChkList!D6</f>
        <v>H</v>
      </c>
      <c r="G22" s="170">
        <f>ChkList!E6</f>
        <v>3</v>
      </c>
      <c r="H22" s="323" t="s">
        <v>88</v>
      </c>
      <c r="I22" s="152" t="s">
        <v>418</v>
      </c>
      <c r="J22" s="29" t="s">
        <v>88</v>
      </c>
      <c r="K22" s="171" t="str">
        <f t="shared" ref="K22:K84" si="3">IF($J22="","",IF(OR($H22="Y",$H22="N/A",$H22="Y(즉시조치)"),$H22,IF(AND($H22="N",$J22="Y"),"조치",IF(AND($H22="N",$J22="N/A"),"N/A",IF(IFERROR(FIND("위험수용",$L22),0),"위험수용","미조치")))))</f>
        <v>Y</v>
      </c>
      <c r="L22" s="300" t="s">
        <v>291</v>
      </c>
      <c r="M22" s="301"/>
      <c r="N22" s="301"/>
      <c r="O22" s="301"/>
      <c r="P22" s="302"/>
      <c r="Q22" s="21"/>
      <c r="R22" s="32">
        <f>IF($H22="N/A",0,VLOOKUP($F22,'parm(hidden)'!$B$8:$C$10,2,FALSE))*1</f>
        <v>3</v>
      </c>
      <c r="S22" s="32">
        <f>IFERROR(VLOOKUP($F22,'parm(hidden)'!$B$8:$C$10,2,FALSE)*VLOOKUP(#REF!,'parm(hidden)'!$B$15:$C$19,2,FALSE),0)</f>
        <v>0</v>
      </c>
      <c r="T22" s="32">
        <f>IFERROR(VLOOKUP($F22,'parm(hidden)'!$B$8:$C$10,2,FALSE)*VLOOKUP($K22,$V$22:$W$27,2,FALSE),0)</f>
        <v>3</v>
      </c>
      <c r="U22" s="11">
        <f>IF($J22="N/A",0,VLOOKUP($F22,'parm(hidden)'!$B$8:$C$10,2,FALSE))*1</f>
        <v>3</v>
      </c>
      <c r="V22" s="54" t="s">
        <v>110</v>
      </c>
      <c r="W22" s="29">
        <v>1</v>
      </c>
      <c r="Y22" s="10"/>
    </row>
    <row r="23" spans="1:25" ht="12" customHeight="1">
      <c r="A23" s="170" t="str">
        <f>ChkList!A7</f>
        <v>계정 관리</v>
      </c>
      <c r="B23" s="172" t="str">
        <f>ChkList!B7</f>
        <v>W-03</v>
      </c>
      <c r="C23" s="300" t="str">
        <f>ChkList!C7</f>
        <v>불필요한 계정 제거</v>
      </c>
      <c r="D23" s="301"/>
      <c r="E23" s="302"/>
      <c r="F23" s="170" t="str">
        <f>ChkList!D7</f>
        <v>H</v>
      </c>
      <c r="G23" s="170">
        <f>ChkList!E7</f>
        <v>3</v>
      </c>
      <c r="H23" s="157" t="s">
        <v>88</v>
      </c>
      <c r="I23" s="152" t="s">
        <v>420</v>
      </c>
      <c r="J23" s="29" t="s">
        <v>100</v>
      </c>
      <c r="K23" s="171" t="str">
        <f t="shared" si="3"/>
        <v>Y</v>
      </c>
      <c r="L23" s="300"/>
      <c r="M23" s="301"/>
      <c r="N23" s="301"/>
      <c r="O23" s="301"/>
      <c r="P23" s="302"/>
      <c r="Q23" s="21"/>
      <c r="R23" s="32">
        <f>IF($H23="N/A",0,VLOOKUP($F23,'parm(hidden)'!$B$8:$C$10,2,FALSE))*1</f>
        <v>3</v>
      </c>
      <c r="S23" s="32">
        <f>IFERROR(VLOOKUP($F23,'parm(hidden)'!$B$8:$C$10,2,FALSE)*VLOOKUP(#REF!,'parm(hidden)'!$B$15:$C$19,2,FALSE),0)</f>
        <v>0</v>
      </c>
      <c r="T23" s="32">
        <f>IFERROR(VLOOKUP($F23,'parm(hidden)'!$B$8:$C$10,2,FALSE)*VLOOKUP($K23,$V$22:$W$27,2,FALSE),0)</f>
        <v>3</v>
      </c>
      <c r="U23" s="11">
        <f>IF($J23="N/A",0,VLOOKUP($F23,'parm(hidden)'!$B$8:$C$10,2,FALSE))*1</f>
        <v>3</v>
      </c>
      <c r="V23" s="54" t="s">
        <v>97</v>
      </c>
      <c r="W23" s="29">
        <v>0</v>
      </c>
      <c r="Y23" s="10"/>
    </row>
    <row r="24" spans="1:25" ht="12" customHeight="1">
      <c r="A24" s="170" t="str">
        <f>ChkList!A8</f>
        <v>계정 관리</v>
      </c>
      <c r="B24" s="172" t="str">
        <f>ChkList!B8</f>
        <v>W-04</v>
      </c>
      <c r="C24" s="300" t="str">
        <f>ChkList!C8</f>
        <v>계정 잠금 임계값 설정</v>
      </c>
      <c r="D24" s="301"/>
      <c r="E24" s="302"/>
      <c r="F24" s="170" t="str">
        <f>ChkList!D8</f>
        <v>H</v>
      </c>
      <c r="G24" s="170">
        <f>ChkList!E8</f>
        <v>3</v>
      </c>
      <c r="H24" s="323" t="s">
        <v>88</v>
      </c>
      <c r="I24" s="152" t="s">
        <v>421</v>
      </c>
      <c r="J24" s="29" t="s">
        <v>88</v>
      </c>
      <c r="K24" s="171" t="str">
        <f t="shared" si="3"/>
        <v>Y</v>
      </c>
      <c r="L24" s="300" t="s">
        <v>290</v>
      </c>
      <c r="M24" s="301"/>
      <c r="N24" s="301"/>
      <c r="O24" s="301"/>
      <c r="P24" s="302"/>
      <c r="Q24" s="21"/>
      <c r="R24" s="32">
        <f>IF($H24="N/A",0,VLOOKUP($F24,'parm(hidden)'!$B$8:$C$10,2,FALSE))*1</f>
        <v>3</v>
      </c>
      <c r="S24" s="32">
        <f>IFERROR(VLOOKUP($F24,'parm(hidden)'!$B$8:$C$10,2,FALSE)*VLOOKUP(#REF!,'parm(hidden)'!$B$15:$C$19,2,FALSE),0)</f>
        <v>0</v>
      </c>
      <c r="T24" s="32">
        <f>IFERROR(VLOOKUP($F24,'parm(hidden)'!$B$8:$C$10,2,FALSE)*VLOOKUP($K24,$V$22:$W$27,2,FALSE),0)</f>
        <v>3</v>
      </c>
      <c r="U24" s="11">
        <f>IF($J24="N/A",0,VLOOKUP($F24,'parm(hidden)'!$B$8:$C$10,2,FALSE))*1</f>
        <v>3</v>
      </c>
      <c r="V24" s="54" t="s">
        <v>219</v>
      </c>
      <c r="W24" s="29">
        <v>0</v>
      </c>
      <c r="Y24" s="10"/>
    </row>
    <row r="25" spans="1:25" ht="12" customHeight="1">
      <c r="A25" s="170" t="str">
        <f>ChkList!A9</f>
        <v>계정 관리</v>
      </c>
      <c r="B25" s="172" t="str">
        <f>ChkList!B9</f>
        <v>W-05</v>
      </c>
      <c r="C25" s="300" t="str">
        <f>ChkList!C9</f>
        <v>해독 가능한 암호화를 사용하여 암호 저장 해제</v>
      </c>
      <c r="D25" s="301"/>
      <c r="E25" s="302"/>
      <c r="F25" s="170" t="str">
        <f>ChkList!D9</f>
        <v>H</v>
      </c>
      <c r="G25" s="170">
        <f>ChkList!E9</f>
        <v>3</v>
      </c>
      <c r="H25" s="157" t="s">
        <v>88</v>
      </c>
      <c r="I25" s="152" t="s">
        <v>422</v>
      </c>
      <c r="J25" s="29" t="s">
        <v>100</v>
      </c>
      <c r="K25" s="171" t="str">
        <f t="shared" si="3"/>
        <v>Y</v>
      </c>
      <c r="L25" s="300"/>
      <c r="M25" s="301"/>
      <c r="N25" s="301"/>
      <c r="O25" s="301"/>
      <c r="P25" s="302"/>
      <c r="Q25" s="21"/>
      <c r="R25" s="32">
        <f>IF($H25="N/A",0,VLOOKUP($F25,'parm(hidden)'!$B$8:$C$10,2,FALSE))*1</f>
        <v>3</v>
      </c>
      <c r="S25" s="32">
        <f>IFERROR(VLOOKUP($F25,'parm(hidden)'!$B$8:$C$10,2,FALSE)*VLOOKUP(#REF!,'parm(hidden)'!$B$15:$C$19,2,FALSE),0)</f>
        <v>0</v>
      </c>
      <c r="T25" s="32">
        <f>IFERROR(VLOOKUP($F25,'parm(hidden)'!$B$8:$C$10,2,FALSE)*VLOOKUP($K25,$V$22:$W$27,2,FALSE),0)</f>
        <v>3</v>
      </c>
      <c r="U25" s="11">
        <f>IF($J25="N/A",0,VLOOKUP($F25,'parm(hidden)'!$B$8:$C$10,2,FALSE))*1</f>
        <v>3</v>
      </c>
      <c r="V25" s="54" t="s">
        <v>78</v>
      </c>
      <c r="W25" s="29">
        <v>0</v>
      </c>
      <c r="Y25" s="10"/>
    </row>
    <row r="26" spans="1:25" ht="12" customHeight="1">
      <c r="A26" s="170" t="str">
        <f>ChkList!A10</f>
        <v>계정 관리</v>
      </c>
      <c r="B26" s="172" t="str">
        <f>ChkList!B10</f>
        <v>W-06</v>
      </c>
      <c r="C26" s="300" t="str">
        <f>ChkList!C10</f>
        <v>관리자 그룹에 최소한의 사용자 포함</v>
      </c>
      <c r="D26" s="301"/>
      <c r="E26" s="302"/>
      <c r="F26" s="170" t="str">
        <f>ChkList!D10</f>
        <v>H</v>
      </c>
      <c r="G26" s="170">
        <f>ChkList!E10</f>
        <v>3</v>
      </c>
      <c r="H26" s="157" t="s">
        <v>88</v>
      </c>
      <c r="I26" s="152" t="s">
        <v>21</v>
      </c>
      <c r="J26" s="29" t="s">
        <v>100</v>
      </c>
      <c r="K26" s="171" t="str">
        <f t="shared" si="3"/>
        <v>Y</v>
      </c>
      <c r="L26" s="300"/>
      <c r="M26" s="301"/>
      <c r="N26" s="301"/>
      <c r="O26" s="301"/>
      <c r="P26" s="302"/>
      <c r="Q26" s="21"/>
      <c r="R26" s="32">
        <f>IF($H26="N/A",0,VLOOKUP($F26,'parm(hidden)'!$B$8:$C$10,2,FALSE))*1</f>
        <v>3</v>
      </c>
      <c r="S26" s="32">
        <f>IFERROR(VLOOKUP($F26,'parm(hidden)'!$B$8:$C$10,2,FALSE)*VLOOKUP(#REF!,'parm(hidden)'!$B$15:$C$19,2,FALSE),0)</f>
        <v>0</v>
      </c>
      <c r="T26" s="32">
        <f>IFERROR(VLOOKUP($F26,'parm(hidden)'!$B$8:$C$10,2,FALSE)*VLOOKUP($K26,$V$22:$W$27,2,FALSE),0)</f>
        <v>3</v>
      </c>
      <c r="U26" s="11">
        <f>IF($J26="N/A",0,VLOOKUP($F26,'parm(hidden)'!$B$8:$C$10,2,FALSE))*1</f>
        <v>3</v>
      </c>
      <c r="V26" s="54" t="s">
        <v>88</v>
      </c>
      <c r="W26" s="29">
        <v>1</v>
      </c>
      <c r="Y26" s="10"/>
    </row>
    <row r="27" spans="1:25" ht="12" customHeight="1">
      <c r="A27" s="170" t="str">
        <f>ChkList!A11</f>
        <v>계정 관리</v>
      </c>
      <c r="B27" s="172" t="str">
        <f>ChkList!B11</f>
        <v>W-07</v>
      </c>
      <c r="C27" s="300" t="str">
        <f>ChkList!C11</f>
        <v>Everyone 사용 권한을 익명 사용자에 적용</v>
      </c>
      <c r="D27" s="301"/>
      <c r="E27" s="302"/>
      <c r="F27" s="170" t="str">
        <f>ChkList!D11</f>
        <v>M</v>
      </c>
      <c r="G27" s="170">
        <f>ChkList!E11</f>
        <v>2</v>
      </c>
      <c r="H27" s="157" t="s">
        <v>88</v>
      </c>
      <c r="I27" s="152" t="s">
        <v>16</v>
      </c>
      <c r="J27" s="29" t="s">
        <v>100</v>
      </c>
      <c r="K27" s="171" t="str">
        <f t="shared" si="3"/>
        <v>Y</v>
      </c>
      <c r="L27" s="300"/>
      <c r="M27" s="301"/>
      <c r="N27" s="301"/>
      <c r="O27" s="301"/>
      <c r="P27" s="302"/>
      <c r="Q27" s="21"/>
      <c r="R27" s="32">
        <f>IF($H27="N/A",0,VLOOKUP($F27,'parm(hidden)'!$B$8:$C$10,2,FALSE))*1</f>
        <v>2</v>
      </c>
      <c r="S27" s="32">
        <f>IFERROR(VLOOKUP($F27,'parm(hidden)'!$B$8:$C$10,2,FALSE)*VLOOKUP(#REF!,'parm(hidden)'!$B$15:$C$19,2,FALSE),0)</f>
        <v>0</v>
      </c>
      <c r="T27" s="32">
        <f>IFERROR(VLOOKUP($F27,'parm(hidden)'!$B$8:$C$10,2,FALSE)*VLOOKUP($K27,$V$22:$W$27,2,FALSE),0)</f>
        <v>2</v>
      </c>
      <c r="U27" s="11">
        <f>IF($J27="N/A",0,VLOOKUP($F27,'parm(hidden)'!$B$8:$C$10,2,FALSE))*1</f>
        <v>2</v>
      </c>
      <c r="V27" s="54" t="s">
        <v>193</v>
      </c>
      <c r="W27" s="29">
        <v>1</v>
      </c>
      <c r="Y27" s="10"/>
    </row>
    <row r="28" spans="1:25" ht="12" customHeight="1">
      <c r="A28" s="170" t="str">
        <f>ChkList!A12</f>
        <v>계정 관리</v>
      </c>
      <c r="B28" s="172" t="str">
        <f>ChkList!B12</f>
        <v>W-08</v>
      </c>
      <c r="C28" s="300" t="str">
        <f>ChkList!C12</f>
        <v>계정 잠금 기간 설정</v>
      </c>
      <c r="D28" s="301"/>
      <c r="E28" s="302"/>
      <c r="F28" s="170" t="str">
        <f>ChkList!D12</f>
        <v>M</v>
      </c>
      <c r="G28" s="170">
        <f>ChkList!E12</f>
        <v>2</v>
      </c>
      <c r="H28" s="323" t="s">
        <v>88</v>
      </c>
      <c r="I28" s="152" t="s">
        <v>423</v>
      </c>
      <c r="J28" s="29" t="s">
        <v>88</v>
      </c>
      <c r="K28" s="171" t="str">
        <f t="shared" si="3"/>
        <v>Y</v>
      </c>
      <c r="L28" s="300" t="s">
        <v>292</v>
      </c>
      <c r="M28" s="301"/>
      <c r="N28" s="301"/>
      <c r="O28" s="301"/>
      <c r="P28" s="302"/>
      <c r="Q28" s="21"/>
      <c r="R28" s="32">
        <f>IF($H28="N/A",0,VLOOKUP($F28,'parm(hidden)'!$B$8:$C$10,2,FALSE))*1</f>
        <v>2</v>
      </c>
      <c r="S28" s="32">
        <f>IFERROR(VLOOKUP($F28,'parm(hidden)'!$B$8:$C$10,2,FALSE)*VLOOKUP(#REF!,'parm(hidden)'!$B$15:$C$19,2,FALSE),0)</f>
        <v>0</v>
      </c>
      <c r="T28" s="32">
        <f>IFERROR(VLOOKUP($F28,'parm(hidden)'!$B$8:$C$10,2,FALSE)*VLOOKUP($K28,$V$22:$W$27,2,FALSE),0)</f>
        <v>2</v>
      </c>
      <c r="U28" s="11">
        <f>IF($J28="N/A",0,VLOOKUP($F28,'parm(hidden)'!$B$8:$C$10,2,FALSE))*1</f>
        <v>2</v>
      </c>
      <c r="V28" s="10"/>
      <c r="W28" s="10"/>
      <c r="Y28" s="10"/>
    </row>
    <row r="29" spans="1:25" ht="12" customHeight="1">
      <c r="A29" s="170" t="str">
        <f>ChkList!A13</f>
        <v>계정 관리</v>
      </c>
      <c r="B29" s="172" t="str">
        <f>ChkList!B13</f>
        <v>W-09</v>
      </c>
      <c r="C29" s="300" t="str">
        <f>ChkList!C13</f>
        <v>비밀번호 관리 정책 설정</v>
      </c>
      <c r="D29" s="301"/>
      <c r="E29" s="302"/>
      <c r="F29" s="170" t="str">
        <f>ChkList!D13</f>
        <v>H</v>
      </c>
      <c r="G29" s="170">
        <f>ChkList!E13</f>
        <v>3</v>
      </c>
      <c r="H29" s="323" t="s">
        <v>88</v>
      </c>
      <c r="I29" s="153" t="s">
        <v>442</v>
      </c>
      <c r="J29" s="29" t="s">
        <v>88</v>
      </c>
      <c r="K29" s="171" t="str">
        <f t="shared" si="3"/>
        <v>Y</v>
      </c>
      <c r="L29" s="300" t="s">
        <v>293</v>
      </c>
      <c r="M29" s="301"/>
      <c r="N29" s="301"/>
      <c r="O29" s="301"/>
      <c r="P29" s="302"/>
      <c r="Q29" s="21"/>
      <c r="R29" s="32">
        <f>IF($H29="N/A",0,VLOOKUP($F29,'parm(hidden)'!$B$8:$C$10,2,FALSE))*1</f>
        <v>3</v>
      </c>
      <c r="S29" s="32">
        <f>IFERROR(VLOOKUP($F29,'parm(hidden)'!$B$8:$C$10,2,FALSE)*VLOOKUP(#REF!,'parm(hidden)'!$B$15:$C$19,2,FALSE),0)</f>
        <v>0</v>
      </c>
      <c r="T29" s="32">
        <f>IFERROR(VLOOKUP($F29,'parm(hidden)'!$B$8:$C$10,2,FALSE)*VLOOKUP($K29,$V$22:$W$27,2,FALSE),0)</f>
        <v>3</v>
      </c>
      <c r="U29" s="11">
        <f>IF($J29="N/A",0,VLOOKUP($F29,'parm(hidden)'!$B$8:$C$10,2,FALSE))*1</f>
        <v>3</v>
      </c>
      <c r="V29" s="10"/>
      <c r="W29" s="10"/>
      <c r="Y29" s="10"/>
    </row>
    <row r="30" spans="1:25" ht="12" customHeight="1">
      <c r="A30" s="170" t="str">
        <f>ChkList!A14</f>
        <v>계정 관리</v>
      </c>
      <c r="B30" s="172" t="str">
        <f>ChkList!B14</f>
        <v>W-10</v>
      </c>
      <c r="C30" s="300" t="str">
        <f>ChkList!C14</f>
        <v>마지막 사용자 이름 표시 안 함</v>
      </c>
      <c r="D30" s="301"/>
      <c r="E30" s="302"/>
      <c r="F30" s="170" t="str">
        <f>ChkList!D14</f>
        <v>M</v>
      </c>
      <c r="G30" s="170">
        <f>ChkList!E14</f>
        <v>2</v>
      </c>
      <c r="H30" s="323" t="s">
        <v>88</v>
      </c>
      <c r="I30" s="153" t="s">
        <v>441</v>
      </c>
      <c r="J30" s="29" t="s">
        <v>88</v>
      </c>
      <c r="K30" s="171" t="str">
        <f t="shared" si="3"/>
        <v>Y</v>
      </c>
      <c r="L30" s="300" t="s">
        <v>294</v>
      </c>
      <c r="M30" s="301"/>
      <c r="N30" s="301"/>
      <c r="O30" s="301"/>
      <c r="P30" s="302"/>
      <c r="Q30" s="21"/>
      <c r="R30" s="32">
        <f>IF($H30="N/A",0,VLOOKUP($F30,'parm(hidden)'!$B$8:$C$10,2,FALSE))*1</f>
        <v>2</v>
      </c>
      <c r="S30" s="32">
        <f>IFERROR(VLOOKUP($F30,'parm(hidden)'!$B$8:$C$10,2,FALSE)*VLOOKUP(#REF!,'parm(hidden)'!$B$15:$C$19,2,FALSE),0)</f>
        <v>0</v>
      </c>
      <c r="T30" s="32">
        <f>IFERROR(VLOOKUP($F30,'parm(hidden)'!$B$8:$C$10,2,FALSE)*VLOOKUP($K30,$V$22:$W$27,2,FALSE),0)</f>
        <v>2</v>
      </c>
      <c r="U30" s="11">
        <f>IF($J30="N/A",0,VLOOKUP($F30,'parm(hidden)'!$B$8:$C$10,2,FALSE))*1</f>
        <v>2</v>
      </c>
      <c r="V30" s="10"/>
      <c r="W30" s="10"/>
      <c r="Y30" s="10"/>
    </row>
    <row r="31" spans="1:25" ht="12" customHeight="1">
      <c r="A31" s="170" t="str">
        <f>ChkList!A15</f>
        <v>계정 관리</v>
      </c>
      <c r="B31" s="172" t="str">
        <f>ChkList!B15</f>
        <v>W-11</v>
      </c>
      <c r="C31" s="300" t="str">
        <f>ChkList!C15</f>
        <v>로컬 로그온 허용</v>
      </c>
      <c r="D31" s="301"/>
      <c r="E31" s="302"/>
      <c r="F31" s="170" t="str">
        <f>ChkList!D15</f>
        <v>M</v>
      </c>
      <c r="G31" s="170">
        <f>ChkList!E15</f>
        <v>2</v>
      </c>
      <c r="H31" s="323" t="s">
        <v>88</v>
      </c>
      <c r="I31" s="153" t="s">
        <v>424</v>
      </c>
      <c r="J31" s="29" t="s">
        <v>88</v>
      </c>
      <c r="K31" s="171" t="str">
        <f t="shared" si="3"/>
        <v>Y</v>
      </c>
      <c r="L31" s="300" t="s">
        <v>295</v>
      </c>
      <c r="M31" s="301"/>
      <c r="N31" s="301"/>
      <c r="O31" s="301"/>
      <c r="P31" s="302"/>
      <c r="Q31" s="21"/>
      <c r="R31" s="32" t="e">
        <f>IF(#REF!="N/A",0,VLOOKUP($F31,'parm(hidden)'!$B$8:$C$10,2,FALSE))*1</f>
        <v>#REF!</v>
      </c>
      <c r="S31" s="32">
        <f>IFERROR(VLOOKUP($F31,'parm(hidden)'!$B$8:$C$10,2,FALSE)*VLOOKUP(#REF!,'parm(hidden)'!$B$15:$C$19,2,FALSE),0)</f>
        <v>0</v>
      </c>
      <c r="T31" s="32">
        <f>IFERROR(VLOOKUP($F31,'parm(hidden)'!$B$8:$C$10,2,FALSE)*VLOOKUP($K31,$V$22:$W$27,2,FALSE),0)</f>
        <v>2</v>
      </c>
      <c r="U31" s="11">
        <f>IF($J31="N/A",0,VLOOKUP($F31,'parm(hidden)'!$B$8:$C$10,2,FALSE))*1</f>
        <v>2</v>
      </c>
      <c r="V31" s="10"/>
      <c r="W31" s="10"/>
      <c r="Y31" s="10"/>
    </row>
    <row r="32" spans="1:25" ht="12" customHeight="1">
      <c r="A32" s="170" t="str">
        <f>ChkList!A16</f>
        <v>계정 관리</v>
      </c>
      <c r="B32" s="172" t="str">
        <f>ChkList!B16</f>
        <v>W-12</v>
      </c>
      <c r="C32" s="300" t="str">
        <f>ChkList!C16</f>
        <v>익명 SID/이름 변환 허용 해제</v>
      </c>
      <c r="D32" s="301"/>
      <c r="E32" s="302"/>
      <c r="F32" s="170" t="str">
        <f>ChkList!D16</f>
        <v>M</v>
      </c>
      <c r="G32" s="170">
        <f>ChkList!E16</f>
        <v>2</v>
      </c>
      <c r="H32" s="323" t="s">
        <v>88</v>
      </c>
      <c r="I32" s="152" t="s">
        <v>425</v>
      </c>
      <c r="J32" s="29" t="s">
        <v>88</v>
      </c>
      <c r="K32" s="171" t="str">
        <f t="shared" si="3"/>
        <v>Y</v>
      </c>
      <c r="L32" s="300" t="s">
        <v>296</v>
      </c>
      <c r="M32" s="301"/>
      <c r="N32" s="301"/>
      <c r="O32" s="301"/>
      <c r="P32" s="302"/>
      <c r="Q32" s="21"/>
      <c r="R32" s="32">
        <f>IF($H31="N/A",0,VLOOKUP($F32,'parm(hidden)'!$B$8:$C$10,2,FALSE))*1</f>
        <v>2</v>
      </c>
      <c r="S32" s="32">
        <f>IFERROR(VLOOKUP($F32,'parm(hidden)'!$B$8:$C$10,2,FALSE)*VLOOKUP(#REF!,'parm(hidden)'!$B$15:$C$19,2,FALSE),0)</f>
        <v>0</v>
      </c>
      <c r="T32" s="32">
        <f>IFERROR(VLOOKUP($F32,'parm(hidden)'!$B$8:$C$10,2,FALSE)*VLOOKUP($K32,$V$22:$W$27,2,FALSE),0)</f>
        <v>2</v>
      </c>
      <c r="U32" s="11">
        <f>IF($J32="N/A",0,VLOOKUP($F32,'parm(hidden)'!$B$8:$C$10,2,FALSE))*1</f>
        <v>2</v>
      </c>
      <c r="V32" s="10"/>
      <c r="W32" s="10"/>
      <c r="Y32" s="10"/>
    </row>
    <row r="33" spans="1:25" ht="12" customHeight="1">
      <c r="A33" s="170" t="str">
        <f>ChkList!A17</f>
        <v>계정 관리</v>
      </c>
      <c r="B33" s="172" t="str">
        <f>ChkList!B17</f>
        <v>W-13</v>
      </c>
      <c r="C33" s="300" t="str">
        <f>ChkList!C17</f>
        <v>콘솔 로그온 시 로컬 계정에서 빈 암호 사용 제한</v>
      </c>
      <c r="D33" s="301"/>
      <c r="E33" s="302"/>
      <c r="F33" s="170" t="str">
        <f>ChkList!D17</f>
        <v>M</v>
      </c>
      <c r="G33" s="170">
        <f>ChkList!E17</f>
        <v>2</v>
      </c>
      <c r="H33" s="323" t="s">
        <v>88</v>
      </c>
      <c r="I33" s="152" t="s">
        <v>426</v>
      </c>
      <c r="J33" s="29" t="s">
        <v>88</v>
      </c>
      <c r="K33" s="171" t="str">
        <f t="shared" si="3"/>
        <v>Y</v>
      </c>
      <c r="L33" s="300" t="s">
        <v>297</v>
      </c>
      <c r="M33" s="301"/>
      <c r="N33" s="301"/>
      <c r="O33" s="301"/>
      <c r="P33" s="302"/>
      <c r="Q33" s="21"/>
      <c r="R33" s="32">
        <f>IF($H32="N/A",0,VLOOKUP($F33,'parm(hidden)'!$B$8:$C$10,2,FALSE))*1</f>
        <v>2</v>
      </c>
      <c r="S33" s="32">
        <f>IFERROR(VLOOKUP($F33,'parm(hidden)'!$B$8:$C$10,2,FALSE)*VLOOKUP(#REF!,'parm(hidden)'!$B$15:$C$19,2,FALSE),0)</f>
        <v>0</v>
      </c>
      <c r="T33" s="32">
        <f>IFERROR(VLOOKUP($F33,'parm(hidden)'!$B$8:$C$10,2,FALSE)*VLOOKUP($K33,$V$22:$W$27,2,FALSE),0)</f>
        <v>2</v>
      </c>
      <c r="U33" s="11">
        <f>IF($J33="N/A",0,VLOOKUP($F33,'parm(hidden)'!$B$8:$C$10,2,FALSE))*1</f>
        <v>2</v>
      </c>
      <c r="V33" s="10"/>
      <c r="W33" s="10"/>
      <c r="Y33" s="10"/>
    </row>
    <row r="34" spans="1:25" ht="12" customHeight="1">
      <c r="A34" s="170" t="str">
        <f>ChkList!A18</f>
        <v>계정 관리</v>
      </c>
      <c r="B34" s="172" t="str">
        <f>ChkList!B18</f>
        <v>W-14</v>
      </c>
      <c r="C34" s="300" t="str">
        <f>ChkList!C18</f>
        <v>원격터미널 접속 가능한 사용자 그룹 제한</v>
      </c>
      <c r="D34" s="301"/>
      <c r="E34" s="302"/>
      <c r="F34" s="170" t="str">
        <f>ChkList!D18</f>
        <v>M</v>
      </c>
      <c r="G34" s="170">
        <f>ChkList!E18</f>
        <v>2</v>
      </c>
      <c r="H34" s="157" t="s">
        <v>88</v>
      </c>
      <c r="I34" s="152" t="s">
        <v>427</v>
      </c>
      <c r="J34" s="29" t="s">
        <v>88</v>
      </c>
      <c r="K34" s="171" t="str">
        <f t="shared" si="3"/>
        <v>Y</v>
      </c>
      <c r="L34" s="300" t="s">
        <v>298</v>
      </c>
      <c r="M34" s="301"/>
      <c r="N34" s="301"/>
      <c r="O34" s="301"/>
      <c r="P34" s="302"/>
      <c r="Q34" s="21"/>
      <c r="R34" s="32">
        <f>IF($H33="N/A",0,VLOOKUP($F34,'parm(hidden)'!$B$8:$C$10,2,FALSE))*1</f>
        <v>2</v>
      </c>
      <c r="S34" s="32">
        <f>IFERROR(VLOOKUP($F34,'parm(hidden)'!$B$8:$C$10,2,FALSE)*VLOOKUP(#REF!,'parm(hidden)'!$B$15:$C$19,2,FALSE),0)</f>
        <v>0</v>
      </c>
      <c r="T34" s="32">
        <f>IFERROR(VLOOKUP($F34,'parm(hidden)'!$B$8:$C$10,2,FALSE)*VLOOKUP($K34,$V$22:$W$27,2,FALSE),0)</f>
        <v>2</v>
      </c>
      <c r="U34" s="11">
        <f>IF($J34="N/A",0,VLOOKUP($F34,'parm(hidden)'!$B$8:$C$10,2,FALSE))*1</f>
        <v>2</v>
      </c>
      <c r="V34" s="10"/>
      <c r="W34" s="10"/>
      <c r="Y34" s="10"/>
    </row>
    <row r="35" spans="1:25" ht="12" customHeight="1">
      <c r="A35" s="170" t="str">
        <f>ChkList!A19</f>
        <v>서비스 관리</v>
      </c>
      <c r="B35" s="172" t="str">
        <f>ChkList!B19</f>
        <v>W-15</v>
      </c>
      <c r="C35" s="300" t="str">
        <f>ChkList!C19</f>
        <v>사용자 개인키 사용 시 암호 입력</v>
      </c>
      <c r="D35" s="301"/>
      <c r="E35" s="302"/>
      <c r="F35" s="170" t="str">
        <f>ChkList!D19</f>
        <v>H</v>
      </c>
      <c r="G35" s="170">
        <f>ChkList!E19</f>
        <v>3</v>
      </c>
      <c r="H35" s="323" t="s">
        <v>88</v>
      </c>
      <c r="I35" s="153" t="s">
        <v>428</v>
      </c>
      <c r="J35" s="29" t="s">
        <v>100</v>
      </c>
      <c r="K35" s="171" t="str">
        <f t="shared" si="3"/>
        <v>Y</v>
      </c>
      <c r="L35" s="300"/>
      <c r="M35" s="301"/>
      <c r="N35" s="301"/>
      <c r="O35" s="301"/>
      <c r="P35" s="302"/>
      <c r="Q35" s="21"/>
      <c r="R35" s="32">
        <f>IF($H34="N/A",0,VLOOKUP($F35,'parm(hidden)'!$B$8:$C$10,2,FALSE))*1</f>
        <v>3</v>
      </c>
      <c r="S35" s="32">
        <f>IFERROR(VLOOKUP($F35,'parm(hidden)'!$B$8:$C$10,2,FALSE)*VLOOKUP(#REF!,'parm(hidden)'!$B$15:$C$19,2,FALSE),0)</f>
        <v>0</v>
      </c>
      <c r="T35" s="32">
        <f>IFERROR(VLOOKUP($F35,'parm(hidden)'!$B$8:$C$10,2,FALSE)*VLOOKUP($K35,$V$22:$W$27,2,FALSE),0)</f>
        <v>3</v>
      </c>
      <c r="U35" s="11">
        <f>IF($J35="N/A",0,VLOOKUP($F35,'parm(hidden)'!$B$8:$C$10,2,FALSE))*1</f>
        <v>3</v>
      </c>
      <c r="V35" s="10"/>
      <c r="W35" s="10"/>
      <c r="Y35" s="10"/>
    </row>
    <row r="36" spans="1:25" ht="12" customHeight="1">
      <c r="A36" s="170" t="str">
        <f>ChkList!A20</f>
        <v>서비스 관리</v>
      </c>
      <c r="B36" s="172" t="str">
        <f>ChkList!B20</f>
        <v>W-16</v>
      </c>
      <c r="C36" s="300" t="str">
        <f>ChkList!C20</f>
        <v>공유 권한 및 사용자 그룹 설정</v>
      </c>
      <c r="D36" s="301"/>
      <c r="E36" s="302"/>
      <c r="F36" s="170" t="str">
        <f>ChkList!D20</f>
        <v>H</v>
      </c>
      <c r="G36" s="170">
        <f>ChkList!E20</f>
        <v>3</v>
      </c>
      <c r="H36" s="157" t="s">
        <v>88</v>
      </c>
      <c r="I36" s="152" t="s">
        <v>429</v>
      </c>
      <c r="J36" s="29" t="s">
        <v>88</v>
      </c>
      <c r="K36" s="171" t="str">
        <f t="shared" si="3"/>
        <v>Y</v>
      </c>
      <c r="L36" s="300" t="s">
        <v>299</v>
      </c>
      <c r="M36" s="301"/>
      <c r="N36" s="301"/>
      <c r="O36" s="301"/>
      <c r="P36" s="302"/>
      <c r="Q36" s="21"/>
      <c r="R36" s="32">
        <f>IF($H35="N/A",0,VLOOKUP($F36,'parm(hidden)'!$B$8:$C$10,2,FALSE))*1</f>
        <v>3</v>
      </c>
      <c r="S36" s="32">
        <f>IFERROR(VLOOKUP($F36,'parm(hidden)'!$B$8:$C$10,2,FALSE)*VLOOKUP(#REF!,'parm(hidden)'!$B$15:$C$19,2,FALSE),0)</f>
        <v>0</v>
      </c>
      <c r="T36" s="32">
        <f>IFERROR(VLOOKUP($F36,'parm(hidden)'!$B$8:$C$10,2,FALSE)*VLOOKUP($K36,$V$22:$W$27,2,FALSE),0)</f>
        <v>3</v>
      </c>
      <c r="U36" s="11">
        <f>IF($J36="N/A",0,VLOOKUP($F36,'parm(hidden)'!$B$8:$C$10,2,FALSE))*1</f>
        <v>3</v>
      </c>
      <c r="V36" s="10"/>
      <c r="W36" s="10"/>
      <c r="Y36" s="10"/>
    </row>
    <row r="37" spans="1:25" s="328" customFormat="1" ht="12" customHeight="1">
      <c r="A37" s="312" t="str">
        <f>ChkList!A21</f>
        <v>서비스 관리</v>
      </c>
      <c r="B37" s="313" t="str">
        <f>ChkList!B21</f>
        <v>W-17</v>
      </c>
      <c r="C37" s="324" t="str">
        <f>ChkList!C21</f>
        <v>하드디스크 기본 공유 제거</v>
      </c>
      <c r="D37" s="325"/>
      <c r="E37" s="326"/>
      <c r="F37" s="312" t="str">
        <f>ChkList!D21</f>
        <v>H</v>
      </c>
      <c r="G37" s="312">
        <f>ChkList!E21</f>
        <v>3</v>
      </c>
      <c r="H37" s="327" t="s">
        <v>78</v>
      </c>
      <c r="I37" s="328" t="s">
        <v>430</v>
      </c>
      <c r="J37" s="314" t="s">
        <v>100</v>
      </c>
      <c r="K37" s="314" t="str">
        <f t="shared" si="3"/>
        <v>N/A</v>
      </c>
      <c r="L37" s="324"/>
      <c r="M37" s="325"/>
      <c r="N37" s="325"/>
      <c r="O37" s="325"/>
      <c r="P37" s="326"/>
      <c r="Q37" s="329"/>
      <c r="R37" s="312">
        <f>IF($H36="N/A",0,VLOOKUP($F37,'parm(hidden)'!$B$8:$C$10,2,FALSE))*1</f>
        <v>3</v>
      </c>
      <c r="S37" s="312">
        <f>IFERROR(VLOOKUP($F37,'parm(hidden)'!$B$8:$C$10,2,FALSE)*VLOOKUP(#REF!,'parm(hidden)'!$B$15:$C$19,2,FALSE),0)</f>
        <v>0</v>
      </c>
      <c r="T37" s="312">
        <f>IFERROR(VLOOKUP($F37,'parm(hidden)'!$B$8:$C$10,2,FALSE)*VLOOKUP($K37,$V$22:$W$27,2,FALSE),0)</f>
        <v>0</v>
      </c>
      <c r="U37" s="330">
        <f>IF($J37="N/A",0,VLOOKUP($F37,'parm(hidden)'!$B$8:$C$10,2,FALSE))*1</f>
        <v>3</v>
      </c>
      <c r="V37" s="331"/>
      <c r="W37" s="331"/>
      <c r="Y37" s="331"/>
    </row>
    <row r="38" spans="1:25" ht="12" customHeight="1">
      <c r="A38" s="170" t="str">
        <f>ChkList!A22</f>
        <v>서비스 관리</v>
      </c>
      <c r="B38" s="172" t="str">
        <f>ChkList!B22</f>
        <v>W-18</v>
      </c>
      <c r="C38" s="300" t="str">
        <f>ChkList!C22</f>
        <v>불필요한 서비스 제거</v>
      </c>
      <c r="D38" s="301"/>
      <c r="E38" s="302"/>
      <c r="F38" s="170" t="str">
        <f>ChkList!D22</f>
        <v>H</v>
      </c>
      <c r="G38" s="170">
        <f>ChkList!E22</f>
        <v>3</v>
      </c>
      <c r="H38" s="154" t="s">
        <v>100</v>
      </c>
      <c r="I38" s="153" t="s">
        <v>27</v>
      </c>
      <c r="J38" s="29" t="s">
        <v>88</v>
      </c>
      <c r="K38" s="171" t="str">
        <f t="shared" si="3"/>
        <v>조치</v>
      </c>
      <c r="L38" s="300" t="s">
        <v>300</v>
      </c>
      <c r="M38" s="301"/>
      <c r="N38" s="301"/>
      <c r="O38" s="301"/>
      <c r="P38" s="302"/>
      <c r="Q38" s="21"/>
      <c r="R38" s="32">
        <f>IF($H38="N/A",0,VLOOKUP($F38,'parm(hidden)'!$B$8:$C$10,2,FALSE))*1</f>
        <v>3</v>
      </c>
      <c r="S38" s="32">
        <f>IFERROR(VLOOKUP($F38,'parm(hidden)'!$B$8:$C$10,2,FALSE)*VLOOKUP(#REF!,'parm(hidden)'!$B$15:$C$19,2,FALSE),0)</f>
        <v>0</v>
      </c>
      <c r="T38" s="32">
        <f>IFERROR(VLOOKUP($F38,'parm(hidden)'!$B$8:$C$10,2,FALSE)*VLOOKUP($K38,$V$22:$W$27,2,FALSE),0)</f>
        <v>3</v>
      </c>
      <c r="U38" s="11">
        <f>IF($J38="N/A",0,VLOOKUP($F38,'parm(hidden)'!$B$8:$C$10,2,FALSE))*1</f>
        <v>3</v>
      </c>
      <c r="V38" s="10"/>
      <c r="W38" s="10"/>
      <c r="Y38" s="10"/>
    </row>
    <row r="39" spans="1:25" ht="12" customHeight="1">
      <c r="A39" s="170" t="str">
        <f>ChkList!A23</f>
        <v>서비스 관리</v>
      </c>
      <c r="B39" s="172" t="str">
        <f>ChkList!B23</f>
        <v>W-19</v>
      </c>
      <c r="C39" s="300" t="str">
        <f>ChkList!C23</f>
        <v>불필요한 IIS 서비스 구동 점검</v>
      </c>
      <c r="D39" s="301"/>
      <c r="E39" s="302"/>
      <c r="F39" s="170" t="str">
        <f>ChkList!D23</f>
        <v>H</v>
      </c>
      <c r="G39" s="170">
        <f>ChkList!E23</f>
        <v>3</v>
      </c>
      <c r="H39" s="154" t="s">
        <v>100</v>
      </c>
      <c r="I39" s="152" t="s">
        <v>61</v>
      </c>
      <c r="J39" s="29" t="s">
        <v>88</v>
      </c>
      <c r="K39" s="171" t="str">
        <f t="shared" si="3"/>
        <v>조치</v>
      </c>
      <c r="L39" s="300" t="s">
        <v>301</v>
      </c>
      <c r="M39" s="301"/>
      <c r="N39" s="301"/>
      <c r="O39" s="301"/>
      <c r="P39" s="302"/>
      <c r="Q39" s="21"/>
      <c r="R39" s="32">
        <f>IF($H39="N/A",0,VLOOKUP($F39,'parm(hidden)'!$B$8:$C$10,2,FALSE))*1</f>
        <v>3</v>
      </c>
      <c r="S39" s="32">
        <f>IFERROR(VLOOKUP($F39,'parm(hidden)'!$B$8:$C$10,2,FALSE)*VLOOKUP(#REF!,'parm(hidden)'!$B$15:$C$19,2,FALSE),0)</f>
        <v>0</v>
      </c>
      <c r="T39" s="32">
        <f>IFERROR(VLOOKUP($F39,'parm(hidden)'!$B$8:$C$10,2,FALSE)*VLOOKUP($K39,$V$22:$W$27,2,FALSE),0)</f>
        <v>3</v>
      </c>
      <c r="U39" s="11">
        <f>IF($J39="N/A",0,VLOOKUP($F39,'parm(hidden)'!$B$8:$C$10,2,FALSE))*1</f>
        <v>3</v>
      </c>
      <c r="V39" s="10"/>
      <c r="W39" s="10"/>
      <c r="Y39" s="10"/>
    </row>
    <row r="40" spans="1:25" ht="12" customHeight="1">
      <c r="A40" s="170" t="str">
        <f>ChkList!A24</f>
        <v>서비스 관리</v>
      </c>
      <c r="B40" s="172" t="str">
        <f>ChkList!B24</f>
        <v>W-20</v>
      </c>
      <c r="C40" s="300" t="str">
        <f>ChkList!C24</f>
        <v>NetBIOS 바인딩 서비스 구동 점검</v>
      </c>
      <c r="D40" s="301"/>
      <c r="E40" s="302"/>
      <c r="F40" s="170" t="str">
        <f>ChkList!D24</f>
        <v>H</v>
      </c>
      <c r="G40" s="170">
        <f>ChkList!E24</f>
        <v>3</v>
      </c>
      <c r="H40" s="154" t="s">
        <v>100</v>
      </c>
      <c r="I40" s="152" t="s">
        <v>159</v>
      </c>
      <c r="J40" s="29" t="s">
        <v>88</v>
      </c>
      <c r="K40" s="171" t="str">
        <f t="shared" si="3"/>
        <v>조치</v>
      </c>
      <c r="L40" s="300" t="s">
        <v>302</v>
      </c>
      <c r="M40" s="301"/>
      <c r="N40" s="301"/>
      <c r="O40" s="301"/>
      <c r="P40" s="302"/>
      <c r="Q40" s="21"/>
      <c r="R40" s="32">
        <f>IF($H40="N/A",0,VLOOKUP($F40,'parm(hidden)'!$B$8:$C$10,2,FALSE))*1</f>
        <v>3</v>
      </c>
      <c r="S40" s="32">
        <f>IFERROR(VLOOKUP($F40,'parm(hidden)'!$B$8:$C$10,2,FALSE)*VLOOKUP(#REF!,'parm(hidden)'!$B$15:$C$19,2,FALSE),0)</f>
        <v>0</v>
      </c>
      <c r="T40" s="32">
        <f>IFERROR(VLOOKUP($F40,'parm(hidden)'!$B$8:$C$10,2,FALSE)*VLOOKUP($K40,$V$22:$W$27,2,FALSE),0)</f>
        <v>3</v>
      </c>
      <c r="U40" s="11">
        <f>IF($J40="N/A",0,VLOOKUP($F40,'parm(hidden)'!$B$8:$C$10,2,FALSE))*1</f>
        <v>3</v>
      </c>
      <c r="V40" s="10"/>
      <c r="W40" s="10"/>
      <c r="Y40" s="10"/>
    </row>
    <row r="41" spans="1:25" ht="12" customHeight="1">
      <c r="A41" s="170" t="str">
        <f>ChkList!A25</f>
        <v>서비스 관리</v>
      </c>
      <c r="B41" s="172" t="str">
        <f>ChkList!B25</f>
        <v>W-21</v>
      </c>
      <c r="C41" s="300" t="str">
        <f>ChkList!C25</f>
        <v>암호화되지 않는 FTP 서비스 비활성화</v>
      </c>
      <c r="D41" s="301"/>
      <c r="E41" s="302"/>
      <c r="F41" s="170" t="str">
        <f>ChkList!D25</f>
        <v>H</v>
      </c>
      <c r="G41" s="170">
        <f>ChkList!E25</f>
        <v>3</v>
      </c>
      <c r="H41" s="154" t="s">
        <v>100</v>
      </c>
      <c r="I41" s="152" t="s">
        <v>162</v>
      </c>
      <c r="J41" s="29" t="s">
        <v>88</v>
      </c>
      <c r="K41" s="171" t="str">
        <f t="shared" si="3"/>
        <v>조치</v>
      </c>
      <c r="L41" s="300" t="s">
        <v>303</v>
      </c>
      <c r="M41" s="301"/>
      <c r="N41" s="301"/>
      <c r="O41" s="301"/>
      <c r="P41" s="302"/>
      <c r="Q41" s="21"/>
      <c r="R41" s="32">
        <f>IF($H41="N/A",0,VLOOKUP($F41,'parm(hidden)'!$B$8:$C$10,2,FALSE))*1</f>
        <v>3</v>
      </c>
      <c r="S41" s="32">
        <f>IFERROR(VLOOKUP($F41,'parm(hidden)'!$B$8:$C$10,2,FALSE)*VLOOKUP(#REF!,'parm(hidden)'!$B$15:$C$19,2,FALSE),0)</f>
        <v>0</v>
      </c>
      <c r="T41" s="32">
        <f>IFERROR(VLOOKUP($F41,'parm(hidden)'!$B$8:$C$10,2,FALSE)*VLOOKUP($K41,$V$22:$W$27,2,FALSE),0)</f>
        <v>3</v>
      </c>
      <c r="U41" s="11">
        <f>IF($J41="N/A",0,VLOOKUP($F41,'parm(hidden)'!$B$8:$C$10,2,FALSE))*1</f>
        <v>3</v>
      </c>
      <c r="V41" s="10"/>
      <c r="W41" s="10"/>
      <c r="Y41" s="10"/>
    </row>
    <row r="42" spans="1:25" ht="12" customHeight="1">
      <c r="A42" s="170" t="str">
        <f>ChkList!A26</f>
        <v>서비스 관리</v>
      </c>
      <c r="B42" s="172" t="str">
        <f>ChkList!B26</f>
        <v>W-22</v>
      </c>
      <c r="C42" s="300" t="str">
        <f>ChkList!C26</f>
        <v>FTP 디렉토리 접근권한 설정</v>
      </c>
      <c r="D42" s="301"/>
      <c r="E42" s="302"/>
      <c r="F42" s="170" t="str">
        <f>ChkList!D26</f>
        <v>H</v>
      </c>
      <c r="G42" s="170">
        <f>ChkList!E26</f>
        <v>3</v>
      </c>
      <c r="H42" s="167" t="s">
        <v>88</v>
      </c>
      <c r="I42" s="153" t="s">
        <v>149</v>
      </c>
      <c r="J42" s="29" t="s">
        <v>78</v>
      </c>
      <c r="K42" s="171" t="str">
        <f t="shared" si="3"/>
        <v>Y</v>
      </c>
      <c r="L42" s="300" t="s">
        <v>316</v>
      </c>
      <c r="M42" s="301"/>
      <c r="N42" s="301"/>
      <c r="O42" s="301"/>
      <c r="P42" s="302"/>
      <c r="Q42" s="21"/>
      <c r="R42" s="32">
        <f>IF($H42="N/A",0,VLOOKUP($F42,'parm(hidden)'!$B$8:$C$10,2,FALSE))*1</f>
        <v>3</v>
      </c>
      <c r="S42" s="32">
        <f>IFERROR(VLOOKUP($F42,'parm(hidden)'!$B$8:$C$10,2,FALSE)*VLOOKUP(#REF!,'parm(hidden)'!$B$15:$C$19,2,FALSE),0)</f>
        <v>0</v>
      </c>
      <c r="T42" s="32">
        <f>IFERROR(VLOOKUP($F42,'parm(hidden)'!$B$8:$C$10,2,FALSE)*VLOOKUP($K42,$V$22:$W$27,2,FALSE),0)</f>
        <v>3</v>
      </c>
      <c r="U42" s="11">
        <f>IF($J42="N/A",0,VLOOKUP($F42,'parm(hidden)'!$B$8:$C$10,2,FALSE))*1</f>
        <v>0</v>
      </c>
      <c r="V42" s="10"/>
      <c r="W42" s="10"/>
      <c r="Y42" s="10"/>
    </row>
    <row r="43" spans="1:25" ht="12" customHeight="1">
      <c r="A43" s="170" t="str">
        <f>ChkList!A27</f>
        <v>서비스 관리</v>
      </c>
      <c r="B43" s="172" t="str">
        <f>ChkList!B27</f>
        <v>W-23</v>
      </c>
      <c r="C43" s="300" t="str">
        <f>ChkList!C27</f>
        <v>공유 서비스에 대한 익명 접근 제한 설정</v>
      </c>
      <c r="D43" s="301"/>
      <c r="E43" s="302"/>
      <c r="F43" s="170" t="str">
        <f>ChkList!D27</f>
        <v>H</v>
      </c>
      <c r="G43" s="170">
        <f>ChkList!E27</f>
        <v>3</v>
      </c>
      <c r="H43" s="167" t="s">
        <v>88</v>
      </c>
      <c r="I43" s="153" t="s">
        <v>149</v>
      </c>
      <c r="J43" s="29" t="s">
        <v>78</v>
      </c>
      <c r="K43" s="171" t="str">
        <f t="shared" si="3"/>
        <v>Y</v>
      </c>
      <c r="L43" s="300" t="s">
        <v>316</v>
      </c>
      <c r="M43" s="301"/>
      <c r="N43" s="301"/>
      <c r="O43" s="301"/>
      <c r="P43" s="302"/>
      <c r="Q43" s="21"/>
      <c r="R43" s="32">
        <f>IF($H43="N/A",0,VLOOKUP($F43,'parm(hidden)'!$B$8:$C$10,2,FALSE))*1</f>
        <v>3</v>
      </c>
      <c r="S43" s="32">
        <f>IFERROR(VLOOKUP($F43,'parm(hidden)'!$B$8:$C$10,2,FALSE)*VLOOKUP(#REF!,'parm(hidden)'!$B$15:$C$19,2,FALSE),0)</f>
        <v>0</v>
      </c>
      <c r="T43" s="32">
        <f>IFERROR(VLOOKUP($F43,'parm(hidden)'!$B$8:$C$10,2,FALSE)*VLOOKUP($K43,$V$22:$W$27,2,FALSE),0)</f>
        <v>3</v>
      </c>
      <c r="U43" s="11">
        <f>IF($J43="N/A",0,VLOOKUP($F43,'parm(hidden)'!$B$8:$C$10,2,FALSE))*1</f>
        <v>0</v>
      </c>
      <c r="V43" s="10"/>
      <c r="W43" s="10"/>
      <c r="Y43" s="10"/>
    </row>
    <row r="44" spans="1:25" ht="12" customHeight="1">
      <c r="A44" s="170" t="str">
        <f>ChkList!A28</f>
        <v>서비스 관리</v>
      </c>
      <c r="B44" s="172" t="str">
        <f>ChkList!B28</f>
        <v>W-24</v>
      </c>
      <c r="C44" s="300" t="str">
        <f>ChkList!C28</f>
        <v>FTP 접근 제어 설정</v>
      </c>
      <c r="D44" s="301"/>
      <c r="E44" s="302"/>
      <c r="F44" s="170" t="str">
        <f>ChkList!D28</f>
        <v>H</v>
      </c>
      <c r="G44" s="170">
        <f>ChkList!E28</f>
        <v>3</v>
      </c>
      <c r="H44" s="167" t="s">
        <v>88</v>
      </c>
      <c r="I44" s="153" t="s">
        <v>149</v>
      </c>
      <c r="J44" s="29" t="s">
        <v>78</v>
      </c>
      <c r="K44" s="171" t="str">
        <f t="shared" si="3"/>
        <v>Y</v>
      </c>
      <c r="L44" s="300" t="s">
        <v>316</v>
      </c>
      <c r="M44" s="301"/>
      <c r="N44" s="301"/>
      <c r="O44" s="301"/>
      <c r="P44" s="302"/>
      <c r="Q44" s="21"/>
      <c r="R44" s="32">
        <f>IF($H44="N/A",0,VLOOKUP($F44,'parm(hidden)'!$B$8:$C$10,2,FALSE))*1</f>
        <v>3</v>
      </c>
      <c r="S44" s="32">
        <f>IFERROR(VLOOKUP($F44,'parm(hidden)'!$B$8:$C$10,2,FALSE)*VLOOKUP(#REF!,'parm(hidden)'!$B$15:$C$19,2,FALSE),0)</f>
        <v>0</v>
      </c>
      <c r="T44" s="32">
        <f>IFERROR(VLOOKUP($F44,'parm(hidden)'!$B$8:$C$10,2,FALSE)*VLOOKUP($K44,$V$22:$W$27,2,FALSE),0)</f>
        <v>3</v>
      </c>
      <c r="U44" s="11">
        <f>IF($J44="N/A",0,VLOOKUP($F44,'parm(hidden)'!$B$8:$C$10,2,FALSE))*1</f>
        <v>0</v>
      </c>
      <c r="V44" s="10"/>
      <c r="W44" s="10"/>
      <c r="Y44" s="10"/>
    </row>
    <row r="45" spans="1:25" ht="12" customHeight="1">
      <c r="A45" s="170" t="str">
        <f>ChkList!A29</f>
        <v>서비스 관리</v>
      </c>
      <c r="B45" s="172" t="str">
        <f>ChkList!B29</f>
        <v>W-25</v>
      </c>
      <c r="C45" s="300" t="str">
        <f>ChkList!C29</f>
        <v>DNS Zone Transfer 설정</v>
      </c>
      <c r="D45" s="301"/>
      <c r="E45" s="302"/>
      <c r="F45" s="170" t="str">
        <f>ChkList!D29</f>
        <v>H</v>
      </c>
      <c r="G45" s="170">
        <f>ChkList!E29</f>
        <v>3</v>
      </c>
      <c r="H45" s="167" t="s">
        <v>88</v>
      </c>
      <c r="I45" s="153" t="s">
        <v>149</v>
      </c>
      <c r="J45" s="29" t="s">
        <v>78</v>
      </c>
      <c r="K45" s="171" t="str">
        <f t="shared" si="3"/>
        <v>Y</v>
      </c>
      <c r="L45" s="300" t="s">
        <v>316</v>
      </c>
      <c r="M45" s="301"/>
      <c r="N45" s="301"/>
      <c r="O45" s="301"/>
      <c r="P45" s="302"/>
      <c r="Q45" s="21"/>
      <c r="R45" s="32">
        <f>IF($H45="N/A",0,VLOOKUP($F45,'parm(hidden)'!$B$8:$C$10,2,FALSE))*1</f>
        <v>3</v>
      </c>
      <c r="S45" s="32">
        <f>IFERROR(VLOOKUP($F45,'parm(hidden)'!$B$8:$C$10,2,FALSE)*VLOOKUP(#REF!,'parm(hidden)'!$B$15:$C$19,2,FALSE),0)</f>
        <v>0</v>
      </c>
      <c r="T45" s="32">
        <f>IFERROR(VLOOKUP($F45,'parm(hidden)'!$B$8:$C$10,2,FALSE)*VLOOKUP($K45,$V$22:$W$27,2,FALSE),0)</f>
        <v>3</v>
      </c>
      <c r="U45" s="11">
        <f>IF($J45="N/A",0,VLOOKUP($F45,'parm(hidden)'!$B$8:$C$10,2,FALSE))*1</f>
        <v>0</v>
      </c>
      <c r="V45" s="10"/>
      <c r="W45" s="10"/>
      <c r="Y45" s="10"/>
    </row>
    <row r="46" spans="1:25" ht="12" customHeight="1">
      <c r="A46" s="170" t="str">
        <f>ChkList!A30</f>
        <v>서비스 관리</v>
      </c>
      <c r="B46" s="172" t="str">
        <f>ChkList!B30</f>
        <v>W-26</v>
      </c>
      <c r="C46" s="300" t="str">
        <f>ChkList!C30</f>
        <v>RDS(Remote Data Services)제거</v>
      </c>
      <c r="D46" s="301"/>
      <c r="E46" s="302"/>
      <c r="F46" s="170" t="str">
        <f>ChkList!D30</f>
        <v>H</v>
      </c>
      <c r="G46" s="170">
        <f>ChkList!E30</f>
        <v>3</v>
      </c>
      <c r="H46" s="167" t="s">
        <v>88</v>
      </c>
      <c r="I46" s="153" t="s">
        <v>149</v>
      </c>
      <c r="J46" s="29" t="s">
        <v>78</v>
      </c>
      <c r="K46" s="171" t="str">
        <f t="shared" si="3"/>
        <v>Y</v>
      </c>
      <c r="L46" s="300" t="s">
        <v>316</v>
      </c>
      <c r="M46" s="301"/>
      <c r="N46" s="301"/>
      <c r="O46" s="301"/>
      <c r="P46" s="302"/>
      <c r="Q46" s="21"/>
      <c r="R46" s="32">
        <f>IF($H46="N/A",0,VLOOKUP($F46,'parm(hidden)'!$B$8:$C$10,2,FALSE))*1</f>
        <v>3</v>
      </c>
      <c r="S46" s="32">
        <f>IFERROR(VLOOKUP($F46,'parm(hidden)'!$B$8:$C$10,2,FALSE)*VLOOKUP(#REF!,'parm(hidden)'!$B$15:$C$19,2,FALSE),0)</f>
        <v>0</v>
      </c>
      <c r="T46" s="32">
        <f>IFERROR(VLOOKUP($F46,'parm(hidden)'!$B$8:$C$10,2,FALSE)*VLOOKUP($K46,$V$22:$W$27,2,FALSE),0)</f>
        <v>3</v>
      </c>
      <c r="U46" s="11">
        <f>IF($J46="N/A",0,VLOOKUP($F46,'parm(hidden)'!$B$8:$C$10,2,FALSE))*1</f>
        <v>0</v>
      </c>
      <c r="V46" s="10"/>
      <c r="W46" s="10"/>
      <c r="Y46" s="10"/>
    </row>
    <row r="47" spans="1:25" ht="12" customHeight="1">
      <c r="A47" s="170" t="str">
        <f>ChkList!A31</f>
        <v>서비스 관리</v>
      </c>
      <c r="B47" s="172" t="str">
        <f>ChkList!B31</f>
        <v>W-27</v>
      </c>
      <c r="C47" s="300" t="str">
        <f>ChkList!C31</f>
        <v>최신 Windows OS Build 버전 적용</v>
      </c>
      <c r="D47" s="301"/>
      <c r="E47" s="302"/>
      <c r="F47" s="170" t="str">
        <f>ChkList!D31</f>
        <v>H</v>
      </c>
      <c r="G47" s="170">
        <f>ChkList!E31</f>
        <v>3</v>
      </c>
      <c r="H47" s="167" t="s">
        <v>88</v>
      </c>
      <c r="I47" s="153" t="s">
        <v>149</v>
      </c>
      <c r="J47" s="29" t="s">
        <v>78</v>
      </c>
      <c r="K47" s="171" t="str">
        <f t="shared" si="3"/>
        <v>Y</v>
      </c>
      <c r="L47" s="300" t="s">
        <v>316</v>
      </c>
      <c r="M47" s="301"/>
      <c r="N47" s="301"/>
      <c r="O47" s="301"/>
      <c r="P47" s="302"/>
      <c r="Q47" s="21"/>
      <c r="R47" s="32">
        <f>IF($H47="N/A",0,VLOOKUP($F47,'parm(hidden)'!$B$8:$C$10,2,FALSE))*1</f>
        <v>3</v>
      </c>
      <c r="S47" s="32">
        <f>IFERROR(VLOOKUP($F47,'parm(hidden)'!$B$8:$C$10,2,FALSE)*VLOOKUP(#REF!,'parm(hidden)'!$B$15:$C$19,2,FALSE),0)</f>
        <v>0</v>
      </c>
      <c r="T47" s="32">
        <f>IFERROR(VLOOKUP($F47,'parm(hidden)'!$B$8:$C$10,2,FALSE)*VLOOKUP($K47,$V$22:$W$27,2,FALSE),0)</f>
        <v>3</v>
      </c>
      <c r="U47" s="11">
        <f>IF($J47="N/A",0,VLOOKUP($F47,'parm(hidden)'!$B$8:$C$10,2,FALSE))*1</f>
        <v>0</v>
      </c>
      <c r="V47" s="10"/>
      <c r="W47" s="10"/>
      <c r="Y47" s="10"/>
    </row>
    <row r="48" spans="1:25" ht="12" customHeight="1">
      <c r="A48" s="170" t="str">
        <f>ChkList!A32</f>
        <v>서비스 관리</v>
      </c>
      <c r="B48" s="172" t="str">
        <f>ChkList!B32</f>
        <v>W-28</v>
      </c>
      <c r="C48" s="300" t="str">
        <f>ChkList!C32</f>
        <v>터미널 서비스 암호화 수준 설정</v>
      </c>
      <c r="D48" s="301"/>
      <c r="E48" s="302"/>
      <c r="F48" s="170" t="str">
        <f>ChkList!D32</f>
        <v>M</v>
      </c>
      <c r="G48" s="170">
        <f>ChkList!E32</f>
        <v>2</v>
      </c>
      <c r="H48" s="167" t="s">
        <v>88</v>
      </c>
      <c r="I48" s="153" t="s">
        <v>149</v>
      </c>
      <c r="J48" s="29" t="s">
        <v>78</v>
      </c>
      <c r="K48" s="171" t="str">
        <f t="shared" si="3"/>
        <v>Y</v>
      </c>
      <c r="L48" s="300" t="s">
        <v>316</v>
      </c>
      <c r="M48" s="301"/>
      <c r="N48" s="301"/>
      <c r="O48" s="301"/>
      <c r="P48" s="302"/>
      <c r="Q48" s="21"/>
      <c r="R48" s="32">
        <f>IF($H48="N/A",0,VLOOKUP($F48,'parm(hidden)'!$B$8:$C$10,2,FALSE))*1</f>
        <v>2</v>
      </c>
      <c r="S48" s="32">
        <f>IFERROR(VLOOKUP($F48,'parm(hidden)'!$B$8:$C$10,2,FALSE)*VLOOKUP(#REF!,'parm(hidden)'!$B$15:$C$19,2,FALSE),0)</f>
        <v>0</v>
      </c>
      <c r="T48" s="32">
        <f>IFERROR(VLOOKUP($F48,'parm(hidden)'!$B$8:$C$10,2,FALSE)*VLOOKUP($K48,$V$22:$W$27,2,FALSE),0)</f>
        <v>2</v>
      </c>
      <c r="U48" s="11">
        <f>IF($J48="N/A",0,VLOOKUP($F48,'parm(hidden)'!$B$8:$C$10,2,FALSE))*1</f>
        <v>0</v>
      </c>
      <c r="V48" s="10"/>
      <c r="W48" s="10"/>
      <c r="Y48" s="10"/>
    </row>
    <row r="49" spans="1:25" ht="12" customHeight="1">
      <c r="A49" s="170" t="str">
        <f>ChkList!A33</f>
        <v>서비스 관리</v>
      </c>
      <c r="B49" s="172" t="str">
        <f>ChkList!B33</f>
        <v>W-29</v>
      </c>
      <c r="C49" s="300" t="str">
        <f>ChkList!C33</f>
        <v>불필요한 SNMP 서비스 구동 점검</v>
      </c>
      <c r="D49" s="301"/>
      <c r="E49" s="302"/>
      <c r="F49" s="170" t="str">
        <f>ChkList!D33</f>
        <v>M</v>
      </c>
      <c r="G49" s="170">
        <f>ChkList!E33</f>
        <v>2</v>
      </c>
      <c r="H49" s="167" t="s">
        <v>88</v>
      </c>
      <c r="I49" s="153" t="s">
        <v>149</v>
      </c>
      <c r="J49" s="29" t="s">
        <v>78</v>
      </c>
      <c r="K49" s="171" t="str">
        <f t="shared" si="3"/>
        <v>Y</v>
      </c>
      <c r="L49" s="300" t="s">
        <v>316</v>
      </c>
      <c r="M49" s="301"/>
      <c r="N49" s="301"/>
      <c r="O49" s="301"/>
      <c r="P49" s="302"/>
      <c r="Q49" s="21"/>
      <c r="R49" s="32">
        <f>IF($H49="N/A",0,VLOOKUP($F49,'parm(hidden)'!$B$8:$C$10,2,FALSE))*1</f>
        <v>2</v>
      </c>
      <c r="S49" s="32">
        <f>IFERROR(VLOOKUP($F49,'parm(hidden)'!$B$8:$C$10,2,FALSE)*VLOOKUP(#REF!,'parm(hidden)'!$B$15:$C$19,2,FALSE),0)</f>
        <v>0</v>
      </c>
      <c r="T49" s="32">
        <f>IFERROR(VLOOKUP($F49,'parm(hidden)'!$B$8:$C$10,2,FALSE)*VLOOKUP($K49,$V$22:$W$27,2,FALSE),0)</f>
        <v>2</v>
      </c>
      <c r="U49" s="11">
        <f>IF($J49="N/A",0,VLOOKUP($F49,'parm(hidden)'!$B$8:$C$10,2,FALSE))*1</f>
        <v>0</v>
      </c>
      <c r="V49" s="10"/>
      <c r="W49" s="10"/>
      <c r="Y49" s="10"/>
    </row>
    <row r="50" spans="1:25" ht="12" customHeight="1">
      <c r="A50" s="170" t="str">
        <f>ChkList!A34</f>
        <v>서비스 관리</v>
      </c>
      <c r="B50" s="172" t="str">
        <f>ChkList!B34</f>
        <v>W-30</v>
      </c>
      <c r="C50" s="300" t="str">
        <f>ChkList!C34</f>
        <v>SNMP Community String 복잡성 설정</v>
      </c>
      <c r="D50" s="301"/>
      <c r="E50" s="302"/>
      <c r="F50" s="170" t="str">
        <f>ChkList!D34</f>
        <v>M</v>
      </c>
      <c r="G50" s="170">
        <f>ChkList!E34</f>
        <v>2</v>
      </c>
      <c r="H50" s="167" t="s">
        <v>88</v>
      </c>
      <c r="I50" s="153" t="s">
        <v>149</v>
      </c>
      <c r="J50" s="29" t="s">
        <v>78</v>
      </c>
      <c r="K50" s="171" t="str">
        <f t="shared" si="3"/>
        <v>Y</v>
      </c>
      <c r="L50" s="300" t="s">
        <v>316</v>
      </c>
      <c r="M50" s="301"/>
      <c r="N50" s="301"/>
      <c r="O50" s="301"/>
      <c r="P50" s="302"/>
      <c r="Q50" s="21"/>
      <c r="R50" s="32">
        <f>IF($H50="N/A",0,VLOOKUP($F50,'parm(hidden)'!$B$8:$C$10,2,FALSE))*1</f>
        <v>2</v>
      </c>
      <c r="S50" s="32">
        <f>IFERROR(VLOOKUP($F50,'parm(hidden)'!$B$8:$C$10,2,FALSE)*VLOOKUP(#REF!,'parm(hidden)'!$B$15:$C$19,2,FALSE),0)</f>
        <v>0</v>
      </c>
      <c r="T50" s="32">
        <f>IFERROR(VLOOKUP($F50,'parm(hidden)'!$B$8:$C$10,2,FALSE)*VLOOKUP($K50,$V$22:$W$27,2,FALSE),0)</f>
        <v>2</v>
      </c>
      <c r="U50" s="11">
        <f>IF($J50="N/A",0,VLOOKUP($F50,'parm(hidden)'!$B$8:$C$10,2,FALSE))*1</f>
        <v>0</v>
      </c>
      <c r="V50" s="10"/>
      <c r="W50" s="10"/>
      <c r="Y50" s="10"/>
    </row>
    <row r="51" spans="1:25" ht="12" customHeight="1">
      <c r="A51" s="170" t="str">
        <f>ChkList!A35</f>
        <v>서비스 관리</v>
      </c>
      <c r="B51" s="172" t="str">
        <f>ChkList!B35</f>
        <v>W-31</v>
      </c>
      <c r="C51" s="300" t="str">
        <f>ChkList!C35</f>
        <v>SNMP Access Control 설정</v>
      </c>
      <c r="D51" s="301"/>
      <c r="E51" s="302"/>
      <c r="F51" s="170" t="str">
        <f>ChkList!D35</f>
        <v>M</v>
      </c>
      <c r="G51" s="170">
        <f>ChkList!E35</f>
        <v>2</v>
      </c>
      <c r="H51" s="167" t="s">
        <v>88</v>
      </c>
      <c r="I51" s="153" t="s">
        <v>149</v>
      </c>
      <c r="J51" s="29" t="s">
        <v>78</v>
      </c>
      <c r="K51" s="171" t="str">
        <f t="shared" si="3"/>
        <v>Y</v>
      </c>
      <c r="L51" s="300" t="s">
        <v>316</v>
      </c>
      <c r="M51" s="301"/>
      <c r="N51" s="301"/>
      <c r="O51" s="301"/>
      <c r="P51" s="302"/>
      <c r="Q51" s="21"/>
      <c r="R51" s="32">
        <f>IF($H51="N/A",0,VLOOKUP($F51,'parm(hidden)'!$B$8:$C$10,2,FALSE))*1</f>
        <v>2</v>
      </c>
      <c r="S51" s="32">
        <f>IFERROR(VLOOKUP($F51,'parm(hidden)'!$B$8:$C$10,2,FALSE)*VLOOKUP(#REF!,'parm(hidden)'!$B$15:$C$19,2,FALSE),0)</f>
        <v>0</v>
      </c>
      <c r="T51" s="32">
        <f>IFERROR(VLOOKUP($F51,'parm(hidden)'!$B$8:$C$10,2,FALSE)*VLOOKUP($K51,$V$22:$W$27,2,FALSE),0)</f>
        <v>2</v>
      </c>
      <c r="U51" s="11">
        <f>IF($J51="N/A",0,VLOOKUP($F51,'parm(hidden)'!$B$8:$C$10,2,FALSE))*1</f>
        <v>0</v>
      </c>
      <c r="V51" s="10"/>
      <c r="W51" s="10"/>
      <c r="Y51" s="10"/>
    </row>
    <row r="52" spans="1:25" ht="12" customHeight="1">
      <c r="A52" s="170" t="str">
        <f>ChkList!A36</f>
        <v>서비스 관리</v>
      </c>
      <c r="B52" s="172" t="str">
        <f>ChkList!B36</f>
        <v>W-32</v>
      </c>
      <c r="C52" s="300" t="str">
        <f>ChkList!C36</f>
        <v>DNS 서비스 구동 점검</v>
      </c>
      <c r="D52" s="301"/>
      <c r="E52" s="302"/>
      <c r="F52" s="170" t="str">
        <f>ChkList!D36</f>
        <v>M</v>
      </c>
      <c r="G52" s="170">
        <f>ChkList!E36</f>
        <v>2</v>
      </c>
      <c r="H52" s="167" t="s">
        <v>88</v>
      </c>
      <c r="I52" s="153" t="s">
        <v>149</v>
      </c>
      <c r="J52" s="29" t="s">
        <v>78</v>
      </c>
      <c r="K52" s="171" t="str">
        <f t="shared" si="3"/>
        <v>Y</v>
      </c>
      <c r="L52" s="300" t="s">
        <v>316</v>
      </c>
      <c r="M52" s="301"/>
      <c r="N52" s="301"/>
      <c r="O52" s="301"/>
      <c r="P52" s="302"/>
      <c r="Q52" s="21"/>
      <c r="R52" s="32">
        <f>IF($H52="N/A",0,VLOOKUP($F52,'parm(hidden)'!$B$8:$C$10,2,FALSE))*1</f>
        <v>2</v>
      </c>
      <c r="S52" s="32">
        <f>IFERROR(VLOOKUP($F52,'parm(hidden)'!$B$8:$C$10,2,FALSE)*VLOOKUP(#REF!,'parm(hidden)'!$B$15:$C$19,2,FALSE),0)</f>
        <v>0</v>
      </c>
      <c r="T52" s="32">
        <f>IFERROR(VLOOKUP($F52,'parm(hidden)'!$B$8:$C$10,2,FALSE)*VLOOKUP($K52,$V$22:$W$27,2,FALSE),0)</f>
        <v>2</v>
      </c>
      <c r="U52" s="11">
        <f>IF($J52="N/A",0,VLOOKUP($F52,'parm(hidden)'!$B$8:$C$10,2,FALSE))*1</f>
        <v>0</v>
      </c>
      <c r="V52" s="10"/>
      <c r="W52" s="10"/>
      <c r="Y52" s="10"/>
    </row>
    <row r="53" spans="1:25" ht="12" customHeight="1">
      <c r="A53" s="170" t="str">
        <f>ChkList!A37</f>
        <v>서비스 관리</v>
      </c>
      <c r="B53" s="172" t="str">
        <f>ChkList!B37</f>
        <v>W-33</v>
      </c>
      <c r="C53" s="300" t="str">
        <f>ChkList!C37</f>
        <v>HTTP/FTP/SMTP 배너 차단</v>
      </c>
      <c r="D53" s="301"/>
      <c r="E53" s="302"/>
      <c r="F53" s="170" t="str">
        <f>ChkList!D37</f>
        <v>L</v>
      </c>
      <c r="G53" s="170">
        <f>ChkList!E37</f>
        <v>1</v>
      </c>
      <c r="H53" s="167" t="s">
        <v>88</v>
      </c>
      <c r="I53" s="153" t="s">
        <v>149</v>
      </c>
      <c r="J53" s="29" t="s">
        <v>78</v>
      </c>
      <c r="K53" s="171" t="str">
        <f t="shared" si="3"/>
        <v>Y</v>
      </c>
      <c r="L53" s="300" t="s">
        <v>316</v>
      </c>
      <c r="M53" s="301"/>
      <c r="N53" s="301"/>
      <c r="O53" s="301"/>
      <c r="P53" s="302"/>
      <c r="Q53" s="21"/>
      <c r="R53" s="32">
        <f>IF($H53="N/A",0,VLOOKUP($F53,'parm(hidden)'!$B$8:$C$10,2,FALSE))*1</f>
        <v>1</v>
      </c>
      <c r="S53" s="32">
        <f>IFERROR(VLOOKUP($F53,'parm(hidden)'!$B$8:$C$10,2,FALSE)*VLOOKUP(#REF!,'parm(hidden)'!$B$15:$C$19,2,FALSE),0)</f>
        <v>0</v>
      </c>
      <c r="T53" s="32">
        <f>IFERROR(VLOOKUP($F53,'parm(hidden)'!$B$8:$C$10,2,FALSE)*VLOOKUP($K53,$V$22:$W$27,2,FALSE),0)</f>
        <v>1</v>
      </c>
      <c r="U53" s="11">
        <f>IF($J53="N/A",0,VLOOKUP($F53,'parm(hidden)'!$B$8:$C$10,2,FALSE))*1</f>
        <v>0</v>
      </c>
      <c r="V53" s="10"/>
      <c r="W53" s="10"/>
      <c r="Y53" s="10"/>
    </row>
    <row r="54" spans="1:25" ht="12" customHeight="1">
      <c r="A54" s="170" t="str">
        <f>ChkList!A38</f>
        <v>서비스 관리</v>
      </c>
      <c r="B54" s="172" t="str">
        <f>ChkList!B38</f>
        <v>W-34</v>
      </c>
      <c r="C54" s="300" t="str">
        <f>ChkList!C38</f>
        <v>Telnet 서비스 비활성화</v>
      </c>
      <c r="D54" s="301"/>
      <c r="E54" s="302"/>
      <c r="F54" s="170" t="str">
        <f>ChkList!D38</f>
        <v>M</v>
      </c>
      <c r="G54" s="170">
        <f>ChkList!E38</f>
        <v>2</v>
      </c>
      <c r="H54" s="167" t="s">
        <v>88</v>
      </c>
      <c r="I54" s="153" t="s">
        <v>149</v>
      </c>
      <c r="J54" s="29" t="s">
        <v>78</v>
      </c>
      <c r="K54" s="171" t="str">
        <f t="shared" si="3"/>
        <v>Y</v>
      </c>
      <c r="L54" s="300" t="s">
        <v>316</v>
      </c>
      <c r="M54" s="301"/>
      <c r="N54" s="301"/>
      <c r="O54" s="301"/>
      <c r="P54" s="302"/>
      <c r="Q54" s="21"/>
      <c r="R54" s="32">
        <f>IF($H54="N/A",0,VLOOKUP($F54,'parm(hidden)'!$B$8:$C$10,2,FALSE))*1</f>
        <v>2</v>
      </c>
      <c r="S54" s="32">
        <f>IFERROR(VLOOKUP($F54,'parm(hidden)'!$B$8:$C$10,2,FALSE)*VLOOKUP(#REF!,'parm(hidden)'!$B$15:$C$19,2,FALSE),0)</f>
        <v>0</v>
      </c>
      <c r="T54" s="32">
        <f>IFERROR(VLOOKUP($F54,'parm(hidden)'!$B$8:$C$10,2,FALSE)*VLOOKUP($K54,$V$22:$W$27,2,FALSE),0)</f>
        <v>2</v>
      </c>
      <c r="U54" s="11">
        <f>IF($J54="N/A",0,VLOOKUP($F54,'parm(hidden)'!$B$8:$C$10,2,FALSE))*1</f>
        <v>0</v>
      </c>
      <c r="V54" s="10"/>
      <c r="W54" s="10"/>
      <c r="Y54" s="10"/>
    </row>
    <row r="55" spans="1:25" ht="12" customHeight="1">
      <c r="A55" s="170" t="str">
        <f>ChkList!A39</f>
        <v>서비스 관리</v>
      </c>
      <c r="B55" s="172" t="str">
        <f>ChkList!B39</f>
        <v>W-35</v>
      </c>
      <c r="C55" s="300" t="str">
        <f>ChkList!C39</f>
        <v>불필요한 ODBC/OLE-DB 데이터 소스와 드라이브 제거</v>
      </c>
      <c r="D55" s="301"/>
      <c r="E55" s="302"/>
      <c r="F55" s="170" t="str">
        <f>ChkList!D39</f>
        <v>M</v>
      </c>
      <c r="G55" s="170">
        <f>ChkList!E39</f>
        <v>2</v>
      </c>
      <c r="H55" s="167" t="s">
        <v>88</v>
      </c>
      <c r="I55" s="153" t="s">
        <v>149</v>
      </c>
      <c r="J55" s="29" t="s">
        <v>78</v>
      </c>
      <c r="K55" s="171" t="str">
        <f t="shared" si="3"/>
        <v>Y</v>
      </c>
      <c r="L55" s="300" t="s">
        <v>316</v>
      </c>
      <c r="M55" s="301"/>
      <c r="N55" s="301"/>
      <c r="O55" s="301"/>
      <c r="P55" s="302"/>
      <c r="Q55" s="21"/>
      <c r="R55" s="32">
        <f>IF($H55="N/A",0,VLOOKUP($F55,'parm(hidden)'!$B$8:$C$10,2,FALSE))*1</f>
        <v>2</v>
      </c>
      <c r="S55" s="32">
        <f>IFERROR(VLOOKUP($F55,'parm(hidden)'!$B$8:$C$10,2,FALSE)*VLOOKUP(#REF!,'parm(hidden)'!$B$15:$C$19,2,FALSE),0)</f>
        <v>0</v>
      </c>
      <c r="T55" s="32">
        <f>IFERROR(VLOOKUP($F55,'parm(hidden)'!$B$8:$C$10,2,FALSE)*VLOOKUP($K55,$V$22:$W$27,2,FALSE),0)</f>
        <v>2</v>
      </c>
      <c r="U55" s="11">
        <f>IF($J55="N/A",0,VLOOKUP($F55,'parm(hidden)'!$B$8:$C$10,2,FALSE))*1</f>
        <v>0</v>
      </c>
      <c r="V55" s="10"/>
      <c r="W55" s="10"/>
      <c r="Y55" s="10"/>
    </row>
    <row r="56" spans="1:25" ht="12" customHeight="1">
      <c r="A56" s="170" t="str">
        <f>ChkList!A40</f>
        <v>서비스 관리</v>
      </c>
      <c r="B56" s="172" t="str">
        <f>ChkList!B40</f>
        <v>W-36</v>
      </c>
      <c r="C56" s="300" t="str">
        <f>ChkList!C40</f>
        <v>원격터미널 접속 타임아웃 설정</v>
      </c>
      <c r="D56" s="301"/>
      <c r="E56" s="302"/>
      <c r="F56" s="170" t="str">
        <f>ChkList!D40</f>
        <v>M</v>
      </c>
      <c r="G56" s="170">
        <f>ChkList!E40</f>
        <v>2</v>
      </c>
      <c r="H56" s="154" t="s">
        <v>100</v>
      </c>
      <c r="I56" s="152" t="s">
        <v>155</v>
      </c>
      <c r="J56" s="29" t="s">
        <v>88</v>
      </c>
      <c r="K56" s="171" t="str">
        <f t="shared" si="3"/>
        <v>조치</v>
      </c>
      <c r="L56" s="300" t="s">
        <v>304</v>
      </c>
      <c r="M56" s="301"/>
      <c r="N56" s="301"/>
      <c r="O56" s="301"/>
      <c r="P56" s="302"/>
      <c r="Q56" s="21"/>
      <c r="R56" s="32">
        <f>IF($H56="N/A",0,VLOOKUP($F56,'parm(hidden)'!$B$8:$C$10,2,FALSE))*1</f>
        <v>2</v>
      </c>
      <c r="S56" s="32">
        <f>IFERROR(VLOOKUP($F56,'parm(hidden)'!$B$8:$C$10,2,FALSE)*VLOOKUP(#REF!,'parm(hidden)'!$B$15:$C$19,2,FALSE),0)</f>
        <v>0</v>
      </c>
      <c r="T56" s="32">
        <f>IFERROR(VLOOKUP($F56,'parm(hidden)'!$B$8:$C$10,2,FALSE)*VLOOKUP($K56,$V$22:$W$27,2,FALSE),0)</f>
        <v>2</v>
      </c>
      <c r="U56" s="11">
        <f>IF($J56="N/A",0,VLOOKUP($F56,'parm(hidden)'!$B$8:$C$10,2,FALSE))*1</f>
        <v>2</v>
      </c>
      <c r="V56" s="10"/>
      <c r="W56" s="10"/>
      <c r="Y56" s="10"/>
    </row>
    <row r="57" spans="1:25" ht="12" customHeight="1">
      <c r="A57" s="170" t="str">
        <f>ChkList!A41</f>
        <v>서비스 관리</v>
      </c>
      <c r="B57" s="172" t="str">
        <f>ChkList!B41</f>
        <v>W-37</v>
      </c>
      <c r="C57" s="300" t="str">
        <f>ChkList!C41</f>
        <v>예약된 작업에 의심스러운 명령이 등록되어 있는지 점검</v>
      </c>
      <c r="D57" s="301"/>
      <c r="E57" s="302"/>
      <c r="F57" s="170" t="str">
        <f>ChkList!D41</f>
        <v>M</v>
      </c>
      <c r="G57" s="170">
        <f>ChkList!E41</f>
        <v>2</v>
      </c>
      <c r="H57" s="167" t="s">
        <v>88</v>
      </c>
      <c r="I57" s="153" t="s">
        <v>149</v>
      </c>
      <c r="J57" s="29" t="s">
        <v>78</v>
      </c>
      <c r="K57" s="171" t="str">
        <f t="shared" si="3"/>
        <v>Y</v>
      </c>
      <c r="L57" s="300" t="s">
        <v>316</v>
      </c>
      <c r="M57" s="301"/>
      <c r="N57" s="301"/>
      <c r="O57" s="301"/>
      <c r="P57" s="302"/>
      <c r="Q57" s="21"/>
      <c r="R57" s="32">
        <f>IF($H57="N/A",0,VLOOKUP($F57,'parm(hidden)'!$B$8:$C$10,2,FALSE))*1</f>
        <v>2</v>
      </c>
      <c r="S57" s="32">
        <f>IFERROR(VLOOKUP($F57,'parm(hidden)'!$B$8:$C$10,2,FALSE)*VLOOKUP(#REF!,'parm(hidden)'!$B$15:$C$19,2,FALSE),0)</f>
        <v>0</v>
      </c>
      <c r="T57" s="32">
        <f>IFERROR(VLOOKUP($F57,'parm(hidden)'!$B$8:$C$10,2,FALSE)*VLOOKUP($K57,$V$22:$W$27,2,FALSE),0)</f>
        <v>2</v>
      </c>
      <c r="U57" s="11">
        <f>IF($J57="N/A",0,VLOOKUP($F57,'parm(hidden)'!$B$8:$C$10,2,FALSE))*1</f>
        <v>0</v>
      </c>
      <c r="V57" s="10"/>
      <c r="W57" s="10"/>
      <c r="Y57" s="10"/>
    </row>
    <row r="58" spans="1:25" ht="12" customHeight="1">
      <c r="A58" s="170" t="str">
        <f>ChkList!A42</f>
        <v>패치 관리</v>
      </c>
      <c r="B58" s="172" t="str">
        <f>ChkList!B42</f>
        <v>W-38</v>
      </c>
      <c r="C58" s="300" t="str">
        <f>ChkList!C42</f>
        <v>주기적 보안 패치 및 벤더 권고사항 적용</v>
      </c>
      <c r="D58" s="301"/>
      <c r="E58" s="302"/>
      <c r="F58" s="170" t="str">
        <f>ChkList!D42</f>
        <v>H</v>
      </c>
      <c r="G58" s="170">
        <f>ChkList!E42</f>
        <v>3</v>
      </c>
      <c r="H58" s="167" t="s">
        <v>88</v>
      </c>
      <c r="I58" s="153" t="s">
        <v>149</v>
      </c>
      <c r="J58" s="29" t="s">
        <v>78</v>
      </c>
      <c r="K58" s="171" t="str">
        <f t="shared" si="3"/>
        <v>Y</v>
      </c>
      <c r="L58" s="300" t="s">
        <v>316</v>
      </c>
      <c r="M58" s="301"/>
      <c r="N58" s="301"/>
      <c r="O58" s="301"/>
      <c r="P58" s="302"/>
      <c r="Q58" s="21"/>
      <c r="R58" s="32">
        <f>IF($H58="N/A",0,VLOOKUP($F58,'parm(hidden)'!$B$8:$C$10,2,FALSE))*1</f>
        <v>3</v>
      </c>
      <c r="S58" s="32">
        <f>IFERROR(VLOOKUP($F58,'parm(hidden)'!$B$8:$C$10,2,FALSE)*VLOOKUP(#REF!,'parm(hidden)'!$B$15:$C$19,2,FALSE),0)</f>
        <v>0</v>
      </c>
      <c r="T58" s="32">
        <f>IFERROR(VLOOKUP($F58,'parm(hidden)'!$B$8:$C$10,2,FALSE)*VLOOKUP($K58,$V$22:$W$27,2,FALSE),0)</f>
        <v>3</v>
      </c>
      <c r="U58" s="11">
        <f>IF($J58="N/A",0,VLOOKUP($F58,'parm(hidden)'!$B$8:$C$10,2,FALSE))*1</f>
        <v>0</v>
      </c>
      <c r="V58" s="10"/>
      <c r="W58" s="10"/>
      <c r="Y58" s="10"/>
    </row>
    <row r="59" spans="1:25" ht="12" customHeight="1">
      <c r="A59" s="170" t="str">
        <f>ChkList!A43</f>
        <v>패치 관리</v>
      </c>
      <c r="B59" s="172" t="str">
        <f>ChkList!B43</f>
        <v>W-39</v>
      </c>
      <c r="C59" s="300" t="str">
        <f>ChkList!C43</f>
        <v>백신 프로그램 업데이트</v>
      </c>
      <c r="D59" s="301"/>
      <c r="E59" s="302"/>
      <c r="F59" s="170" t="str">
        <f>ChkList!D43</f>
        <v>H</v>
      </c>
      <c r="G59" s="170">
        <f>ChkList!E43</f>
        <v>3</v>
      </c>
      <c r="H59" s="167" t="s">
        <v>88</v>
      </c>
      <c r="I59" s="153" t="s">
        <v>149</v>
      </c>
      <c r="J59" s="29" t="s">
        <v>78</v>
      </c>
      <c r="K59" s="171" t="str">
        <f t="shared" si="3"/>
        <v>Y</v>
      </c>
      <c r="L59" s="300" t="s">
        <v>316</v>
      </c>
      <c r="M59" s="301"/>
      <c r="N59" s="301"/>
      <c r="O59" s="301"/>
      <c r="P59" s="302"/>
      <c r="Q59" s="21" t="str">
        <f>IF($J59="",IF(OR(#REF!="N",#REF!="인터뷰"),ChkList!#REF!,""),IF(OR($J59="N",$J59="인터뷰"),ChkList!#REF!,""))</f>
        <v/>
      </c>
      <c r="R59" s="32">
        <f>IF($H59="N/A",0,VLOOKUP($F59,'parm(hidden)'!$B$8:$C$10,2,FALSE))*1</f>
        <v>3</v>
      </c>
      <c r="S59" s="32">
        <f>IFERROR(VLOOKUP($F59,'parm(hidden)'!$B$8:$C$10,2,FALSE)*VLOOKUP(#REF!,'parm(hidden)'!$B$15:$C$19,2,FALSE),0)</f>
        <v>0</v>
      </c>
      <c r="T59" s="32">
        <f>IFERROR(VLOOKUP($F59,'parm(hidden)'!$B$8:$C$10,2,FALSE)*VLOOKUP($K59,$V$22:$W$27,2,FALSE),0)</f>
        <v>3</v>
      </c>
      <c r="U59" s="11">
        <f>IF($J59="N/A",0,VLOOKUP($F59,'parm(hidden)'!$B$8:$C$10,2,FALSE))*1</f>
        <v>0</v>
      </c>
      <c r="V59" s="10"/>
      <c r="W59" s="10"/>
      <c r="Y59" s="10"/>
    </row>
    <row r="60" spans="1:25" ht="12" customHeight="1">
      <c r="A60" s="170" t="str">
        <f>ChkList!A44</f>
        <v>로그 관리</v>
      </c>
      <c r="B60" s="172" t="str">
        <f>ChkList!B44</f>
        <v>W-40</v>
      </c>
      <c r="C60" s="300" t="str">
        <f>ChkList!C44</f>
        <v>정책에 따른 시스템 로깅 설정</v>
      </c>
      <c r="D60" s="301"/>
      <c r="E60" s="302"/>
      <c r="F60" s="170" t="str">
        <f>ChkList!D44</f>
        <v>M</v>
      </c>
      <c r="G60" s="170">
        <f>ChkList!E44</f>
        <v>2</v>
      </c>
      <c r="H60" s="167" t="s">
        <v>88</v>
      </c>
      <c r="I60" s="153" t="s">
        <v>149</v>
      </c>
      <c r="J60" s="29" t="s">
        <v>78</v>
      </c>
      <c r="K60" s="171" t="str">
        <f t="shared" si="3"/>
        <v>Y</v>
      </c>
      <c r="L60" s="300" t="s">
        <v>316</v>
      </c>
      <c r="M60" s="301"/>
      <c r="N60" s="301"/>
      <c r="O60" s="301"/>
      <c r="P60" s="302"/>
      <c r="Q60" s="21" t="str">
        <f>IF($J60="",IF(OR(#REF!="N",#REF!="인터뷰"),ChkList!#REF!,""),IF(OR($J60="N",$J60="인터뷰"),ChkList!#REF!,""))</f>
        <v/>
      </c>
      <c r="R60" s="32">
        <f>IF($H60="N/A",0,VLOOKUP($F60,'parm(hidden)'!$B$8:$C$10,2,FALSE))*1</f>
        <v>2</v>
      </c>
      <c r="S60" s="32">
        <f>IFERROR(VLOOKUP($F60,'parm(hidden)'!$B$8:$C$10,2,FALSE)*VLOOKUP(#REF!,'parm(hidden)'!$B$15:$C$19,2,FALSE),0)</f>
        <v>0</v>
      </c>
      <c r="T60" s="32">
        <f>IFERROR(VLOOKUP($F60,'parm(hidden)'!$B$8:$C$10,2,FALSE)*VLOOKUP($K60,$V$22:$W$27,2,FALSE),0)</f>
        <v>2</v>
      </c>
      <c r="U60" s="11">
        <f>IF($J60="N/A",0,VLOOKUP($F60,'parm(hidden)'!$B$8:$C$10,2,FALSE))*1</f>
        <v>0</v>
      </c>
      <c r="V60" s="10"/>
      <c r="W60" s="10"/>
      <c r="Y60" s="10"/>
    </row>
    <row r="61" spans="1:25" ht="12" customHeight="1">
      <c r="A61" s="170" t="str">
        <f>ChkList!A45</f>
        <v>로그 관리</v>
      </c>
      <c r="B61" s="172" t="str">
        <f>ChkList!B45</f>
        <v>W-41</v>
      </c>
      <c r="C61" s="300" t="str">
        <f>ChkList!C45</f>
        <v>NTP 및 시각 동기화 설정</v>
      </c>
      <c r="D61" s="301"/>
      <c r="E61" s="302"/>
      <c r="F61" s="170" t="str">
        <f>ChkList!D45</f>
        <v>M</v>
      </c>
      <c r="G61" s="170">
        <f>ChkList!E45</f>
        <v>2</v>
      </c>
      <c r="H61" s="157" t="s">
        <v>88</v>
      </c>
      <c r="I61" s="153" t="s">
        <v>14</v>
      </c>
      <c r="J61" s="29" t="s">
        <v>78</v>
      </c>
      <c r="K61" s="171" t="str">
        <f t="shared" si="3"/>
        <v>Y</v>
      </c>
      <c r="L61" s="300" t="s">
        <v>316</v>
      </c>
      <c r="M61" s="301"/>
      <c r="N61" s="301"/>
      <c r="O61" s="301"/>
      <c r="P61" s="302"/>
      <c r="Q61" s="21" t="str">
        <f>IF($J61="",IF(OR(#REF!="N",#REF!="인터뷰"),ChkList!#REF!,""),IF(OR($J61="N",$J61="인터뷰"),ChkList!#REF!,""))</f>
        <v/>
      </c>
      <c r="R61" s="32">
        <f>IF($H61="N/A",0,VLOOKUP($F61,'parm(hidden)'!$B$8:$C$10,2,FALSE))*1</f>
        <v>2</v>
      </c>
      <c r="S61" s="32">
        <f>IFERROR(VLOOKUP($F61,'parm(hidden)'!$B$8:$C$10,2,FALSE)*VLOOKUP(#REF!,'parm(hidden)'!$B$15:$C$19,2,FALSE),0)</f>
        <v>0</v>
      </c>
      <c r="T61" s="32">
        <f>IFERROR(VLOOKUP($F61,'parm(hidden)'!$B$8:$C$10,2,FALSE)*VLOOKUP($K61,$V$22:$W$27,2,FALSE),0)</f>
        <v>2</v>
      </c>
      <c r="U61" s="11">
        <f>IF($J61="N/A",0,VLOOKUP($F61,'parm(hidden)'!$B$8:$C$10,2,FALSE))*1</f>
        <v>0</v>
      </c>
      <c r="Y61" s="10"/>
    </row>
    <row r="62" spans="1:25" ht="12" customHeight="1">
      <c r="A62" s="170" t="str">
        <f>ChkList!A46</f>
        <v>로그 관리</v>
      </c>
      <c r="B62" s="172" t="str">
        <f>ChkList!B46</f>
        <v>W-42</v>
      </c>
      <c r="C62" s="300" t="str">
        <f>ChkList!C46</f>
        <v>이벤트 로그 관리 설정</v>
      </c>
      <c r="D62" s="301"/>
      <c r="E62" s="302"/>
      <c r="F62" s="170" t="str">
        <f>ChkList!D46</f>
        <v>L</v>
      </c>
      <c r="G62" s="170">
        <f>ChkList!E46</f>
        <v>1</v>
      </c>
      <c r="H62" s="167" t="s">
        <v>88</v>
      </c>
      <c r="I62" s="152" t="s">
        <v>29</v>
      </c>
      <c r="J62" s="29" t="s">
        <v>78</v>
      </c>
      <c r="K62" s="171" t="str">
        <f t="shared" si="3"/>
        <v>Y</v>
      </c>
      <c r="L62" s="300" t="s">
        <v>316</v>
      </c>
      <c r="M62" s="301"/>
      <c r="N62" s="301"/>
      <c r="O62" s="301"/>
      <c r="P62" s="302"/>
      <c r="Q62" s="21" t="str">
        <f>IF($J62="",IF(OR(#REF!="N",#REF!="인터뷰"),ChkList!#REF!,""),IF(OR($J62="N",$J62="인터뷰"),ChkList!#REF!,""))</f>
        <v/>
      </c>
      <c r="R62" s="32">
        <f>IF($H62="N/A",0,VLOOKUP($F62,'parm(hidden)'!$B$8:$C$10,2,FALSE))*1</f>
        <v>1</v>
      </c>
      <c r="S62" s="32">
        <f>IFERROR(VLOOKUP($F62,'parm(hidden)'!$B$8:$C$10,2,FALSE)*VLOOKUP(H62,'parm(hidden)'!$B$15:$C$19,2,FALSE),0)</f>
        <v>1</v>
      </c>
      <c r="T62" s="32">
        <f>IFERROR(VLOOKUP($F62,'parm(hidden)'!$B$8:$C$10,2,FALSE)*VLOOKUP($K62,$V$22:$W$27,2,FALSE),0)</f>
        <v>1</v>
      </c>
      <c r="U62" s="11">
        <f>IF($J62="N/A",0,VLOOKUP($F62,'parm(hidden)'!$B$8:$C$10,2,FALSE))*1</f>
        <v>0</v>
      </c>
      <c r="Y62" s="10"/>
    </row>
    <row r="63" spans="1:25" ht="12" customHeight="1">
      <c r="A63" s="170" t="str">
        <f>ChkList!A47</f>
        <v>로그 관리</v>
      </c>
      <c r="B63" s="172" t="str">
        <f>ChkList!B47</f>
        <v>W-43</v>
      </c>
      <c r="C63" s="300" t="str">
        <f>ChkList!C47</f>
        <v>이벤트 로그 파일 접근 통제 설정</v>
      </c>
      <c r="D63" s="301"/>
      <c r="E63" s="302"/>
      <c r="F63" s="170" t="str">
        <f>ChkList!D47</f>
        <v>M</v>
      </c>
      <c r="G63" s="170">
        <f>ChkList!E47</f>
        <v>2</v>
      </c>
      <c r="H63" s="154" t="s">
        <v>100</v>
      </c>
      <c r="I63" s="152" t="s">
        <v>26</v>
      </c>
      <c r="J63" s="29" t="s">
        <v>315</v>
      </c>
      <c r="K63" s="171" t="str">
        <f t="shared" si="3"/>
        <v>미조치</v>
      </c>
      <c r="L63" s="300" t="s">
        <v>314</v>
      </c>
      <c r="M63" s="301"/>
      <c r="N63" s="301"/>
      <c r="O63" s="301"/>
      <c r="P63" s="302"/>
      <c r="Q63" s="21" t="e">
        <f>IF($J63="",IF(OR(#REF!="N",#REF!="인터뷰"),ChkList!#REF!,""),IF(OR($J63="N",$J63="인터뷰"),ChkList!#REF!,""))</f>
        <v>#REF!</v>
      </c>
      <c r="R63" s="32">
        <f>IF($H63="N/A",0,VLOOKUP($F63,'parm(hidden)'!$B$8:$C$10,2,FALSE))*1</f>
        <v>2</v>
      </c>
      <c r="S63" s="32">
        <f>IFERROR(VLOOKUP($F63,'parm(hidden)'!$B$8:$C$10,2,FALSE)*VLOOKUP(H63,'parm(hidden)'!$B$15:$C$19,2,FALSE),0)</f>
        <v>0</v>
      </c>
      <c r="T63" s="32">
        <f>IFERROR(VLOOKUP($F63,'parm(hidden)'!$B$8:$C$10,2,FALSE)*VLOOKUP($K63,$V$22:$W$27,2,FALSE),0)</f>
        <v>0</v>
      </c>
      <c r="U63" s="11">
        <f>IF($J63="N/A",0,VLOOKUP($F63,'parm(hidden)'!$B$8:$C$10,2,FALSE))*1</f>
        <v>2</v>
      </c>
      <c r="Y63" s="10"/>
    </row>
    <row r="64" spans="1:25" ht="12" customHeight="1">
      <c r="A64" s="170" t="str">
        <f>ChkList!A48</f>
        <v>보안 관리</v>
      </c>
      <c r="B64" s="172" t="str">
        <f>ChkList!B48</f>
        <v>W-44</v>
      </c>
      <c r="C64" s="300" t="str">
        <f>ChkList!C48</f>
        <v>원격으로 액세스할 수 있는 레지스트리 경로</v>
      </c>
      <c r="D64" s="301"/>
      <c r="E64" s="302"/>
      <c r="F64" s="170" t="str">
        <f>ChkList!D48</f>
        <v>H</v>
      </c>
      <c r="G64" s="170">
        <f>ChkList!E48</f>
        <v>3</v>
      </c>
      <c r="H64" s="154" t="s">
        <v>100</v>
      </c>
      <c r="I64" s="153" t="s">
        <v>3</v>
      </c>
      <c r="J64" s="29" t="s">
        <v>88</v>
      </c>
      <c r="K64" s="171" t="str">
        <f t="shared" si="3"/>
        <v>조치</v>
      </c>
      <c r="L64" s="300" t="s">
        <v>305</v>
      </c>
      <c r="M64" s="301"/>
      <c r="N64" s="301"/>
      <c r="O64" s="301"/>
      <c r="P64" s="302"/>
      <c r="Q64" s="21" t="str">
        <f>IF($J64="",IF(OR(#REF!="N",#REF!="인터뷰"),ChkList!#REF!,""),IF(OR($J64="N",$J64="인터뷰"),ChkList!#REF!,""))</f>
        <v/>
      </c>
      <c r="R64" s="32">
        <f>IF($H64="N/A",0,VLOOKUP($F64,'parm(hidden)'!$B$8:$C$10,2,FALSE))*1</f>
        <v>3</v>
      </c>
      <c r="S64" s="32">
        <f>IFERROR(VLOOKUP($F64,'parm(hidden)'!$B$8:$C$10,2,FALSE)*VLOOKUP(H64,'parm(hidden)'!$B$15:$C$19,2,FALSE),0)</f>
        <v>0</v>
      </c>
      <c r="T64" s="32">
        <f>IFERROR(VLOOKUP($F64,'parm(hidden)'!$B$8:$C$10,2,FALSE)*VLOOKUP($K64,$V$22:$W$27,2,FALSE),0)</f>
        <v>3</v>
      </c>
      <c r="U64" s="11">
        <f>IF($J64="N/A",0,VLOOKUP($F64,'parm(hidden)'!$B$8:$C$10,2,FALSE))*1</f>
        <v>3</v>
      </c>
      <c r="Y64" s="10"/>
    </row>
    <row r="65" spans="1:25" ht="12" customHeight="1">
      <c r="A65" s="170" t="str">
        <f>ChkList!A49</f>
        <v>보안 관리</v>
      </c>
      <c r="B65" s="172" t="str">
        <f>ChkList!B49</f>
        <v>W-45</v>
      </c>
      <c r="C65" s="300" t="str">
        <f>ChkList!C49</f>
        <v>백신 프로그램 설치</v>
      </c>
      <c r="D65" s="301"/>
      <c r="E65" s="302"/>
      <c r="F65" s="170" t="str">
        <f>ChkList!D49</f>
        <v>H</v>
      </c>
      <c r="G65" s="170">
        <f>ChkList!E49</f>
        <v>3</v>
      </c>
      <c r="H65" s="167" t="s">
        <v>88</v>
      </c>
      <c r="I65" s="153" t="s">
        <v>149</v>
      </c>
      <c r="J65" s="29" t="s">
        <v>78</v>
      </c>
      <c r="K65" s="171" t="str">
        <f t="shared" si="3"/>
        <v>Y</v>
      </c>
      <c r="L65" s="300" t="s">
        <v>316</v>
      </c>
      <c r="M65" s="301"/>
      <c r="N65" s="301"/>
      <c r="O65" s="301"/>
      <c r="P65" s="302"/>
      <c r="Q65" s="21" t="str">
        <f>IF($J65="",IF(OR(#REF!="N",#REF!="인터뷰"),ChkList!#REF!,""),IF(OR($J65="N",$J65="인터뷰"),ChkList!#REF!,""))</f>
        <v/>
      </c>
      <c r="R65" s="32">
        <f>IF($H65="N/A",0,VLOOKUP($F65,'parm(hidden)'!$B$8:$C$10,2,FALSE))*1</f>
        <v>3</v>
      </c>
      <c r="S65" s="32">
        <f>IFERROR(VLOOKUP($F65,'parm(hidden)'!$B$8:$C$10,2,FALSE)*VLOOKUP(H65,'parm(hidden)'!$B$15:$C$19,2,FALSE),0)</f>
        <v>3</v>
      </c>
      <c r="T65" s="32">
        <f>IFERROR(VLOOKUP($F65,'parm(hidden)'!$B$8:$C$10,2,FALSE)*VLOOKUP($K65,$V$22:$W$27,2,FALSE),0)</f>
        <v>3</v>
      </c>
      <c r="U65" s="11">
        <f>IF($J65="N/A",0,VLOOKUP($F65,'parm(hidden)'!$B$8:$C$10,2,FALSE))*1</f>
        <v>0</v>
      </c>
      <c r="Y65" s="10"/>
    </row>
    <row r="66" spans="1:25" ht="12" customHeight="1">
      <c r="A66" s="170" t="str">
        <f>ChkList!A50</f>
        <v>보안 관리</v>
      </c>
      <c r="B66" s="172" t="str">
        <f>ChkList!B50</f>
        <v>W-46</v>
      </c>
      <c r="C66" s="300" t="str">
        <f>ChkList!C50</f>
        <v>SAM 파일 접근 통제 설정</v>
      </c>
      <c r="D66" s="301"/>
      <c r="E66" s="302"/>
      <c r="F66" s="170" t="str">
        <f>ChkList!D50</f>
        <v>H</v>
      </c>
      <c r="G66" s="170">
        <f>ChkList!E50</f>
        <v>3</v>
      </c>
      <c r="H66" s="167" t="s">
        <v>88</v>
      </c>
      <c r="I66" s="153" t="s">
        <v>175</v>
      </c>
      <c r="J66" s="29" t="s">
        <v>78</v>
      </c>
      <c r="K66" s="171" t="str">
        <f t="shared" si="3"/>
        <v>Y</v>
      </c>
      <c r="L66" s="300" t="s">
        <v>316</v>
      </c>
      <c r="M66" s="301"/>
      <c r="N66" s="301"/>
      <c r="O66" s="301"/>
      <c r="P66" s="302"/>
      <c r="Q66" s="21" t="str">
        <f>IF($J66="",IF(OR(#REF!="N",#REF!="인터뷰"),ChkList!#REF!,""),IF(OR($J66="N",$J66="인터뷰"),ChkList!#REF!,""))</f>
        <v/>
      </c>
      <c r="R66" s="32">
        <f>IF($H66="N/A",0,VLOOKUP($F66,'parm(hidden)'!$B$8:$C$10,2,FALSE))*1</f>
        <v>3</v>
      </c>
      <c r="S66" s="32">
        <f>IFERROR(VLOOKUP($F66,'parm(hidden)'!$B$8:$C$10,2,FALSE)*VLOOKUP(H66,'parm(hidden)'!$B$15:$C$19,2,FALSE),0)</f>
        <v>3</v>
      </c>
      <c r="T66" s="32">
        <f>IFERROR(VLOOKUP($F66,'parm(hidden)'!$B$8:$C$10,2,FALSE)*VLOOKUP($K66,$V$22:$W$27,2,FALSE),0)</f>
        <v>3</v>
      </c>
      <c r="U66" s="11">
        <f>IF($J66="N/A",0,VLOOKUP($F66,'parm(hidden)'!$B$8:$C$10,2,FALSE))*1</f>
        <v>0</v>
      </c>
      <c r="Y66" s="10"/>
    </row>
    <row r="67" spans="1:25" ht="12" customHeight="1">
      <c r="A67" s="170" t="str">
        <f>ChkList!A51</f>
        <v>보안 관리</v>
      </c>
      <c r="B67" s="172" t="str">
        <f>ChkList!B51</f>
        <v>W-47</v>
      </c>
      <c r="C67" s="300" t="str">
        <f>ChkList!C51</f>
        <v>화면 보호기 설정</v>
      </c>
      <c r="D67" s="301"/>
      <c r="E67" s="302"/>
      <c r="F67" s="170" t="str">
        <f>ChkList!D51</f>
        <v>L</v>
      </c>
      <c r="G67" s="170">
        <f>ChkList!E51</f>
        <v>1</v>
      </c>
      <c r="H67" s="168" t="s">
        <v>88</v>
      </c>
      <c r="I67" s="153" t="s">
        <v>25</v>
      </c>
      <c r="J67" s="29" t="s">
        <v>78</v>
      </c>
      <c r="K67" s="171" t="str">
        <f t="shared" si="3"/>
        <v>Y</v>
      </c>
      <c r="L67" s="300" t="s">
        <v>316</v>
      </c>
      <c r="M67" s="301"/>
      <c r="N67" s="301"/>
      <c r="O67" s="301"/>
      <c r="P67" s="302"/>
      <c r="Q67" s="21" t="str">
        <f>IF($J67="",IF(OR(#REF!="N",#REF!="인터뷰"),ChkList!#REF!,""),IF(OR($J67="N",$J67="인터뷰"),ChkList!#REF!,""))</f>
        <v/>
      </c>
      <c r="R67" s="32">
        <f>IF($H67="N/A",0,VLOOKUP($F67,'parm(hidden)'!$B$8:$C$10,2,FALSE))*1</f>
        <v>1</v>
      </c>
      <c r="S67" s="32">
        <f>IFERROR(VLOOKUP($F67,'parm(hidden)'!$B$8:$C$10,2,FALSE)*VLOOKUP(H67,'parm(hidden)'!$B$15:$C$19,2,FALSE),0)</f>
        <v>1</v>
      </c>
      <c r="T67" s="32">
        <f>IFERROR(VLOOKUP($F67,'parm(hidden)'!$B$8:$C$10,2,FALSE)*VLOOKUP($K67,$V$22:$W$27,2,FALSE),0)</f>
        <v>1</v>
      </c>
      <c r="U67" s="11">
        <f>IF($J67="N/A",0,VLOOKUP($F67,'parm(hidden)'!$B$8:$C$10,2,FALSE))*1</f>
        <v>0</v>
      </c>
      <c r="Y67" s="10"/>
    </row>
    <row r="68" spans="1:25" ht="12" customHeight="1">
      <c r="A68" s="170" t="str">
        <f>ChkList!A52</f>
        <v>보안 관리</v>
      </c>
      <c r="B68" s="172" t="str">
        <f>ChkList!B52</f>
        <v>W-48</v>
      </c>
      <c r="C68" s="300" t="str">
        <f>ChkList!C52</f>
        <v>로그온하지 않고 시스템 종료 허용</v>
      </c>
      <c r="D68" s="301"/>
      <c r="E68" s="302"/>
      <c r="F68" s="170" t="str">
        <f>ChkList!D52</f>
        <v>H</v>
      </c>
      <c r="G68" s="170">
        <f>ChkList!E52</f>
        <v>3</v>
      </c>
      <c r="H68" s="167" t="s">
        <v>88</v>
      </c>
      <c r="I68" s="153" t="s">
        <v>175</v>
      </c>
      <c r="J68" s="29" t="s">
        <v>78</v>
      </c>
      <c r="K68" s="171" t="str">
        <f t="shared" si="3"/>
        <v>Y</v>
      </c>
      <c r="L68" s="300" t="s">
        <v>316</v>
      </c>
      <c r="M68" s="301"/>
      <c r="N68" s="301"/>
      <c r="O68" s="301"/>
      <c r="P68" s="302"/>
      <c r="Q68" s="21" t="str">
        <f>IF($J68="",IF(OR(#REF!="N",#REF!="인터뷰"),ChkList!#REF!,""),IF(OR($J68="N",$J68="인터뷰"),ChkList!#REF!,""))</f>
        <v/>
      </c>
      <c r="R68" s="32">
        <f>IF($H68="N/A",0,VLOOKUP($F68,'parm(hidden)'!$B$8:$C$10,2,FALSE))*1</f>
        <v>3</v>
      </c>
      <c r="S68" s="32">
        <f>IFERROR(VLOOKUP($F68,'parm(hidden)'!$B$8:$C$10,2,FALSE)*VLOOKUP(H68,'parm(hidden)'!$B$15:$C$19,2,FALSE),0)</f>
        <v>3</v>
      </c>
      <c r="T68" s="32">
        <f>IFERROR(VLOOKUP($F68,'parm(hidden)'!$B$8:$C$10,2,FALSE)*VLOOKUP($K68,$V$22:$W$27,2,FALSE),0)</f>
        <v>3</v>
      </c>
      <c r="U68" s="11">
        <f>IF($J68="N/A",0,VLOOKUP($F68,'parm(hidden)'!$B$8:$C$10,2,FALSE))*1</f>
        <v>0</v>
      </c>
      <c r="Y68" s="10"/>
    </row>
    <row r="69" spans="1:25" ht="12" customHeight="1">
      <c r="A69" s="170" t="str">
        <f>ChkList!A53</f>
        <v>보안 관리</v>
      </c>
      <c r="B69" s="172" t="str">
        <f>ChkList!B53</f>
        <v>W-49</v>
      </c>
      <c r="C69" s="300" t="str">
        <f>ChkList!C53</f>
        <v>원격 시스템에서 강제로 시스템 종료</v>
      </c>
      <c r="D69" s="301"/>
      <c r="E69" s="302"/>
      <c r="F69" s="170" t="str">
        <f>ChkList!D53</f>
        <v>H</v>
      </c>
      <c r="G69" s="170">
        <f>ChkList!E53</f>
        <v>3</v>
      </c>
      <c r="H69" s="157" t="s">
        <v>88</v>
      </c>
      <c r="I69" s="153" t="s">
        <v>57</v>
      </c>
      <c r="J69" s="29" t="s">
        <v>78</v>
      </c>
      <c r="K69" s="171" t="str">
        <f t="shared" si="3"/>
        <v>Y</v>
      </c>
      <c r="L69" s="300" t="s">
        <v>316</v>
      </c>
      <c r="M69" s="301"/>
      <c r="N69" s="301"/>
      <c r="O69" s="301"/>
      <c r="P69" s="302"/>
      <c r="Q69" s="21" t="str">
        <f>IF($J69="",IF(OR(#REF!="N",#REF!="인터뷰"),ChkList!#REF!,""),IF(OR($J69="N",$J69="인터뷰"),ChkList!#REF!,""))</f>
        <v/>
      </c>
      <c r="R69" s="32">
        <f>IF($H69="N/A",0,VLOOKUP($F69,'parm(hidden)'!$B$8:$C$10,2,FALSE))*1</f>
        <v>3</v>
      </c>
      <c r="S69" s="32">
        <f>IFERROR(VLOOKUP($F69,'parm(hidden)'!$B$8:$C$10,2,FALSE)*VLOOKUP(H69,'parm(hidden)'!$B$15:$C$19,2,FALSE),0)</f>
        <v>3</v>
      </c>
      <c r="T69" s="32">
        <f>IFERROR(VLOOKUP($F69,'parm(hidden)'!$B$8:$C$10,2,FALSE)*VLOOKUP($K69,$V$22:$W$27,2,FALSE),0)</f>
        <v>3</v>
      </c>
      <c r="U69" s="11">
        <f>IF($J69="N/A",0,VLOOKUP($F69,'parm(hidden)'!$B$8:$C$10,2,FALSE))*1</f>
        <v>0</v>
      </c>
      <c r="Y69" s="10"/>
    </row>
    <row r="70" spans="1:25" ht="12" customHeight="1">
      <c r="A70" s="170" t="str">
        <f>ChkList!A54</f>
        <v>보안 관리</v>
      </c>
      <c r="B70" s="172" t="str">
        <f>ChkList!B54</f>
        <v>W-50</v>
      </c>
      <c r="C70" s="300" t="str">
        <f>ChkList!C54</f>
        <v>보안 감사를 로그 할 수 없는 경우 즉시 시스템 종료</v>
      </c>
      <c r="D70" s="301"/>
      <c r="E70" s="302"/>
      <c r="F70" s="170" t="str">
        <f>ChkList!D54</f>
        <v>H</v>
      </c>
      <c r="G70" s="170">
        <f>ChkList!E54</f>
        <v>3</v>
      </c>
      <c r="H70" s="167" t="s">
        <v>88</v>
      </c>
      <c r="I70" s="153" t="s">
        <v>306</v>
      </c>
      <c r="J70" s="29" t="s">
        <v>78</v>
      </c>
      <c r="K70" s="171" t="str">
        <f t="shared" si="3"/>
        <v>Y</v>
      </c>
      <c r="L70" s="300" t="s">
        <v>316</v>
      </c>
      <c r="M70" s="301"/>
      <c r="N70" s="301"/>
      <c r="O70" s="301"/>
      <c r="P70" s="302"/>
      <c r="Q70" s="21" t="str">
        <f>IF($J70="",IF(OR(#REF!="N",#REF!="인터뷰"),ChkList!#REF!,""),IF(OR($J70="N",$J70="인터뷰"),ChkList!#REF!,""))</f>
        <v/>
      </c>
      <c r="R70" s="32">
        <f>IF($H70="N/A",0,VLOOKUP($F70,'parm(hidden)'!$B$8:$C$10,2,FALSE))*1</f>
        <v>3</v>
      </c>
      <c r="S70" s="32">
        <f>IFERROR(VLOOKUP($F70,'parm(hidden)'!$B$8:$C$10,2,FALSE)*VLOOKUP(H70,'parm(hidden)'!$B$15:$C$19,2,FALSE),0)</f>
        <v>3</v>
      </c>
      <c r="T70" s="32">
        <f>IFERROR(VLOOKUP($F70,'parm(hidden)'!$B$8:$C$10,2,FALSE)*VLOOKUP($K70,$V$22:$W$27,2,FALSE),0)</f>
        <v>3</v>
      </c>
      <c r="U70" s="11">
        <f>IF($J70="N/A",0,VLOOKUP($F70,'parm(hidden)'!$B$8:$C$10,2,FALSE))*1</f>
        <v>0</v>
      </c>
      <c r="Y70" s="10"/>
    </row>
    <row r="71" spans="1:25" ht="12" customHeight="1">
      <c r="A71" s="170" t="str">
        <f>ChkList!A55</f>
        <v>보안 관리</v>
      </c>
      <c r="B71" s="172" t="str">
        <f>ChkList!B55</f>
        <v>W-51</v>
      </c>
      <c r="C71" s="300" t="str">
        <f>ChkList!C55</f>
        <v>SAM 계정과 공유의 익명 열거 허용 안 함</v>
      </c>
      <c r="D71" s="301"/>
      <c r="E71" s="302"/>
      <c r="F71" s="170" t="str">
        <f>ChkList!D55</f>
        <v>H</v>
      </c>
      <c r="G71" s="170">
        <f>ChkList!E55</f>
        <v>3</v>
      </c>
      <c r="H71" s="167" t="s">
        <v>88</v>
      </c>
      <c r="I71" s="153" t="s">
        <v>2</v>
      </c>
      <c r="J71" s="29" t="s">
        <v>78</v>
      </c>
      <c r="K71" s="171" t="str">
        <f t="shared" si="3"/>
        <v>Y</v>
      </c>
      <c r="L71" s="300" t="s">
        <v>316</v>
      </c>
      <c r="M71" s="301"/>
      <c r="N71" s="301"/>
      <c r="O71" s="301"/>
      <c r="P71" s="302"/>
      <c r="Q71" s="21" t="str">
        <f>IF($J71="",IF(OR(#REF!="N",#REF!="인터뷰"),ChkList!#REF!,""),IF(OR($J71="N",$J71="인터뷰"),ChkList!#REF!,""))</f>
        <v/>
      </c>
      <c r="R71" s="32">
        <f>IF($H71="N/A",0,VLOOKUP($F71,'parm(hidden)'!$B$8:$C$10,2,FALSE))*1</f>
        <v>3</v>
      </c>
      <c r="S71" s="32">
        <f>IFERROR(VLOOKUP($F71,'parm(hidden)'!$B$8:$C$10,2,FALSE)*VLOOKUP(H71,'parm(hidden)'!$B$15:$C$19,2,FALSE),0)</f>
        <v>3</v>
      </c>
      <c r="T71" s="32">
        <f>IFERROR(VLOOKUP($F71,'parm(hidden)'!$B$8:$C$10,2,FALSE)*VLOOKUP($K71,$V$22:$W$27,2,FALSE),0)</f>
        <v>3</v>
      </c>
      <c r="U71" s="11">
        <f>IF($J71="N/A",0,VLOOKUP($F71,'parm(hidden)'!$B$8:$C$10,2,FALSE))*1</f>
        <v>0</v>
      </c>
      <c r="Y71" s="10"/>
    </row>
    <row r="72" spans="1:25" ht="12" customHeight="1">
      <c r="A72" s="170" t="str">
        <f>ChkList!A56</f>
        <v>보안 관리</v>
      </c>
      <c r="B72" s="172" t="str">
        <f>ChkList!B56</f>
        <v>W-52</v>
      </c>
      <c r="C72" s="300" t="str">
        <f>ChkList!C56</f>
        <v>Autologon 기능 제어</v>
      </c>
      <c r="D72" s="301"/>
      <c r="E72" s="302"/>
      <c r="F72" s="170" t="str">
        <f>ChkList!D56</f>
        <v>H</v>
      </c>
      <c r="G72" s="170">
        <f>ChkList!E56</f>
        <v>3</v>
      </c>
      <c r="H72" s="29" t="s">
        <v>88</v>
      </c>
      <c r="I72" s="153" t="s">
        <v>147</v>
      </c>
      <c r="J72" s="29" t="s">
        <v>78</v>
      </c>
      <c r="K72" s="171" t="str">
        <f t="shared" si="3"/>
        <v>Y</v>
      </c>
      <c r="L72" s="300" t="s">
        <v>316</v>
      </c>
      <c r="M72" s="301"/>
      <c r="N72" s="301"/>
      <c r="O72" s="301"/>
      <c r="P72" s="302"/>
      <c r="Q72" s="21" t="str">
        <f>IF($J72="",IF(OR(#REF!="N",#REF!="인터뷰"),ChkList!#REF!,""),IF(OR($J72="N",$J72="인터뷰"),ChkList!#REF!,""))</f>
        <v/>
      </c>
      <c r="R72" s="32">
        <f>IF($H72="N/A",0,VLOOKUP($F72,'parm(hidden)'!$B$8:$C$10,2,FALSE))*1</f>
        <v>3</v>
      </c>
      <c r="S72" s="32">
        <f>IFERROR(VLOOKUP($F72,'parm(hidden)'!$B$8:$C$10,2,FALSE)*VLOOKUP(H72,'parm(hidden)'!$B$15:$C$19,2,FALSE),0)</f>
        <v>3</v>
      </c>
      <c r="T72" s="32">
        <f>IFERROR(VLOOKUP($F72,'parm(hidden)'!$B$8:$C$10,2,FALSE)*VLOOKUP($K72,$V$22:$W$27,2,FALSE),0)</f>
        <v>3</v>
      </c>
      <c r="U72" s="11">
        <f>IF($J72="N/A",0,VLOOKUP($F72,'parm(hidden)'!$B$8:$C$10,2,FALSE))*1</f>
        <v>0</v>
      </c>
      <c r="Y72" s="10"/>
    </row>
    <row r="73" spans="1:25" ht="12" customHeight="1">
      <c r="A73" s="170" t="str">
        <f>ChkList!A57</f>
        <v>보안 관리</v>
      </c>
      <c r="B73" s="172" t="str">
        <f>ChkList!B57</f>
        <v>W-53</v>
      </c>
      <c r="C73" s="300" t="str">
        <f>ChkList!C57</f>
        <v>이동식 미디어 포맷 및 꺼내기 허용</v>
      </c>
      <c r="D73" s="301"/>
      <c r="E73" s="302"/>
      <c r="F73" s="170" t="str">
        <f>ChkList!D57</f>
        <v>H</v>
      </c>
      <c r="G73" s="170">
        <f>ChkList!E57</f>
        <v>3</v>
      </c>
      <c r="H73" s="155" t="s">
        <v>100</v>
      </c>
      <c r="I73" s="152" t="s">
        <v>24</v>
      </c>
      <c r="J73" s="29" t="s">
        <v>88</v>
      </c>
      <c r="K73" s="171" t="str">
        <f t="shared" si="3"/>
        <v>조치</v>
      </c>
      <c r="L73" s="300" t="s">
        <v>307</v>
      </c>
      <c r="M73" s="301"/>
      <c r="N73" s="301"/>
      <c r="O73" s="301"/>
      <c r="P73" s="302"/>
      <c r="Q73" s="21" t="str">
        <f>IF($J73="",IF(OR(#REF!="N",#REF!="인터뷰"),ChkList!#REF!,""),IF(OR($J73="N",$J73="인터뷰"),ChkList!#REF!,""))</f>
        <v/>
      </c>
      <c r="R73" s="32">
        <f>IF($H73="N/A",0,VLOOKUP($F73,'parm(hidden)'!$B$8:$C$10,2,FALSE))*1</f>
        <v>3</v>
      </c>
      <c r="S73" s="32">
        <f>IFERROR(VLOOKUP($F73,'parm(hidden)'!$B$8:$C$10,2,FALSE)*VLOOKUP(H73,'parm(hidden)'!$B$15:$C$19,2,FALSE),0)</f>
        <v>0</v>
      </c>
      <c r="T73" s="32">
        <f>IFERROR(VLOOKUP($F73,'parm(hidden)'!$B$8:$C$10,2,FALSE)*VLOOKUP($K73,$V$22:$W$27,2,FALSE),0)</f>
        <v>3</v>
      </c>
      <c r="U73" s="11">
        <f>IF($J73="N/A",0,VLOOKUP($F73,'parm(hidden)'!$B$8:$C$10,2,FALSE))*1</f>
        <v>3</v>
      </c>
      <c r="Y73" s="10"/>
    </row>
    <row r="74" spans="1:25" ht="12" customHeight="1">
      <c r="A74" s="170" t="str">
        <f>ChkList!A58</f>
        <v>보안 관리</v>
      </c>
      <c r="B74" s="172" t="str">
        <f>ChkList!B58</f>
        <v>W-54</v>
      </c>
      <c r="C74" s="300" t="str">
        <f>ChkList!C58</f>
        <v>Dos 공격 방어 레지스트리 설정</v>
      </c>
      <c r="D74" s="301"/>
      <c r="E74" s="302"/>
      <c r="F74" s="170" t="str">
        <f>ChkList!D58</f>
        <v>M</v>
      </c>
      <c r="G74" s="170">
        <f>ChkList!E58</f>
        <v>2</v>
      </c>
      <c r="H74" s="29" t="s">
        <v>88</v>
      </c>
      <c r="I74" s="153" t="s">
        <v>148</v>
      </c>
      <c r="J74" s="29" t="s">
        <v>100</v>
      </c>
      <c r="K74" s="171" t="str">
        <f t="shared" si="3"/>
        <v>Y</v>
      </c>
      <c r="L74" s="300"/>
      <c r="M74" s="301"/>
      <c r="N74" s="301"/>
      <c r="O74" s="301"/>
      <c r="P74" s="302"/>
      <c r="Q74" s="21" t="e">
        <f>IF($J74="",IF(OR(#REF!="N",#REF!="인터뷰"),ChkList!#REF!,""),IF(OR($J74="N",$J74="인터뷰"),ChkList!#REF!,""))</f>
        <v>#REF!</v>
      </c>
      <c r="R74" s="32">
        <f>IF($H74="N/A",0,VLOOKUP($F74,'parm(hidden)'!$B$8:$C$10,2,FALSE))*1</f>
        <v>2</v>
      </c>
      <c r="S74" s="32">
        <f>IFERROR(VLOOKUP($F74,'parm(hidden)'!$B$8:$C$10,2,FALSE)*VLOOKUP(H74,'parm(hidden)'!$B$15:$C$19,2,FALSE),0)</f>
        <v>2</v>
      </c>
      <c r="T74" s="32">
        <f>IFERROR(VLOOKUP($F74,'parm(hidden)'!$B$8:$C$10,2,FALSE)*VLOOKUP($K74,$V$22:$W$27,2,FALSE),0)</f>
        <v>2</v>
      </c>
      <c r="U74" s="11">
        <f>IF($J74="N/A",0,VLOOKUP($F74,'parm(hidden)'!$B$8:$C$10,2,FALSE))*1</f>
        <v>2</v>
      </c>
      <c r="Y74" s="10"/>
    </row>
    <row r="75" spans="1:25" ht="12" customHeight="1">
      <c r="A75" s="170" t="str">
        <f>ChkList!A59</f>
        <v>보안 관리</v>
      </c>
      <c r="B75" s="172" t="str">
        <f>ChkList!B59</f>
        <v>W-55</v>
      </c>
      <c r="C75" s="300" t="str">
        <f>ChkList!C59</f>
        <v>사용자가 프린터 드라이버를 설치할 수 없게 함</v>
      </c>
      <c r="D75" s="301"/>
      <c r="E75" s="302"/>
      <c r="F75" s="170" t="str">
        <f>ChkList!D59</f>
        <v>M</v>
      </c>
      <c r="G75" s="170">
        <f>ChkList!E59</f>
        <v>2</v>
      </c>
      <c r="H75" s="155" t="s">
        <v>100</v>
      </c>
      <c r="I75" s="153" t="s">
        <v>150</v>
      </c>
      <c r="J75" s="29" t="s">
        <v>100</v>
      </c>
      <c r="K75" s="171" t="str">
        <f t="shared" si="3"/>
        <v>미조치</v>
      </c>
      <c r="L75" s="306" t="s">
        <v>308</v>
      </c>
      <c r="M75" s="307"/>
      <c r="N75" s="307"/>
      <c r="O75" s="307"/>
      <c r="P75" s="308"/>
      <c r="Q75" s="21" t="e">
        <f>IF($J75="",IF(OR(#REF!="N",#REF!="인터뷰"),ChkList!#REF!,""),IF(OR($J75="N",$J75="인터뷰"),ChkList!#REF!,""))</f>
        <v>#REF!</v>
      </c>
      <c r="R75" s="32">
        <f>IF($H75="N/A",0,VLOOKUP($F75,'parm(hidden)'!$B$8:$C$10,2,FALSE))*1</f>
        <v>2</v>
      </c>
      <c r="S75" s="32">
        <f>IFERROR(VLOOKUP($F75,'parm(hidden)'!$B$8:$C$10,2,FALSE)*VLOOKUP(H75,'parm(hidden)'!$B$15:$C$19,2,FALSE),0)</f>
        <v>0</v>
      </c>
      <c r="T75" s="32">
        <f>IFERROR(VLOOKUP($F75,'parm(hidden)'!$B$8:$C$10,2,FALSE)*VLOOKUP($K75,$V$22:$W$27,2,FALSE),0)</f>
        <v>0</v>
      </c>
      <c r="U75" s="11">
        <f>IF($J75="N/A",0,VLOOKUP($F75,'parm(hidden)'!$B$8:$C$10,2,FALSE))*1</f>
        <v>2</v>
      </c>
      <c r="Y75" s="10"/>
    </row>
    <row r="76" spans="1:25" ht="12" customHeight="1">
      <c r="A76" s="170" t="str">
        <f>ChkList!A60</f>
        <v>보안 관리</v>
      </c>
      <c r="B76" s="172" t="str">
        <f>ChkList!B60</f>
        <v>W-56</v>
      </c>
      <c r="C76" s="300" t="str">
        <f>ChkList!C60</f>
        <v>SMB 세션 중단 관리 설정</v>
      </c>
      <c r="D76" s="301"/>
      <c r="E76" s="302"/>
      <c r="F76" s="170" t="str">
        <f>ChkList!D60</f>
        <v>M</v>
      </c>
      <c r="G76" s="170">
        <f>ChkList!E60</f>
        <v>2</v>
      </c>
      <c r="H76" s="155" t="s">
        <v>100</v>
      </c>
      <c r="I76" s="152" t="s">
        <v>31</v>
      </c>
      <c r="J76" s="29" t="s">
        <v>88</v>
      </c>
      <c r="K76" s="171" t="str">
        <f t="shared" si="3"/>
        <v>조치</v>
      </c>
      <c r="L76" s="300" t="s">
        <v>309</v>
      </c>
      <c r="M76" s="301"/>
      <c r="N76" s="301"/>
      <c r="O76" s="301"/>
      <c r="P76" s="302"/>
      <c r="Q76" s="21" t="str">
        <f>IF($J76="",IF(OR(#REF!="N",#REF!="인터뷰"),ChkList!#REF!,""),IF(OR($J76="N",$J76="인터뷰"),ChkList!#REF!,""))</f>
        <v/>
      </c>
      <c r="R76" s="32">
        <f>IF($H76="N/A",0,VLOOKUP($F76,'parm(hidden)'!$B$8:$C$10,2,FALSE))*1</f>
        <v>2</v>
      </c>
      <c r="S76" s="32">
        <f>IFERROR(VLOOKUP($F76,'parm(hidden)'!$B$8:$C$10,2,FALSE)*VLOOKUP(H76,'parm(hidden)'!$B$15:$C$19,2,FALSE),0)</f>
        <v>0</v>
      </c>
      <c r="T76" s="32">
        <f>IFERROR(VLOOKUP($F76,'parm(hidden)'!$B$8:$C$10,2,FALSE)*VLOOKUP($K76,$V$22:$W$27,2,FALSE),0)</f>
        <v>2</v>
      </c>
      <c r="U76" s="11">
        <f>IF($J76="N/A",0,VLOOKUP($F76,'parm(hidden)'!$B$8:$C$10,2,FALSE))*1</f>
        <v>2</v>
      </c>
      <c r="Y76" s="10"/>
    </row>
    <row r="77" spans="1:25" ht="12" customHeight="1">
      <c r="A77" s="170" t="str">
        <f>ChkList!A61</f>
        <v>보안 관리</v>
      </c>
      <c r="B77" s="172" t="str">
        <f>ChkList!B61</f>
        <v>W-57</v>
      </c>
      <c r="C77" s="300" t="str">
        <f>ChkList!C61</f>
        <v>로그온 시 경고 메시지 설정</v>
      </c>
      <c r="D77" s="301"/>
      <c r="E77" s="302"/>
      <c r="F77" s="170" t="str">
        <f>ChkList!D61</f>
        <v>L</v>
      </c>
      <c r="G77" s="170">
        <f>ChkList!E61</f>
        <v>1</v>
      </c>
      <c r="H77" s="155" t="s">
        <v>100</v>
      </c>
      <c r="I77" s="153" t="s">
        <v>19</v>
      </c>
      <c r="J77" s="29" t="s">
        <v>88</v>
      </c>
      <c r="K77" s="171" t="str">
        <f t="shared" si="3"/>
        <v>조치</v>
      </c>
      <c r="L77" s="300" t="s">
        <v>310</v>
      </c>
      <c r="M77" s="301"/>
      <c r="N77" s="301"/>
      <c r="O77" s="301"/>
      <c r="P77" s="302"/>
      <c r="Q77" s="21" t="str">
        <f>IF($J77="",IF(OR(#REF!="N",#REF!="인터뷰"),ChkList!#REF!,""),IF(OR($J77="N",$J77="인터뷰"),ChkList!#REF!,""))</f>
        <v/>
      </c>
      <c r="R77" s="32">
        <f>IF($H77="N/A",0,VLOOKUP($F77,'parm(hidden)'!$B$8:$C$10,2,FALSE))*1</f>
        <v>1</v>
      </c>
      <c r="S77" s="32">
        <f>IFERROR(VLOOKUP($F77,'parm(hidden)'!$B$8:$C$10,2,FALSE)*VLOOKUP(H77,'parm(hidden)'!$B$15:$C$19,2,FALSE),0)</f>
        <v>0</v>
      </c>
      <c r="T77" s="32">
        <f>IFERROR(VLOOKUP($F77,'parm(hidden)'!$B$8:$C$10,2,FALSE)*VLOOKUP($K77,$V$22:$W$27,2,FALSE),0)</f>
        <v>1</v>
      </c>
      <c r="U77" s="11">
        <f>IF($J77="N/A",0,VLOOKUP($F77,'parm(hidden)'!$B$8:$C$10,2,FALSE))*1</f>
        <v>1</v>
      </c>
      <c r="Y77" s="10"/>
    </row>
    <row r="78" spans="1:25" ht="12" customHeight="1">
      <c r="A78" s="170" t="str">
        <f>ChkList!A62</f>
        <v>보안 관리</v>
      </c>
      <c r="B78" s="172" t="str">
        <f>ChkList!B62</f>
        <v>W-58</v>
      </c>
      <c r="C78" s="300" t="str">
        <f>ChkList!C62</f>
        <v>사용자별 홈 디렉터리 권한 설정</v>
      </c>
      <c r="D78" s="301"/>
      <c r="E78" s="302"/>
      <c r="F78" s="170" t="str">
        <f>ChkList!D62</f>
        <v>M</v>
      </c>
      <c r="G78" s="170">
        <f>ChkList!E62</f>
        <v>2</v>
      </c>
      <c r="H78" s="154" t="s">
        <v>100</v>
      </c>
      <c r="I78" s="152" t="s">
        <v>153</v>
      </c>
      <c r="J78" s="29" t="s">
        <v>315</v>
      </c>
      <c r="K78" s="171" t="str">
        <f t="shared" si="3"/>
        <v>미조치</v>
      </c>
      <c r="L78" s="300" t="s">
        <v>317</v>
      </c>
      <c r="M78" s="301"/>
      <c r="N78" s="301"/>
      <c r="O78" s="301"/>
      <c r="P78" s="302"/>
      <c r="Q78" s="21" t="e">
        <f>IF($J78="",IF(OR(#REF!="N",#REF!="인터뷰"),ChkList!#REF!,""),IF(OR($J78="N",$J78="인터뷰"),ChkList!#REF!,""))</f>
        <v>#REF!</v>
      </c>
      <c r="R78" s="32">
        <f>IF($H78="N/A",0,VLOOKUP($F78,'parm(hidden)'!$B$8:$C$10,2,FALSE))*1</f>
        <v>2</v>
      </c>
      <c r="S78" s="32">
        <f>IFERROR(VLOOKUP($F78,'parm(hidden)'!$B$8:$C$10,2,FALSE)*VLOOKUP(H78,'parm(hidden)'!$B$15:$C$19,2,FALSE),0)</f>
        <v>0</v>
      </c>
      <c r="T78" s="32">
        <f>IFERROR(VLOOKUP($F78,'parm(hidden)'!$B$8:$C$10,2,FALSE)*VLOOKUP($K78,$V$22:$W$27,2,FALSE),0)</f>
        <v>0</v>
      </c>
      <c r="U78" s="11">
        <f>IF($J78="N/A",0,VLOOKUP($F78,'parm(hidden)'!$B$8:$C$10,2,FALSE))*1</f>
        <v>2</v>
      </c>
      <c r="Y78" s="10"/>
    </row>
    <row r="79" spans="1:25" ht="12" customHeight="1">
      <c r="A79" s="170" t="str">
        <f>ChkList!A63</f>
        <v>보안 관리</v>
      </c>
      <c r="B79" s="172" t="str">
        <f>ChkList!B63</f>
        <v>W-59</v>
      </c>
      <c r="C79" s="300" t="str">
        <f>ChkList!C63</f>
        <v>LAN Manager 인증 수준</v>
      </c>
      <c r="D79" s="301"/>
      <c r="E79" s="302"/>
      <c r="F79" s="170" t="str">
        <f>ChkList!D63</f>
        <v>M</v>
      </c>
      <c r="G79" s="170">
        <f>ChkList!E63</f>
        <v>2</v>
      </c>
      <c r="H79" s="154" t="s">
        <v>100</v>
      </c>
      <c r="I79" s="152" t="s">
        <v>164</v>
      </c>
      <c r="J79" s="29" t="s">
        <v>88</v>
      </c>
      <c r="K79" s="171" t="str">
        <f t="shared" si="3"/>
        <v>조치</v>
      </c>
      <c r="L79" s="300" t="s">
        <v>311</v>
      </c>
      <c r="M79" s="301"/>
      <c r="N79" s="301"/>
      <c r="O79" s="301"/>
      <c r="P79" s="302"/>
      <c r="Q79" s="21" t="str">
        <f>IF($J79="",IF(OR(#REF!="N",#REF!="인터뷰"),ChkList!#REF!,""),IF(OR($J79="N",$J79="인터뷰"),ChkList!#REF!,""))</f>
        <v/>
      </c>
      <c r="R79" s="32">
        <f>IF($H79="N/A",0,VLOOKUP($F79,'parm(hidden)'!$B$8:$C$10,2,FALSE))*1</f>
        <v>2</v>
      </c>
      <c r="S79" s="32">
        <f>IFERROR(VLOOKUP($F79,'parm(hidden)'!$B$8:$C$10,2,FALSE)*VLOOKUP(H79,'parm(hidden)'!$B$15:$C$19,2,FALSE),0)</f>
        <v>0</v>
      </c>
      <c r="T79" s="32">
        <f>IFERROR(VLOOKUP($F79,'parm(hidden)'!$B$8:$C$10,2,FALSE)*VLOOKUP($K79,$V$22:$W$27,2,FALSE),0)</f>
        <v>2</v>
      </c>
      <c r="U79" s="11">
        <f>IF($J79="N/A",0,VLOOKUP($F79,'parm(hidden)'!$B$8:$C$10,2,FALSE))*1</f>
        <v>2</v>
      </c>
      <c r="Y79" s="10"/>
    </row>
    <row r="80" spans="1:25" ht="12" customHeight="1">
      <c r="A80" s="170" t="str">
        <f>ChkList!A64</f>
        <v>보안 관리</v>
      </c>
      <c r="B80" s="172" t="str">
        <f>ChkList!B64</f>
        <v>W-60</v>
      </c>
      <c r="C80" s="300" t="str">
        <f>ChkList!C64</f>
        <v>보안 채널 데이터 디지털 암호화 또는 서명</v>
      </c>
      <c r="D80" s="301"/>
      <c r="E80" s="302"/>
      <c r="F80" s="170" t="str">
        <f>ChkList!D64</f>
        <v>M</v>
      </c>
      <c r="G80" s="170">
        <f>ChkList!E64</f>
        <v>2</v>
      </c>
      <c r="H80" s="29" t="s">
        <v>88</v>
      </c>
      <c r="I80" s="153" t="s">
        <v>66</v>
      </c>
      <c r="J80" s="29" t="s">
        <v>100</v>
      </c>
      <c r="K80" s="171" t="str">
        <f t="shared" si="3"/>
        <v>Y</v>
      </c>
      <c r="L80" s="300"/>
      <c r="M80" s="301"/>
      <c r="N80" s="301"/>
      <c r="O80" s="301"/>
      <c r="P80" s="302"/>
      <c r="Q80" s="21" t="e">
        <f>IF($J80="",IF(OR(#REF!="N",#REF!="인터뷰"),ChkList!#REF!,""),IF(OR($J80="N",$J80="인터뷰"),ChkList!#REF!,""))</f>
        <v>#REF!</v>
      </c>
      <c r="R80" s="32">
        <f>IF($H80="N/A",0,VLOOKUP($F80,'parm(hidden)'!$B$8:$C$10,2,FALSE))*1</f>
        <v>2</v>
      </c>
      <c r="S80" s="32">
        <f>IFERROR(VLOOKUP($F80,'parm(hidden)'!$B$8:$C$10,2,FALSE)*VLOOKUP(H80,'parm(hidden)'!$B$15:$C$19,2,FALSE),0)</f>
        <v>2</v>
      </c>
      <c r="T80" s="32">
        <f>IFERROR(VLOOKUP($F80,'parm(hidden)'!$B$8:$C$10,2,FALSE)*VLOOKUP($K80,$V$22:$W$27,2,FALSE),0)</f>
        <v>2</v>
      </c>
      <c r="U80" s="11">
        <f>IF($J80="N/A",0,VLOOKUP($F80,'parm(hidden)'!$B$8:$C$10,2,FALSE))*1</f>
        <v>2</v>
      </c>
      <c r="Y80" s="10"/>
    </row>
    <row r="81" spans="1:25" ht="12" customHeight="1">
      <c r="A81" s="170" t="str">
        <f>ChkList!A65</f>
        <v>보안 관리</v>
      </c>
      <c r="B81" s="172" t="str">
        <f>ChkList!B65</f>
        <v>W-61</v>
      </c>
      <c r="C81" s="300" t="str">
        <f>ChkList!C65</f>
        <v>파일 및 디렉토리 보호</v>
      </c>
      <c r="D81" s="301"/>
      <c r="E81" s="302"/>
      <c r="F81" s="170" t="str">
        <f>ChkList!D65</f>
        <v>M</v>
      </c>
      <c r="G81" s="170">
        <f>ChkList!E65</f>
        <v>2</v>
      </c>
      <c r="H81" s="157" t="s">
        <v>88</v>
      </c>
      <c r="I81" s="153" t="s">
        <v>168</v>
      </c>
      <c r="J81" s="29" t="s">
        <v>100</v>
      </c>
      <c r="K81" s="171" t="str">
        <f t="shared" si="3"/>
        <v>Y</v>
      </c>
      <c r="L81" s="300"/>
      <c r="M81" s="301"/>
      <c r="N81" s="301"/>
      <c r="O81" s="301"/>
      <c r="P81" s="302"/>
      <c r="Q81" s="21" t="e">
        <f>IF($J81="",IF(OR(#REF!="N",#REF!="인터뷰"),ChkList!#REF!,""),IF(OR($J81="N",$J81="인터뷰"),ChkList!#REF!,""))</f>
        <v>#REF!</v>
      </c>
      <c r="R81" s="32">
        <f>IF($H81="N/A",0,VLOOKUP($F81,'parm(hidden)'!$B$8:$C$10,2,FALSE))*1</f>
        <v>2</v>
      </c>
      <c r="S81" s="32">
        <f>IFERROR(VLOOKUP($F81,'parm(hidden)'!$B$8:$C$10,2,FALSE)*VLOOKUP(H81,'parm(hidden)'!$B$15:$C$19,2,FALSE),0)</f>
        <v>2</v>
      </c>
      <c r="T81" s="32">
        <f>IFERROR(VLOOKUP($F81,'parm(hidden)'!$B$8:$C$10,2,FALSE)*VLOOKUP($K81,$V$22:$W$27,2,FALSE),0)</f>
        <v>2</v>
      </c>
      <c r="U81" s="11">
        <f>IF($J81="N/A",0,VLOOKUP($F81,'parm(hidden)'!$B$8:$C$10,2,FALSE))*1</f>
        <v>2</v>
      </c>
      <c r="Y81" s="10"/>
    </row>
    <row r="82" spans="1:25" ht="12" customHeight="1">
      <c r="A82" s="170" t="str">
        <f>ChkList!A66</f>
        <v>보안 관리</v>
      </c>
      <c r="B82" s="172" t="str">
        <f>ChkList!B66</f>
        <v>W-62</v>
      </c>
      <c r="C82" s="300" t="str">
        <f>ChkList!C66</f>
        <v>시작 프로그램 목록 분석</v>
      </c>
      <c r="D82" s="301"/>
      <c r="E82" s="302"/>
      <c r="F82" s="170" t="str">
        <f>ChkList!D66</f>
        <v>M</v>
      </c>
      <c r="G82" s="170">
        <f>ChkList!E66</f>
        <v>2</v>
      </c>
      <c r="H82" s="155" t="s">
        <v>100</v>
      </c>
      <c r="I82" s="152" t="s">
        <v>31</v>
      </c>
      <c r="J82" s="29" t="s">
        <v>88</v>
      </c>
      <c r="K82" s="171" t="str">
        <f t="shared" si="3"/>
        <v>조치</v>
      </c>
      <c r="L82" s="300" t="s">
        <v>312</v>
      </c>
      <c r="M82" s="301"/>
      <c r="N82" s="301"/>
      <c r="O82" s="301"/>
      <c r="P82" s="302"/>
      <c r="Q82" s="21" t="str">
        <f>IF($J82="",IF(OR(#REF!="N",#REF!="인터뷰"),ChkList!#REF!,""),IF(OR($J82="N",$J82="인터뷰"),ChkList!#REF!,""))</f>
        <v/>
      </c>
      <c r="R82" s="32">
        <f>IF($H82="N/A",0,VLOOKUP($F82,'parm(hidden)'!$B$8:$C$10,2,FALSE))*1</f>
        <v>2</v>
      </c>
      <c r="S82" s="32">
        <f>IFERROR(VLOOKUP($F82,'parm(hidden)'!$B$8:$C$10,2,FALSE)*VLOOKUP(H82,'parm(hidden)'!$B$15:$C$19,2,FALSE),0)</f>
        <v>0</v>
      </c>
      <c r="T82" s="32">
        <f>IFERROR(VLOOKUP($F82,'parm(hidden)'!$B$8:$C$10,2,FALSE)*VLOOKUP($K82,$V$22:$W$27,2,FALSE),0)</f>
        <v>2</v>
      </c>
      <c r="U82" s="11">
        <f>IF($J82="N/A",0,VLOOKUP($F82,'parm(hidden)'!$B$8:$C$10,2,FALSE))*1</f>
        <v>2</v>
      </c>
      <c r="Y82" s="10"/>
    </row>
    <row r="83" spans="1:25" ht="12" customHeight="1">
      <c r="A83" s="170" t="str">
        <f>ChkList!A67</f>
        <v>보안 관리</v>
      </c>
      <c r="B83" s="172" t="str">
        <f>ChkList!B67</f>
        <v>W-63</v>
      </c>
      <c r="C83" s="300" t="str">
        <f>ChkList!C67</f>
        <v>도메인 컨트롤러-사용자의 시간 동기화</v>
      </c>
      <c r="D83" s="301"/>
      <c r="E83" s="302"/>
      <c r="F83" s="170" t="str">
        <f>ChkList!D67</f>
        <v>M</v>
      </c>
      <c r="G83" s="170">
        <f>ChkList!E67</f>
        <v>2</v>
      </c>
      <c r="H83" s="29" t="s">
        <v>88</v>
      </c>
      <c r="I83" s="153" t="s">
        <v>22</v>
      </c>
      <c r="J83" s="29" t="s">
        <v>100</v>
      </c>
      <c r="K83" s="171" t="str">
        <f t="shared" si="3"/>
        <v>Y</v>
      </c>
      <c r="L83" s="300"/>
      <c r="M83" s="301"/>
      <c r="N83" s="301"/>
      <c r="O83" s="301"/>
      <c r="P83" s="302"/>
      <c r="Q83" s="21" t="e">
        <f>IF($J83="",IF(OR(#REF!="N",#REF!="인터뷰"),ChkList!#REF!,""),IF(OR($J83="N",$J83="인터뷰"),ChkList!#REF!,""))</f>
        <v>#REF!</v>
      </c>
      <c r="R83" s="32">
        <f>IF($H83="N/A",0,VLOOKUP($F83,'parm(hidden)'!$B$8:$C$10,2,FALSE))*1</f>
        <v>2</v>
      </c>
      <c r="S83" s="32">
        <f>IFERROR(VLOOKUP($F83,'parm(hidden)'!$B$8:$C$10,2,FALSE)*VLOOKUP(H83,'parm(hidden)'!$B$15:$C$19,2,FALSE),0)</f>
        <v>2</v>
      </c>
      <c r="T83" s="32">
        <f>IFERROR(VLOOKUP($F83,'parm(hidden)'!$B$8:$C$10,2,FALSE)*VLOOKUP($K83,$V$22:$W$27,2,FALSE),0)</f>
        <v>2</v>
      </c>
      <c r="U83" s="11">
        <f>IF($J83="N/A",0,VLOOKUP($F83,'parm(hidden)'!$B$8:$C$10,2,FALSE))*1</f>
        <v>2</v>
      </c>
      <c r="Y83" s="10"/>
    </row>
    <row r="84" spans="1:25" ht="12" customHeight="1">
      <c r="A84" s="170" t="str">
        <f>ChkList!A68</f>
        <v>보안 관리</v>
      </c>
      <c r="B84" s="172" t="str">
        <f>ChkList!B68</f>
        <v>W-64</v>
      </c>
      <c r="C84" s="300" t="str">
        <f>ChkList!C68</f>
        <v>윈도우 방화벽 설정</v>
      </c>
      <c r="D84" s="301"/>
      <c r="E84" s="302"/>
      <c r="F84" s="170" t="str">
        <f>ChkList!D68</f>
        <v>M</v>
      </c>
      <c r="G84" s="170">
        <f>ChkList!E68</f>
        <v>2</v>
      </c>
      <c r="H84" s="155" t="s">
        <v>100</v>
      </c>
      <c r="I84" s="152" t="s">
        <v>64</v>
      </c>
      <c r="J84" s="29" t="s">
        <v>315</v>
      </c>
      <c r="K84" s="171" t="str">
        <f t="shared" si="3"/>
        <v>미조치</v>
      </c>
      <c r="L84" s="309" t="s">
        <v>313</v>
      </c>
      <c r="M84" s="310"/>
      <c r="N84" s="310"/>
      <c r="O84" s="310"/>
      <c r="P84" s="311"/>
      <c r="Q84" s="21" t="e">
        <f>IF($J84="",IF(OR(#REF!="N",#REF!="인터뷰"),ChkList!#REF!,""),IF(OR($J84="N",$J84="인터뷰"),ChkList!#REF!,""))</f>
        <v>#REF!</v>
      </c>
      <c r="R84" s="32">
        <f>IF($H84="N/A",0,VLOOKUP($F84,'parm(hidden)'!$B$8:$C$10,2,FALSE))*1</f>
        <v>2</v>
      </c>
      <c r="S84" s="32">
        <f>IFERROR(VLOOKUP($F84,'parm(hidden)'!$B$8:$C$10,2,FALSE)*VLOOKUP(H84,'parm(hidden)'!$B$15:$C$19,2,FALSE),0)</f>
        <v>0</v>
      </c>
      <c r="T84" s="32">
        <f>IFERROR(VLOOKUP($F84,'parm(hidden)'!$B$8:$C$10,2,FALSE)*VLOOKUP($K84,$V$22:$W$27,2,FALSE),0)</f>
        <v>0</v>
      </c>
      <c r="U84" s="11">
        <f>IF($J84="N/A",0,VLOOKUP($F84,'parm(hidden)'!$B$8:$C$10,2,FALSE))*1</f>
        <v>2</v>
      </c>
      <c r="Y84" s="10"/>
    </row>
  </sheetData>
  <mergeCells count="164">
    <mergeCell ref="C83:E83"/>
    <mergeCell ref="C84:E84"/>
    <mergeCell ref="L83:P83"/>
    <mergeCell ref="L84:P84"/>
    <mergeCell ref="C78:E78"/>
    <mergeCell ref="L78:P78"/>
    <mergeCell ref="C79:E79"/>
    <mergeCell ref="L79:P79"/>
    <mergeCell ref="C80:E80"/>
    <mergeCell ref="L80:P80"/>
    <mergeCell ref="C81:E81"/>
    <mergeCell ref="L81:P81"/>
    <mergeCell ref="C82:E82"/>
    <mergeCell ref="L82:P82"/>
    <mergeCell ref="C73:E73"/>
    <mergeCell ref="L73:P73"/>
    <mergeCell ref="C74:E74"/>
    <mergeCell ref="L74:P74"/>
    <mergeCell ref="C75:E75"/>
    <mergeCell ref="L75:P75"/>
    <mergeCell ref="C76:E76"/>
    <mergeCell ref="L76:P76"/>
    <mergeCell ref="C77:E77"/>
    <mergeCell ref="L77:P77"/>
    <mergeCell ref="C68:E68"/>
    <mergeCell ref="L68:P68"/>
    <mergeCell ref="C69:E69"/>
    <mergeCell ref="L69:P69"/>
    <mergeCell ref="C70:E70"/>
    <mergeCell ref="L70:P70"/>
    <mergeCell ref="C71:E71"/>
    <mergeCell ref="L71:P71"/>
    <mergeCell ref="C72:E72"/>
    <mergeCell ref="L72:P72"/>
    <mergeCell ref="C63:E63"/>
    <mergeCell ref="L63:P63"/>
    <mergeCell ref="C64:E64"/>
    <mergeCell ref="L64:P64"/>
    <mergeCell ref="C65:E65"/>
    <mergeCell ref="L65:P65"/>
    <mergeCell ref="C66:E66"/>
    <mergeCell ref="L66:P66"/>
    <mergeCell ref="C67:E67"/>
    <mergeCell ref="L67:P67"/>
    <mergeCell ref="C58:E58"/>
    <mergeCell ref="L58:P58"/>
    <mergeCell ref="C59:E59"/>
    <mergeCell ref="L59:P59"/>
    <mergeCell ref="C60:E60"/>
    <mergeCell ref="L60:P60"/>
    <mergeCell ref="C61:E61"/>
    <mergeCell ref="L61:P61"/>
    <mergeCell ref="C62:E62"/>
    <mergeCell ref="L62:P62"/>
    <mergeCell ref="C53:E53"/>
    <mergeCell ref="L53:P53"/>
    <mergeCell ref="C54:E54"/>
    <mergeCell ref="L54:P54"/>
    <mergeCell ref="C55:E55"/>
    <mergeCell ref="L55:P55"/>
    <mergeCell ref="C56:E56"/>
    <mergeCell ref="L56:P56"/>
    <mergeCell ref="C57:E57"/>
    <mergeCell ref="L57:P57"/>
    <mergeCell ref="C48:E48"/>
    <mergeCell ref="L48:P48"/>
    <mergeCell ref="C49:E49"/>
    <mergeCell ref="L49:P49"/>
    <mergeCell ref="C50:E50"/>
    <mergeCell ref="L50:P50"/>
    <mergeCell ref="C51:E51"/>
    <mergeCell ref="L51:P51"/>
    <mergeCell ref="C52:E52"/>
    <mergeCell ref="L52:P52"/>
    <mergeCell ref="C43:E43"/>
    <mergeCell ref="L43:P43"/>
    <mergeCell ref="C44:E44"/>
    <mergeCell ref="L44:P44"/>
    <mergeCell ref="C45:E45"/>
    <mergeCell ref="L45:P45"/>
    <mergeCell ref="C46:E46"/>
    <mergeCell ref="L46:P46"/>
    <mergeCell ref="C47:E47"/>
    <mergeCell ref="L47:P47"/>
    <mergeCell ref="C38:E38"/>
    <mergeCell ref="L38:P38"/>
    <mergeCell ref="C39:E39"/>
    <mergeCell ref="L39:P39"/>
    <mergeCell ref="C40:E40"/>
    <mergeCell ref="L40:P40"/>
    <mergeCell ref="C41:E41"/>
    <mergeCell ref="L41:P41"/>
    <mergeCell ref="C42:E42"/>
    <mergeCell ref="L42:P42"/>
    <mergeCell ref="C33:E33"/>
    <mergeCell ref="L33:P33"/>
    <mergeCell ref="C34:E34"/>
    <mergeCell ref="L34:P34"/>
    <mergeCell ref="C35:E35"/>
    <mergeCell ref="L35:P35"/>
    <mergeCell ref="C36:E36"/>
    <mergeCell ref="L36:P36"/>
    <mergeCell ref="C37:E37"/>
    <mergeCell ref="L37:P37"/>
    <mergeCell ref="C28:E28"/>
    <mergeCell ref="L28:P28"/>
    <mergeCell ref="C29:E29"/>
    <mergeCell ref="L29:P29"/>
    <mergeCell ref="C30:E30"/>
    <mergeCell ref="L30:P30"/>
    <mergeCell ref="C31:E31"/>
    <mergeCell ref="L31:P31"/>
    <mergeCell ref="C32:E32"/>
    <mergeCell ref="L32:P32"/>
    <mergeCell ref="C23:E23"/>
    <mergeCell ref="L23:P23"/>
    <mergeCell ref="C24:E24"/>
    <mergeCell ref="L24:P24"/>
    <mergeCell ref="C25:E25"/>
    <mergeCell ref="L25:P25"/>
    <mergeCell ref="C26:E26"/>
    <mergeCell ref="L26:P26"/>
    <mergeCell ref="C27:E27"/>
    <mergeCell ref="L27:P27"/>
    <mergeCell ref="A20:B20"/>
    <mergeCell ref="C20:E20"/>
    <mergeCell ref="F20:G20"/>
    <mergeCell ref="L20:P20"/>
    <mergeCell ref="V20:W20"/>
    <mergeCell ref="C21:E21"/>
    <mergeCell ref="L21:P21"/>
    <mergeCell ref="C22:E22"/>
    <mergeCell ref="L22:P22"/>
    <mergeCell ref="A10:C11"/>
    <mergeCell ref="D10:H10"/>
    <mergeCell ref="I10:I11"/>
    <mergeCell ref="J10:O10"/>
    <mergeCell ref="R10:U10"/>
    <mergeCell ref="V10:Y10"/>
    <mergeCell ref="V11:W11"/>
    <mergeCell ref="A12:C12"/>
    <mergeCell ref="I12:I17"/>
    <mergeCell ref="V12:W12"/>
    <mergeCell ref="A13:C13"/>
    <mergeCell ref="V13:W13"/>
    <mergeCell ref="A14:C14"/>
    <mergeCell ref="V14:W14"/>
    <mergeCell ref="A15:C15"/>
    <mergeCell ref="V15:W15"/>
    <mergeCell ref="A16:C16"/>
    <mergeCell ref="V16:W16"/>
    <mergeCell ref="A17:C17"/>
    <mergeCell ref="V17:W17"/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  <mergeCell ref="F6:G6"/>
  </mergeCells>
  <phoneticPr fontId="27" type="noConversion"/>
  <conditionalFormatting sqref="H21:H66">
    <cfRule type="cellIs" dxfId="147" priority="23" operator="equal">
      <formula>"취약"</formula>
    </cfRule>
    <cfRule type="cellIs" priority="24" operator="equal">
      <formula>"양호"</formula>
    </cfRule>
  </conditionalFormatting>
  <conditionalFormatting sqref="H68:H71">
    <cfRule type="cellIs" dxfId="146" priority="248" operator="equal">
      <formula>"취약"</formula>
    </cfRule>
    <cfRule type="cellIs" priority="249" operator="equal">
      <formula>"양호"</formula>
    </cfRule>
  </conditionalFormatting>
  <conditionalFormatting sqref="H78:H79">
    <cfRule type="cellIs" dxfId="145" priority="244" operator="equal">
      <formula>"취약"</formula>
    </cfRule>
    <cfRule type="cellIs" priority="245" operator="equal">
      <formula>"양호"</formula>
    </cfRule>
  </conditionalFormatting>
  <conditionalFormatting sqref="H81">
    <cfRule type="cellIs" dxfId="144" priority="242" operator="equal">
      <formula>"취약"</formula>
    </cfRule>
    <cfRule type="cellIs" priority="243" operator="equal">
      <formula>"양호"</formula>
    </cfRule>
  </conditionalFormatting>
  <conditionalFormatting sqref="K21:K84">
    <cfRule type="cellIs" dxfId="143" priority="290" operator="equal">
      <formula>"위험수용"</formula>
    </cfRule>
    <cfRule type="cellIs" dxfId="142" priority="291" operator="equal">
      <formula>"미조치"</formula>
    </cfRule>
    <cfRule type="cellIs" dxfId="141" priority="292" operator="equal">
      <formula>"조치"</formula>
    </cfRule>
  </conditionalFormatting>
  <conditionalFormatting sqref="K21:L21 J21:J84 K63:L64 K73:L82 K22:K84">
    <cfRule type="cellIs" dxfId="140" priority="294" stopIfTrue="1" operator="equal">
      <formula>"R/A"</formula>
    </cfRule>
    <cfRule type="cellIs" dxfId="139" priority="295" stopIfTrue="1" operator="equal">
      <formula>"N/A"</formula>
    </cfRule>
    <cfRule type="cellIs" dxfId="138" priority="296" stopIfTrue="1" operator="equal">
      <formula>"N"</formula>
    </cfRule>
    <cfRule type="expression" dxfId="137" priority="297">
      <formula>OR(IF(J21=0,1,0),IF(J21="-",1,0))</formula>
    </cfRule>
  </conditionalFormatting>
  <conditionalFormatting sqref="K21:L21 K63:L64 K73:L82 J21:J84 K22:K84">
    <cfRule type="cellIs" dxfId="136" priority="293" stopIfTrue="1" operator="equal">
      <formula>"인터뷰"</formula>
    </cfRule>
  </conditionalFormatting>
  <conditionalFormatting sqref="L22:L62">
    <cfRule type="cellIs" dxfId="135" priority="6" stopIfTrue="1" operator="equal">
      <formula>"인터뷰"</formula>
    </cfRule>
    <cfRule type="cellIs" dxfId="134" priority="7" stopIfTrue="1" operator="equal">
      <formula>"R/A"</formula>
    </cfRule>
    <cfRule type="cellIs" dxfId="133" priority="8" stopIfTrue="1" operator="equal">
      <formula>"N/A"</formula>
    </cfRule>
    <cfRule type="cellIs" dxfId="132" priority="9" stopIfTrue="1" operator="equal">
      <formula>"N"</formula>
    </cfRule>
    <cfRule type="expression" dxfId="131" priority="10">
      <formula>OR(IF(L22=0,1,0),IF(L22="-",1,0))</formula>
    </cfRule>
  </conditionalFormatting>
  <conditionalFormatting sqref="L65:L72">
    <cfRule type="cellIs" dxfId="130" priority="1" stopIfTrue="1" operator="equal">
      <formula>"인터뷰"</formula>
    </cfRule>
    <cfRule type="cellIs" dxfId="129" priority="2" stopIfTrue="1" operator="equal">
      <formula>"R/A"</formula>
    </cfRule>
    <cfRule type="cellIs" dxfId="128" priority="3" stopIfTrue="1" operator="equal">
      <formula>"N/A"</formula>
    </cfRule>
    <cfRule type="cellIs" dxfId="127" priority="4" stopIfTrue="1" operator="equal">
      <formula>"N"</formula>
    </cfRule>
    <cfRule type="expression" dxfId="126" priority="5">
      <formula>OR(IF(L65=0,1,0),IF(L65="-",1,0))</formula>
    </cfRule>
  </conditionalFormatting>
  <conditionalFormatting sqref="L83 K84">
    <cfRule type="cellIs" dxfId="125" priority="53" stopIfTrue="1" operator="equal">
      <formula>"인터뷰"</formula>
    </cfRule>
    <cfRule type="cellIs" dxfId="124" priority="54" stopIfTrue="1" operator="equal">
      <formula>"R/A"</formula>
    </cfRule>
    <cfRule type="cellIs" dxfId="123" priority="55" stopIfTrue="1" operator="equal">
      <formula>"N/A"</formula>
    </cfRule>
    <cfRule type="cellIs" dxfId="122" priority="56" stopIfTrue="1" operator="equal">
      <formula>"N"</formula>
    </cfRule>
    <cfRule type="expression" dxfId="121" priority="57">
      <formula>OR(IF(K83=0,1,0),IF(K83="-",1,0))</formula>
    </cfRule>
  </conditionalFormatting>
  <conditionalFormatting sqref="V28:W60">
    <cfRule type="cellIs" dxfId="120" priority="29" operator="equal">
      <formula>"신규 취약점(즉시조치)"</formula>
    </cfRule>
    <cfRule type="cellIs" dxfId="119" priority="30" operator="equal">
      <formula>"기존 취약점(즉시조치)"</formula>
    </cfRule>
    <cfRule type="cellIs" dxfId="118" priority="31" operator="equal">
      <formula>"기존 취약점"</formula>
    </cfRule>
    <cfRule type="cellIs" dxfId="117" priority="32" operator="equal">
      <formula>"신규 취약점"</formula>
    </cfRule>
    <cfRule type="cellIs" dxfId="116" priority="33" operator="equal">
      <formula>"확인필요"</formula>
    </cfRule>
    <cfRule type="cellIs" dxfId="115" priority="34" operator="equal">
      <formula>"확인필요"</formula>
    </cfRule>
    <cfRule type="cellIs" dxfId="114" priority="35" operator="equal">
      <formula>"신규취약점"</formula>
    </cfRule>
    <cfRule type="cellIs" dxfId="113" priority="36" operator="equal">
      <formula>"조치완료"</formula>
    </cfRule>
  </conditionalFormatting>
  <conditionalFormatting sqref="Y21:Y84">
    <cfRule type="cellIs" dxfId="112" priority="591" operator="equal">
      <formula>"신규 취약점(즉시조치)"</formula>
    </cfRule>
    <cfRule type="cellIs" dxfId="111" priority="592" operator="equal">
      <formula>"기존 취약점(즉시조치)"</formula>
    </cfRule>
    <cfRule type="cellIs" dxfId="110" priority="593" operator="equal">
      <formula>"기존 취약점"</formula>
    </cfRule>
    <cfRule type="cellIs" dxfId="109" priority="594" operator="equal">
      <formula>"신규 취약점"</formula>
    </cfRule>
    <cfRule type="cellIs" dxfId="108" priority="595" operator="equal">
      <formula>"확인필요"</formula>
    </cfRule>
    <cfRule type="cellIs" dxfId="107" priority="596" operator="equal">
      <formula>"확인필요"</formula>
    </cfRule>
    <cfRule type="cellIs" dxfId="106" priority="597" operator="equal">
      <formula>"신규취약점"</formula>
    </cfRule>
    <cfRule type="cellIs" dxfId="105" priority="598" operator="equal">
      <formula>"조치완료"</formula>
    </cfRule>
  </conditionalFormatting>
  <dataValidations count="4">
    <dataValidation allowBlank="1" showInputMessage="1" showErrorMessage="1" errorTitle="오류!" error="Y, N, N/A 중에 선택" sqref="L21:L83"/>
    <dataValidation errorStyle="warning" allowBlank="1" showInputMessage="1" showErrorMessage="1" sqref="K21:K84"/>
    <dataValidation type="list" errorStyle="warning" allowBlank="1" showInputMessage="1" showErrorMessage="1" errorTitle="오류!" error="Y, N, N/A 중에 선택" sqref="H21:H84">
      <formula1>"Y,N,N/A,인터뷰,Y(즉시조치)"</formula1>
    </dataValidation>
    <dataValidation type="list" errorStyle="warning" showInputMessage="1" showErrorMessage="1" errorTitle="오류!" error="Y, N, N/A 중에 선택" sqref="J21:J92">
      <formula1>"Y,N,N/A,인터뷰,Y(즉시조치)"</formula1>
    </dataValidation>
  </dataValidations>
  <printOptions horizontalCentered="1"/>
  <pageMargins left="0.39347222447395325" right="0.39347222447395325" top="0.59041666984558105" bottom="0.59041666984558105" header="0.39347222447395325" footer="0.39347222447395325"/>
  <pageSetup paperSize="9" scale="28" fitToHeight="0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Y84"/>
  <sheetViews>
    <sheetView showGridLines="0" view="pageBreakPreview" zoomScaleNormal="100" zoomScaleSheetLayoutView="100" workbookViewId="0"/>
  </sheetViews>
  <sheetFormatPr defaultColWidth="8.77734375" defaultRowHeight="12"/>
  <cols>
    <col min="1" max="1" width="12.77734375" style="12" customWidth="1"/>
    <col min="2" max="2" width="6.6640625" style="12" bestFit="1" customWidth="1"/>
    <col min="3" max="3" width="14.21875" style="12" customWidth="1"/>
    <col min="4" max="4" width="7.6640625" style="12" customWidth="1"/>
    <col min="5" max="5" width="10.88671875" style="12" customWidth="1"/>
    <col min="6" max="8" width="7.6640625" style="12" customWidth="1"/>
    <col min="9" max="9" width="102.109375" style="12" customWidth="1"/>
    <col min="10" max="15" width="7.6640625" style="12" customWidth="1"/>
    <col min="16" max="16" width="13.33203125" style="12" customWidth="1"/>
    <col min="17" max="17" width="44.44140625" style="12" customWidth="1"/>
    <col min="18" max="18" width="13.77734375" style="10" customWidth="1"/>
    <col min="19" max="20" width="11.77734375" style="12" customWidth="1"/>
    <col min="21" max="21" width="12.44140625" style="12" customWidth="1"/>
    <col min="22" max="23" width="8.77734375" style="12" customWidth="1"/>
    <col min="24" max="24" width="18" style="12" customWidth="1"/>
    <col min="25" max="25" width="14.6640625" style="12" customWidth="1"/>
    <col min="26" max="16384" width="8.77734375" style="12"/>
  </cols>
  <sheetData>
    <row r="1" spans="1:25" ht="16.5">
      <c r="A1" s="16" t="str">
        <f ca="1">"■ "&amp;$B$4&amp;" 상세 진단결과"</f>
        <v>■ DNS_HQ_Win 상세 진단결과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35" customHeight="1">
      <c r="A3" s="46" t="s">
        <v>116</v>
      </c>
      <c r="B3" s="46"/>
      <c r="C3" s="46"/>
      <c r="D3" s="46"/>
      <c r="E3" s="46"/>
      <c r="F3" s="46"/>
      <c r="G3" s="46"/>
      <c r="H3" s="5"/>
      <c r="I3" s="5"/>
      <c r="R3" s="5" t="s">
        <v>234</v>
      </c>
      <c r="X3" s="5"/>
      <c r="Y3" s="5"/>
    </row>
    <row r="4" spans="1:25" ht="17.100000000000001" customHeight="1">
      <c r="A4" s="113" t="s">
        <v>142</v>
      </c>
      <c r="B4" s="255" t="str">
        <f ca="1">REPLACE(CELL("filename",A1),1,FIND("]",CELL("filename",A1)),"")</f>
        <v>DNS_HQ_Win</v>
      </c>
      <c r="C4" s="256"/>
      <c r="D4" s="257" t="s">
        <v>222</v>
      </c>
      <c r="E4" s="258"/>
      <c r="F4" s="259" t="str">
        <f ca="1">IFERROR(VLOOKUP($B$4,자산목록!$B$1:$Q$838,8,FALSE),"N/A")</f>
        <v>본사 DNS 서버</v>
      </c>
      <c r="G4" s="260"/>
      <c r="H4" s="56"/>
      <c r="I4" s="47"/>
      <c r="R4" s="25" t="s">
        <v>70</v>
      </c>
      <c r="S4" s="37">
        <f ca="1">IFERROR(VLOOKUP($B$4,자산목록!$B$1:$Q$838,13,FALSE),"N/A")</f>
        <v>3</v>
      </c>
      <c r="T4" s="261" t="s">
        <v>241</v>
      </c>
      <c r="U4" s="262" t="str">
        <f ca="1">IFERROR(VLOOKUP($B$4,자산목록!$B$1:$Q$838,16,FALSE),"N/A")</f>
        <v>H</v>
      </c>
      <c r="X4" s="5"/>
      <c r="Y4" s="5"/>
    </row>
    <row r="5" spans="1:25" ht="17.100000000000001" customHeight="1">
      <c r="A5" s="114" t="s">
        <v>120</v>
      </c>
      <c r="B5" s="263" t="str">
        <f ca="1">IFERROR(VLOOKUP($B$4,자산목록!$B$1:$Q$838,6,FALSE)&amp;" "&amp;VLOOKUP($B$4,자산목록!$B$1:$Q$838,7,FALSE),"N/A")</f>
        <v>- 2016</v>
      </c>
      <c r="C5" s="263"/>
      <c r="D5" s="264" t="s">
        <v>146</v>
      </c>
      <c r="E5" s="264"/>
      <c r="F5" s="263" t="str">
        <f ca="1">IFERROR(VLOOKUP($B$4,자산목록!$B$1:$Q$838,2,FALSE),"N/A")</f>
        <v>10.10.40.2</v>
      </c>
      <c r="G5" s="265"/>
      <c r="H5" s="56"/>
      <c r="I5" s="47"/>
      <c r="R5" s="25" t="s">
        <v>77</v>
      </c>
      <c r="S5" s="37">
        <f ca="1">IFERROR(VLOOKUP($B$4,자산목록!$B$1:$Q$838,14,FALSE),"N/A")</f>
        <v>3</v>
      </c>
      <c r="T5" s="261"/>
      <c r="U5" s="262"/>
      <c r="X5" s="5"/>
      <c r="Y5" s="5"/>
    </row>
    <row r="6" spans="1:25" ht="17.100000000000001" customHeight="1">
      <c r="A6" s="115" t="s">
        <v>71</v>
      </c>
      <c r="B6" s="266" t="str">
        <f ca="1">IFERROR(VLOOKUP($B$4,자산목록!$B$1:$Q$838,11,FALSE),"N/A")</f>
        <v>박성민</v>
      </c>
      <c r="C6" s="266"/>
      <c r="D6" s="267" t="s">
        <v>226</v>
      </c>
      <c r="E6" s="267"/>
      <c r="F6" s="266" t="str">
        <f ca="1">IFERROR(VLOOKUP($B$4,자산목록!$B$1:$Q$838,9,FALSE),"N/A")</f>
        <v>DMZ</v>
      </c>
      <c r="G6" s="268"/>
      <c r="H6" s="56"/>
      <c r="I6" s="47"/>
      <c r="R6" s="25" t="s">
        <v>106</v>
      </c>
      <c r="S6" s="37">
        <f ca="1">IFERROR(VLOOKUP($B$4,자산목록!$B$1:$Q$838,15,FALSE),"N/A")</f>
        <v>3</v>
      </c>
      <c r="T6" s="261"/>
      <c r="U6" s="262"/>
      <c r="X6" s="5"/>
      <c r="Y6" s="5"/>
    </row>
    <row r="7" spans="1:25" ht="22.35" customHeight="1">
      <c r="R7" s="20"/>
      <c r="S7" s="17"/>
      <c r="X7" s="5"/>
      <c r="Y7" s="5"/>
    </row>
    <row r="8" spans="1:25" ht="34.35" customHeight="1">
      <c r="A8" s="5" t="s">
        <v>137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3.5">
      <c r="A9" s="48" t="s">
        <v>113</v>
      </c>
      <c r="B9" s="46"/>
      <c r="C9" s="46"/>
      <c r="D9" s="46"/>
      <c r="E9" s="46"/>
      <c r="F9" s="46"/>
      <c r="G9" s="46"/>
      <c r="H9" s="5"/>
      <c r="I9" s="5"/>
      <c r="M9" s="5"/>
      <c r="N9" s="5"/>
      <c r="O9" s="5"/>
      <c r="P9" s="5"/>
      <c r="R9" s="14"/>
      <c r="S9" s="49"/>
    </row>
    <row r="10" spans="1:25" ht="20.100000000000001" customHeight="1">
      <c r="A10" s="269" t="s">
        <v>79</v>
      </c>
      <c r="B10" s="251"/>
      <c r="C10" s="251"/>
      <c r="D10" s="271" t="s">
        <v>44</v>
      </c>
      <c r="E10" s="272"/>
      <c r="F10" s="272"/>
      <c r="G10" s="272"/>
      <c r="H10" s="272"/>
      <c r="I10" s="273" t="s">
        <v>134</v>
      </c>
      <c r="J10" s="275" t="s">
        <v>233</v>
      </c>
      <c r="K10" s="275"/>
      <c r="L10" s="275"/>
      <c r="M10" s="275"/>
      <c r="N10" s="275"/>
      <c r="O10" s="276"/>
      <c r="R10" s="277" t="s">
        <v>212</v>
      </c>
      <c r="S10" s="277"/>
      <c r="T10" s="277"/>
      <c r="U10" s="277"/>
      <c r="V10" s="278" t="s">
        <v>134</v>
      </c>
      <c r="W10" s="278"/>
      <c r="X10" s="278"/>
      <c r="Y10" s="278"/>
    </row>
    <row r="11" spans="1:25" ht="20.100000000000001" customHeight="1">
      <c r="A11" s="270"/>
      <c r="B11" s="254"/>
      <c r="C11" s="254"/>
      <c r="D11" s="116" t="s">
        <v>96</v>
      </c>
      <c r="E11" s="117" t="s">
        <v>76</v>
      </c>
      <c r="F11" s="118" t="s">
        <v>108</v>
      </c>
      <c r="G11" s="119" t="s">
        <v>78</v>
      </c>
      <c r="H11" s="119" t="s">
        <v>75</v>
      </c>
      <c r="I11" s="274"/>
      <c r="J11" s="129" t="s">
        <v>110</v>
      </c>
      <c r="K11" s="120" t="s">
        <v>97</v>
      </c>
      <c r="L11" s="121" t="s">
        <v>219</v>
      </c>
      <c r="M11" s="121" t="s">
        <v>78</v>
      </c>
      <c r="N11" s="121" t="s">
        <v>93</v>
      </c>
      <c r="O11" s="122" t="s">
        <v>75</v>
      </c>
      <c r="R11" s="41" t="s">
        <v>122</v>
      </c>
      <c r="S11" s="42" t="s">
        <v>119</v>
      </c>
      <c r="T11" s="42" t="s">
        <v>125</v>
      </c>
      <c r="U11" s="44" t="s">
        <v>127</v>
      </c>
      <c r="V11" s="279" t="s">
        <v>79</v>
      </c>
      <c r="W11" s="279"/>
      <c r="X11" s="11" t="s">
        <v>44</v>
      </c>
      <c r="Y11" s="11" t="s">
        <v>233</v>
      </c>
    </row>
    <row r="12" spans="1:25" ht="32.1" customHeight="1">
      <c r="A12" s="280" t="s">
        <v>217</v>
      </c>
      <c r="B12" s="281"/>
      <c r="C12" s="282"/>
      <c r="D12" s="37">
        <f ca="1">COUNTIF($A$21:INDIRECT(ADDRESS(MATCH("",$A:$A,-1),1,1,1)),$A12)</f>
        <v>14</v>
      </c>
      <c r="E12" s="37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4</v>
      </c>
      <c r="F12" s="37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4</v>
      </c>
      <c r="G12" s="37">
        <f ca="1">COUNTIFS($A$21:INDIRECT(ADDRESS(MATCH("",$A:$A,-1),1,1,1)),$A12&amp;"*",$H$21:INDIRECT(ADDRESS(MATCH("",$A:$A,-1),8,1,1)),"N/A")</f>
        <v>0</v>
      </c>
      <c r="H12" s="59">
        <f t="shared" ref="H12:H17" ca="1" si="0">IF($G12=$D12,"N/A",(S12/R12))</f>
        <v>0</v>
      </c>
      <c r="I12" s="283"/>
      <c r="J12" s="54">
        <f ca="1">COUNTIFS($A$21:INDIRECT(ADDRESS(MATCH("",$A:$A,-1),1,1,1)),$A12,$K$21:INDIRECT(ADDRESS(MATCH("",$B:$B,-1),11,1,1)),"조치")</f>
        <v>10</v>
      </c>
      <c r="K12" s="29">
        <f ca="1">COUNTIFS($A$21:INDIRECT(ADDRESS(MATCH("",$A:$A,-1),1,1,1)),$A12,$K$21:INDIRECT(ADDRESS(MATCH("",$B:$B,-1),11,1,1)),"미조치")</f>
        <v>0</v>
      </c>
      <c r="L12" s="29">
        <f ca="1">COUNTIFS($A$21:INDIRECT(ADDRESS(MATCH("",$A:$A,-1),1,1,1)),$A12,$K$21:INDIRECT(ADDRESS(MATCH("",$B:$B,-1),11,1,1)),"위험수용")</f>
        <v>0</v>
      </c>
      <c r="M12" s="29">
        <f ca="1">COUNTIFS($A$21:INDIRECT(ADDRESS(MATCH("",$A:$A,-1),1,1,1)),$A12,$K$21:INDIRECT(ADDRESS(MATCH("",$B:$B,-1),11,1,1)),"N/A")</f>
        <v>0</v>
      </c>
      <c r="N12" s="50">
        <f ca="1">IFERROR($J12/($F12-(M12-G12)),"N/A")</f>
        <v>2.5</v>
      </c>
      <c r="O12" s="123">
        <f ca="1">IF(OR($G12=$D12,$D12=$M12),"N/A",($T12/$U12))</f>
        <v>1</v>
      </c>
      <c r="R12" s="37">
        <f ca="1">SUMIF($A$21:INDIRECT(ADDRESS(MATCH("",$A:$A,-1),1,1,1)),$A12,$R$21:INDIRECT(ADDRESS(MATCH("",$A:$A,-1),18,1,1)))</f>
        <v>35</v>
      </c>
      <c r="S12" s="37">
        <f ca="1">SUMIF($A$21:INDIRECT(ADDRESS(MATCH("",$A:$A,-1),1,1,1)),$A12,$S$21:INDIRECT(ADDRESS(MATCH("",$A:$A,-1),19,1,1)))</f>
        <v>0</v>
      </c>
      <c r="T12" s="37">
        <f ca="1">SUMIF($A$21:INDIRECT(ADDRESS(MATCH("",$A:$A,-1),1,1,1)),$A12,$T$21:INDIRECT(ADDRESS(MATCH("",$A:$A,-1),20,1,1)))</f>
        <v>35</v>
      </c>
      <c r="U12" s="37">
        <f ca="1">SUMIF($A$21:INDIRECT(ADDRESS(MATCH("",$A:$A,-1),2,1,1)),$A12&amp;"*",$U$21:INDIRECT(ADDRESS(MATCH("",$A:$A,-1),21,1,1)))</f>
        <v>35</v>
      </c>
      <c r="V12" s="285">
        <f>B12</f>
        <v>0</v>
      </c>
      <c r="W12" s="282"/>
      <c r="X12" s="57">
        <f t="shared" ref="X12:X17" ca="1" si="1">H12</f>
        <v>0</v>
      </c>
      <c r="Y12" s="57">
        <f t="shared" ref="Y12:Y17" ca="1" si="2">O12</f>
        <v>1</v>
      </c>
    </row>
    <row r="13" spans="1:25" ht="32.1" customHeight="1">
      <c r="A13" s="280" t="s">
        <v>194</v>
      </c>
      <c r="B13" s="281"/>
      <c r="C13" s="282"/>
      <c r="D13" s="37">
        <f ca="1">COUNTIF($A$21:INDIRECT(ADDRESS(MATCH("",$A:$A,-1),1,1,1)),$A13)</f>
        <v>0</v>
      </c>
      <c r="E13" s="37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0</v>
      </c>
      <c r="F13" s="37">
        <f ca="1">COUNTIFS($A$21:INDIRECT(ADDRESS(MATCH("",$A:$A,-1),1,1,1)),$A13&amp;"*",$H$21:INDIRECT(ADDRESS(MATCH("",$A:$A,-1),8,1,1)),"N")</f>
        <v>0</v>
      </c>
      <c r="G13" s="37">
        <f ca="1">COUNTIFS($A$21:INDIRECT(ADDRESS(MATCH("",$A:$A,-1),1,1,1)),$A13&amp;"*",$H$21:INDIRECT(ADDRESS(MATCH("",$A:$A,-1),8,1,1)),"N/A")</f>
        <v>0</v>
      </c>
      <c r="H13" s="59" t="str">
        <f t="shared" ca="1" si="0"/>
        <v>N/A</v>
      </c>
      <c r="I13" s="283"/>
      <c r="J13" s="54">
        <f ca="1">COUNTIFS($A$21:INDIRECT(ADDRESS(MATCH("",$A:$A,-1),1,1,1)),$A13,$K$21:INDIRECT(ADDRESS(MATCH("",$B:$B,-1),11,1,1)),"조치")</f>
        <v>0</v>
      </c>
      <c r="K13" s="29">
        <f ca="1">COUNTIFS($A$21:INDIRECT(ADDRESS(MATCH("",$A:$A,-1),1,1,1)),$A13,$K$21:INDIRECT(ADDRESS(MATCH("",$B:$B,-1),11,1,1)),"미조치")</f>
        <v>0</v>
      </c>
      <c r="L13" s="29">
        <f ca="1">COUNTIFS($A$21:INDIRECT(ADDRESS(MATCH("",$A:$A,-1),1,1,1)),$A13,$K$21:INDIRECT(ADDRESS(MATCH("",$B:$B,-1),11,1,1)),"위험수용")</f>
        <v>0</v>
      </c>
      <c r="M13" s="29">
        <f ca="1">COUNTIFS($A$21:INDIRECT(ADDRESS(MATCH("",$A:$A,-1),1,1,1)),$A13,$K$21:INDIRECT(ADDRESS(MATCH("",$B:$B,-1),11,1,1)),"N/A")</f>
        <v>0</v>
      </c>
      <c r="N13" s="50" t="str">
        <f ca="1">IFERROR($J13/($F13-(M13-G13)),"N/A")</f>
        <v>N/A</v>
      </c>
      <c r="O13" s="123" t="str">
        <f ca="1">IF(OR($G13=$D13,$D13=$M13),"N/A",($T13/$U13))</f>
        <v>N/A</v>
      </c>
      <c r="R13" s="37">
        <f ca="1">SUMIF($A$21:INDIRECT(ADDRESS(MATCH("",$A:$A,-1),1,1,1)),$A13,$R$21:INDIRECT(ADDRESS(MATCH("",$A:$A,-1),18,1,1)))</f>
        <v>0</v>
      </c>
      <c r="S13" s="37">
        <f ca="1">SUMIF($A$21:INDIRECT(ADDRESS(MATCH("",$A:$A,-1),1,1,1)),$A13,$S$21:INDIRECT(ADDRESS(MATCH("",$A:$A,-1),19,1,1)))</f>
        <v>0</v>
      </c>
      <c r="T13" s="37">
        <f ca="1">SUMIF($A$21:INDIRECT(ADDRESS(MATCH("",$A:$A,-1),1,1,1)),$A13,$T$21:INDIRECT(ADDRESS(MATCH("",$A:$A,-1),20,1,1)))</f>
        <v>0</v>
      </c>
      <c r="U13" s="37">
        <f ca="1">SUMIF($A$21:INDIRECT(ADDRESS(MATCH("",$A:$A,-1),2,1,1)),$A13&amp;"*",$U$21:INDIRECT(ADDRESS(MATCH("",$A:$A,-1),21,1,1)))</f>
        <v>0</v>
      </c>
      <c r="V13" s="285">
        <f>B13</f>
        <v>0</v>
      </c>
      <c r="W13" s="282"/>
      <c r="X13" s="57" t="str">
        <f t="shared" ca="1" si="1"/>
        <v>N/A</v>
      </c>
      <c r="Y13" s="57" t="str">
        <f t="shared" ca="1" si="2"/>
        <v>N/A</v>
      </c>
    </row>
    <row r="14" spans="1:25" ht="32.1" customHeight="1">
      <c r="A14" s="280" t="s">
        <v>211</v>
      </c>
      <c r="B14" s="281"/>
      <c r="C14" s="282"/>
      <c r="D14" s="37">
        <f ca="1">COUNTIF($A$21:INDIRECT(ADDRESS(MATCH("",$A:$A,-1),1,1,1)),$A14)</f>
        <v>2</v>
      </c>
      <c r="E14" s="37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0</v>
      </c>
      <c r="F14" s="37">
        <f ca="1">COUNTIFS($A$21:INDIRECT(ADDRESS(MATCH("",$A:$A,-1),1,1,1)),$A14&amp;"*",$H$21:INDIRECT(ADDRESS(MATCH("",$A:$A,-1),8,1,1)),"N")</f>
        <v>2</v>
      </c>
      <c r="G14" s="37">
        <f ca="1">COUNTIFS($A$21:INDIRECT(ADDRESS(MATCH("",$A:$A,-1),1,1,1)),$A14&amp;"*",$H$21:INDIRECT(ADDRESS(MATCH("",$A:$A,-1),8,1,1)),"N/A")</f>
        <v>0</v>
      </c>
      <c r="H14" s="59">
        <f t="shared" ca="1" si="0"/>
        <v>0</v>
      </c>
      <c r="I14" s="283"/>
      <c r="J14" s="54">
        <f ca="1">COUNTIFS($A$21:INDIRECT(ADDRESS(MATCH("",$A:$A,-1),1,1,1)),$A14,$K$21:INDIRECT(ADDRESS(MATCH("",$B:$B,-1),11,1,1)),"조치")</f>
        <v>0</v>
      </c>
      <c r="K14" s="29">
        <f ca="1">COUNTIFS($A$21:INDIRECT(ADDRESS(MATCH("",$A:$A,-1),1,1,1)),$A14,$K$21:INDIRECT(ADDRESS(MATCH("",$B:$B,-1),11,1,1)),"미조치")</f>
        <v>0</v>
      </c>
      <c r="L14" s="29">
        <f ca="1">COUNTIFS($A$21:INDIRECT(ADDRESS(MATCH("",$A:$A,-1),1,1,1)),$A14,$K$21:INDIRECT(ADDRESS(MATCH("",$B:$B,-1),11,1,1)),"위험수용")</f>
        <v>0</v>
      </c>
      <c r="M14" s="29">
        <f ca="1">COUNTIFS($A$21:INDIRECT(ADDRESS(MATCH("",$A:$A,-1),1,1,1)),$A14,$K$21:INDIRECT(ADDRESS(MATCH("",$B:$B,-1),11,1,1)),"N/A")</f>
        <v>2</v>
      </c>
      <c r="N14" s="50" t="str">
        <f ca="1">IFERROR($J14/($F14-(M14-G14)),"N/A")</f>
        <v>N/A</v>
      </c>
      <c r="O14" s="123" t="str">
        <f ca="1">IF(OR($G14=$D14,$D14=$M14),"N/A",($T14/$U14))</f>
        <v>N/A</v>
      </c>
      <c r="R14" s="37">
        <f ca="1">SUMIF($A$21:INDIRECT(ADDRESS(MATCH("",$A:$A,-1),1,1,1)),$A14,$R$21:INDIRECT(ADDRESS(MATCH("",$A:$A,-1),18,1,1)))</f>
        <v>6</v>
      </c>
      <c r="S14" s="37">
        <f ca="1">SUMIF($A$21:INDIRECT(ADDRESS(MATCH("",$A:$A,-1),1,1,1)),$A14,$S$21:INDIRECT(ADDRESS(MATCH("",$A:$A,-1),19,1,1)))</f>
        <v>0</v>
      </c>
      <c r="T14" s="37">
        <f ca="1">SUMIF($A$21:INDIRECT(ADDRESS(MATCH("",$A:$A,-1),1,1,1)),$A14,$T$21:INDIRECT(ADDRESS(MATCH("",$A:$A,-1),20,1,1)))</f>
        <v>0</v>
      </c>
      <c r="U14" s="37">
        <f ca="1">SUMIF($A$21:INDIRECT(ADDRESS(MATCH("",$A:$A,-1),2,1,1)),$A14&amp;"*",$U$21:INDIRECT(ADDRESS(MATCH("",$A:$A,-1),21,1,1)))</f>
        <v>0</v>
      </c>
      <c r="V14" s="285">
        <f>B14</f>
        <v>0</v>
      </c>
      <c r="W14" s="282"/>
      <c r="X14" s="57">
        <f t="shared" ca="1" si="1"/>
        <v>0</v>
      </c>
      <c r="Y14" s="57" t="str">
        <f t="shared" ca="1" si="2"/>
        <v>N/A</v>
      </c>
    </row>
    <row r="15" spans="1:25" ht="32.1" customHeight="1">
      <c r="A15" s="280" t="s">
        <v>238</v>
      </c>
      <c r="B15" s="281"/>
      <c r="C15" s="282"/>
      <c r="D15" s="37">
        <f ca="1">COUNTIF($A$21:INDIRECT(ADDRESS(MATCH("",$A:$A,-1),1,1,1)),$A15)</f>
        <v>4</v>
      </c>
      <c r="E15" s="37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0</v>
      </c>
      <c r="F15" s="37">
        <f ca="1">COUNTIFS($A$21:INDIRECT(ADDRESS(MATCH("",$A:$A,-1),1,1,1)),$A15&amp;"*",$H$21:INDIRECT(ADDRESS(MATCH("",$A:$A,-1),8,1,1)),"N")</f>
        <v>4</v>
      </c>
      <c r="G15" s="37">
        <f ca="1">COUNTIFS($A$21:INDIRECT(ADDRESS(MATCH("",$A:$A,-1),1,1,1)),$A15&amp;"*",$H$21:INDIRECT(ADDRESS(MATCH("",$A:$A,-1),8,1,1)),"N/A")</f>
        <v>0</v>
      </c>
      <c r="H15" s="59">
        <f t="shared" ca="1" si="0"/>
        <v>0</v>
      </c>
      <c r="I15" s="283"/>
      <c r="J15" s="54">
        <f ca="1">COUNTIFS($A$21:INDIRECT(ADDRESS(MATCH("",$A:$A,-1),1,1,1)),$A15,$K$21:INDIRECT(ADDRESS(MATCH("",$B:$B,-1),11,1,1)),"조치")</f>
        <v>0</v>
      </c>
      <c r="K15" s="29">
        <f ca="1">COUNTIFS($A$21:INDIRECT(ADDRESS(MATCH("",$A:$A,-1),1,1,1)),$A15,$K$21:INDIRECT(ADDRESS(MATCH("",$B:$B,-1),11,1,1)),"미조치")</f>
        <v>0</v>
      </c>
      <c r="L15" s="29">
        <f ca="1">COUNTIFS($A$21:INDIRECT(ADDRESS(MATCH("",$A:$A,-1),1,1,1)),$A15,$K$21:INDIRECT(ADDRESS(MATCH("",$B:$B,-1),11,1,1)),"위험수용")</f>
        <v>0</v>
      </c>
      <c r="M15" s="29">
        <f ca="1">COUNTIFS($A$21:INDIRECT(ADDRESS(MATCH("",$A:$A,-1),1,1,1)),$A15,$K$21:INDIRECT(ADDRESS(MATCH("",$B:$B,-1),11,1,1)),"N/A")</f>
        <v>4</v>
      </c>
      <c r="N15" s="50" t="str">
        <f ca="1">IFERROR($J15/($F15-(M15-G15)),"N/A")</f>
        <v>N/A</v>
      </c>
      <c r="O15" s="123" t="str">
        <f ca="1">IF(OR($G15=$D15,$D15=$M15),"N/A",($T15/$U15))</f>
        <v>N/A</v>
      </c>
      <c r="R15" s="37">
        <f ca="1">SUMIF($A$21:INDIRECT(ADDRESS(MATCH("",$A:$A,-1),1,1,1)),$A15,$R$21:INDIRECT(ADDRESS(MATCH("",$A:$A,-1),18,1,1)))</f>
        <v>7</v>
      </c>
      <c r="S15" s="37">
        <f ca="1">SUMIF($A$21:INDIRECT(ADDRESS(MATCH("",$A:$A,-1),1,1,1)),$A15,$S$21:INDIRECT(ADDRESS(MATCH("",$A:$A,-1),19,1,1)))</f>
        <v>0</v>
      </c>
      <c r="T15" s="37">
        <f ca="1">SUMIF($A$21:INDIRECT(ADDRESS(MATCH("",$A:$A,-1),1,1,1)),$A15,$T$21:INDIRECT(ADDRESS(MATCH("",$A:$A,-1),20,1,1)))</f>
        <v>0</v>
      </c>
      <c r="U15" s="37">
        <f ca="1">SUMIF($A$21:INDIRECT(ADDRESS(MATCH("",$A:$A,-1),2,1,1)),$A15&amp;"*",$U$21:INDIRECT(ADDRESS(MATCH("",$A:$A,-1),21,1,1)))</f>
        <v>0</v>
      </c>
      <c r="V15" s="285">
        <f>B15</f>
        <v>0</v>
      </c>
      <c r="W15" s="282"/>
      <c r="X15" s="57">
        <f t="shared" ca="1" si="1"/>
        <v>0</v>
      </c>
      <c r="Y15" s="57" t="str">
        <f t="shared" ca="1" si="2"/>
        <v>N/A</v>
      </c>
    </row>
    <row r="16" spans="1:25" ht="32.1" customHeight="1">
      <c r="A16" s="280" t="s">
        <v>197</v>
      </c>
      <c r="B16" s="281"/>
      <c r="C16" s="282"/>
      <c r="D16" s="37">
        <f ca="1">COUNTIF($A$21:INDIRECT(ADDRESS(MATCH("",$A:$A,-1),1,1,1)),$A16)</f>
        <v>0</v>
      </c>
      <c r="E16" s="37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0</v>
      </c>
      <c r="F16" s="37">
        <f ca="1">COUNTIFS($A$21:INDIRECT(ADDRESS(MATCH("",$A:$A,-1),1,1,1)),$A16&amp;"*",$H$21:INDIRECT(ADDRESS(MATCH("",$A:$A,-1),8,1,1)),"N")</f>
        <v>0</v>
      </c>
      <c r="G16" s="37">
        <f ca="1">COUNTIFS($A$21:INDIRECT(ADDRESS(MATCH("",$A:$A,-1),1,1,1)),$A16&amp;"*",$H$21:INDIRECT(ADDRESS(MATCH("",$A:$A,-1),8,1,1)),"N/A")</f>
        <v>0</v>
      </c>
      <c r="H16" s="59" t="str">
        <f t="shared" ca="1" si="0"/>
        <v>N/A</v>
      </c>
      <c r="I16" s="283"/>
      <c r="J16" s="54">
        <f ca="1">COUNTIFS($A$21:INDIRECT(ADDRESS(MATCH("",$A:$A,-1),1,1,1)),$A16,$K$21:INDIRECT(ADDRESS(MATCH("",$B:$B,-1),11,1,1)),"조치")</f>
        <v>0</v>
      </c>
      <c r="K16" s="29">
        <f ca="1">COUNTIFS($A$21:INDIRECT(ADDRESS(MATCH("",$A:$A,-1),1,1,1)),$A16,$K$21:INDIRECT(ADDRESS(MATCH("",$B:$B,-1),11,1,1)),"미조치")</f>
        <v>0</v>
      </c>
      <c r="L16" s="29">
        <f ca="1">COUNTIFS($A$21:INDIRECT(ADDRESS(MATCH("",$A:$A,-1),1,1,1)),$A16,$K$21:INDIRECT(ADDRESS(MATCH("",$B:$B,-1),11,1,1)),"위험수용")</f>
        <v>0</v>
      </c>
      <c r="M16" s="29">
        <f ca="1">COUNTIFS($A$21:INDIRECT(ADDRESS(MATCH("",$A:$A,-1),1,1,1)),$A16,$K$21:INDIRECT(ADDRESS(MATCH("",$B:$B,-1),11,1,1)),"N/A")</f>
        <v>0</v>
      </c>
      <c r="N16" s="50" t="str">
        <f ca="1">IFERROR($J16/($F16-(M16-G16)),"N/A")</f>
        <v>N/A</v>
      </c>
      <c r="O16" s="123" t="str">
        <f ca="1">IF(OR($G16=$D16,$D16=$M16),"N/A",($T16/$U16))</f>
        <v>N/A</v>
      </c>
      <c r="R16" s="37">
        <f ca="1">SUMIF($A$21:INDIRECT(ADDRESS(MATCH("",$A:$A,-1),1,1,1)),$A16,$R$21:INDIRECT(ADDRESS(MATCH("",$A:$A,-1),18,1,1)))</f>
        <v>0</v>
      </c>
      <c r="S16" s="37">
        <f ca="1">SUMIF($A$21:INDIRECT(ADDRESS(MATCH("",$A:$A,-1),1,1,1)),$A16,$S$21:INDIRECT(ADDRESS(MATCH("",$A:$A,-1),19,1,1)))</f>
        <v>0</v>
      </c>
      <c r="T16" s="37">
        <f ca="1">SUMIF($A$21:INDIRECT(ADDRESS(MATCH("",$A:$A,-1),1,1,1)),$A16,$T$21:INDIRECT(ADDRESS(MATCH("",$A:$A,-1),20,1,1)))</f>
        <v>0</v>
      </c>
      <c r="U16" s="37">
        <f ca="1">SUMIF($A$21:INDIRECT(ADDRESS(MATCH("",$A:$A,-1),2,1,1)),$A16&amp;"*",$U$21:INDIRECT(ADDRESS(MATCH("",$A:$A,-1),21,1,1)))</f>
        <v>0</v>
      </c>
      <c r="V16" s="286">
        <f>B16</f>
        <v>0</v>
      </c>
      <c r="W16" s="287"/>
      <c r="X16" s="61" t="str">
        <f t="shared" ca="1" si="1"/>
        <v>N/A</v>
      </c>
      <c r="Y16" s="61" t="str">
        <f t="shared" ca="1" si="2"/>
        <v>N/A</v>
      </c>
    </row>
    <row r="17" spans="1:25" ht="20.100000000000001" customHeight="1">
      <c r="A17" s="288" t="s">
        <v>121</v>
      </c>
      <c r="B17" s="289"/>
      <c r="C17" s="290"/>
      <c r="D17" s="124">
        <f ca="1">SUM(D12:D16)</f>
        <v>20</v>
      </c>
      <c r="E17" s="124">
        <f ca="1">SUM(E12:E16)</f>
        <v>4</v>
      </c>
      <c r="F17" s="124">
        <f ca="1">SUM(F12:F16)</f>
        <v>10</v>
      </c>
      <c r="G17" s="125">
        <f ca="1">SUM(G12:G16)</f>
        <v>0</v>
      </c>
      <c r="H17" s="126">
        <f t="shared" ca="1" si="0"/>
        <v>0</v>
      </c>
      <c r="I17" s="284"/>
      <c r="J17" s="135">
        <f ca="1">SUM(J12:J16)</f>
        <v>10</v>
      </c>
      <c r="K17" s="124">
        <f ca="1">SUM(K12:K16)</f>
        <v>0</v>
      </c>
      <c r="L17" s="124">
        <f ca="1">SUM(L12:L16)</f>
        <v>0</v>
      </c>
      <c r="M17" s="124">
        <f ca="1">SUM(M12:M16)</f>
        <v>6</v>
      </c>
      <c r="N17" s="127">
        <f ca="1">IF($O17="N/A","N/A",IFERROR($J17/($F17-(M17-G17)),"N/A"))</f>
        <v>2.5</v>
      </c>
      <c r="O17" s="128">
        <f ca="1">IF($G17=$D17,"N/A",IFERROR((T17/U17),"N/A"))</f>
        <v>1</v>
      </c>
      <c r="R17" s="39">
        <f ca="1">SUM(R12:R16)</f>
        <v>48</v>
      </c>
      <c r="S17" s="40">
        <f ca="1">SUM(S12:S16)</f>
        <v>0</v>
      </c>
      <c r="T17" s="40">
        <f ca="1">SUM(T12:T16)</f>
        <v>35</v>
      </c>
      <c r="U17" s="39">
        <f ca="1">SUM(U12:U16)</f>
        <v>35</v>
      </c>
      <c r="V17" s="291" t="s">
        <v>140</v>
      </c>
      <c r="W17" s="292"/>
      <c r="X17" s="60">
        <f t="shared" ca="1" si="1"/>
        <v>0</v>
      </c>
      <c r="Y17" s="60">
        <f t="shared" ca="1" si="2"/>
        <v>1</v>
      </c>
    </row>
    <row r="18" spans="1:25">
      <c r="A18" s="9"/>
      <c r="B18" s="9"/>
      <c r="C18" s="9"/>
      <c r="D18" s="9"/>
      <c r="E18" s="9"/>
      <c r="F18" s="9"/>
      <c r="G18" s="9"/>
      <c r="H18" s="9"/>
      <c r="I18" s="9"/>
      <c r="M18" s="9"/>
      <c r="N18" s="9"/>
    </row>
    <row r="19" spans="1:25">
      <c r="A19" s="9" t="s">
        <v>126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7" t="s">
        <v>53</v>
      </c>
      <c r="S19" s="17"/>
    </row>
    <row r="20" spans="1:25" ht="21.95" customHeight="1">
      <c r="A20" s="293" t="s">
        <v>79</v>
      </c>
      <c r="B20" s="294"/>
      <c r="C20" s="295" t="s">
        <v>201</v>
      </c>
      <c r="D20" s="295"/>
      <c r="E20" s="295"/>
      <c r="F20" s="296" t="s">
        <v>101</v>
      </c>
      <c r="G20" s="295"/>
      <c r="H20" s="131" t="s">
        <v>218</v>
      </c>
      <c r="I20" s="132" t="s">
        <v>143</v>
      </c>
      <c r="J20" s="130" t="s">
        <v>233</v>
      </c>
      <c r="K20" s="132" t="s">
        <v>198</v>
      </c>
      <c r="L20" s="296" t="s">
        <v>245</v>
      </c>
      <c r="M20" s="295"/>
      <c r="N20" s="295"/>
      <c r="O20" s="295"/>
      <c r="P20" s="297"/>
      <c r="Q20" s="133" t="s">
        <v>112</v>
      </c>
      <c r="R20" s="45" t="s">
        <v>144</v>
      </c>
      <c r="S20" s="44" t="s">
        <v>119</v>
      </c>
      <c r="T20" s="25" t="s">
        <v>125</v>
      </c>
      <c r="U20" s="44" t="s">
        <v>127</v>
      </c>
      <c r="V20" s="298" t="s">
        <v>233</v>
      </c>
      <c r="W20" s="299"/>
      <c r="Y20" s="62"/>
    </row>
    <row r="21" spans="1:25" ht="12" customHeight="1">
      <c r="A21" s="32" t="str">
        <f>ChkList!A5</f>
        <v>계정 관리</v>
      </c>
      <c r="B21" s="51" t="str">
        <f>ChkList!B5</f>
        <v>W-01</v>
      </c>
      <c r="C21" s="300" t="str">
        <f>ChkList!C5</f>
        <v>Administrator 계정 이름 변경 등 보안성 강화</v>
      </c>
      <c r="D21" s="301"/>
      <c r="E21" s="302"/>
      <c r="F21" s="32" t="str">
        <f>ChkList!D5</f>
        <v>H</v>
      </c>
      <c r="G21" s="32">
        <f>ChkList!E5</f>
        <v>3</v>
      </c>
      <c r="H21" s="154" t="s">
        <v>100</v>
      </c>
      <c r="I21" s="152" t="s">
        <v>20</v>
      </c>
      <c r="J21" s="29" t="s">
        <v>88</v>
      </c>
      <c r="K21" s="29" t="str">
        <f>IF($J21="","",IF(OR($H21="Y",$H21="N/A",$H21="Y(즉시조치)"),$H21,IF(AND($H21="N",$J21="Y"),"조치",IF(AND($H21="N",$J21="N/A"),"N/A",IF(IFERROR(FIND("위험수용",$L21),0),"위험수용","미조치")))))</f>
        <v>조치</v>
      </c>
      <c r="L21" s="300"/>
      <c r="M21" s="301"/>
      <c r="N21" s="301"/>
      <c r="O21" s="301"/>
      <c r="P21" s="302"/>
      <c r="Q21" s="21" t="str">
        <f>IF($J21="",IF(OR(#REF!="N",#REF!="인터뷰"),ChkList!#REF!,""),IF(OR($J21="N",$J21="인터뷰"),ChkList!#REF!,""))</f>
        <v/>
      </c>
      <c r="R21" s="32">
        <f>IF($H21="N/A",0,VLOOKUP($F21,'parm(hidden)'!$B$8:$C$10,2,FALSE))*1</f>
        <v>3</v>
      </c>
      <c r="S21" s="32">
        <f>IFERROR(VLOOKUP($F21,'parm(hidden)'!$B$8:$C$10,2,FALSE)*VLOOKUP(#REF!,'parm(hidden)'!$B$15:$C$19,2,FALSE),0)</f>
        <v>0</v>
      </c>
      <c r="T21" s="32">
        <f>IFERROR(VLOOKUP($F21,'parm(hidden)'!$B$8:$C$10,2,FALSE)*VLOOKUP($K21,$V$22:$W$27,2,FALSE),0)</f>
        <v>3</v>
      </c>
      <c r="U21" s="11">
        <f>IF($J21="N/A",0,VLOOKUP($F21,'parm(hidden)'!$B$8:$C$10,2,FALSE))*1</f>
        <v>3</v>
      </c>
      <c r="V21" s="52" t="s">
        <v>82</v>
      </c>
      <c r="W21" s="38" t="s">
        <v>102</v>
      </c>
      <c r="Y21" s="10"/>
    </row>
    <row r="22" spans="1:25" ht="12" customHeight="1">
      <c r="A22" s="170" t="str">
        <f>ChkList!A6</f>
        <v>계정 관리</v>
      </c>
      <c r="B22" s="172" t="str">
        <f>ChkList!B6</f>
        <v>W-02</v>
      </c>
      <c r="C22" s="300" t="str">
        <f>ChkList!C6</f>
        <v>Guest 계정 비활성화</v>
      </c>
      <c r="D22" s="301"/>
      <c r="E22" s="302"/>
      <c r="F22" s="170" t="str">
        <f>ChkList!D6</f>
        <v>H</v>
      </c>
      <c r="G22" s="170">
        <f>ChkList!E6</f>
        <v>3</v>
      </c>
      <c r="H22" s="154" t="s">
        <v>100</v>
      </c>
      <c r="I22" s="152" t="s">
        <v>0</v>
      </c>
      <c r="J22" s="29" t="s">
        <v>88</v>
      </c>
      <c r="K22" s="29" t="str">
        <f t="shared" ref="K22:K84" si="3">IF($J22="","",IF(OR($H22="Y",$H22="N/A",$H22="Y(즉시조치)"),$H22,IF(AND($H22="N",$J22="Y"),"조치",IF(AND($H22="N",$J22="N/A"),"N/A",IF(IFERROR(FIND("위험수용",$L22),0),"위험수용","미조치")))))</f>
        <v>조치</v>
      </c>
      <c r="L22" s="300"/>
      <c r="M22" s="301"/>
      <c r="N22" s="301"/>
      <c r="O22" s="301"/>
      <c r="P22" s="302"/>
      <c r="Q22" s="21"/>
      <c r="R22" s="32">
        <f>IF($H22="N/A",0,VLOOKUP($F22,'parm(hidden)'!$B$8:$C$10,2,FALSE))*1</f>
        <v>3</v>
      </c>
      <c r="S22" s="32">
        <f>IFERROR(VLOOKUP($F22,'parm(hidden)'!$B$8:$C$10,2,FALSE)*VLOOKUP(#REF!,'parm(hidden)'!$B$15:$C$19,2,FALSE),0)</f>
        <v>0</v>
      </c>
      <c r="T22" s="32">
        <f>IFERROR(VLOOKUP($F22,'parm(hidden)'!$B$8:$C$10,2,FALSE)*VLOOKUP($K22,$V$22:$W$27,2,FALSE),0)</f>
        <v>3</v>
      </c>
      <c r="U22" s="11">
        <f>IF($J22="N/A",0,VLOOKUP($F22,'parm(hidden)'!$B$8:$C$10,2,FALSE))*1</f>
        <v>3</v>
      </c>
      <c r="V22" s="54" t="s">
        <v>110</v>
      </c>
      <c r="W22" s="29">
        <v>1</v>
      </c>
      <c r="Y22" s="10"/>
    </row>
    <row r="23" spans="1:25" ht="12" customHeight="1">
      <c r="A23" s="170" t="str">
        <f>ChkList!A7</f>
        <v>계정 관리</v>
      </c>
      <c r="B23" s="172" t="str">
        <f>ChkList!B7</f>
        <v>W-03</v>
      </c>
      <c r="C23" s="300" t="str">
        <f>ChkList!C7</f>
        <v>불필요한 계정 제거</v>
      </c>
      <c r="D23" s="301"/>
      <c r="E23" s="302"/>
      <c r="F23" s="170" t="str">
        <f>ChkList!D7</f>
        <v>H</v>
      </c>
      <c r="G23" s="170">
        <f>ChkList!E7</f>
        <v>3</v>
      </c>
      <c r="H23" s="157" t="s">
        <v>88</v>
      </c>
      <c r="I23" s="152" t="s">
        <v>33</v>
      </c>
      <c r="J23" s="29" t="s">
        <v>88</v>
      </c>
      <c r="K23" s="29" t="str">
        <f t="shared" si="3"/>
        <v>Y</v>
      </c>
      <c r="L23" s="300"/>
      <c r="M23" s="301"/>
      <c r="N23" s="301"/>
      <c r="O23" s="301"/>
      <c r="P23" s="302"/>
      <c r="Q23" s="21"/>
      <c r="R23" s="32">
        <f>IF($H23="N/A",0,VLOOKUP($F23,'parm(hidden)'!$B$8:$C$10,2,FALSE))*1</f>
        <v>3</v>
      </c>
      <c r="S23" s="32">
        <f>IFERROR(VLOOKUP($F23,'parm(hidden)'!$B$8:$C$10,2,FALSE)*VLOOKUP(#REF!,'parm(hidden)'!$B$15:$C$19,2,FALSE),0)</f>
        <v>0</v>
      </c>
      <c r="T23" s="32">
        <f>IFERROR(VLOOKUP($F23,'parm(hidden)'!$B$8:$C$10,2,FALSE)*VLOOKUP($K23,$V$22:$W$27,2,FALSE),0)</f>
        <v>3</v>
      </c>
      <c r="U23" s="11">
        <f>IF($J23="N/A",0,VLOOKUP($F23,'parm(hidden)'!$B$8:$C$10,2,FALSE))*1</f>
        <v>3</v>
      </c>
      <c r="V23" s="54" t="s">
        <v>97</v>
      </c>
      <c r="W23" s="29">
        <v>0</v>
      </c>
      <c r="Y23" s="10"/>
    </row>
    <row r="24" spans="1:25" ht="12" customHeight="1">
      <c r="A24" s="170" t="str">
        <f>ChkList!A8</f>
        <v>계정 관리</v>
      </c>
      <c r="B24" s="172" t="str">
        <f>ChkList!B8</f>
        <v>W-04</v>
      </c>
      <c r="C24" s="300" t="str">
        <f>ChkList!C8</f>
        <v>계정 잠금 임계값 설정</v>
      </c>
      <c r="D24" s="301"/>
      <c r="E24" s="302"/>
      <c r="F24" s="170" t="str">
        <f>ChkList!D8</f>
        <v>H</v>
      </c>
      <c r="G24" s="170">
        <f>ChkList!E8</f>
        <v>3</v>
      </c>
      <c r="H24" s="154" t="s">
        <v>100</v>
      </c>
      <c r="I24" s="152" t="s">
        <v>23</v>
      </c>
      <c r="J24" s="29" t="s">
        <v>88</v>
      </c>
      <c r="K24" s="29" t="str">
        <f t="shared" si="3"/>
        <v>조치</v>
      </c>
      <c r="L24" s="300"/>
      <c r="M24" s="301"/>
      <c r="N24" s="301"/>
      <c r="O24" s="301"/>
      <c r="P24" s="302"/>
      <c r="Q24" s="21"/>
      <c r="R24" s="32">
        <f>IF($H24="N/A",0,VLOOKUP($F24,'parm(hidden)'!$B$8:$C$10,2,FALSE))*1</f>
        <v>3</v>
      </c>
      <c r="S24" s="32">
        <f>IFERROR(VLOOKUP($F24,'parm(hidden)'!$B$8:$C$10,2,FALSE)*VLOOKUP(#REF!,'parm(hidden)'!$B$15:$C$19,2,FALSE),0)</f>
        <v>0</v>
      </c>
      <c r="T24" s="32">
        <f>IFERROR(VLOOKUP($F24,'parm(hidden)'!$B$8:$C$10,2,FALSE)*VLOOKUP($K24,$V$22:$W$27,2,FALSE),0)</f>
        <v>3</v>
      </c>
      <c r="U24" s="11">
        <f>IF($J24="N/A",0,VLOOKUP($F24,'parm(hidden)'!$B$8:$C$10,2,FALSE))*1</f>
        <v>3</v>
      </c>
      <c r="V24" s="54" t="s">
        <v>219</v>
      </c>
      <c r="W24" s="29">
        <v>0</v>
      </c>
      <c r="Y24" s="10"/>
    </row>
    <row r="25" spans="1:25" ht="12" customHeight="1">
      <c r="A25" s="170" t="str">
        <f>ChkList!A9</f>
        <v>계정 관리</v>
      </c>
      <c r="B25" s="172" t="str">
        <f>ChkList!B9</f>
        <v>W-05</v>
      </c>
      <c r="C25" s="300" t="str">
        <f>ChkList!C9</f>
        <v>해독 가능한 암호화를 사용하여 암호 저장 해제</v>
      </c>
      <c r="D25" s="301"/>
      <c r="E25" s="302"/>
      <c r="F25" s="170" t="str">
        <f>ChkList!D9</f>
        <v>H</v>
      </c>
      <c r="G25" s="170">
        <f>ChkList!E9</f>
        <v>3</v>
      </c>
      <c r="H25" s="157" t="s">
        <v>88</v>
      </c>
      <c r="I25" s="152" t="s">
        <v>17</v>
      </c>
      <c r="J25" s="29" t="s">
        <v>88</v>
      </c>
      <c r="K25" s="29" t="str">
        <f t="shared" si="3"/>
        <v>Y</v>
      </c>
      <c r="L25" s="300"/>
      <c r="M25" s="301"/>
      <c r="N25" s="301"/>
      <c r="O25" s="301"/>
      <c r="P25" s="302"/>
      <c r="Q25" s="21"/>
      <c r="R25" s="32">
        <f>IF($H25="N/A",0,VLOOKUP($F25,'parm(hidden)'!$B$8:$C$10,2,FALSE))*1</f>
        <v>3</v>
      </c>
      <c r="S25" s="32">
        <f>IFERROR(VLOOKUP($F25,'parm(hidden)'!$B$8:$C$10,2,FALSE)*VLOOKUP(#REF!,'parm(hidden)'!$B$15:$C$19,2,FALSE),0)</f>
        <v>0</v>
      </c>
      <c r="T25" s="32">
        <f>IFERROR(VLOOKUP($F25,'parm(hidden)'!$B$8:$C$10,2,FALSE)*VLOOKUP($K25,$V$22:$W$27,2,FALSE),0)</f>
        <v>3</v>
      </c>
      <c r="U25" s="11">
        <f>IF($J25="N/A",0,VLOOKUP($F25,'parm(hidden)'!$B$8:$C$10,2,FALSE))*1</f>
        <v>3</v>
      </c>
      <c r="V25" s="54" t="s">
        <v>78</v>
      </c>
      <c r="W25" s="29">
        <v>0</v>
      </c>
      <c r="Y25" s="10"/>
    </row>
    <row r="26" spans="1:25" ht="12" customHeight="1">
      <c r="A26" s="170" t="str">
        <f>ChkList!A10</f>
        <v>계정 관리</v>
      </c>
      <c r="B26" s="172" t="str">
        <f>ChkList!B10</f>
        <v>W-06</v>
      </c>
      <c r="C26" s="300" t="str">
        <f>ChkList!C10</f>
        <v>관리자 그룹에 최소한의 사용자 포함</v>
      </c>
      <c r="D26" s="301"/>
      <c r="E26" s="302"/>
      <c r="F26" s="170" t="str">
        <f>ChkList!D10</f>
        <v>H</v>
      </c>
      <c r="G26" s="170">
        <f>ChkList!E10</f>
        <v>3</v>
      </c>
      <c r="H26" s="157" t="s">
        <v>88</v>
      </c>
      <c r="I26" s="152" t="s">
        <v>21</v>
      </c>
      <c r="J26" s="29" t="s">
        <v>88</v>
      </c>
      <c r="K26" s="29" t="str">
        <f t="shared" si="3"/>
        <v>Y</v>
      </c>
      <c r="L26" s="300"/>
      <c r="M26" s="301"/>
      <c r="N26" s="301"/>
      <c r="O26" s="301"/>
      <c r="P26" s="302"/>
      <c r="Q26" s="21"/>
      <c r="R26" s="32">
        <f>IF($H26="N/A",0,VLOOKUP($F26,'parm(hidden)'!$B$8:$C$10,2,FALSE))*1</f>
        <v>3</v>
      </c>
      <c r="S26" s="32">
        <f>IFERROR(VLOOKUP($F26,'parm(hidden)'!$B$8:$C$10,2,FALSE)*VLOOKUP(#REF!,'parm(hidden)'!$B$15:$C$19,2,FALSE),0)</f>
        <v>0</v>
      </c>
      <c r="T26" s="32">
        <f>IFERROR(VLOOKUP($F26,'parm(hidden)'!$B$8:$C$10,2,FALSE)*VLOOKUP($K26,$V$22:$W$27,2,FALSE),0)</f>
        <v>3</v>
      </c>
      <c r="U26" s="11">
        <f>IF($J26="N/A",0,VLOOKUP($F26,'parm(hidden)'!$B$8:$C$10,2,FALSE))*1</f>
        <v>3</v>
      </c>
      <c r="V26" s="54" t="s">
        <v>88</v>
      </c>
      <c r="W26" s="29">
        <v>1</v>
      </c>
      <c r="Y26" s="10"/>
    </row>
    <row r="27" spans="1:25" ht="12" customHeight="1">
      <c r="A27" s="170" t="str">
        <f>ChkList!A11</f>
        <v>계정 관리</v>
      </c>
      <c r="B27" s="172" t="str">
        <f>ChkList!B11</f>
        <v>W-07</v>
      </c>
      <c r="C27" s="300" t="str">
        <f>ChkList!C11</f>
        <v>Everyone 사용 권한을 익명 사용자에 적용</v>
      </c>
      <c r="D27" s="301"/>
      <c r="E27" s="302"/>
      <c r="F27" s="170" t="str">
        <f>ChkList!D11</f>
        <v>M</v>
      </c>
      <c r="G27" s="170">
        <f>ChkList!E11</f>
        <v>2</v>
      </c>
      <c r="H27" s="157" t="s">
        <v>88</v>
      </c>
      <c r="I27" s="152" t="s">
        <v>16</v>
      </c>
      <c r="J27" s="29" t="s">
        <v>88</v>
      </c>
      <c r="K27" s="29" t="str">
        <f t="shared" si="3"/>
        <v>Y</v>
      </c>
      <c r="L27" s="300"/>
      <c r="M27" s="301"/>
      <c r="N27" s="301"/>
      <c r="O27" s="301"/>
      <c r="P27" s="302"/>
      <c r="Q27" s="21"/>
      <c r="R27" s="32">
        <f>IF($H27="N/A",0,VLOOKUP($F27,'parm(hidden)'!$B$8:$C$10,2,FALSE))*1</f>
        <v>2</v>
      </c>
      <c r="S27" s="32">
        <f>IFERROR(VLOOKUP($F27,'parm(hidden)'!$B$8:$C$10,2,FALSE)*VLOOKUP(#REF!,'parm(hidden)'!$B$15:$C$19,2,FALSE),0)</f>
        <v>0</v>
      </c>
      <c r="T27" s="32">
        <f>IFERROR(VLOOKUP($F27,'parm(hidden)'!$B$8:$C$10,2,FALSE)*VLOOKUP($K27,$V$22:$W$27,2,FALSE),0)</f>
        <v>2</v>
      </c>
      <c r="U27" s="11">
        <f>IF($J27="N/A",0,VLOOKUP($F27,'parm(hidden)'!$B$8:$C$10,2,FALSE))*1</f>
        <v>2</v>
      </c>
      <c r="V27" s="54" t="s">
        <v>193</v>
      </c>
      <c r="W27" s="29">
        <v>1</v>
      </c>
      <c r="Y27" s="10"/>
    </row>
    <row r="28" spans="1:25" ht="12" customHeight="1">
      <c r="A28" s="170" t="str">
        <f>ChkList!A12</f>
        <v>계정 관리</v>
      </c>
      <c r="B28" s="172" t="str">
        <f>ChkList!B12</f>
        <v>W-08</v>
      </c>
      <c r="C28" s="300" t="str">
        <f>ChkList!C12</f>
        <v>계정 잠금 기간 설정</v>
      </c>
      <c r="D28" s="301"/>
      <c r="E28" s="302"/>
      <c r="F28" s="170" t="str">
        <f>ChkList!D12</f>
        <v>M</v>
      </c>
      <c r="G28" s="170">
        <f>ChkList!E12</f>
        <v>2</v>
      </c>
      <c r="H28" s="154" t="s">
        <v>100</v>
      </c>
      <c r="I28" s="152" t="s">
        <v>18</v>
      </c>
      <c r="J28" s="29" t="s">
        <v>88</v>
      </c>
      <c r="K28" s="29" t="str">
        <f t="shared" si="3"/>
        <v>조치</v>
      </c>
      <c r="L28" s="300"/>
      <c r="M28" s="301"/>
      <c r="N28" s="301"/>
      <c r="O28" s="301"/>
      <c r="P28" s="302"/>
      <c r="Q28" s="21"/>
      <c r="R28" s="32">
        <f>IF($H28="N/A",0,VLOOKUP($F28,'parm(hidden)'!$B$8:$C$10,2,FALSE))*1</f>
        <v>2</v>
      </c>
      <c r="S28" s="32">
        <f>IFERROR(VLOOKUP($F28,'parm(hidden)'!$B$8:$C$10,2,FALSE)*VLOOKUP(#REF!,'parm(hidden)'!$B$15:$C$19,2,FALSE),0)</f>
        <v>0</v>
      </c>
      <c r="T28" s="32">
        <f>IFERROR(VLOOKUP($F28,'parm(hidden)'!$B$8:$C$10,2,FALSE)*VLOOKUP($K28,$V$22:$W$27,2,FALSE),0)</f>
        <v>2</v>
      </c>
      <c r="U28" s="11">
        <f>IF($J28="N/A",0,VLOOKUP($F28,'parm(hidden)'!$B$8:$C$10,2,FALSE))*1</f>
        <v>2</v>
      </c>
      <c r="V28" s="10"/>
      <c r="W28" s="10"/>
      <c r="Y28" s="10"/>
    </row>
    <row r="29" spans="1:25" ht="12" customHeight="1">
      <c r="A29" s="170" t="str">
        <f>ChkList!A13</f>
        <v>계정 관리</v>
      </c>
      <c r="B29" s="172" t="str">
        <f>ChkList!B13</f>
        <v>W-09</v>
      </c>
      <c r="C29" s="300" t="str">
        <f>ChkList!C13</f>
        <v>비밀번호 관리 정책 설정</v>
      </c>
      <c r="D29" s="301"/>
      <c r="E29" s="302"/>
      <c r="F29" s="170" t="str">
        <f>ChkList!D13</f>
        <v>H</v>
      </c>
      <c r="G29" s="170">
        <f>ChkList!E13</f>
        <v>3</v>
      </c>
      <c r="H29" s="154" t="s">
        <v>100</v>
      </c>
      <c r="I29" s="153" t="s">
        <v>152</v>
      </c>
      <c r="J29" s="29" t="s">
        <v>88</v>
      </c>
      <c r="K29" s="29" t="str">
        <f t="shared" si="3"/>
        <v>조치</v>
      </c>
      <c r="L29" s="300"/>
      <c r="M29" s="301"/>
      <c r="N29" s="301"/>
      <c r="O29" s="301"/>
      <c r="P29" s="302"/>
      <c r="Q29" s="21"/>
      <c r="R29" s="32">
        <f>IF($H29="N/A",0,VLOOKUP($F29,'parm(hidden)'!$B$8:$C$10,2,FALSE))*1</f>
        <v>3</v>
      </c>
      <c r="S29" s="32">
        <f>IFERROR(VLOOKUP($F29,'parm(hidden)'!$B$8:$C$10,2,FALSE)*VLOOKUP(#REF!,'parm(hidden)'!$B$15:$C$19,2,FALSE),0)</f>
        <v>0</v>
      </c>
      <c r="T29" s="32">
        <f>IFERROR(VLOOKUP($F29,'parm(hidden)'!$B$8:$C$10,2,FALSE)*VLOOKUP($K29,$V$22:$W$27,2,FALSE),0)</f>
        <v>3</v>
      </c>
      <c r="U29" s="11">
        <f>IF($J29="N/A",0,VLOOKUP($F29,'parm(hidden)'!$B$8:$C$10,2,FALSE))*1</f>
        <v>3</v>
      </c>
      <c r="V29" s="10"/>
      <c r="W29" s="10"/>
      <c r="Y29" s="10"/>
    </row>
    <row r="30" spans="1:25" ht="12" customHeight="1">
      <c r="A30" s="170" t="str">
        <f>ChkList!A14</f>
        <v>계정 관리</v>
      </c>
      <c r="B30" s="172" t="str">
        <f>ChkList!B14</f>
        <v>W-10</v>
      </c>
      <c r="C30" s="300" t="str">
        <f>ChkList!C14</f>
        <v>마지막 사용자 이름 표시 안 함</v>
      </c>
      <c r="D30" s="301"/>
      <c r="E30" s="302"/>
      <c r="F30" s="170" t="str">
        <f>ChkList!D14</f>
        <v>M</v>
      </c>
      <c r="G30" s="170">
        <f>ChkList!E14</f>
        <v>2</v>
      </c>
      <c r="H30" s="154" t="s">
        <v>100</v>
      </c>
      <c r="I30" s="153" t="s">
        <v>167</v>
      </c>
      <c r="J30" s="29" t="s">
        <v>88</v>
      </c>
      <c r="K30" s="29" t="str">
        <f t="shared" si="3"/>
        <v>조치</v>
      </c>
      <c r="L30" s="300"/>
      <c r="M30" s="301"/>
      <c r="N30" s="301"/>
      <c r="O30" s="301"/>
      <c r="P30" s="302"/>
      <c r="Q30" s="21"/>
      <c r="R30" s="32">
        <f>IF($H30="N/A",0,VLOOKUP($F30,'parm(hidden)'!$B$8:$C$10,2,FALSE))*1</f>
        <v>2</v>
      </c>
      <c r="S30" s="32">
        <f>IFERROR(VLOOKUP($F30,'parm(hidden)'!$B$8:$C$10,2,FALSE)*VLOOKUP(#REF!,'parm(hidden)'!$B$15:$C$19,2,FALSE),0)</f>
        <v>0</v>
      </c>
      <c r="T30" s="32">
        <f>IFERROR(VLOOKUP($F30,'parm(hidden)'!$B$8:$C$10,2,FALSE)*VLOOKUP($K30,$V$22:$W$27,2,FALSE),0)</f>
        <v>2</v>
      </c>
      <c r="U30" s="11">
        <f>IF($J30="N/A",0,VLOOKUP($F30,'parm(hidden)'!$B$8:$C$10,2,FALSE))*1</f>
        <v>2</v>
      </c>
      <c r="V30" s="10"/>
      <c r="W30" s="10"/>
      <c r="Y30" s="10"/>
    </row>
    <row r="31" spans="1:25" ht="12" customHeight="1">
      <c r="A31" s="170" t="str">
        <f>ChkList!A15</f>
        <v>계정 관리</v>
      </c>
      <c r="B31" s="172" t="str">
        <f>ChkList!B15</f>
        <v>W-11</v>
      </c>
      <c r="C31" s="300" t="str">
        <f>ChkList!C15</f>
        <v>로컬 로그온 허용</v>
      </c>
      <c r="D31" s="301"/>
      <c r="E31" s="302"/>
      <c r="F31" s="170" t="str">
        <f>ChkList!D15</f>
        <v>M</v>
      </c>
      <c r="G31" s="170">
        <f>ChkList!E15</f>
        <v>2</v>
      </c>
      <c r="H31" s="154" t="s">
        <v>100</v>
      </c>
      <c r="I31" s="153" t="s">
        <v>58</v>
      </c>
      <c r="J31" s="29" t="s">
        <v>88</v>
      </c>
      <c r="K31" s="29" t="str">
        <f t="shared" si="3"/>
        <v>조치</v>
      </c>
      <c r="L31" s="300"/>
      <c r="M31" s="301"/>
      <c r="N31" s="301"/>
      <c r="O31" s="301"/>
      <c r="P31" s="302"/>
      <c r="Q31" s="21"/>
      <c r="R31" s="32">
        <f>IF($H31="N/A",0,VLOOKUP($F31,'parm(hidden)'!$B$8:$C$10,2,FALSE))*1</f>
        <v>2</v>
      </c>
      <c r="S31" s="32">
        <f>IFERROR(VLOOKUP($F31,'parm(hidden)'!$B$8:$C$10,2,FALSE)*VLOOKUP(#REF!,'parm(hidden)'!$B$15:$C$19,2,FALSE),0)</f>
        <v>0</v>
      </c>
      <c r="T31" s="32">
        <f>IFERROR(VLOOKUP($F31,'parm(hidden)'!$B$8:$C$10,2,FALSE)*VLOOKUP($K31,$V$22:$W$27,2,FALSE),0)</f>
        <v>2</v>
      </c>
      <c r="U31" s="11">
        <f>IF($J31="N/A",0,VLOOKUP($F31,'parm(hidden)'!$B$8:$C$10,2,FALSE))*1</f>
        <v>2</v>
      </c>
      <c r="V31" s="10"/>
      <c r="W31" s="10"/>
      <c r="Y31" s="10"/>
    </row>
    <row r="32" spans="1:25" ht="12" customHeight="1">
      <c r="A32" s="170" t="str">
        <f>ChkList!A16</f>
        <v>계정 관리</v>
      </c>
      <c r="B32" s="172" t="str">
        <f>ChkList!B16</f>
        <v>W-12</v>
      </c>
      <c r="C32" s="300" t="str">
        <f>ChkList!C16</f>
        <v>익명 SID/이름 변환 허용 해제</v>
      </c>
      <c r="D32" s="301"/>
      <c r="E32" s="302"/>
      <c r="F32" s="170" t="str">
        <f>ChkList!D16</f>
        <v>M</v>
      </c>
      <c r="G32" s="170">
        <f>ChkList!E16</f>
        <v>2</v>
      </c>
      <c r="H32" s="154" t="s">
        <v>100</v>
      </c>
      <c r="I32" s="153" t="s">
        <v>63</v>
      </c>
      <c r="J32" s="29" t="s">
        <v>88</v>
      </c>
      <c r="K32" s="29" t="str">
        <f t="shared" si="3"/>
        <v>조치</v>
      </c>
      <c r="L32" s="300"/>
      <c r="M32" s="301"/>
      <c r="N32" s="301"/>
      <c r="O32" s="301"/>
      <c r="P32" s="302"/>
      <c r="Q32" s="21"/>
      <c r="R32" s="32">
        <f>IF($H32="N/A",0,VLOOKUP($F32,'parm(hidden)'!$B$8:$C$10,2,FALSE))*1</f>
        <v>2</v>
      </c>
      <c r="S32" s="32">
        <f>IFERROR(VLOOKUP($F32,'parm(hidden)'!$B$8:$C$10,2,FALSE)*VLOOKUP(#REF!,'parm(hidden)'!$B$15:$C$19,2,FALSE),0)</f>
        <v>0</v>
      </c>
      <c r="T32" s="32">
        <f>IFERROR(VLOOKUP($F32,'parm(hidden)'!$B$8:$C$10,2,FALSE)*VLOOKUP($K32,$V$22:$W$27,2,FALSE),0)</f>
        <v>2</v>
      </c>
      <c r="U32" s="11">
        <f>IF($J32="N/A",0,VLOOKUP($F32,'parm(hidden)'!$B$8:$C$10,2,FALSE))*1</f>
        <v>2</v>
      </c>
      <c r="V32" s="10"/>
      <c r="W32" s="10"/>
      <c r="Y32" s="10"/>
    </row>
    <row r="33" spans="1:25" ht="12" customHeight="1">
      <c r="A33" s="170" t="str">
        <f>ChkList!A17</f>
        <v>계정 관리</v>
      </c>
      <c r="B33" s="172" t="str">
        <f>ChkList!B17</f>
        <v>W-13</v>
      </c>
      <c r="C33" s="300" t="str">
        <f>ChkList!C17</f>
        <v>콘솔 로그온 시 로컬 계정에서 빈 암호 사용 제한</v>
      </c>
      <c r="D33" s="301"/>
      <c r="E33" s="302"/>
      <c r="F33" s="170" t="str">
        <f>ChkList!D17</f>
        <v>M</v>
      </c>
      <c r="G33" s="170">
        <f>ChkList!E17</f>
        <v>2</v>
      </c>
      <c r="H33" s="154" t="s">
        <v>100</v>
      </c>
      <c r="I33" s="152" t="s">
        <v>55</v>
      </c>
      <c r="J33" s="29" t="s">
        <v>88</v>
      </c>
      <c r="K33" s="29" t="str">
        <f t="shared" si="3"/>
        <v>조치</v>
      </c>
      <c r="L33" s="300"/>
      <c r="M33" s="301"/>
      <c r="N33" s="301"/>
      <c r="O33" s="301"/>
      <c r="P33" s="302"/>
      <c r="Q33" s="21"/>
      <c r="R33" s="32">
        <f>IF($H33="N/A",0,VLOOKUP($F33,'parm(hidden)'!$B$8:$C$10,2,FALSE))*1</f>
        <v>2</v>
      </c>
      <c r="S33" s="32">
        <f>IFERROR(VLOOKUP($F33,'parm(hidden)'!$B$8:$C$10,2,FALSE)*VLOOKUP(#REF!,'parm(hidden)'!$B$15:$C$19,2,FALSE),0)</f>
        <v>0</v>
      </c>
      <c r="T33" s="32">
        <f>IFERROR(VLOOKUP($F33,'parm(hidden)'!$B$8:$C$10,2,FALSE)*VLOOKUP($K33,$V$22:$W$27,2,FALSE),0)</f>
        <v>2</v>
      </c>
      <c r="U33" s="11">
        <f>IF($J33="N/A",0,VLOOKUP($F33,'parm(hidden)'!$B$8:$C$10,2,FALSE))*1</f>
        <v>2</v>
      </c>
      <c r="V33" s="10"/>
      <c r="W33" s="10"/>
      <c r="Y33" s="10"/>
    </row>
    <row r="34" spans="1:25" ht="12" customHeight="1">
      <c r="A34" s="170" t="str">
        <f>ChkList!A18</f>
        <v>계정 관리</v>
      </c>
      <c r="B34" s="172" t="str">
        <f>ChkList!B18</f>
        <v>W-14</v>
      </c>
      <c r="C34" s="300" t="str">
        <f>ChkList!C18</f>
        <v>원격터미널 접속 가능한 사용자 그룹 제한</v>
      </c>
      <c r="D34" s="301"/>
      <c r="E34" s="302"/>
      <c r="F34" s="170" t="str">
        <f>ChkList!D18</f>
        <v>M</v>
      </c>
      <c r="G34" s="170">
        <f>ChkList!E18</f>
        <v>2</v>
      </c>
      <c r="H34" s="154" t="s">
        <v>100</v>
      </c>
      <c r="I34" s="152" t="s">
        <v>1</v>
      </c>
      <c r="J34" s="29" t="s">
        <v>88</v>
      </c>
      <c r="K34" s="29" t="str">
        <f t="shared" si="3"/>
        <v>조치</v>
      </c>
      <c r="L34" s="300"/>
      <c r="M34" s="301"/>
      <c r="N34" s="301"/>
      <c r="O34" s="301"/>
      <c r="P34" s="302"/>
      <c r="Q34" s="21"/>
      <c r="R34" s="32">
        <f>IF($H34="N/A",0,VLOOKUP($F34,'parm(hidden)'!$B$8:$C$10,2,FALSE))*1</f>
        <v>2</v>
      </c>
      <c r="S34" s="32">
        <f>IFERROR(VLOOKUP($F34,'parm(hidden)'!$B$8:$C$10,2,FALSE)*VLOOKUP(#REF!,'parm(hidden)'!$B$15:$C$19,2,FALSE),0)</f>
        <v>0</v>
      </c>
      <c r="T34" s="32">
        <f>IFERROR(VLOOKUP($F34,'parm(hidden)'!$B$8:$C$10,2,FALSE)*VLOOKUP($K34,$V$22:$W$27,2,FALSE),0)</f>
        <v>2</v>
      </c>
      <c r="U34" s="11">
        <f>IF($J34="N/A",0,VLOOKUP($F34,'parm(hidden)'!$B$8:$C$10,2,FALSE))*1</f>
        <v>2</v>
      </c>
      <c r="V34" s="10"/>
      <c r="W34" s="10"/>
      <c r="Y34" s="10"/>
    </row>
    <row r="35" spans="1:25" ht="12" customHeight="1">
      <c r="A35" s="170" t="str">
        <f>ChkList!A19</f>
        <v>서비스 관리</v>
      </c>
      <c r="B35" s="172" t="str">
        <f>ChkList!B19</f>
        <v>W-15</v>
      </c>
      <c r="C35" s="300" t="str">
        <f>ChkList!C19</f>
        <v>사용자 개인키 사용 시 암호 입력</v>
      </c>
      <c r="D35" s="301"/>
      <c r="E35" s="302"/>
      <c r="F35" s="170" t="str">
        <f>ChkList!D19</f>
        <v>H</v>
      </c>
      <c r="G35" s="170">
        <f>ChkList!E19</f>
        <v>3</v>
      </c>
      <c r="H35" s="157" t="s">
        <v>88</v>
      </c>
      <c r="I35" s="152" t="s">
        <v>15</v>
      </c>
      <c r="J35" s="29" t="s">
        <v>88</v>
      </c>
      <c r="K35" s="29" t="str">
        <f t="shared" si="3"/>
        <v>Y</v>
      </c>
      <c r="L35" s="300"/>
      <c r="M35" s="301"/>
      <c r="N35" s="301"/>
      <c r="O35" s="301"/>
      <c r="P35" s="302"/>
      <c r="Q35" s="21"/>
      <c r="R35" s="32">
        <f>IF($H35="N/A",0,VLOOKUP($F35,'parm(hidden)'!$B$8:$C$10,2,FALSE))*1</f>
        <v>3</v>
      </c>
      <c r="S35" s="32">
        <f>IFERROR(VLOOKUP($F35,'parm(hidden)'!$B$8:$C$10,2,FALSE)*VLOOKUP(#REF!,'parm(hidden)'!$B$15:$C$19,2,FALSE),0)</f>
        <v>0</v>
      </c>
      <c r="T35" s="32">
        <f>IFERROR(VLOOKUP($F35,'parm(hidden)'!$B$8:$C$10,2,FALSE)*VLOOKUP($K35,$V$22:$W$27,2,FALSE),0)</f>
        <v>3</v>
      </c>
      <c r="U35" s="11">
        <f>IF($J35="N/A",0,VLOOKUP($F35,'parm(hidden)'!$B$8:$C$10,2,FALSE))*1</f>
        <v>3</v>
      </c>
      <c r="V35" s="10"/>
      <c r="W35" s="10"/>
      <c r="Y35" s="10"/>
    </row>
    <row r="36" spans="1:25" ht="12" customHeight="1">
      <c r="A36" s="170" t="str">
        <f>ChkList!A20</f>
        <v>서비스 관리</v>
      </c>
      <c r="B36" s="172" t="str">
        <f>ChkList!B20</f>
        <v>W-16</v>
      </c>
      <c r="C36" s="300" t="str">
        <f>ChkList!C20</f>
        <v>공유 권한 및 사용자 그룹 설정</v>
      </c>
      <c r="D36" s="301"/>
      <c r="E36" s="302"/>
      <c r="F36" s="170" t="str">
        <f>ChkList!D20</f>
        <v>H</v>
      </c>
      <c r="G36" s="170">
        <f>ChkList!E20</f>
        <v>3</v>
      </c>
      <c r="H36" s="154" t="s">
        <v>100</v>
      </c>
      <c r="I36" s="153" t="s">
        <v>62</v>
      </c>
      <c r="J36" s="29" t="s">
        <v>88</v>
      </c>
      <c r="K36" s="29" t="str">
        <f t="shared" si="3"/>
        <v>조치</v>
      </c>
      <c r="L36" s="300"/>
      <c r="M36" s="301"/>
      <c r="N36" s="301"/>
      <c r="O36" s="301"/>
      <c r="P36" s="302"/>
      <c r="Q36" s="21"/>
      <c r="R36" s="32">
        <f>IF($H36="N/A",0,VLOOKUP($F36,'parm(hidden)'!$B$8:$C$10,2,FALSE))*1</f>
        <v>3</v>
      </c>
      <c r="S36" s="32">
        <f>IFERROR(VLOOKUP($F36,'parm(hidden)'!$B$8:$C$10,2,FALSE)*VLOOKUP(#REF!,'parm(hidden)'!$B$15:$C$19,2,FALSE),0)</f>
        <v>0</v>
      </c>
      <c r="T36" s="32">
        <f>IFERROR(VLOOKUP($F36,'parm(hidden)'!$B$8:$C$10,2,FALSE)*VLOOKUP($K36,$V$22:$W$27,2,FALSE),0)</f>
        <v>3</v>
      </c>
      <c r="U36" s="11">
        <f>IF($J36="N/A",0,VLOOKUP($F36,'parm(hidden)'!$B$8:$C$10,2,FALSE))*1</f>
        <v>3</v>
      </c>
      <c r="V36" s="10"/>
      <c r="W36" s="10"/>
      <c r="Y36" s="10"/>
    </row>
    <row r="37" spans="1:25" ht="12" customHeight="1">
      <c r="A37" s="170" t="str">
        <f>ChkList!A21</f>
        <v>서비스 관리</v>
      </c>
      <c r="B37" s="172" t="str">
        <f>ChkList!B21</f>
        <v>W-17</v>
      </c>
      <c r="C37" s="300" t="str">
        <f>ChkList!C21</f>
        <v>하드디스크 기본 공유 제거</v>
      </c>
      <c r="D37" s="301"/>
      <c r="E37" s="302"/>
      <c r="F37" s="170" t="str">
        <f>ChkList!D21</f>
        <v>H</v>
      </c>
      <c r="G37" s="170">
        <f>ChkList!E21</f>
        <v>3</v>
      </c>
      <c r="H37" s="157" t="s">
        <v>88</v>
      </c>
      <c r="I37" s="152" t="s">
        <v>154</v>
      </c>
      <c r="J37" s="29" t="s">
        <v>88</v>
      </c>
      <c r="K37" s="29" t="str">
        <f t="shared" si="3"/>
        <v>Y</v>
      </c>
      <c r="L37" s="300"/>
      <c r="M37" s="301"/>
      <c r="N37" s="301"/>
      <c r="O37" s="301"/>
      <c r="P37" s="302"/>
      <c r="Q37" s="21"/>
      <c r="R37" s="32">
        <f>IF($H37="N/A",0,VLOOKUP($F37,'parm(hidden)'!$B$8:$C$10,2,FALSE))*1</f>
        <v>3</v>
      </c>
      <c r="S37" s="32">
        <f>IFERROR(VLOOKUP($F37,'parm(hidden)'!$B$8:$C$10,2,FALSE)*VLOOKUP(#REF!,'parm(hidden)'!$B$15:$C$19,2,FALSE),0)</f>
        <v>0</v>
      </c>
      <c r="T37" s="32">
        <f>IFERROR(VLOOKUP($F37,'parm(hidden)'!$B$8:$C$10,2,FALSE)*VLOOKUP($K37,$V$22:$W$27,2,FALSE),0)</f>
        <v>3</v>
      </c>
      <c r="U37" s="11">
        <f>IF($J37="N/A",0,VLOOKUP($F37,'parm(hidden)'!$B$8:$C$10,2,FALSE))*1</f>
        <v>3</v>
      </c>
      <c r="V37" s="10"/>
      <c r="W37" s="10"/>
      <c r="Y37" s="10"/>
    </row>
    <row r="38" spans="1:25" ht="12" customHeight="1">
      <c r="A38" s="170" t="str">
        <f>ChkList!A22</f>
        <v>서비스 관리</v>
      </c>
      <c r="B38" s="172" t="str">
        <f>ChkList!B22</f>
        <v>W-18</v>
      </c>
      <c r="C38" s="300" t="str">
        <f>ChkList!C22</f>
        <v>불필요한 서비스 제거</v>
      </c>
      <c r="D38" s="301"/>
      <c r="E38" s="302"/>
      <c r="F38" s="170" t="str">
        <f>ChkList!D22</f>
        <v>H</v>
      </c>
      <c r="G38" s="170">
        <f>ChkList!E22</f>
        <v>3</v>
      </c>
      <c r="H38" s="154" t="s">
        <v>100</v>
      </c>
      <c r="I38" s="153" t="s">
        <v>27</v>
      </c>
      <c r="J38" s="29" t="s">
        <v>88</v>
      </c>
      <c r="K38" s="29" t="str">
        <f t="shared" si="3"/>
        <v>조치</v>
      </c>
      <c r="L38" s="300"/>
      <c r="M38" s="301"/>
      <c r="N38" s="301"/>
      <c r="O38" s="301"/>
      <c r="P38" s="302"/>
      <c r="Q38" s="21"/>
      <c r="R38" s="32">
        <f>IF($H38="N/A",0,VLOOKUP($F38,'parm(hidden)'!$B$8:$C$10,2,FALSE))*1</f>
        <v>3</v>
      </c>
      <c r="S38" s="32">
        <f>IFERROR(VLOOKUP($F38,'parm(hidden)'!$B$8:$C$10,2,FALSE)*VLOOKUP(#REF!,'parm(hidden)'!$B$15:$C$19,2,FALSE),0)</f>
        <v>0</v>
      </c>
      <c r="T38" s="32">
        <f>IFERROR(VLOOKUP($F38,'parm(hidden)'!$B$8:$C$10,2,FALSE)*VLOOKUP($K38,$V$22:$W$27,2,FALSE),0)</f>
        <v>3</v>
      </c>
      <c r="U38" s="11">
        <f>IF($J38="N/A",0,VLOOKUP($F38,'parm(hidden)'!$B$8:$C$10,2,FALSE))*1</f>
        <v>3</v>
      </c>
      <c r="V38" s="10"/>
      <c r="W38" s="10"/>
      <c r="Y38" s="10"/>
    </row>
    <row r="39" spans="1:25" ht="12" customHeight="1">
      <c r="A39" s="170" t="str">
        <f>ChkList!A23</f>
        <v>서비스 관리</v>
      </c>
      <c r="B39" s="172" t="str">
        <f>ChkList!B23</f>
        <v>W-19</v>
      </c>
      <c r="C39" s="300" t="str">
        <f>ChkList!C23</f>
        <v>불필요한 IIS 서비스 구동 점검</v>
      </c>
      <c r="D39" s="301"/>
      <c r="E39" s="302"/>
      <c r="F39" s="170" t="str">
        <f>ChkList!D23</f>
        <v>H</v>
      </c>
      <c r="G39" s="170">
        <f>ChkList!E23</f>
        <v>3</v>
      </c>
      <c r="H39" s="154" t="s">
        <v>100</v>
      </c>
      <c r="I39" s="152" t="s">
        <v>61</v>
      </c>
      <c r="J39" s="29" t="s">
        <v>88</v>
      </c>
      <c r="K39" s="29" t="str">
        <f t="shared" si="3"/>
        <v>조치</v>
      </c>
      <c r="L39" s="300"/>
      <c r="M39" s="301"/>
      <c r="N39" s="301"/>
      <c r="O39" s="301"/>
      <c r="P39" s="302"/>
      <c r="Q39" s="21"/>
      <c r="R39" s="32">
        <f>IF($H39="N/A",0,VLOOKUP($F39,'parm(hidden)'!$B$8:$C$10,2,FALSE))*1</f>
        <v>3</v>
      </c>
      <c r="S39" s="32">
        <f>IFERROR(VLOOKUP($F39,'parm(hidden)'!$B$8:$C$10,2,FALSE)*VLOOKUP(#REF!,'parm(hidden)'!$B$15:$C$19,2,FALSE),0)</f>
        <v>0</v>
      </c>
      <c r="T39" s="32">
        <f>IFERROR(VLOOKUP($F39,'parm(hidden)'!$B$8:$C$10,2,FALSE)*VLOOKUP($K39,$V$22:$W$27,2,FALSE),0)</f>
        <v>3</v>
      </c>
      <c r="U39" s="11">
        <f>IF($J39="N/A",0,VLOOKUP($F39,'parm(hidden)'!$B$8:$C$10,2,FALSE))*1</f>
        <v>3</v>
      </c>
      <c r="V39" s="10"/>
      <c r="W39" s="10"/>
      <c r="Y39" s="10"/>
    </row>
    <row r="40" spans="1:25" ht="12" customHeight="1">
      <c r="A40" s="170" t="str">
        <f>ChkList!A24</f>
        <v>서비스 관리</v>
      </c>
      <c r="B40" s="172" t="str">
        <f>ChkList!B24</f>
        <v>W-20</v>
      </c>
      <c r="C40" s="300" t="str">
        <f>ChkList!C24</f>
        <v>NetBIOS 바인딩 서비스 구동 점검</v>
      </c>
      <c r="D40" s="301"/>
      <c r="E40" s="302"/>
      <c r="F40" s="170" t="str">
        <f>ChkList!D24</f>
        <v>H</v>
      </c>
      <c r="G40" s="170">
        <f>ChkList!E24</f>
        <v>3</v>
      </c>
      <c r="H40" s="154" t="s">
        <v>100</v>
      </c>
      <c r="I40" s="152" t="s">
        <v>159</v>
      </c>
      <c r="J40" s="29" t="s">
        <v>88</v>
      </c>
      <c r="K40" s="29" t="str">
        <f t="shared" si="3"/>
        <v>조치</v>
      </c>
      <c r="L40" s="300"/>
      <c r="M40" s="301"/>
      <c r="N40" s="301"/>
      <c r="O40" s="301"/>
      <c r="P40" s="302"/>
      <c r="Q40" s="21"/>
      <c r="R40" s="32">
        <f>IF($H40="N/A",0,VLOOKUP($F40,'parm(hidden)'!$B$8:$C$10,2,FALSE))*1</f>
        <v>3</v>
      </c>
      <c r="S40" s="32">
        <f>IFERROR(VLOOKUP($F40,'parm(hidden)'!$B$8:$C$10,2,FALSE)*VLOOKUP(#REF!,'parm(hidden)'!$B$15:$C$19,2,FALSE),0)</f>
        <v>0</v>
      </c>
      <c r="T40" s="32">
        <f>IFERROR(VLOOKUP($F40,'parm(hidden)'!$B$8:$C$10,2,FALSE)*VLOOKUP($K40,$V$22:$W$27,2,FALSE),0)</f>
        <v>3</v>
      </c>
      <c r="U40" s="11">
        <f>IF($J40="N/A",0,VLOOKUP($F40,'parm(hidden)'!$B$8:$C$10,2,FALSE))*1</f>
        <v>3</v>
      </c>
      <c r="V40" s="10"/>
      <c r="W40" s="10"/>
      <c r="Y40" s="10"/>
    </row>
    <row r="41" spans="1:25" ht="12" customHeight="1">
      <c r="A41" s="170" t="str">
        <f>ChkList!A25</f>
        <v>서비스 관리</v>
      </c>
      <c r="B41" s="172" t="str">
        <f>ChkList!B25</f>
        <v>W-21</v>
      </c>
      <c r="C41" s="300" t="str">
        <f>ChkList!C25</f>
        <v>암호화되지 않는 FTP 서비스 비활성화</v>
      </c>
      <c r="D41" s="301"/>
      <c r="E41" s="302"/>
      <c r="F41" s="170" t="str">
        <f>ChkList!D25</f>
        <v>H</v>
      </c>
      <c r="G41" s="170">
        <f>ChkList!E25</f>
        <v>3</v>
      </c>
      <c r="H41" s="154" t="s">
        <v>100</v>
      </c>
      <c r="I41" s="152" t="s">
        <v>162</v>
      </c>
      <c r="J41" s="29" t="s">
        <v>78</v>
      </c>
      <c r="K41" s="29" t="str">
        <f t="shared" si="3"/>
        <v>N/A</v>
      </c>
      <c r="L41" s="300"/>
      <c r="M41" s="301"/>
      <c r="N41" s="301"/>
      <c r="O41" s="301"/>
      <c r="P41" s="302"/>
      <c r="Q41" s="21"/>
      <c r="R41" s="32">
        <f>IF($H41="N/A",0,VLOOKUP($F41,'parm(hidden)'!$B$8:$C$10,2,FALSE))*1</f>
        <v>3</v>
      </c>
      <c r="S41" s="32">
        <f>IFERROR(VLOOKUP($F41,'parm(hidden)'!$B$8:$C$10,2,FALSE)*VLOOKUP(#REF!,'parm(hidden)'!$B$15:$C$19,2,FALSE),0)</f>
        <v>0</v>
      </c>
      <c r="T41" s="32">
        <f>IFERROR(VLOOKUP($F41,'parm(hidden)'!$B$8:$C$10,2,FALSE)*VLOOKUP($K41,$V$22:$W$27,2,FALSE),0)</f>
        <v>0</v>
      </c>
      <c r="U41" s="11">
        <f>IF($J41="N/A",0,VLOOKUP($F41,'parm(hidden)'!$B$8:$C$10,2,FALSE))*1</f>
        <v>0</v>
      </c>
      <c r="V41" s="10"/>
      <c r="W41" s="10"/>
      <c r="Y41" s="10"/>
    </row>
    <row r="42" spans="1:25" ht="12" customHeight="1">
      <c r="A42" s="170" t="str">
        <f>ChkList!A26</f>
        <v>서비스 관리</v>
      </c>
      <c r="B42" s="172" t="str">
        <f>ChkList!B26</f>
        <v>W-22</v>
      </c>
      <c r="C42" s="300" t="str">
        <f>ChkList!C26</f>
        <v>FTP 디렉토리 접근권한 설정</v>
      </c>
      <c r="D42" s="301"/>
      <c r="E42" s="302"/>
      <c r="F42" s="170" t="str">
        <f>ChkList!D26</f>
        <v>H</v>
      </c>
      <c r="G42" s="170">
        <f>ChkList!E26</f>
        <v>3</v>
      </c>
      <c r="H42" s="154" t="s">
        <v>100</v>
      </c>
      <c r="I42" s="153" t="s">
        <v>149</v>
      </c>
      <c r="J42" s="29" t="s">
        <v>88</v>
      </c>
      <c r="K42" s="29" t="str">
        <f t="shared" si="3"/>
        <v>조치</v>
      </c>
      <c r="L42" s="300"/>
      <c r="M42" s="301"/>
      <c r="N42" s="301"/>
      <c r="O42" s="301"/>
      <c r="P42" s="302"/>
      <c r="Q42" s="21"/>
      <c r="R42" s="32">
        <f>IF($H42="N/A",0,VLOOKUP($F42,'parm(hidden)'!$B$8:$C$10,2,FALSE))*1</f>
        <v>3</v>
      </c>
      <c r="S42" s="32">
        <f>IFERROR(VLOOKUP($F42,'parm(hidden)'!$B$8:$C$10,2,FALSE)*VLOOKUP(#REF!,'parm(hidden)'!$B$15:$C$19,2,FALSE),0)</f>
        <v>0</v>
      </c>
      <c r="T42" s="32">
        <f>IFERROR(VLOOKUP($F42,'parm(hidden)'!$B$8:$C$10,2,FALSE)*VLOOKUP($K42,$V$22:$W$27,2,FALSE),0)</f>
        <v>3</v>
      </c>
      <c r="U42" s="11">
        <f>IF($J42="N/A",0,VLOOKUP($F42,'parm(hidden)'!$B$8:$C$10,2,FALSE))*1</f>
        <v>3</v>
      </c>
      <c r="V42" s="10"/>
      <c r="W42" s="10"/>
      <c r="Y42" s="10"/>
    </row>
    <row r="43" spans="1:25" ht="12" customHeight="1">
      <c r="A43" s="170" t="str">
        <f>ChkList!A27</f>
        <v>서비스 관리</v>
      </c>
      <c r="B43" s="172" t="str">
        <f>ChkList!B27</f>
        <v>W-23</v>
      </c>
      <c r="C43" s="300" t="str">
        <f>ChkList!C27</f>
        <v>공유 서비스에 대한 익명 접근 제한 설정</v>
      </c>
      <c r="D43" s="301"/>
      <c r="E43" s="302"/>
      <c r="F43" s="170" t="str">
        <f>ChkList!D27</f>
        <v>H</v>
      </c>
      <c r="G43" s="170">
        <f>ChkList!E27</f>
        <v>3</v>
      </c>
      <c r="H43" s="154" t="s">
        <v>100</v>
      </c>
      <c r="I43" s="153" t="s">
        <v>149</v>
      </c>
      <c r="J43" s="29" t="s">
        <v>88</v>
      </c>
      <c r="K43" s="29" t="str">
        <f t="shared" si="3"/>
        <v>조치</v>
      </c>
      <c r="L43" s="300"/>
      <c r="M43" s="301"/>
      <c r="N43" s="301"/>
      <c r="O43" s="301"/>
      <c r="P43" s="302"/>
      <c r="Q43" s="21"/>
      <c r="R43" s="32">
        <f>IF($H43="N/A",0,VLOOKUP($F43,'parm(hidden)'!$B$8:$C$10,2,FALSE))*1</f>
        <v>3</v>
      </c>
      <c r="S43" s="32">
        <f>IFERROR(VLOOKUP($F43,'parm(hidden)'!$B$8:$C$10,2,FALSE)*VLOOKUP(#REF!,'parm(hidden)'!$B$15:$C$19,2,FALSE),0)</f>
        <v>0</v>
      </c>
      <c r="T43" s="32">
        <f>IFERROR(VLOOKUP($F43,'parm(hidden)'!$B$8:$C$10,2,FALSE)*VLOOKUP($K43,$V$22:$W$27,2,FALSE),0)</f>
        <v>3</v>
      </c>
      <c r="U43" s="11">
        <f>IF($J43="N/A",0,VLOOKUP($F43,'parm(hidden)'!$B$8:$C$10,2,FALSE))*1</f>
        <v>3</v>
      </c>
      <c r="V43" s="10"/>
      <c r="W43" s="10"/>
      <c r="Y43" s="10"/>
    </row>
    <row r="44" spans="1:25" ht="12" customHeight="1">
      <c r="A44" s="170" t="str">
        <f>ChkList!A28</f>
        <v>서비스 관리</v>
      </c>
      <c r="B44" s="172" t="str">
        <f>ChkList!B28</f>
        <v>W-24</v>
      </c>
      <c r="C44" s="300" t="str">
        <f>ChkList!C28</f>
        <v>FTP 접근 제어 설정</v>
      </c>
      <c r="D44" s="301"/>
      <c r="E44" s="302"/>
      <c r="F44" s="170" t="str">
        <f>ChkList!D28</f>
        <v>H</v>
      </c>
      <c r="G44" s="170">
        <f>ChkList!E28</f>
        <v>3</v>
      </c>
      <c r="H44" s="154" t="s">
        <v>100</v>
      </c>
      <c r="I44" s="153" t="s">
        <v>149</v>
      </c>
      <c r="J44" s="29" t="s">
        <v>88</v>
      </c>
      <c r="K44" s="29" t="str">
        <f t="shared" si="3"/>
        <v>조치</v>
      </c>
      <c r="L44" s="300"/>
      <c r="M44" s="301"/>
      <c r="N44" s="301"/>
      <c r="O44" s="301"/>
      <c r="P44" s="302"/>
      <c r="Q44" s="21"/>
      <c r="R44" s="32">
        <f>IF($H44="N/A",0,VLOOKUP($F44,'parm(hidden)'!$B$8:$C$10,2,FALSE))*1</f>
        <v>3</v>
      </c>
      <c r="S44" s="32">
        <f>IFERROR(VLOOKUP($F44,'parm(hidden)'!$B$8:$C$10,2,FALSE)*VLOOKUP(#REF!,'parm(hidden)'!$B$15:$C$19,2,FALSE),0)</f>
        <v>0</v>
      </c>
      <c r="T44" s="32">
        <f>IFERROR(VLOOKUP($F44,'parm(hidden)'!$B$8:$C$10,2,FALSE)*VLOOKUP($K44,$V$22:$W$27,2,FALSE),0)</f>
        <v>3</v>
      </c>
      <c r="U44" s="11">
        <f>IF($J44="N/A",0,VLOOKUP($F44,'parm(hidden)'!$B$8:$C$10,2,FALSE))*1</f>
        <v>3</v>
      </c>
      <c r="V44" s="10"/>
      <c r="W44" s="10"/>
      <c r="Y44" s="10"/>
    </row>
    <row r="45" spans="1:25" ht="12" customHeight="1">
      <c r="A45" s="170" t="str">
        <f>ChkList!A29</f>
        <v>서비스 관리</v>
      </c>
      <c r="B45" s="172" t="str">
        <f>ChkList!B29</f>
        <v>W-25</v>
      </c>
      <c r="C45" s="300" t="str">
        <f>ChkList!C29</f>
        <v>DNS Zone Transfer 설정</v>
      </c>
      <c r="D45" s="301"/>
      <c r="E45" s="302"/>
      <c r="F45" s="170" t="str">
        <f>ChkList!D29</f>
        <v>H</v>
      </c>
      <c r="G45" s="170">
        <f>ChkList!E29</f>
        <v>3</v>
      </c>
      <c r="H45" s="154" t="s">
        <v>100</v>
      </c>
      <c r="I45" s="153" t="s">
        <v>149</v>
      </c>
      <c r="J45" s="29" t="s">
        <v>88</v>
      </c>
      <c r="K45" s="29" t="str">
        <f t="shared" si="3"/>
        <v>조치</v>
      </c>
      <c r="L45" s="300"/>
      <c r="M45" s="301"/>
      <c r="N45" s="301"/>
      <c r="O45" s="301"/>
      <c r="P45" s="302"/>
      <c r="Q45" s="21"/>
      <c r="R45" s="32">
        <f>IF($H45="N/A",0,VLOOKUP($F45,'parm(hidden)'!$B$8:$C$10,2,FALSE))*1</f>
        <v>3</v>
      </c>
      <c r="S45" s="32">
        <f>IFERROR(VLOOKUP($F45,'parm(hidden)'!$B$8:$C$10,2,FALSE)*VLOOKUP(#REF!,'parm(hidden)'!$B$15:$C$19,2,FALSE),0)</f>
        <v>0</v>
      </c>
      <c r="T45" s="32">
        <f>IFERROR(VLOOKUP($F45,'parm(hidden)'!$B$8:$C$10,2,FALSE)*VLOOKUP($K45,$V$22:$W$27,2,FALSE),0)</f>
        <v>3</v>
      </c>
      <c r="U45" s="11">
        <f>IF($J45="N/A",0,VLOOKUP($F45,'parm(hidden)'!$B$8:$C$10,2,FALSE))*1</f>
        <v>3</v>
      </c>
      <c r="V45" s="10"/>
      <c r="W45" s="10"/>
      <c r="Y45" s="10"/>
    </row>
    <row r="46" spans="1:25" ht="12" customHeight="1">
      <c r="A46" s="170" t="str">
        <f>ChkList!A30</f>
        <v>서비스 관리</v>
      </c>
      <c r="B46" s="172" t="str">
        <f>ChkList!B30</f>
        <v>W-26</v>
      </c>
      <c r="C46" s="300" t="str">
        <f>ChkList!C30</f>
        <v>RDS(Remote Data Services)제거</v>
      </c>
      <c r="D46" s="301"/>
      <c r="E46" s="302"/>
      <c r="F46" s="170" t="str">
        <f>ChkList!D30</f>
        <v>H</v>
      </c>
      <c r="G46" s="170">
        <f>ChkList!E30</f>
        <v>3</v>
      </c>
      <c r="H46" s="154" t="s">
        <v>100</v>
      </c>
      <c r="I46" s="153" t="s">
        <v>149</v>
      </c>
      <c r="J46" s="29" t="s">
        <v>88</v>
      </c>
      <c r="K46" s="29" t="str">
        <f t="shared" si="3"/>
        <v>조치</v>
      </c>
      <c r="L46" s="300"/>
      <c r="M46" s="301"/>
      <c r="N46" s="301"/>
      <c r="O46" s="301"/>
      <c r="P46" s="302"/>
      <c r="Q46" s="21"/>
      <c r="R46" s="32">
        <f>IF($H46="N/A",0,VLOOKUP($F46,'parm(hidden)'!$B$8:$C$10,2,FALSE))*1</f>
        <v>3</v>
      </c>
      <c r="S46" s="32">
        <f>IFERROR(VLOOKUP($F46,'parm(hidden)'!$B$8:$C$10,2,FALSE)*VLOOKUP(#REF!,'parm(hidden)'!$B$15:$C$19,2,FALSE),0)</f>
        <v>0</v>
      </c>
      <c r="T46" s="32">
        <f>IFERROR(VLOOKUP($F46,'parm(hidden)'!$B$8:$C$10,2,FALSE)*VLOOKUP($K46,$V$22:$W$27,2,FALSE),0)</f>
        <v>3</v>
      </c>
      <c r="U46" s="11">
        <f>IF($J46="N/A",0,VLOOKUP($F46,'parm(hidden)'!$B$8:$C$10,2,FALSE))*1</f>
        <v>3</v>
      </c>
      <c r="V46" s="10"/>
      <c r="W46" s="10"/>
      <c r="Y46" s="10"/>
    </row>
    <row r="47" spans="1:25" ht="12" customHeight="1">
      <c r="A47" s="170" t="str">
        <f>ChkList!A31</f>
        <v>서비스 관리</v>
      </c>
      <c r="B47" s="172" t="str">
        <f>ChkList!B31</f>
        <v>W-27</v>
      </c>
      <c r="C47" s="300" t="str">
        <f>ChkList!C31</f>
        <v>최신 Windows OS Build 버전 적용</v>
      </c>
      <c r="D47" s="301"/>
      <c r="E47" s="302"/>
      <c r="F47" s="170" t="str">
        <f>ChkList!D31</f>
        <v>H</v>
      </c>
      <c r="G47" s="170">
        <f>ChkList!E31</f>
        <v>3</v>
      </c>
      <c r="H47" s="154" t="s">
        <v>100</v>
      </c>
      <c r="I47" s="153" t="s">
        <v>149</v>
      </c>
      <c r="J47" s="29" t="s">
        <v>88</v>
      </c>
      <c r="K47" s="29" t="str">
        <f t="shared" si="3"/>
        <v>조치</v>
      </c>
      <c r="L47" s="300"/>
      <c r="M47" s="301"/>
      <c r="N47" s="301"/>
      <c r="O47" s="301"/>
      <c r="P47" s="302"/>
      <c r="Q47" s="21"/>
      <c r="R47" s="32">
        <f>IF($H47="N/A",0,VLOOKUP($F47,'parm(hidden)'!$B$8:$C$10,2,FALSE))*1</f>
        <v>3</v>
      </c>
      <c r="S47" s="32">
        <f>IFERROR(VLOOKUP($F47,'parm(hidden)'!$B$8:$C$10,2,FALSE)*VLOOKUP(#REF!,'parm(hidden)'!$B$15:$C$19,2,FALSE),0)</f>
        <v>0</v>
      </c>
      <c r="T47" s="32">
        <f>IFERROR(VLOOKUP($F47,'parm(hidden)'!$B$8:$C$10,2,FALSE)*VLOOKUP($K47,$V$22:$W$27,2,FALSE),0)</f>
        <v>3</v>
      </c>
      <c r="U47" s="11">
        <f>IF($J47="N/A",0,VLOOKUP($F47,'parm(hidden)'!$B$8:$C$10,2,FALSE))*1</f>
        <v>3</v>
      </c>
      <c r="V47" s="10"/>
      <c r="W47" s="10"/>
      <c r="Y47" s="10"/>
    </row>
    <row r="48" spans="1:25" ht="12" customHeight="1">
      <c r="A48" s="170" t="str">
        <f>ChkList!A32</f>
        <v>서비스 관리</v>
      </c>
      <c r="B48" s="172" t="str">
        <f>ChkList!B32</f>
        <v>W-28</v>
      </c>
      <c r="C48" s="300" t="str">
        <f>ChkList!C32</f>
        <v>터미널 서비스 암호화 수준 설정</v>
      </c>
      <c r="D48" s="301"/>
      <c r="E48" s="302"/>
      <c r="F48" s="170" t="str">
        <f>ChkList!D32</f>
        <v>M</v>
      </c>
      <c r="G48" s="170">
        <f>ChkList!E32</f>
        <v>2</v>
      </c>
      <c r="H48" s="154" t="s">
        <v>100</v>
      </c>
      <c r="I48" s="153" t="s">
        <v>149</v>
      </c>
      <c r="J48" s="29" t="s">
        <v>88</v>
      </c>
      <c r="K48" s="29" t="str">
        <f t="shared" si="3"/>
        <v>조치</v>
      </c>
      <c r="L48" s="300"/>
      <c r="M48" s="301"/>
      <c r="N48" s="301"/>
      <c r="O48" s="301"/>
      <c r="P48" s="302"/>
      <c r="Q48" s="21"/>
      <c r="R48" s="32">
        <f>IF($H48="N/A",0,VLOOKUP($F48,'parm(hidden)'!$B$8:$C$10,2,FALSE))*1</f>
        <v>2</v>
      </c>
      <c r="S48" s="32">
        <f>IFERROR(VLOOKUP($F48,'parm(hidden)'!$B$8:$C$10,2,FALSE)*VLOOKUP(#REF!,'parm(hidden)'!$B$15:$C$19,2,FALSE),0)</f>
        <v>0</v>
      </c>
      <c r="T48" s="32">
        <f>IFERROR(VLOOKUP($F48,'parm(hidden)'!$B$8:$C$10,2,FALSE)*VLOOKUP($K48,$V$22:$W$27,2,FALSE),0)</f>
        <v>2</v>
      </c>
      <c r="U48" s="11">
        <f>IF($J48="N/A",0,VLOOKUP($F48,'parm(hidden)'!$B$8:$C$10,2,FALSE))*1</f>
        <v>2</v>
      </c>
      <c r="V48" s="10"/>
      <c r="W48" s="10"/>
      <c r="Y48" s="10"/>
    </row>
    <row r="49" spans="1:25" ht="12" customHeight="1">
      <c r="A49" s="170" t="str">
        <f>ChkList!A33</f>
        <v>서비스 관리</v>
      </c>
      <c r="B49" s="172" t="str">
        <f>ChkList!B33</f>
        <v>W-29</v>
      </c>
      <c r="C49" s="300" t="str">
        <f>ChkList!C33</f>
        <v>불필요한 SNMP 서비스 구동 점검</v>
      </c>
      <c r="D49" s="301"/>
      <c r="E49" s="302"/>
      <c r="F49" s="170" t="str">
        <f>ChkList!D33</f>
        <v>M</v>
      </c>
      <c r="G49" s="170">
        <f>ChkList!E33</f>
        <v>2</v>
      </c>
      <c r="H49" s="154" t="s">
        <v>100</v>
      </c>
      <c r="I49" s="153" t="s">
        <v>149</v>
      </c>
      <c r="J49" s="29" t="s">
        <v>88</v>
      </c>
      <c r="K49" s="29" t="str">
        <f t="shared" si="3"/>
        <v>조치</v>
      </c>
      <c r="L49" s="300"/>
      <c r="M49" s="301"/>
      <c r="N49" s="301"/>
      <c r="O49" s="301"/>
      <c r="P49" s="302"/>
      <c r="Q49" s="21"/>
      <c r="R49" s="32">
        <f>IF($H49="N/A",0,VLOOKUP($F49,'parm(hidden)'!$B$8:$C$10,2,FALSE))*1</f>
        <v>2</v>
      </c>
      <c r="S49" s="32">
        <f>IFERROR(VLOOKUP($F49,'parm(hidden)'!$B$8:$C$10,2,FALSE)*VLOOKUP(#REF!,'parm(hidden)'!$B$15:$C$19,2,FALSE),0)</f>
        <v>0</v>
      </c>
      <c r="T49" s="32">
        <f>IFERROR(VLOOKUP($F49,'parm(hidden)'!$B$8:$C$10,2,FALSE)*VLOOKUP($K49,$V$22:$W$27,2,FALSE),0)</f>
        <v>2</v>
      </c>
      <c r="U49" s="11">
        <f>IF($J49="N/A",0,VLOOKUP($F49,'parm(hidden)'!$B$8:$C$10,2,FALSE))*1</f>
        <v>2</v>
      </c>
      <c r="V49" s="10"/>
      <c r="W49" s="10"/>
      <c r="Y49" s="10"/>
    </row>
    <row r="50" spans="1:25" ht="12" customHeight="1">
      <c r="A50" s="170" t="str">
        <f>ChkList!A34</f>
        <v>서비스 관리</v>
      </c>
      <c r="B50" s="172" t="str">
        <f>ChkList!B34</f>
        <v>W-30</v>
      </c>
      <c r="C50" s="300" t="str">
        <f>ChkList!C34</f>
        <v>SNMP Community String 복잡성 설정</v>
      </c>
      <c r="D50" s="301"/>
      <c r="E50" s="302"/>
      <c r="F50" s="170" t="str">
        <f>ChkList!D34</f>
        <v>M</v>
      </c>
      <c r="G50" s="170">
        <f>ChkList!E34</f>
        <v>2</v>
      </c>
      <c r="H50" s="154" t="s">
        <v>100</v>
      </c>
      <c r="I50" s="153" t="s">
        <v>149</v>
      </c>
      <c r="J50" s="29" t="s">
        <v>88</v>
      </c>
      <c r="K50" s="29" t="str">
        <f t="shared" si="3"/>
        <v>조치</v>
      </c>
      <c r="L50" s="300"/>
      <c r="M50" s="301"/>
      <c r="N50" s="301"/>
      <c r="O50" s="301"/>
      <c r="P50" s="302"/>
      <c r="Q50" s="21"/>
      <c r="R50" s="32">
        <f>IF($H50="N/A",0,VLOOKUP($F50,'parm(hidden)'!$B$8:$C$10,2,FALSE))*1</f>
        <v>2</v>
      </c>
      <c r="S50" s="32">
        <f>IFERROR(VLOOKUP($F50,'parm(hidden)'!$B$8:$C$10,2,FALSE)*VLOOKUP(#REF!,'parm(hidden)'!$B$15:$C$19,2,FALSE),0)</f>
        <v>0</v>
      </c>
      <c r="T50" s="32">
        <f>IFERROR(VLOOKUP($F50,'parm(hidden)'!$B$8:$C$10,2,FALSE)*VLOOKUP($K50,$V$22:$W$27,2,FALSE),0)</f>
        <v>2</v>
      </c>
      <c r="U50" s="11">
        <f>IF($J50="N/A",0,VLOOKUP($F50,'parm(hidden)'!$B$8:$C$10,2,FALSE))*1</f>
        <v>2</v>
      </c>
      <c r="V50" s="10"/>
      <c r="W50" s="10"/>
      <c r="Y50" s="10"/>
    </row>
    <row r="51" spans="1:25" ht="12" customHeight="1">
      <c r="A51" s="170" t="str">
        <f>ChkList!A35</f>
        <v>서비스 관리</v>
      </c>
      <c r="B51" s="172" t="str">
        <f>ChkList!B35</f>
        <v>W-31</v>
      </c>
      <c r="C51" s="300" t="str">
        <f>ChkList!C35</f>
        <v>SNMP Access Control 설정</v>
      </c>
      <c r="D51" s="301"/>
      <c r="E51" s="302"/>
      <c r="F51" s="170" t="str">
        <f>ChkList!D35</f>
        <v>M</v>
      </c>
      <c r="G51" s="170">
        <f>ChkList!E35</f>
        <v>2</v>
      </c>
      <c r="H51" s="154" t="s">
        <v>100</v>
      </c>
      <c r="I51" s="153" t="s">
        <v>149</v>
      </c>
      <c r="J51" s="29" t="s">
        <v>88</v>
      </c>
      <c r="K51" s="29" t="str">
        <f t="shared" si="3"/>
        <v>조치</v>
      </c>
      <c r="L51" s="300"/>
      <c r="M51" s="301"/>
      <c r="N51" s="301"/>
      <c r="O51" s="301"/>
      <c r="P51" s="302"/>
      <c r="Q51" s="21"/>
      <c r="R51" s="32">
        <f>IF($H51="N/A",0,VLOOKUP($F51,'parm(hidden)'!$B$8:$C$10,2,FALSE))*1</f>
        <v>2</v>
      </c>
      <c r="S51" s="32">
        <f>IFERROR(VLOOKUP($F51,'parm(hidden)'!$B$8:$C$10,2,FALSE)*VLOOKUP(#REF!,'parm(hidden)'!$B$15:$C$19,2,FALSE),0)</f>
        <v>0</v>
      </c>
      <c r="T51" s="32">
        <f>IFERROR(VLOOKUP($F51,'parm(hidden)'!$B$8:$C$10,2,FALSE)*VLOOKUP($K51,$V$22:$W$27,2,FALSE),0)</f>
        <v>2</v>
      </c>
      <c r="U51" s="11">
        <f>IF($J51="N/A",0,VLOOKUP($F51,'parm(hidden)'!$B$8:$C$10,2,FALSE))*1</f>
        <v>2</v>
      </c>
      <c r="V51" s="10"/>
      <c r="W51" s="10"/>
      <c r="Y51" s="10"/>
    </row>
    <row r="52" spans="1:25" ht="12" customHeight="1">
      <c r="A52" s="170" t="str">
        <f>ChkList!A36</f>
        <v>서비스 관리</v>
      </c>
      <c r="B52" s="172" t="str">
        <f>ChkList!B36</f>
        <v>W-32</v>
      </c>
      <c r="C52" s="300" t="str">
        <f>ChkList!C36</f>
        <v>DNS 서비스 구동 점검</v>
      </c>
      <c r="D52" s="301"/>
      <c r="E52" s="302"/>
      <c r="F52" s="170" t="str">
        <f>ChkList!D36</f>
        <v>M</v>
      </c>
      <c r="G52" s="170">
        <f>ChkList!E36</f>
        <v>2</v>
      </c>
      <c r="H52" s="154" t="s">
        <v>100</v>
      </c>
      <c r="I52" s="153" t="s">
        <v>149</v>
      </c>
      <c r="J52" s="29" t="s">
        <v>88</v>
      </c>
      <c r="K52" s="29" t="str">
        <f t="shared" si="3"/>
        <v>조치</v>
      </c>
      <c r="L52" s="300"/>
      <c r="M52" s="301"/>
      <c r="N52" s="301"/>
      <c r="O52" s="301"/>
      <c r="P52" s="302"/>
      <c r="Q52" s="21"/>
      <c r="R52" s="32">
        <f>IF($H52="N/A",0,VLOOKUP($F52,'parm(hidden)'!$B$8:$C$10,2,FALSE))*1</f>
        <v>2</v>
      </c>
      <c r="S52" s="32">
        <f>IFERROR(VLOOKUP($F52,'parm(hidden)'!$B$8:$C$10,2,FALSE)*VLOOKUP(#REF!,'parm(hidden)'!$B$15:$C$19,2,FALSE),0)</f>
        <v>0</v>
      </c>
      <c r="T52" s="32">
        <f>IFERROR(VLOOKUP($F52,'parm(hidden)'!$B$8:$C$10,2,FALSE)*VLOOKUP($K52,$V$22:$W$27,2,FALSE),0)</f>
        <v>2</v>
      </c>
      <c r="U52" s="11">
        <f>IF($J52="N/A",0,VLOOKUP($F52,'parm(hidden)'!$B$8:$C$10,2,FALSE))*1</f>
        <v>2</v>
      </c>
      <c r="V52" s="10"/>
      <c r="W52" s="10"/>
      <c r="Y52" s="10"/>
    </row>
    <row r="53" spans="1:25" ht="12" customHeight="1">
      <c r="A53" s="170" t="str">
        <f>ChkList!A37</f>
        <v>서비스 관리</v>
      </c>
      <c r="B53" s="172" t="str">
        <f>ChkList!B37</f>
        <v>W-33</v>
      </c>
      <c r="C53" s="300" t="str">
        <f>ChkList!C37</f>
        <v>HTTP/FTP/SMTP 배너 차단</v>
      </c>
      <c r="D53" s="301"/>
      <c r="E53" s="302"/>
      <c r="F53" s="170" t="str">
        <f>ChkList!D37</f>
        <v>L</v>
      </c>
      <c r="G53" s="170">
        <f>ChkList!E37</f>
        <v>1</v>
      </c>
      <c r="H53" s="154" t="s">
        <v>100</v>
      </c>
      <c r="I53" s="153" t="s">
        <v>149</v>
      </c>
      <c r="J53" s="29" t="s">
        <v>88</v>
      </c>
      <c r="K53" s="29" t="str">
        <f t="shared" si="3"/>
        <v>조치</v>
      </c>
      <c r="L53" s="300"/>
      <c r="M53" s="301"/>
      <c r="N53" s="301"/>
      <c r="O53" s="301"/>
      <c r="P53" s="302"/>
      <c r="Q53" s="21"/>
      <c r="R53" s="32">
        <f>IF($H53="N/A",0,VLOOKUP($F53,'parm(hidden)'!$B$8:$C$10,2,FALSE))*1</f>
        <v>1</v>
      </c>
      <c r="S53" s="32">
        <f>IFERROR(VLOOKUP($F53,'parm(hidden)'!$B$8:$C$10,2,FALSE)*VLOOKUP(#REF!,'parm(hidden)'!$B$15:$C$19,2,FALSE),0)</f>
        <v>0</v>
      </c>
      <c r="T53" s="32">
        <f>IFERROR(VLOOKUP($F53,'parm(hidden)'!$B$8:$C$10,2,FALSE)*VLOOKUP($K53,$V$22:$W$27,2,FALSE),0)</f>
        <v>1</v>
      </c>
      <c r="U53" s="11">
        <f>IF($J53="N/A",0,VLOOKUP($F53,'parm(hidden)'!$B$8:$C$10,2,FALSE))*1</f>
        <v>1</v>
      </c>
      <c r="V53" s="10"/>
      <c r="W53" s="10"/>
      <c r="Y53" s="10"/>
    </row>
    <row r="54" spans="1:25" ht="12" customHeight="1">
      <c r="A54" s="170" t="str">
        <f>ChkList!A38</f>
        <v>서비스 관리</v>
      </c>
      <c r="B54" s="172" t="str">
        <f>ChkList!B38</f>
        <v>W-34</v>
      </c>
      <c r="C54" s="300" t="str">
        <f>ChkList!C38</f>
        <v>Telnet 서비스 비활성화</v>
      </c>
      <c r="D54" s="301"/>
      <c r="E54" s="302"/>
      <c r="F54" s="170" t="str">
        <f>ChkList!D38</f>
        <v>M</v>
      </c>
      <c r="G54" s="170">
        <f>ChkList!E38</f>
        <v>2</v>
      </c>
      <c r="H54" s="154" t="s">
        <v>100</v>
      </c>
      <c r="I54" s="153" t="s">
        <v>149</v>
      </c>
      <c r="J54" s="29" t="s">
        <v>88</v>
      </c>
      <c r="K54" s="29" t="str">
        <f t="shared" si="3"/>
        <v>조치</v>
      </c>
      <c r="L54" s="300"/>
      <c r="M54" s="301"/>
      <c r="N54" s="301"/>
      <c r="O54" s="301"/>
      <c r="P54" s="302"/>
      <c r="Q54" s="21"/>
      <c r="R54" s="32">
        <f>IF($H54="N/A",0,VLOOKUP($F54,'parm(hidden)'!$B$8:$C$10,2,FALSE))*1</f>
        <v>2</v>
      </c>
      <c r="S54" s="32">
        <f>IFERROR(VLOOKUP($F54,'parm(hidden)'!$B$8:$C$10,2,FALSE)*VLOOKUP(#REF!,'parm(hidden)'!$B$15:$C$19,2,FALSE),0)</f>
        <v>0</v>
      </c>
      <c r="T54" s="32">
        <f>IFERROR(VLOOKUP($F54,'parm(hidden)'!$B$8:$C$10,2,FALSE)*VLOOKUP($K54,$V$22:$W$27,2,FALSE),0)</f>
        <v>2</v>
      </c>
      <c r="U54" s="11">
        <f>IF($J54="N/A",0,VLOOKUP($F54,'parm(hidden)'!$B$8:$C$10,2,FALSE))*1</f>
        <v>2</v>
      </c>
      <c r="V54" s="10"/>
      <c r="W54" s="10"/>
      <c r="Y54" s="10"/>
    </row>
    <row r="55" spans="1:25" ht="12" customHeight="1">
      <c r="A55" s="170" t="str">
        <f>ChkList!A39</f>
        <v>서비스 관리</v>
      </c>
      <c r="B55" s="172" t="str">
        <f>ChkList!B39</f>
        <v>W-35</v>
      </c>
      <c r="C55" s="300" t="str">
        <f>ChkList!C39</f>
        <v>불필요한 ODBC/OLE-DB 데이터 소스와 드라이브 제거</v>
      </c>
      <c r="D55" s="301"/>
      <c r="E55" s="302"/>
      <c r="F55" s="170" t="str">
        <f>ChkList!D39</f>
        <v>M</v>
      </c>
      <c r="G55" s="170">
        <f>ChkList!E39</f>
        <v>2</v>
      </c>
      <c r="H55" s="154" t="s">
        <v>100</v>
      </c>
      <c r="I55" s="153" t="s">
        <v>149</v>
      </c>
      <c r="J55" s="29" t="s">
        <v>88</v>
      </c>
      <c r="K55" s="29" t="str">
        <f t="shared" si="3"/>
        <v>조치</v>
      </c>
      <c r="L55" s="300"/>
      <c r="M55" s="301"/>
      <c r="N55" s="301"/>
      <c r="O55" s="301"/>
      <c r="P55" s="302"/>
      <c r="Q55" s="21"/>
      <c r="R55" s="32">
        <f>IF($H55="N/A",0,VLOOKUP($F55,'parm(hidden)'!$B$8:$C$10,2,FALSE))*1</f>
        <v>2</v>
      </c>
      <c r="S55" s="32">
        <f>IFERROR(VLOOKUP($F55,'parm(hidden)'!$B$8:$C$10,2,FALSE)*VLOOKUP(#REF!,'parm(hidden)'!$B$15:$C$19,2,FALSE),0)</f>
        <v>0</v>
      </c>
      <c r="T55" s="32">
        <f>IFERROR(VLOOKUP($F55,'parm(hidden)'!$B$8:$C$10,2,FALSE)*VLOOKUP($K55,$V$22:$W$27,2,FALSE),0)</f>
        <v>2</v>
      </c>
      <c r="U55" s="11">
        <f>IF($J55="N/A",0,VLOOKUP($F55,'parm(hidden)'!$B$8:$C$10,2,FALSE))*1</f>
        <v>2</v>
      </c>
      <c r="V55" s="10"/>
      <c r="W55" s="10"/>
      <c r="Y55" s="10"/>
    </row>
    <row r="56" spans="1:25" ht="12" customHeight="1">
      <c r="A56" s="170" t="str">
        <f>ChkList!A40</f>
        <v>서비스 관리</v>
      </c>
      <c r="B56" s="172" t="str">
        <f>ChkList!B40</f>
        <v>W-36</v>
      </c>
      <c r="C56" s="300" t="str">
        <f>ChkList!C40</f>
        <v>원격터미널 접속 타임아웃 설정</v>
      </c>
      <c r="D56" s="301"/>
      <c r="E56" s="302"/>
      <c r="F56" s="170" t="str">
        <f>ChkList!D40</f>
        <v>M</v>
      </c>
      <c r="G56" s="170">
        <f>ChkList!E40</f>
        <v>2</v>
      </c>
      <c r="H56" s="154" t="s">
        <v>100</v>
      </c>
      <c r="I56" s="152" t="s">
        <v>155</v>
      </c>
      <c r="J56" s="29" t="s">
        <v>88</v>
      </c>
      <c r="K56" s="29" t="str">
        <f t="shared" si="3"/>
        <v>조치</v>
      </c>
      <c r="L56" s="300"/>
      <c r="M56" s="301"/>
      <c r="N56" s="301"/>
      <c r="O56" s="301"/>
      <c r="P56" s="302"/>
      <c r="Q56" s="21"/>
      <c r="R56" s="32">
        <f>IF($H56="N/A",0,VLOOKUP($F56,'parm(hidden)'!$B$8:$C$10,2,FALSE))*1</f>
        <v>2</v>
      </c>
      <c r="S56" s="32">
        <f>IFERROR(VLOOKUP($F56,'parm(hidden)'!$B$8:$C$10,2,FALSE)*VLOOKUP(#REF!,'parm(hidden)'!$B$15:$C$19,2,FALSE),0)</f>
        <v>0</v>
      </c>
      <c r="T56" s="32">
        <f>IFERROR(VLOOKUP($F56,'parm(hidden)'!$B$8:$C$10,2,FALSE)*VLOOKUP($K56,$V$22:$W$27,2,FALSE),0)</f>
        <v>2</v>
      </c>
      <c r="U56" s="11">
        <f>IF($J56="N/A",0,VLOOKUP($F56,'parm(hidden)'!$B$8:$C$10,2,FALSE))*1</f>
        <v>2</v>
      </c>
      <c r="V56" s="10"/>
      <c r="W56" s="10"/>
      <c r="Y56" s="10"/>
    </row>
    <row r="57" spans="1:25" ht="12" customHeight="1">
      <c r="A57" s="170" t="str">
        <f>ChkList!A41</f>
        <v>서비스 관리</v>
      </c>
      <c r="B57" s="172" t="str">
        <f>ChkList!B41</f>
        <v>W-37</v>
      </c>
      <c r="C57" s="300" t="str">
        <f>ChkList!C41</f>
        <v>예약된 작업에 의심스러운 명령이 등록되어 있는지 점검</v>
      </c>
      <c r="D57" s="301"/>
      <c r="E57" s="302"/>
      <c r="F57" s="170" t="str">
        <f>ChkList!D41</f>
        <v>M</v>
      </c>
      <c r="G57" s="170">
        <f>ChkList!E41</f>
        <v>2</v>
      </c>
      <c r="H57" s="154" t="s">
        <v>100</v>
      </c>
      <c r="I57" s="153" t="s">
        <v>149</v>
      </c>
      <c r="J57" s="29" t="s">
        <v>88</v>
      </c>
      <c r="K57" s="29" t="str">
        <f t="shared" si="3"/>
        <v>조치</v>
      </c>
      <c r="L57" s="300"/>
      <c r="M57" s="301"/>
      <c r="N57" s="301"/>
      <c r="O57" s="301"/>
      <c r="P57" s="302"/>
      <c r="Q57" s="21"/>
      <c r="R57" s="32">
        <f>IF($H57="N/A",0,VLOOKUP($F57,'parm(hidden)'!$B$8:$C$10,2,FALSE))*1</f>
        <v>2</v>
      </c>
      <c r="S57" s="32">
        <f>IFERROR(VLOOKUP($F57,'parm(hidden)'!$B$8:$C$10,2,FALSE)*VLOOKUP(#REF!,'parm(hidden)'!$B$15:$C$19,2,FALSE),0)</f>
        <v>0</v>
      </c>
      <c r="T57" s="32">
        <f>IFERROR(VLOOKUP($F57,'parm(hidden)'!$B$8:$C$10,2,FALSE)*VLOOKUP($K57,$V$22:$W$27,2,FALSE),0)</f>
        <v>2</v>
      </c>
      <c r="U57" s="11">
        <f>IF($J57="N/A",0,VLOOKUP($F57,'parm(hidden)'!$B$8:$C$10,2,FALSE))*1</f>
        <v>2</v>
      </c>
      <c r="V57" s="10"/>
      <c r="W57" s="10"/>
      <c r="Y57" s="10"/>
    </row>
    <row r="58" spans="1:25" ht="12" customHeight="1">
      <c r="A58" s="170" t="str">
        <f>ChkList!A42</f>
        <v>패치 관리</v>
      </c>
      <c r="B58" s="172" t="str">
        <f>ChkList!B42</f>
        <v>W-38</v>
      </c>
      <c r="C58" s="300" t="str">
        <f>ChkList!C42</f>
        <v>주기적 보안 패치 및 벤더 권고사항 적용</v>
      </c>
      <c r="D58" s="301"/>
      <c r="E58" s="302"/>
      <c r="F58" s="170" t="str">
        <f>ChkList!D42</f>
        <v>H</v>
      </c>
      <c r="G58" s="170">
        <f>ChkList!E42</f>
        <v>3</v>
      </c>
      <c r="H58" s="154" t="s">
        <v>100</v>
      </c>
      <c r="I58" s="153" t="s">
        <v>149</v>
      </c>
      <c r="J58" s="29" t="s">
        <v>78</v>
      </c>
      <c r="K58" s="29" t="str">
        <f t="shared" si="3"/>
        <v>N/A</v>
      </c>
      <c r="L58" s="300"/>
      <c r="M58" s="301"/>
      <c r="N58" s="301"/>
      <c r="O58" s="301"/>
      <c r="P58" s="302"/>
      <c r="Q58" s="21"/>
      <c r="R58" s="32">
        <f>IF($H58="N/A",0,VLOOKUP($F58,'parm(hidden)'!$B$8:$C$10,2,FALSE))*1</f>
        <v>3</v>
      </c>
      <c r="S58" s="32">
        <f>IFERROR(VLOOKUP($F58,'parm(hidden)'!$B$8:$C$10,2,FALSE)*VLOOKUP(#REF!,'parm(hidden)'!$B$15:$C$19,2,FALSE),0)</f>
        <v>0</v>
      </c>
      <c r="T58" s="32">
        <f>IFERROR(VLOOKUP($F58,'parm(hidden)'!$B$8:$C$10,2,FALSE)*VLOOKUP($K58,$V$22:$W$27,2,FALSE),0)</f>
        <v>0</v>
      </c>
      <c r="U58" s="11">
        <f>IF($J58="N/A",0,VLOOKUP($F58,'parm(hidden)'!$B$8:$C$10,2,FALSE))*1</f>
        <v>0</v>
      </c>
      <c r="V58" s="10"/>
      <c r="W58" s="10"/>
      <c r="Y58" s="10"/>
    </row>
    <row r="59" spans="1:25" ht="12" customHeight="1">
      <c r="A59" s="170" t="str">
        <f>ChkList!A43</f>
        <v>패치 관리</v>
      </c>
      <c r="B59" s="172" t="str">
        <f>ChkList!B43</f>
        <v>W-39</v>
      </c>
      <c r="C59" s="300" t="str">
        <f>ChkList!C43</f>
        <v>백신 프로그램 업데이트</v>
      </c>
      <c r="D59" s="301"/>
      <c r="E59" s="302"/>
      <c r="F59" s="170" t="str">
        <f>ChkList!D43</f>
        <v>H</v>
      </c>
      <c r="G59" s="170">
        <f>ChkList!E43</f>
        <v>3</v>
      </c>
      <c r="H59" s="154" t="s">
        <v>100</v>
      </c>
      <c r="I59" s="153" t="s">
        <v>149</v>
      </c>
      <c r="J59" s="29" t="s">
        <v>78</v>
      </c>
      <c r="K59" s="29" t="str">
        <f t="shared" si="3"/>
        <v>N/A</v>
      </c>
      <c r="L59" s="300"/>
      <c r="M59" s="301"/>
      <c r="N59" s="301"/>
      <c r="O59" s="301"/>
      <c r="P59" s="302"/>
      <c r="Q59" s="21" t="str">
        <f>IF($J59="",IF(OR(#REF!="N",#REF!="인터뷰"),ChkList!#REF!,""),IF(OR($J59="N",$J59="인터뷰"),ChkList!#REF!,""))</f>
        <v/>
      </c>
      <c r="R59" s="32">
        <f>IF($H59="N/A",0,VLOOKUP($F59,'parm(hidden)'!$B$8:$C$10,2,FALSE))*1</f>
        <v>3</v>
      </c>
      <c r="S59" s="32">
        <f>IFERROR(VLOOKUP($F59,'parm(hidden)'!$B$8:$C$10,2,FALSE)*VLOOKUP(#REF!,'parm(hidden)'!$B$15:$C$19,2,FALSE),0)</f>
        <v>0</v>
      </c>
      <c r="T59" s="32">
        <f>IFERROR(VLOOKUP($F59,'parm(hidden)'!$B$8:$C$10,2,FALSE)*VLOOKUP($K59,$V$22:$W$27,2,FALSE),0)</f>
        <v>0</v>
      </c>
      <c r="U59" s="11">
        <f>IF($J59="N/A",0,VLOOKUP($F59,'parm(hidden)'!$B$8:$C$10,2,FALSE))*1</f>
        <v>0</v>
      </c>
      <c r="V59" s="10"/>
      <c r="W59" s="10"/>
      <c r="Y59" s="10"/>
    </row>
    <row r="60" spans="1:25" ht="12" customHeight="1">
      <c r="A60" s="170" t="str">
        <f>ChkList!A44</f>
        <v>로그 관리</v>
      </c>
      <c r="B60" s="172" t="str">
        <f>ChkList!B44</f>
        <v>W-40</v>
      </c>
      <c r="C60" s="300" t="str">
        <f>ChkList!C44</f>
        <v>정책에 따른 시스템 로깅 설정</v>
      </c>
      <c r="D60" s="301"/>
      <c r="E60" s="302"/>
      <c r="F60" s="170" t="str">
        <f>ChkList!D44</f>
        <v>M</v>
      </c>
      <c r="G60" s="170">
        <f>ChkList!E44</f>
        <v>2</v>
      </c>
      <c r="H60" s="154" t="s">
        <v>100</v>
      </c>
      <c r="I60" s="153" t="s">
        <v>149</v>
      </c>
      <c r="J60" s="29" t="s">
        <v>78</v>
      </c>
      <c r="K60" s="29" t="str">
        <f t="shared" si="3"/>
        <v>N/A</v>
      </c>
      <c r="L60" s="300"/>
      <c r="M60" s="301"/>
      <c r="N60" s="301"/>
      <c r="O60" s="301"/>
      <c r="P60" s="302"/>
      <c r="Q60" s="21" t="str">
        <f>IF($J60="",IF(OR(#REF!="N",#REF!="인터뷰"),ChkList!#REF!,""),IF(OR($J60="N",$J60="인터뷰"),ChkList!#REF!,""))</f>
        <v/>
      </c>
      <c r="R60" s="32">
        <f>IF($H60="N/A",0,VLOOKUP($F60,'parm(hidden)'!$B$8:$C$10,2,FALSE))*1</f>
        <v>2</v>
      </c>
      <c r="S60" s="32">
        <f>IFERROR(VLOOKUP($F60,'parm(hidden)'!$B$8:$C$10,2,FALSE)*VLOOKUP(#REF!,'parm(hidden)'!$B$15:$C$19,2,FALSE),0)</f>
        <v>0</v>
      </c>
      <c r="T60" s="32">
        <f>IFERROR(VLOOKUP($F60,'parm(hidden)'!$B$8:$C$10,2,FALSE)*VLOOKUP($K60,$V$22:$W$27,2,FALSE),0)</f>
        <v>0</v>
      </c>
      <c r="U60" s="11">
        <f>IF($J60="N/A",0,VLOOKUP($F60,'parm(hidden)'!$B$8:$C$10,2,FALSE))*1</f>
        <v>0</v>
      </c>
      <c r="V60" s="10"/>
      <c r="W60" s="10"/>
      <c r="Y60" s="10"/>
    </row>
    <row r="61" spans="1:25" ht="12" customHeight="1">
      <c r="A61" s="170" t="str">
        <f>ChkList!A45</f>
        <v>로그 관리</v>
      </c>
      <c r="B61" s="172" t="str">
        <f>ChkList!B45</f>
        <v>W-41</v>
      </c>
      <c r="C61" s="300" t="str">
        <f>ChkList!C45</f>
        <v>NTP 및 시각 동기화 설정</v>
      </c>
      <c r="D61" s="301"/>
      <c r="E61" s="302"/>
      <c r="F61" s="170" t="str">
        <f>ChkList!D45</f>
        <v>M</v>
      </c>
      <c r="G61" s="170">
        <f>ChkList!E45</f>
        <v>2</v>
      </c>
      <c r="H61" s="154" t="s">
        <v>100</v>
      </c>
      <c r="I61" s="153" t="s">
        <v>149</v>
      </c>
      <c r="J61" s="29" t="s">
        <v>78</v>
      </c>
      <c r="K61" s="29" t="str">
        <f t="shared" si="3"/>
        <v>N/A</v>
      </c>
      <c r="L61" s="300"/>
      <c r="M61" s="301"/>
      <c r="N61" s="301"/>
      <c r="O61" s="301"/>
      <c r="P61" s="302"/>
      <c r="Q61" s="21" t="str">
        <f>IF($J61="",IF(OR(#REF!="N",#REF!="인터뷰"),ChkList!#REF!,""),IF(OR($J61="N",$J61="인터뷰"),ChkList!#REF!,""))</f>
        <v/>
      </c>
      <c r="R61" s="32">
        <f>IF($H61="N/A",0,VLOOKUP($F61,'parm(hidden)'!$B$8:$C$10,2,FALSE))*1</f>
        <v>2</v>
      </c>
      <c r="S61" s="32">
        <f>IFERROR(VLOOKUP($F61,'parm(hidden)'!$B$8:$C$10,2,FALSE)*VLOOKUP(#REF!,'parm(hidden)'!$B$15:$C$19,2,FALSE),0)</f>
        <v>0</v>
      </c>
      <c r="T61" s="32">
        <f>IFERROR(VLOOKUP($F61,'parm(hidden)'!$B$8:$C$10,2,FALSE)*VLOOKUP($K61,$V$22:$W$27,2,FALSE),0)</f>
        <v>0</v>
      </c>
      <c r="U61" s="11">
        <f>IF($J61="N/A",0,VLOOKUP($F61,'parm(hidden)'!$B$8:$C$10,2,FALSE))*1</f>
        <v>0</v>
      </c>
      <c r="Y61" s="10"/>
    </row>
    <row r="62" spans="1:25" ht="12" customHeight="1">
      <c r="A62" s="170" t="str">
        <f>ChkList!A46</f>
        <v>로그 관리</v>
      </c>
      <c r="B62" s="172" t="str">
        <f>ChkList!B46</f>
        <v>W-42</v>
      </c>
      <c r="C62" s="300" t="str">
        <f>ChkList!C46</f>
        <v>이벤트 로그 관리 설정</v>
      </c>
      <c r="D62" s="301"/>
      <c r="E62" s="302"/>
      <c r="F62" s="170" t="str">
        <f>ChkList!D46</f>
        <v>L</v>
      </c>
      <c r="G62" s="170">
        <f>ChkList!E46</f>
        <v>1</v>
      </c>
      <c r="H62" s="154" t="s">
        <v>100</v>
      </c>
      <c r="I62" s="152" t="s">
        <v>29</v>
      </c>
      <c r="J62" s="29" t="s">
        <v>78</v>
      </c>
      <c r="K62" s="29" t="str">
        <f t="shared" si="3"/>
        <v>N/A</v>
      </c>
      <c r="L62" s="300"/>
      <c r="M62" s="301"/>
      <c r="N62" s="301"/>
      <c r="O62" s="301"/>
      <c r="P62" s="302"/>
      <c r="Q62" s="21" t="str">
        <f>IF($J62="",IF(OR(#REF!="N",#REF!="인터뷰"),ChkList!#REF!,""),IF(OR($J62="N",$J62="인터뷰"),ChkList!#REF!,""))</f>
        <v/>
      </c>
      <c r="R62" s="32">
        <f>IF($H62="N/A",0,VLOOKUP($F62,'parm(hidden)'!$B$8:$C$10,2,FALSE))*1</f>
        <v>1</v>
      </c>
      <c r="S62" s="32">
        <f>IFERROR(VLOOKUP($F62,'parm(hidden)'!$B$8:$C$10,2,FALSE)*VLOOKUP(H62,'parm(hidden)'!$B$15:$C$19,2,FALSE),0)</f>
        <v>0</v>
      </c>
      <c r="T62" s="32">
        <f>IFERROR(VLOOKUP($F62,'parm(hidden)'!$B$8:$C$10,2,FALSE)*VLOOKUP($K62,$V$22:$W$27,2,FALSE),0)</f>
        <v>0</v>
      </c>
      <c r="U62" s="11">
        <f>IF($J62="N/A",0,VLOOKUP($F62,'parm(hidden)'!$B$8:$C$10,2,FALSE))*1</f>
        <v>0</v>
      </c>
      <c r="Y62" s="10"/>
    </row>
    <row r="63" spans="1:25" ht="12" customHeight="1">
      <c r="A63" s="170" t="str">
        <f>ChkList!A47</f>
        <v>로그 관리</v>
      </c>
      <c r="B63" s="172" t="str">
        <f>ChkList!B47</f>
        <v>W-43</v>
      </c>
      <c r="C63" s="300" t="str">
        <f>ChkList!C47</f>
        <v>이벤트 로그 파일 접근 통제 설정</v>
      </c>
      <c r="D63" s="301"/>
      <c r="E63" s="302"/>
      <c r="F63" s="170" t="str">
        <f>ChkList!D47</f>
        <v>M</v>
      </c>
      <c r="G63" s="170">
        <f>ChkList!E47</f>
        <v>2</v>
      </c>
      <c r="H63" s="154" t="s">
        <v>100</v>
      </c>
      <c r="I63" s="152" t="s">
        <v>26</v>
      </c>
      <c r="J63" s="29" t="s">
        <v>78</v>
      </c>
      <c r="K63" s="29" t="str">
        <f t="shared" si="3"/>
        <v>N/A</v>
      </c>
      <c r="L63" s="300"/>
      <c r="M63" s="301"/>
      <c r="N63" s="301"/>
      <c r="O63" s="301"/>
      <c r="P63" s="302"/>
      <c r="Q63" s="21" t="str">
        <f>IF($J63="",IF(OR(#REF!="N",#REF!="인터뷰"),ChkList!#REF!,""),IF(OR($J63="N",$J63="인터뷰"),ChkList!#REF!,""))</f>
        <v/>
      </c>
      <c r="R63" s="32">
        <f>IF($H63="N/A",0,VLOOKUP($F63,'parm(hidden)'!$B$8:$C$10,2,FALSE))*1</f>
        <v>2</v>
      </c>
      <c r="S63" s="32">
        <f>IFERROR(VLOOKUP($F63,'parm(hidden)'!$B$8:$C$10,2,FALSE)*VLOOKUP(H63,'parm(hidden)'!$B$15:$C$19,2,FALSE),0)</f>
        <v>0</v>
      </c>
      <c r="T63" s="32">
        <f>IFERROR(VLOOKUP($F63,'parm(hidden)'!$B$8:$C$10,2,FALSE)*VLOOKUP($K63,$V$22:$W$27,2,FALSE),0)</f>
        <v>0</v>
      </c>
      <c r="U63" s="11">
        <f>IF($J63="N/A",0,VLOOKUP($F63,'parm(hidden)'!$B$8:$C$10,2,FALSE))*1</f>
        <v>0</v>
      </c>
      <c r="Y63" s="10"/>
    </row>
    <row r="64" spans="1:25" ht="12" customHeight="1">
      <c r="A64" s="170" t="str">
        <f>ChkList!A48</f>
        <v>보안 관리</v>
      </c>
      <c r="B64" s="172" t="str">
        <f>ChkList!B48</f>
        <v>W-44</v>
      </c>
      <c r="C64" s="300" t="str">
        <f>ChkList!C48</f>
        <v>원격으로 액세스할 수 있는 레지스트리 경로</v>
      </c>
      <c r="D64" s="301"/>
      <c r="E64" s="302"/>
      <c r="F64" s="170" t="str">
        <f>ChkList!D48</f>
        <v>H</v>
      </c>
      <c r="G64" s="170">
        <f>ChkList!E48</f>
        <v>3</v>
      </c>
      <c r="H64" s="154" t="s">
        <v>100</v>
      </c>
      <c r="I64" s="153" t="s">
        <v>3</v>
      </c>
      <c r="J64" s="29" t="s">
        <v>78</v>
      </c>
      <c r="K64" s="29" t="str">
        <f t="shared" si="3"/>
        <v>N/A</v>
      </c>
      <c r="L64" s="300"/>
      <c r="M64" s="301"/>
      <c r="N64" s="301"/>
      <c r="O64" s="301"/>
      <c r="P64" s="302"/>
      <c r="Q64" s="21" t="str">
        <f>IF($J64="",IF(OR(#REF!="N",#REF!="인터뷰"),ChkList!#REF!,""),IF(OR($J64="N",$J64="인터뷰"),ChkList!#REF!,""))</f>
        <v/>
      </c>
      <c r="R64" s="32">
        <f>IF($H64="N/A",0,VLOOKUP($F64,'parm(hidden)'!$B$8:$C$10,2,FALSE))*1</f>
        <v>3</v>
      </c>
      <c r="S64" s="32">
        <f>IFERROR(VLOOKUP($F64,'parm(hidden)'!$B$8:$C$10,2,FALSE)*VLOOKUP(H64,'parm(hidden)'!$B$15:$C$19,2,FALSE),0)</f>
        <v>0</v>
      </c>
      <c r="T64" s="32">
        <f>IFERROR(VLOOKUP($F64,'parm(hidden)'!$B$8:$C$10,2,FALSE)*VLOOKUP($K64,$V$22:$W$27,2,FALSE),0)</f>
        <v>0</v>
      </c>
      <c r="U64" s="11">
        <f>IF($J64="N/A",0,VLOOKUP($F64,'parm(hidden)'!$B$8:$C$10,2,FALSE))*1</f>
        <v>0</v>
      </c>
      <c r="Y64" s="10"/>
    </row>
    <row r="65" spans="1:25" ht="12" customHeight="1">
      <c r="A65" s="170" t="str">
        <f>ChkList!A49</f>
        <v>보안 관리</v>
      </c>
      <c r="B65" s="172" t="str">
        <f>ChkList!B49</f>
        <v>W-45</v>
      </c>
      <c r="C65" s="300" t="str">
        <f>ChkList!C49</f>
        <v>백신 프로그램 설치</v>
      </c>
      <c r="D65" s="301"/>
      <c r="E65" s="302"/>
      <c r="F65" s="170" t="str">
        <f>ChkList!D49</f>
        <v>H</v>
      </c>
      <c r="G65" s="170">
        <f>ChkList!E49</f>
        <v>3</v>
      </c>
      <c r="H65" s="154" t="s">
        <v>100</v>
      </c>
      <c r="I65" s="153" t="s">
        <v>149</v>
      </c>
      <c r="J65" s="29" t="s">
        <v>78</v>
      </c>
      <c r="K65" s="29" t="str">
        <f t="shared" si="3"/>
        <v>N/A</v>
      </c>
      <c r="L65" s="300"/>
      <c r="M65" s="301"/>
      <c r="N65" s="301"/>
      <c r="O65" s="301"/>
      <c r="P65" s="302"/>
      <c r="Q65" s="21" t="str">
        <f>IF($J65="",IF(OR(#REF!="N",#REF!="인터뷰"),ChkList!#REF!,""),IF(OR($J65="N",$J65="인터뷰"),ChkList!#REF!,""))</f>
        <v/>
      </c>
      <c r="R65" s="32">
        <f>IF($H65="N/A",0,VLOOKUP($F65,'parm(hidden)'!$B$8:$C$10,2,FALSE))*1</f>
        <v>3</v>
      </c>
      <c r="S65" s="32">
        <f>IFERROR(VLOOKUP($F65,'parm(hidden)'!$B$8:$C$10,2,FALSE)*VLOOKUP(H65,'parm(hidden)'!$B$15:$C$19,2,FALSE),0)</f>
        <v>0</v>
      </c>
      <c r="T65" s="32">
        <f>IFERROR(VLOOKUP($F65,'parm(hidden)'!$B$8:$C$10,2,FALSE)*VLOOKUP($K65,$V$22:$W$27,2,FALSE),0)</f>
        <v>0</v>
      </c>
      <c r="U65" s="11">
        <f>IF($J65="N/A",0,VLOOKUP($F65,'parm(hidden)'!$B$8:$C$10,2,FALSE))*1</f>
        <v>0</v>
      </c>
      <c r="Y65" s="10"/>
    </row>
    <row r="66" spans="1:25" ht="12" customHeight="1">
      <c r="A66" s="170" t="str">
        <f>ChkList!A50</f>
        <v>보안 관리</v>
      </c>
      <c r="B66" s="172" t="str">
        <f>ChkList!B50</f>
        <v>W-46</v>
      </c>
      <c r="C66" s="300" t="str">
        <f>ChkList!C50</f>
        <v>SAM 파일 접근 통제 설정</v>
      </c>
      <c r="D66" s="301"/>
      <c r="E66" s="302"/>
      <c r="F66" s="170" t="str">
        <f>ChkList!D50</f>
        <v>H</v>
      </c>
      <c r="G66" s="170">
        <f>ChkList!E50</f>
        <v>3</v>
      </c>
      <c r="H66" s="154" t="s">
        <v>100</v>
      </c>
      <c r="I66" s="153" t="s">
        <v>175</v>
      </c>
      <c r="J66" s="29" t="s">
        <v>88</v>
      </c>
      <c r="K66" s="29" t="str">
        <f t="shared" si="3"/>
        <v>조치</v>
      </c>
      <c r="L66" s="300"/>
      <c r="M66" s="301"/>
      <c r="N66" s="301"/>
      <c r="O66" s="301"/>
      <c r="P66" s="302"/>
      <c r="Q66" s="21" t="str">
        <f>IF($J66="",IF(OR(#REF!="N",#REF!="인터뷰"),ChkList!#REF!,""),IF(OR($J66="N",$J66="인터뷰"),ChkList!#REF!,""))</f>
        <v/>
      </c>
      <c r="R66" s="32">
        <f>IF($H66="N/A",0,VLOOKUP($F66,'parm(hidden)'!$B$8:$C$10,2,FALSE))*1</f>
        <v>3</v>
      </c>
      <c r="S66" s="32">
        <f>IFERROR(VLOOKUP($F66,'parm(hidden)'!$B$8:$C$10,2,FALSE)*VLOOKUP(H66,'parm(hidden)'!$B$15:$C$19,2,FALSE),0)</f>
        <v>0</v>
      </c>
      <c r="T66" s="32">
        <f>IFERROR(VLOOKUP($F66,'parm(hidden)'!$B$8:$C$10,2,FALSE)*VLOOKUP($K66,$V$22:$W$27,2,FALSE),0)</f>
        <v>3</v>
      </c>
      <c r="U66" s="11">
        <f>IF($J66="N/A",0,VLOOKUP($F66,'parm(hidden)'!$B$8:$C$10,2,FALSE))*1</f>
        <v>3</v>
      </c>
      <c r="Y66" s="10"/>
    </row>
    <row r="67" spans="1:25" ht="12" customHeight="1">
      <c r="A67" s="170" t="str">
        <f>ChkList!A51</f>
        <v>보안 관리</v>
      </c>
      <c r="B67" s="172" t="str">
        <f>ChkList!B51</f>
        <v>W-47</v>
      </c>
      <c r="C67" s="300" t="str">
        <f>ChkList!C51</f>
        <v>화면 보호기 설정</v>
      </c>
      <c r="D67" s="301"/>
      <c r="E67" s="302"/>
      <c r="F67" s="170" t="str">
        <f>ChkList!D51</f>
        <v>L</v>
      </c>
      <c r="G67" s="170">
        <f>ChkList!E51</f>
        <v>1</v>
      </c>
      <c r="H67" s="29" t="s">
        <v>88</v>
      </c>
      <c r="I67" s="153" t="s">
        <v>25</v>
      </c>
      <c r="J67" s="29" t="s">
        <v>88</v>
      </c>
      <c r="K67" s="29" t="str">
        <f t="shared" si="3"/>
        <v>Y</v>
      </c>
      <c r="L67" s="300"/>
      <c r="M67" s="301"/>
      <c r="N67" s="301"/>
      <c r="O67" s="301"/>
      <c r="P67" s="302"/>
      <c r="Q67" s="21" t="str">
        <f>IF($J67="",IF(OR(#REF!="N",#REF!="인터뷰"),ChkList!#REF!,""),IF(OR($J67="N",$J67="인터뷰"),ChkList!#REF!,""))</f>
        <v/>
      </c>
      <c r="R67" s="32">
        <f>IF($H67="N/A",0,VLOOKUP($F67,'parm(hidden)'!$B$8:$C$10,2,FALSE))*1</f>
        <v>1</v>
      </c>
      <c r="S67" s="32">
        <f>IFERROR(VLOOKUP($F67,'parm(hidden)'!$B$8:$C$10,2,FALSE)*VLOOKUP(H67,'parm(hidden)'!$B$15:$C$19,2,FALSE),0)</f>
        <v>1</v>
      </c>
      <c r="T67" s="32">
        <f>IFERROR(VLOOKUP($F67,'parm(hidden)'!$B$8:$C$10,2,FALSE)*VLOOKUP($K67,$V$22:$W$27,2,FALSE),0)</f>
        <v>1</v>
      </c>
      <c r="U67" s="11">
        <f>IF($J67="N/A",0,VLOOKUP($F67,'parm(hidden)'!$B$8:$C$10,2,FALSE))*1</f>
        <v>1</v>
      </c>
      <c r="Y67" s="10"/>
    </row>
    <row r="68" spans="1:25" ht="12" customHeight="1">
      <c r="A68" s="170" t="str">
        <f>ChkList!A52</f>
        <v>보안 관리</v>
      </c>
      <c r="B68" s="172" t="str">
        <f>ChkList!B52</f>
        <v>W-48</v>
      </c>
      <c r="C68" s="300" t="str">
        <f>ChkList!C52</f>
        <v>로그온하지 않고 시스템 종료 허용</v>
      </c>
      <c r="D68" s="301"/>
      <c r="E68" s="302"/>
      <c r="F68" s="170" t="str">
        <f>ChkList!D52</f>
        <v>H</v>
      </c>
      <c r="G68" s="170">
        <f>ChkList!E52</f>
        <v>3</v>
      </c>
      <c r="H68" s="154" t="s">
        <v>100</v>
      </c>
      <c r="I68" s="153" t="s">
        <v>175</v>
      </c>
      <c r="J68" s="29" t="s">
        <v>88</v>
      </c>
      <c r="K68" s="29" t="str">
        <f t="shared" si="3"/>
        <v>조치</v>
      </c>
      <c r="L68" s="300"/>
      <c r="M68" s="301"/>
      <c r="N68" s="301"/>
      <c r="O68" s="301"/>
      <c r="P68" s="302"/>
      <c r="Q68" s="21" t="str">
        <f>IF($J68="",IF(OR(#REF!="N",#REF!="인터뷰"),ChkList!#REF!,""),IF(OR($J68="N",$J68="인터뷰"),ChkList!#REF!,""))</f>
        <v/>
      </c>
      <c r="R68" s="32">
        <f>IF($H68="N/A",0,VLOOKUP($F68,'parm(hidden)'!$B$8:$C$10,2,FALSE))*1</f>
        <v>3</v>
      </c>
      <c r="S68" s="32">
        <f>IFERROR(VLOOKUP($F68,'parm(hidden)'!$B$8:$C$10,2,FALSE)*VLOOKUP(H68,'parm(hidden)'!$B$15:$C$19,2,FALSE),0)</f>
        <v>0</v>
      </c>
      <c r="T68" s="32">
        <f>IFERROR(VLOOKUP($F68,'parm(hidden)'!$B$8:$C$10,2,FALSE)*VLOOKUP($K68,$V$22:$W$27,2,FALSE),0)</f>
        <v>3</v>
      </c>
      <c r="U68" s="11">
        <f>IF($J68="N/A",0,VLOOKUP($F68,'parm(hidden)'!$B$8:$C$10,2,FALSE))*1</f>
        <v>3</v>
      </c>
      <c r="Y68" s="10"/>
    </row>
    <row r="69" spans="1:25" ht="12" customHeight="1">
      <c r="A69" s="170" t="str">
        <f>ChkList!A53</f>
        <v>보안 관리</v>
      </c>
      <c r="B69" s="172" t="str">
        <f>ChkList!B53</f>
        <v>W-49</v>
      </c>
      <c r="C69" s="300" t="str">
        <f>ChkList!C53</f>
        <v>원격 시스템에서 강제로 시스템 종료</v>
      </c>
      <c r="D69" s="301"/>
      <c r="E69" s="302"/>
      <c r="F69" s="170" t="str">
        <f>ChkList!D53</f>
        <v>H</v>
      </c>
      <c r="G69" s="170">
        <f>ChkList!E53</f>
        <v>3</v>
      </c>
      <c r="H69" s="154" t="s">
        <v>100</v>
      </c>
      <c r="I69" s="153" t="s">
        <v>149</v>
      </c>
      <c r="J69" s="29" t="s">
        <v>88</v>
      </c>
      <c r="K69" s="29" t="str">
        <f t="shared" si="3"/>
        <v>조치</v>
      </c>
      <c r="L69" s="300"/>
      <c r="M69" s="301"/>
      <c r="N69" s="301"/>
      <c r="O69" s="301"/>
      <c r="P69" s="302"/>
      <c r="Q69" s="21" t="str">
        <f>IF($J69="",IF(OR(#REF!="N",#REF!="인터뷰"),ChkList!#REF!,""),IF(OR($J69="N",$J69="인터뷰"),ChkList!#REF!,""))</f>
        <v/>
      </c>
      <c r="R69" s="32">
        <f>IF($H69="N/A",0,VLOOKUP($F69,'parm(hidden)'!$B$8:$C$10,2,FALSE))*1</f>
        <v>3</v>
      </c>
      <c r="S69" s="32">
        <f>IFERROR(VLOOKUP($F69,'parm(hidden)'!$B$8:$C$10,2,FALSE)*VLOOKUP(H69,'parm(hidden)'!$B$15:$C$19,2,FALSE),0)</f>
        <v>0</v>
      </c>
      <c r="T69" s="32">
        <f>IFERROR(VLOOKUP($F69,'parm(hidden)'!$B$8:$C$10,2,FALSE)*VLOOKUP($K69,$V$22:$W$27,2,FALSE),0)</f>
        <v>3</v>
      </c>
      <c r="U69" s="11">
        <f>IF($J69="N/A",0,VLOOKUP($F69,'parm(hidden)'!$B$8:$C$10,2,FALSE))*1</f>
        <v>3</v>
      </c>
      <c r="Y69" s="10"/>
    </row>
    <row r="70" spans="1:25" ht="12" customHeight="1">
      <c r="A70" s="170" t="str">
        <f>ChkList!A54</f>
        <v>보안 관리</v>
      </c>
      <c r="B70" s="172" t="str">
        <f>ChkList!B54</f>
        <v>W-50</v>
      </c>
      <c r="C70" s="300" t="str">
        <f>ChkList!C54</f>
        <v>보안 감사를 로그 할 수 없는 경우 즉시 시스템 종료</v>
      </c>
      <c r="D70" s="301"/>
      <c r="E70" s="302"/>
      <c r="F70" s="170" t="str">
        <f>ChkList!D54</f>
        <v>H</v>
      </c>
      <c r="G70" s="170">
        <f>ChkList!E54</f>
        <v>3</v>
      </c>
      <c r="H70" s="154" t="s">
        <v>100</v>
      </c>
      <c r="I70" s="153" t="s">
        <v>151</v>
      </c>
      <c r="J70" s="29" t="s">
        <v>88</v>
      </c>
      <c r="K70" s="29" t="str">
        <f t="shared" si="3"/>
        <v>조치</v>
      </c>
      <c r="L70" s="300"/>
      <c r="M70" s="301"/>
      <c r="N70" s="301"/>
      <c r="O70" s="301"/>
      <c r="P70" s="302"/>
      <c r="Q70" s="21" t="str">
        <f>IF($J70="",IF(OR(#REF!="N",#REF!="인터뷰"),ChkList!#REF!,""),IF(OR($J70="N",$J70="인터뷰"),ChkList!#REF!,""))</f>
        <v/>
      </c>
      <c r="R70" s="32">
        <f>IF($H70="N/A",0,VLOOKUP($F70,'parm(hidden)'!$B$8:$C$10,2,FALSE))*1</f>
        <v>3</v>
      </c>
      <c r="S70" s="32">
        <f>IFERROR(VLOOKUP($F70,'parm(hidden)'!$B$8:$C$10,2,FALSE)*VLOOKUP(H70,'parm(hidden)'!$B$15:$C$19,2,FALSE),0)</f>
        <v>0</v>
      </c>
      <c r="T70" s="32">
        <f>IFERROR(VLOOKUP($F70,'parm(hidden)'!$B$8:$C$10,2,FALSE)*VLOOKUP($K70,$V$22:$W$27,2,FALSE),0)</f>
        <v>3</v>
      </c>
      <c r="U70" s="11">
        <f>IF($J70="N/A",0,VLOOKUP($F70,'parm(hidden)'!$B$8:$C$10,2,FALSE))*1</f>
        <v>3</v>
      </c>
      <c r="Y70" s="10"/>
    </row>
    <row r="71" spans="1:25" ht="12" customHeight="1">
      <c r="A71" s="170" t="str">
        <f>ChkList!A55</f>
        <v>보안 관리</v>
      </c>
      <c r="B71" s="172" t="str">
        <f>ChkList!B55</f>
        <v>W-51</v>
      </c>
      <c r="C71" s="300" t="str">
        <f>ChkList!C55</f>
        <v>SAM 계정과 공유의 익명 열거 허용 안 함</v>
      </c>
      <c r="D71" s="301"/>
      <c r="E71" s="302"/>
      <c r="F71" s="170" t="str">
        <f>ChkList!D55</f>
        <v>H</v>
      </c>
      <c r="G71" s="170">
        <f>ChkList!E55</f>
        <v>3</v>
      </c>
      <c r="H71" s="154" t="s">
        <v>100</v>
      </c>
      <c r="I71" s="153" t="s">
        <v>2</v>
      </c>
      <c r="J71" s="29" t="s">
        <v>88</v>
      </c>
      <c r="K71" s="29" t="str">
        <f t="shared" si="3"/>
        <v>조치</v>
      </c>
      <c r="L71" s="300"/>
      <c r="M71" s="301"/>
      <c r="N71" s="301"/>
      <c r="O71" s="301"/>
      <c r="P71" s="302"/>
      <c r="Q71" s="21" t="str">
        <f>IF($J71="",IF(OR(#REF!="N",#REF!="인터뷰"),ChkList!#REF!,""),IF(OR($J71="N",$J71="인터뷰"),ChkList!#REF!,""))</f>
        <v/>
      </c>
      <c r="R71" s="32">
        <f>IF($H71="N/A",0,VLOOKUP($F71,'parm(hidden)'!$B$8:$C$10,2,FALSE))*1</f>
        <v>3</v>
      </c>
      <c r="S71" s="32">
        <f>IFERROR(VLOOKUP($F71,'parm(hidden)'!$B$8:$C$10,2,FALSE)*VLOOKUP(H71,'parm(hidden)'!$B$15:$C$19,2,FALSE),0)</f>
        <v>0</v>
      </c>
      <c r="T71" s="32">
        <f>IFERROR(VLOOKUP($F71,'parm(hidden)'!$B$8:$C$10,2,FALSE)*VLOOKUP($K71,$V$22:$W$27,2,FALSE),0)</f>
        <v>3</v>
      </c>
      <c r="U71" s="11">
        <f>IF($J71="N/A",0,VLOOKUP($F71,'parm(hidden)'!$B$8:$C$10,2,FALSE))*1</f>
        <v>3</v>
      </c>
      <c r="Y71" s="10"/>
    </row>
    <row r="72" spans="1:25" ht="12" customHeight="1">
      <c r="A72" s="170" t="str">
        <f>ChkList!A56</f>
        <v>보안 관리</v>
      </c>
      <c r="B72" s="172" t="str">
        <f>ChkList!B56</f>
        <v>W-52</v>
      </c>
      <c r="C72" s="300" t="str">
        <f>ChkList!C56</f>
        <v>Autologon 기능 제어</v>
      </c>
      <c r="D72" s="301"/>
      <c r="E72" s="302"/>
      <c r="F72" s="170" t="str">
        <f>ChkList!D56</f>
        <v>H</v>
      </c>
      <c r="G72" s="170">
        <f>ChkList!E56</f>
        <v>3</v>
      </c>
      <c r="H72" s="29" t="s">
        <v>88</v>
      </c>
      <c r="I72" s="153" t="s">
        <v>147</v>
      </c>
      <c r="J72" s="29" t="s">
        <v>88</v>
      </c>
      <c r="K72" s="29" t="str">
        <f t="shared" si="3"/>
        <v>Y</v>
      </c>
      <c r="L72" s="300"/>
      <c r="M72" s="301"/>
      <c r="N72" s="301"/>
      <c r="O72" s="301"/>
      <c r="P72" s="302"/>
      <c r="Q72" s="21" t="str">
        <f>IF($J72="",IF(OR(#REF!="N",#REF!="인터뷰"),ChkList!#REF!,""),IF(OR($J72="N",$J72="인터뷰"),ChkList!#REF!,""))</f>
        <v/>
      </c>
      <c r="R72" s="32">
        <f>IF($H72="N/A",0,VLOOKUP($F72,'parm(hidden)'!$B$8:$C$10,2,FALSE))*1</f>
        <v>3</v>
      </c>
      <c r="S72" s="32">
        <f>IFERROR(VLOOKUP($F72,'parm(hidden)'!$B$8:$C$10,2,FALSE)*VLOOKUP(H72,'parm(hidden)'!$B$15:$C$19,2,FALSE),0)</f>
        <v>3</v>
      </c>
      <c r="T72" s="32">
        <f>IFERROR(VLOOKUP($F72,'parm(hidden)'!$B$8:$C$10,2,FALSE)*VLOOKUP($K72,$V$22:$W$27,2,FALSE),0)</f>
        <v>3</v>
      </c>
      <c r="U72" s="11">
        <f>IF($J72="N/A",0,VLOOKUP($F72,'parm(hidden)'!$B$8:$C$10,2,FALSE))*1</f>
        <v>3</v>
      </c>
      <c r="Y72" s="10"/>
    </row>
    <row r="73" spans="1:25" ht="12" customHeight="1">
      <c r="A73" s="170" t="str">
        <f>ChkList!A57</f>
        <v>보안 관리</v>
      </c>
      <c r="B73" s="172" t="str">
        <f>ChkList!B57</f>
        <v>W-53</v>
      </c>
      <c r="C73" s="300" t="str">
        <f>ChkList!C57</f>
        <v>이동식 미디어 포맷 및 꺼내기 허용</v>
      </c>
      <c r="D73" s="301"/>
      <c r="E73" s="302"/>
      <c r="F73" s="170" t="str">
        <f>ChkList!D57</f>
        <v>H</v>
      </c>
      <c r="G73" s="170">
        <f>ChkList!E57</f>
        <v>3</v>
      </c>
      <c r="H73" s="155" t="s">
        <v>100</v>
      </c>
      <c r="I73" s="152" t="s">
        <v>24</v>
      </c>
      <c r="J73" s="29" t="s">
        <v>88</v>
      </c>
      <c r="K73" s="29" t="str">
        <f t="shared" si="3"/>
        <v>조치</v>
      </c>
      <c r="L73" s="300"/>
      <c r="M73" s="301"/>
      <c r="N73" s="301"/>
      <c r="O73" s="301"/>
      <c r="P73" s="302"/>
      <c r="Q73" s="21" t="str">
        <f>IF($J73="",IF(OR(#REF!="N",#REF!="인터뷰"),ChkList!#REF!,""),IF(OR($J73="N",$J73="인터뷰"),ChkList!#REF!,""))</f>
        <v/>
      </c>
      <c r="R73" s="32">
        <f>IF($H73="N/A",0,VLOOKUP($F73,'parm(hidden)'!$B$8:$C$10,2,FALSE))*1</f>
        <v>3</v>
      </c>
      <c r="S73" s="32">
        <f>IFERROR(VLOOKUP($F73,'parm(hidden)'!$B$8:$C$10,2,FALSE)*VLOOKUP(H73,'parm(hidden)'!$B$15:$C$19,2,FALSE),0)</f>
        <v>0</v>
      </c>
      <c r="T73" s="32">
        <f>IFERROR(VLOOKUP($F73,'parm(hidden)'!$B$8:$C$10,2,FALSE)*VLOOKUP($K73,$V$22:$W$27,2,FALSE),0)</f>
        <v>3</v>
      </c>
      <c r="U73" s="11">
        <f>IF($J73="N/A",0,VLOOKUP($F73,'parm(hidden)'!$B$8:$C$10,2,FALSE))*1</f>
        <v>3</v>
      </c>
      <c r="Y73" s="10"/>
    </row>
    <row r="74" spans="1:25" ht="12" customHeight="1">
      <c r="A74" s="170" t="str">
        <f>ChkList!A58</f>
        <v>보안 관리</v>
      </c>
      <c r="B74" s="172" t="str">
        <f>ChkList!B58</f>
        <v>W-54</v>
      </c>
      <c r="C74" s="300" t="str">
        <f>ChkList!C58</f>
        <v>Dos 공격 방어 레지스트리 설정</v>
      </c>
      <c r="D74" s="301"/>
      <c r="E74" s="302"/>
      <c r="F74" s="170" t="str">
        <f>ChkList!D58</f>
        <v>M</v>
      </c>
      <c r="G74" s="170">
        <f>ChkList!E58</f>
        <v>2</v>
      </c>
      <c r="H74" s="29" t="s">
        <v>88</v>
      </c>
      <c r="I74" s="153" t="s">
        <v>148</v>
      </c>
      <c r="J74" s="29" t="s">
        <v>88</v>
      </c>
      <c r="K74" s="29" t="str">
        <f t="shared" si="3"/>
        <v>Y</v>
      </c>
      <c r="L74" s="300"/>
      <c r="M74" s="301"/>
      <c r="N74" s="301"/>
      <c r="O74" s="301"/>
      <c r="P74" s="302"/>
      <c r="Q74" s="21" t="str">
        <f>IF($J74="",IF(OR(#REF!="N",#REF!="인터뷰"),ChkList!#REF!,""),IF(OR($J74="N",$J74="인터뷰"),ChkList!#REF!,""))</f>
        <v/>
      </c>
      <c r="R74" s="32">
        <f>IF($H74="N/A",0,VLOOKUP($F74,'parm(hidden)'!$B$8:$C$10,2,FALSE))*1</f>
        <v>2</v>
      </c>
      <c r="S74" s="32">
        <f>IFERROR(VLOOKUP($F74,'parm(hidden)'!$B$8:$C$10,2,FALSE)*VLOOKUP(H74,'parm(hidden)'!$B$15:$C$19,2,FALSE),0)</f>
        <v>2</v>
      </c>
      <c r="T74" s="32">
        <f>IFERROR(VLOOKUP($F74,'parm(hidden)'!$B$8:$C$10,2,FALSE)*VLOOKUP($K74,$V$22:$W$27,2,FALSE),0)</f>
        <v>2</v>
      </c>
      <c r="U74" s="11">
        <f>IF($J74="N/A",0,VLOOKUP($F74,'parm(hidden)'!$B$8:$C$10,2,FALSE))*1</f>
        <v>2</v>
      </c>
      <c r="Y74" s="10"/>
    </row>
    <row r="75" spans="1:25" ht="12" customHeight="1">
      <c r="A75" s="170" t="str">
        <f>ChkList!A59</f>
        <v>보안 관리</v>
      </c>
      <c r="B75" s="172" t="str">
        <f>ChkList!B59</f>
        <v>W-55</v>
      </c>
      <c r="C75" s="300" t="str">
        <f>ChkList!C59</f>
        <v>사용자가 프린터 드라이버를 설치할 수 없게 함</v>
      </c>
      <c r="D75" s="301"/>
      <c r="E75" s="302"/>
      <c r="F75" s="170" t="str">
        <f>ChkList!D59</f>
        <v>M</v>
      </c>
      <c r="G75" s="170">
        <f>ChkList!E59</f>
        <v>2</v>
      </c>
      <c r="H75" s="155" t="s">
        <v>100</v>
      </c>
      <c r="I75" s="153" t="s">
        <v>150</v>
      </c>
      <c r="J75" s="29" t="s">
        <v>88</v>
      </c>
      <c r="K75" s="29" t="str">
        <f t="shared" si="3"/>
        <v>조치</v>
      </c>
      <c r="L75" s="300"/>
      <c r="M75" s="301"/>
      <c r="N75" s="301"/>
      <c r="O75" s="301"/>
      <c r="P75" s="302"/>
      <c r="Q75" s="21" t="str">
        <f>IF($J75="",IF(OR(#REF!="N",#REF!="인터뷰"),ChkList!#REF!,""),IF(OR($J75="N",$J75="인터뷰"),ChkList!#REF!,""))</f>
        <v/>
      </c>
      <c r="R75" s="32">
        <f>IF($H75="N/A",0,VLOOKUP($F75,'parm(hidden)'!$B$8:$C$10,2,FALSE))*1</f>
        <v>2</v>
      </c>
      <c r="S75" s="32">
        <f>IFERROR(VLOOKUP($F75,'parm(hidden)'!$B$8:$C$10,2,FALSE)*VLOOKUP(H75,'parm(hidden)'!$B$15:$C$19,2,FALSE),0)</f>
        <v>0</v>
      </c>
      <c r="T75" s="32">
        <f>IFERROR(VLOOKUP($F75,'parm(hidden)'!$B$8:$C$10,2,FALSE)*VLOOKUP($K75,$V$22:$W$27,2,FALSE),0)</f>
        <v>2</v>
      </c>
      <c r="U75" s="11">
        <f>IF($J75="N/A",0,VLOOKUP($F75,'parm(hidden)'!$B$8:$C$10,2,FALSE))*1</f>
        <v>2</v>
      </c>
      <c r="Y75" s="10"/>
    </row>
    <row r="76" spans="1:25" ht="12" customHeight="1">
      <c r="A76" s="170" t="str">
        <f>ChkList!A60</f>
        <v>보안 관리</v>
      </c>
      <c r="B76" s="172" t="str">
        <f>ChkList!B60</f>
        <v>W-56</v>
      </c>
      <c r="C76" s="300" t="str">
        <f>ChkList!C60</f>
        <v>SMB 세션 중단 관리 설정</v>
      </c>
      <c r="D76" s="301"/>
      <c r="E76" s="302"/>
      <c r="F76" s="170" t="str">
        <f>ChkList!D60</f>
        <v>M</v>
      </c>
      <c r="G76" s="170">
        <f>ChkList!E60</f>
        <v>2</v>
      </c>
      <c r="H76" s="155" t="s">
        <v>100</v>
      </c>
      <c r="I76" s="152" t="s">
        <v>31</v>
      </c>
      <c r="J76" s="29" t="s">
        <v>88</v>
      </c>
      <c r="K76" s="29" t="str">
        <f t="shared" si="3"/>
        <v>조치</v>
      </c>
      <c r="L76" s="300"/>
      <c r="M76" s="301"/>
      <c r="N76" s="301"/>
      <c r="O76" s="301"/>
      <c r="P76" s="302"/>
      <c r="Q76" s="21" t="str">
        <f>IF($J76="",IF(OR(#REF!="N",#REF!="인터뷰"),ChkList!#REF!,""),IF(OR($J76="N",$J76="인터뷰"),ChkList!#REF!,""))</f>
        <v/>
      </c>
      <c r="R76" s="32">
        <f>IF($H76="N/A",0,VLOOKUP($F76,'parm(hidden)'!$B$8:$C$10,2,FALSE))*1</f>
        <v>2</v>
      </c>
      <c r="S76" s="32">
        <f>IFERROR(VLOOKUP($F76,'parm(hidden)'!$B$8:$C$10,2,FALSE)*VLOOKUP(H76,'parm(hidden)'!$B$15:$C$19,2,FALSE),0)</f>
        <v>0</v>
      </c>
      <c r="T76" s="32">
        <f>IFERROR(VLOOKUP($F76,'parm(hidden)'!$B$8:$C$10,2,FALSE)*VLOOKUP($K76,$V$22:$W$27,2,FALSE),0)</f>
        <v>2</v>
      </c>
      <c r="U76" s="11">
        <f>IF($J76="N/A",0,VLOOKUP($F76,'parm(hidden)'!$B$8:$C$10,2,FALSE))*1</f>
        <v>2</v>
      </c>
      <c r="Y76" s="10"/>
    </row>
    <row r="77" spans="1:25" ht="12" customHeight="1">
      <c r="A77" s="170" t="str">
        <f>ChkList!A61</f>
        <v>보안 관리</v>
      </c>
      <c r="B77" s="172" t="str">
        <f>ChkList!B61</f>
        <v>W-57</v>
      </c>
      <c r="C77" s="300" t="str">
        <f>ChkList!C61</f>
        <v>로그온 시 경고 메시지 설정</v>
      </c>
      <c r="D77" s="301"/>
      <c r="E77" s="302"/>
      <c r="F77" s="170" t="str">
        <f>ChkList!D61</f>
        <v>L</v>
      </c>
      <c r="G77" s="170">
        <f>ChkList!E61</f>
        <v>1</v>
      </c>
      <c r="H77" s="155" t="s">
        <v>100</v>
      </c>
      <c r="I77" s="153" t="s">
        <v>19</v>
      </c>
      <c r="J77" s="29" t="s">
        <v>88</v>
      </c>
      <c r="K77" s="29" t="str">
        <f t="shared" si="3"/>
        <v>조치</v>
      </c>
      <c r="L77" s="300"/>
      <c r="M77" s="301"/>
      <c r="N77" s="301"/>
      <c r="O77" s="301"/>
      <c r="P77" s="302"/>
      <c r="Q77" s="21" t="str">
        <f>IF($J77="",IF(OR(#REF!="N",#REF!="인터뷰"),ChkList!#REF!,""),IF(OR($J77="N",$J77="인터뷰"),ChkList!#REF!,""))</f>
        <v/>
      </c>
      <c r="R77" s="32">
        <f>IF($H77="N/A",0,VLOOKUP($F77,'parm(hidden)'!$B$8:$C$10,2,FALSE))*1</f>
        <v>1</v>
      </c>
      <c r="S77" s="32">
        <f>IFERROR(VLOOKUP($F77,'parm(hidden)'!$B$8:$C$10,2,FALSE)*VLOOKUP(H77,'parm(hidden)'!$B$15:$C$19,2,FALSE),0)</f>
        <v>0</v>
      </c>
      <c r="T77" s="32">
        <f>IFERROR(VLOOKUP($F77,'parm(hidden)'!$B$8:$C$10,2,FALSE)*VLOOKUP($K77,$V$22:$W$27,2,FALSE),0)</f>
        <v>1</v>
      </c>
      <c r="U77" s="11">
        <f>IF($J77="N/A",0,VLOOKUP($F77,'parm(hidden)'!$B$8:$C$10,2,FALSE))*1</f>
        <v>1</v>
      </c>
      <c r="Y77" s="10"/>
    </row>
    <row r="78" spans="1:25" ht="12" customHeight="1">
      <c r="A78" s="170" t="str">
        <f>ChkList!A62</f>
        <v>보안 관리</v>
      </c>
      <c r="B78" s="172" t="str">
        <f>ChkList!B62</f>
        <v>W-58</v>
      </c>
      <c r="C78" s="300" t="str">
        <f>ChkList!C62</f>
        <v>사용자별 홈 디렉터리 권한 설정</v>
      </c>
      <c r="D78" s="301"/>
      <c r="E78" s="302"/>
      <c r="F78" s="170" t="str">
        <f>ChkList!D62</f>
        <v>M</v>
      </c>
      <c r="G78" s="170">
        <f>ChkList!E62</f>
        <v>2</v>
      </c>
      <c r="H78" s="154" t="s">
        <v>100</v>
      </c>
      <c r="I78" s="152" t="s">
        <v>153</v>
      </c>
      <c r="J78" s="29" t="s">
        <v>78</v>
      </c>
      <c r="K78" s="29" t="str">
        <f t="shared" si="3"/>
        <v>N/A</v>
      </c>
      <c r="L78" s="300"/>
      <c r="M78" s="301"/>
      <c r="N78" s="301"/>
      <c r="O78" s="301"/>
      <c r="P78" s="302"/>
      <c r="Q78" s="21" t="str">
        <f>IF($J78="",IF(OR(#REF!="N",#REF!="인터뷰"),ChkList!#REF!,""),IF(OR($J78="N",$J78="인터뷰"),ChkList!#REF!,""))</f>
        <v/>
      </c>
      <c r="R78" s="32">
        <f>IF($H78="N/A",0,VLOOKUP($F78,'parm(hidden)'!$B$8:$C$10,2,FALSE))*1</f>
        <v>2</v>
      </c>
      <c r="S78" s="32">
        <f>IFERROR(VLOOKUP($F78,'parm(hidden)'!$B$8:$C$10,2,FALSE)*VLOOKUP(H78,'parm(hidden)'!$B$15:$C$19,2,FALSE),0)</f>
        <v>0</v>
      </c>
      <c r="T78" s="32">
        <f>IFERROR(VLOOKUP($F78,'parm(hidden)'!$B$8:$C$10,2,FALSE)*VLOOKUP($K78,$V$22:$W$27,2,FALSE),0)</f>
        <v>0</v>
      </c>
      <c r="U78" s="11">
        <f>IF($J78="N/A",0,VLOOKUP($F78,'parm(hidden)'!$B$8:$C$10,2,FALSE))*1</f>
        <v>0</v>
      </c>
      <c r="Y78" s="10"/>
    </row>
    <row r="79" spans="1:25" ht="12" customHeight="1">
      <c r="A79" s="170" t="str">
        <f>ChkList!A63</f>
        <v>보안 관리</v>
      </c>
      <c r="B79" s="172" t="str">
        <f>ChkList!B63</f>
        <v>W-59</v>
      </c>
      <c r="C79" s="300" t="str">
        <f>ChkList!C63</f>
        <v>LAN Manager 인증 수준</v>
      </c>
      <c r="D79" s="301"/>
      <c r="E79" s="302"/>
      <c r="F79" s="170" t="str">
        <f>ChkList!D63</f>
        <v>M</v>
      </c>
      <c r="G79" s="170">
        <f>ChkList!E63</f>
        <v>2</v>
      </c>
      <c r="H79" s="154" t="s">
        <v>100</v>
      </c>
      <c r="I79" s="152" t="s">
        <v>164</v>
      </c>
      <c r="J79" s="29" t="s">
        <v>88</v>
      </c>
      <c r="K79" s="29" t="str">
        <f t="shared" si="3"/>
        <v>조치</v>
      </c>
      <c r="L79" s="300"/>
      <c r="M79" s="301"/>
      <c r="N79" s="301"/>
      <c r="O79" s="301"/>
      <c r="P79" s="302"/>
      <c r="Q79" s="21" t="str">
        <f>IF($J79="",IF(OR(#REF!="N",#REF!="인터뷰"),ChkList!#REF!,""),IF(OR($J79="N",$J79="인터뷰"),ChkList!#REF!,""))</f>
        <v/>
      </c>
      <c r="R79" s="32">
        <f>IF($H79="N/A",0,VLOOKUP($F79,'parm(hidden)'!$B$8:$C$10,2,FALSE))*1</f>
        <v>2</v>
      </c>
      <c r="S79" s="32">
        <f>IFERROR(VLOOKUP($F79,'parm(hidden)'!$B$8:$C$10,2,FALSE)*VLOOKUP(H79,'parm(hidden)'!$B$15:$C$19,2,FALSE),0)</f>
        <v>0</v>
      </c>
      <c r="T79" s="32">
        <f>IFERROR(VLOOKUP($F79,'parm(hidden)'!$B$8:$C$10,2,FALSE)*VLOOKUP($K79,$V$22:$W$27,2,FALSE),0)</f>
        <v>2</v>
      </c>
      <c r="U79" s="11">
        <f>IF($J79="N/A",0,VLOOKUP($F79,'parm(hidden)'!$B$8:$C$10,2,FALSE))*1</f>
        <v>2</v>
      </c>
      <c r="Y79" s="10"/>
    </row>
    <row r="80" spans="1:25" ht="12" customHeight="1">
      <c r="A80" s="170" t="str">
        <f>ChkList!A64</f>
        <v>보안 관리</v>
      </c>
      <c r="B80" s="172" t="str">
        <f>ChkList!B64</f>
        <v>W-60</v>
      </c>
      <c r="C80" s="300" t="str">
        <f>ChkList!C64</f>
        <v>보안 채널 데이터 디지털 암호화 또는 서명</v>
      </c>
      <c r="D80" s="301"/>
      <c r="E80" s="302"/>
      <c r="F80" s="170" t="str">
        <f>ChkList!D64</f>
        <v>M</v>
      </c>
      <c r="G80" s="170">
        <f>ChkList!E64</f>
        <v>2</v>
      </c>
      <c r="H80" s="29" t="s">
        <v>88</v>
      </c>
      <c r="I80" s="153" t="s">
        <v>66</v>
      </c>
      <c r="J80" s="29" t="s">
        <v>88</v>
      </c>
      <c r="K80" s="29" t="str">
        <f t="shared" si="3"/>
        <v>Y</v>
      </c>
      <c r="L80" s="300"/>
      <c r="M80" s="301"/>
      <c r="N80" s="301"/>
      <c r="O80" s="301"/>
      <c r="P80" s="302"/>
      <c r="Q80" s="21" t="str">
        <f>IF($J80="",IF(OR(#REF!="N",#REF!="인터뷰"),ChkList!#REF!,""),IF(OR($J80="N",$J80="인터뷰"),ChkList!#REF!,""))</f>
        <v/>
      </c>
      <c r="R80" s="32">
        <f>IF($H80="N/A",0,VLOOKUP($F80,'parm(hidden)'!$B$8:$C$10,2,FALSE))*1</f>
        <v>2</v>
      </c>
      <c r="S80" s="32">
        <f>IFERROR(VLOOKUP($F80,'parm(hidden)'!$B$8:$C$10,2,FALSE)*VLOOKUP(H80,'parm(hidden)'!$B$15:$C$19,2,FALSE),0)</f>
        <v>2</v>
      </c>
      <c r="T80" s="32">
        <f>IFERROR(VLOOKUP($F80,'parm(hidden)'!$B$8:$C$10,2,FALSE)*VLOOKUP($K80,$V$22:$W$27,2,FALSE),0)</f>
        <v>2</v>
      </c>
      <c r="U80" s="11">
        <f>IF($J80="N/A",0,VLOOKUP($F80,'parm(hidden)'!$B$8:$C$10,2,FALSE))*1</f>
        <v>2</v>
      </c>
      <c r="Y80" s="10"/>
    </row>
    <row r="81" spans="1:25" ht="12" customHeight="1">
      <c r="A81" s="170" t="str">
        <f>ChkList!A65</f>
        <v>보안 관리</v>
      </c>
      <c r="B81" s="172" t="str">
        <f>ChkList!B65</f>
        <v>W-61</v>
      </c>
      <c r="C81" s="300" t="str">
        <f>ChkList!C65</f>
        <v>파일 및 디렉토리 보호</v>
      </c>
      <c r="D81" s="301"/>
      <c r="E81" s="302"/>
      <c r="F81" s="170" t="str">
        <f>ChkList!D65</f>
        <v>M</v>
      </c>
      <c r="G81" s="170">
        <f>ChkList!E65</f>
        <v>2</v>
      </c>
      <c r="H81" s="157" t="s">
        <v>88</v>
      </c>
      <c r="I81" s="153" t="s">
        <v>168</v>
      </c>
      <c r="J81" s="29" t="s">
        <v>88</v>
      </c>
      <c r="K81" s="29" t="str">
        <f t="shared" si="3"/>
        <v>Y</v>
      </c>
      <c r="L81" s="300"/>
      <c r="M81" s="301"/>
      <c r="N81" s="301"/>
      <c r="O81" s="301"/>
      <c r="P81" s="302"/>
      <c r="Q81" s="21" t="str">
        <f>IF($J81="",IF(OR(#REF!="N",#REF!="인터뷰"),ChkList!#REF!,""),IF(OR($J81="N",$J81="인터뷰"),ChkList!#REF!,""))</f>
        <v/>
      </c>
      <c r="R81" s="32">
        <f>IF($H81="N/A",0,VLOOKUP($F81,'parm(hidden)'!$B$8:$C$10,2,FALSE))*1</f>
        <v>2</v>
      </c>
      <c r="S81" s="32">
        <f>IFERROR(VLOOKUP($F81,'parm(hidden)'!$B$8:$C$10,2,FALSE)*VLOOKUP(H81,'parm(hidden)'!$B$15:$C$19,2,FALSE),0)</f>
        <v>2</v>
      </c>
      <c r="T81" s="32">
        <f>IFERROR(VLOOKUP($F81,'parm(hidden)'!$B$8:$C$10,2,FALSE)*VLOOKUP($K81,$V$22:$W$27,2,FALSE),0)</f>
        <v>2</v>
      </c>
      <c r="U81" s="11">
        <f>IF($J81="N/A",0,VLOOKUP($F81,'parm(hidden)'!$B$8:$C$10,2,FALSE))*1</f>
        <v>2</v>
      </c>
      <c r="Y81" s="10"/>
    </row>
    <row r="82" spans="1:25" ht="12" customHeight="1">
      <c r="A82" s="170" t="str">
        <f>ChkList!A66</f>
        <v>보안 관리</v>
      </c>
      <c r="B82" s="172" t="str">
        <f>ChkList!B66</f>
        <v>W-62</v>
      </c>
      <c r="C82" s="300" t="str">
        <f>ChkList!C66</f>
        <v>시작 프로그램 목록 분석</v>
      </c>
      <c r="D82" s="301"/>
      <c r="E82" s="302"/>
      <c r="F82" s="170" t="str">
        <f>ChkList!D66</f>
        <v>M</v>
      </c>
      <c r="G82" s="170">
        <f>ChkList!E66</f>
        <v>2</v>
      </c>
      <c r="H82" s="156" t="s">
        <v>100</v>
      </c>
      <c r="I82" s="152" t="s">
        <v>31</v>
      </c>
      <c r="J82" s="29" t="s">
        <v>88</v>
      </c>
      <c r="K82" s="29" t="str">
        <f t="shared" si="3"/>
        <v>조치</v>
      </c>
      <c r="L82" s="300"/>
      <c r="M82" s="301"/>
      <c r="N82" s="301"/>
      <c r="O82" s="301"/>
      <c r="P82" s="302"/>
      <c r="Q82" s="21" t="str">
        <f>IF($J82="",IF(OR(#REF!="N",#REF!="인터뷰"),ChkList!#REF!,""),IF(OR($J82="N",$J82="인터뷰"),ChkList!#REF!,""))</f>
        <v/>
      </c>
      <c r="R82" s="32">
        <f>IF($H82="N/A",0,VLOOKUP($F82,'parm(hidden)'!$B$8:$C$10,2,FALSE))*1</f>
        <v>2</v>
      </c>
      <c r="S82" s="32">
        <f>IFERROR(VLOOKUP($F82,'parm(hidden)'!$B$8:$C$10,2,FALSE)*VLOOKUP(H82,'parm(hidden)'!$B$15:$C$19,2,FALSE),0)</f>
        <v>0</v>
      </c>
      <c r="T82" s="32">
        <f>IFERROR(VLOOKUP($F82,'parm(hidden)'!$B$8:$C$10,2,FALSE)*VLOOKUP($K82,$V$22:$W$27,2,FALSE),0)</f>
        <v>2</v>
      </c>
      <c r="U82" s="11">
        <f>IF($J82="N/A",0,VLOOKUP($F82,'parm(hidden)'!$B$8:$C$10,2,FALSE))*1</f>
        <v>2</v>
      </c>
      <c r="Y82" s="10"/>
    </row>
    <row r="83" spans="1:25" ht="12" customHeight="1">
      <c r="A83" s="170" t="str">
        <f>ChkList!A67</f>
        <v>보안 관리</v>
      </c>
      <c r="B83" s="172" t="str">
        <f>ChkList!B67</f>
        <v>W-63</v>
      </c>
      <c r="C83" s="300" t="str">
        <f>ChkList!C67</f>
        <v>도메인 컨트롤러-사용자의 시간 동기화</v>
      </c>
      <c r="D83" s="301"/>
      <c r="E83" s="302"/>
      <c r="F83" s="170" t="str">
        <f>ChkList!D67</f>
        <v>M</v>
      </c>
      <c r="G83" s="170">
        <f>ChkList!E67</f>
        <v>2</v>
      </c>
      <c r="H83" s="29" t="s">
        <v>88</v>
      </c>
      <c r="I83" s="153" t="s">
        <v>22</v>
      </c>
      <c r="J83" s="29" t="s">
        <v>88</v>
      </c>
      <c r="K83" s="29" t="str">
        <f t="shared" si="3"/>
        <v>Y</v>
      </c>
      <c r="L83" s="300"/>
      <c r="M83" s="301"/>
      <c r="N83" s="301"/>
      <c r="O83" s="301"/>
      <c r="P83" s="302"/>
      <c r="Q83" s="21" t="str">
        <f>IF($J83="",IF(OR(#REF!="N",#REF!="인터뷰"),ChkList!#REF!,""),IF(OR($J83="N",$J83="인터뷰"),ChkList!#REF!,""))</f>
        <v/>
      </c>
      <c r="R83" s="32">
        <f>IF($H83="N/A",0,VLOOKUP($F83,'parm(hidden)'!$B$8:$C$10,2,FALSE))*1</f>
        <v>2</v>
      </c>
      <c r="S83" s="32">
        <f>IFERROR(VLOOKUP($F83,'parm(hidden)'!$B$8:$C$10,2,FALSE)*VLOOKUP(H83,'parm(hidden)'!$B$15:$C$19,2,FALSE),0)</f>
        <v>2</v>
      </c>
      <c r="T83" s="32">
        <f>IFERROR(VLOOKUP($F83,'parm(hidden)'!$B$8:$C$10,2,FALSE)*VLOOKUP($K83,$V$22:$W$27,2,FALSE),0)</f>
        <v>2</v>
      </c>
      <c r="U83" s="11">
        <f>IF($J83="N/A",0,VLOOKUP($F83,'parm(hidden)'!$B$8:$C$10,2,FALSE))*1</f>
        <v>2</v>
      </c>
      <c r="Y83" s="10"/>
    </row>
    <row r="84" spans="1:25" ht="12" customHeight="1">
      <c r="A84" s="170" t="str">
        <f>ChkList!A68</f>
        <v>보안 관리</v>
      </c>
      <c r="B84" s="172" t="str">
        <f>ChkList!B68</f>
        <v>W-64</v>
      </c>
      <c r="C84" s="300" t="str">
        <f>ChkList!C68</f>
        <v>윈도우 방화벽 설정</v>
      </c>
      <c r="D84" s="301"/>
      <c r="E84" s="302"/>
      <c r="F84" s="170" t="str">
        <f>ChkList!D68</f>
        <v>M</v>
      </c>
      <c r="G84" s="170">
        <f>ChkList!E68</f>
        <v>2</v>
      </c>
      <c r="H84" s="156" t="s">
        <v>100</v>
      </c>
      <c r="I84" s="152" t="s">
        <v>64</v>
      </c>
      <c r="J84" s="29" t="s">
        <v>88</v>
      </c>
      <c r="K84" s="29" t="str">
        <f t="shared" si="3"/>
        <v>조치</v>
      </c>
      <c r="L84" s="300"/>
      <c r="M84" s="301"/>
      <c r="N84" s="301"/>
      <c r="O84" s="301"/>
      <c r="P84" s="302"/>
      <c r="Q84" s="21" t="str">
        <f>IF($J84="",IF(OR(#REF!="N",#REF!="인터뷰"),ChkList!#REF!,""),IF(OR($J84="N",$J84="인터뷰"),ChkList!#REF!,""))</f>
        <v/>
      </c>
      <c r="R84" s="32">
        <f>IF($H84="N/A",0,VLOOKUP($F84,'parm(hidden)'!$B$8:$C$10,2,FALSE))*1</f>
        <v>2</v>
      </c>
      <c r="S84" s="32">
        <f>IFERROR(VLOOKUP($F84,'parm(hidden)'!$B$8:$C$10,2,FALSE)*VLOOKUP(H84,'parm(hidden)'!$B$15:$C$19,2,FALSE),0)</f>
        <v>0</v>
      </c>
      <c r="T84" s="32">
        <f>IFERROR(VLOOKUP($F84,'parm(hidden)'!$B$8:$C$10,2,FALSE)*VLOOKUP($K84,$V$22:$W$27,2,FALSE),0)</f>
        <v>2</v>
      </c>
      <c r="U84" s="11">
        <f>IF($J84="N/A",0,VLOOKUP($F84,'parm(hidden)'!$B$8:$C$10,2,FALSE))*1</f>
        <v>2</v>
      </c>
      <c r="Y84" s="10"/>
    </row>
  </sheetData>
  <mergeCells count="164">
    <mergeCell ref="C83:E83"/>
    <mergeCell ref="L83:P83"/>
    <mergeCell ref="C84:E84"/>
    <mergeCell ref="L84:P84"/>
    <mergeCell ref="C78:E78"/>
    <mergeCell ref="L78:P78"/>
    <mergeCell ref="C79:E79"/>
    <mergeCell ref="L79:P79"/>
    <mergeCell ref="C80:E80"/>
    <mergeCell ref="L80:P80"/>
    <mergeCell ref="C81:E81"/>
    <mergeCell ref="L81:P81"/>
    <mergeCell ref="C82:E82"/>
    <mergeCell ref="L82:P82"/>
    <mergeCell ref="C73:E73"/>
    <mergeCell ref="L73:P73"/>
    <mergeCell ref="C74:E74"/>
    <mergeCell ref="L74:P74"/>
    <mergeCell ref="C75:E75"/>
    <mergeCell ref="L75:P75"/>
    <mergeCell ref="C76:E76"/>
    <mergeCell ref="L76:P76"/>
    <mergeCell ref="C77:E77"/>
    <mergeCell ref="L77:P77"/>
    <mergeCell ref="C68:E68"/>
    <mergeCell ref="L68:P68"/>
    <mergeCell ref="C69:E69"/>
    <mergeCell ref="L69:P69"/>
    <mergeCell ref="C70:E70"/>
    <mergeCell ref="L70:P70"/>
    <mergeCell ref="C71:E71"/>
    <mergeCell ref="L71:P71"/>
    <mergeCell ref="C72:E72"/>
    <mergeCell ref="L72:P72"/>
    <mergeCell ref="C63:E63"/>
    <mergeCell ref="L63:P63"/>
    <mergeCell ref="C64:E64"/>
    <mergeCell ref="L64:P64"/>
    <mergeCell ref="C65:E65"/>
    <mergeCell ref="L65:P65"/>
    <mergeCell ref="C66:E66"/>
    <mergeCell ref="L66:P66"/>
    <mergeCell ref="C67:E67"/>
    <mergeCell ref="L67:P67"/>
    <mergeCell ref="C58:E58"/>
    <mergeCell ref="L58:P58"/>
    <mergeCell ref="C59:E59"/>
    <mergeCell ref="L59:P59"/>
    <mergeCell ref="C60:E60"/>
    <mergeCell ref="L60:P60"/>
    <mergeCell ref="C61:E61"/>
    <mergeCell ref="L61:P61"/>
    <mergeCell ref="C62:E62"/>
    <mergeCell ref="L62:P62"/>
    <mergeCell ref="C53:E53"/>
    <mergeCell ref="L53:P53"/>
    <mergeCell ref="C54:E54"/>
    <mergeCell ref="L54:P54"/>
    <mergeCell ref="C55:E55"/>
    <mergeCell ref="L55:P55"/>
    <mergeCell ref="C56:E56"/>
    <mergeCell ref="L56:P56"/>
    <mergeCell ref="C57:E57"/>
    <mergeCell ref="L57:P57"/>
    <mergeCell ref="C48:E48"/>
    <mergeCell ref="L48:P48"/>
    <mergeCell ref="C49:E49"/>
    <mergeCell ref="L49:P49"/>
    <mergeCell ref="C50:E50"/>
    <mergeCell ref="L50:P50"/>
    <mergeCell ref="C51:E51"/>
    <mergeCell ref="L51:P51"/>
    <mergeCell ref="C52:E52"/>
    <mergeCell ref="L52:P52"/>
    <mergeCell ref="C43:E43"/>
    <mergeCell ref="L43:P43"/>
    <mergeCell ref="C44:E44"/>
    <mergeCell ref="L44:P44"/>
    <mergeCell ref="C45:E45"/>
    <mergeCell ref="L45:P45"/>
    <mergeCell ref="C46:E46"/>
    <mergeCell ref="L46:P46"/>
    <mergeCell ref="C47:E47"/>
    <mergeCell ref="L47:P47"/>
    <mergeCell ref="C38:E38"/>
    <mergeCell ref="L38:P38"/>
    <mergeCell ref="C39:E39"/>
    <mergeCell ref="L39:P39"/>
    <mergeCell ref="C40:E40"/>
    <mergeCell ref="L40:P40"/>
    <mergeCell ref="C41:E41"/>
    <mergeCell ref="L41:P41"/>
    <mergeCell ref="C42:E42"/>
    <mergeCell ref="L42:P42"/>
    <mergeCell ref="C33:E33"/>
    <mergeCell ref="L33:P33"/>
    <mergeCell ref="C34:E34"/>
    <mergeCell ref="L34:P34"/>
    <mergeCell ref="C35:E35"/>
    <mergeCell ref="L35:P35"/>
    <mergeCell ref="C36:E36"/>
    <mergeCell ref="L36:P36"/>
    <mergeCell ref="C37:E37"/>
    <mergeCell ref="L37:P37"/>
    <mergeCell ref="C28:E28"/>
    <mergeCell ref="L28:P28"/>
    <mergeCell ref="C29:E29"/>
    <mergeCell ref="L29:P29"/>
    <mergeCell ref="C30:E30"/>
    <mergeCell ref="L30:P30"/>
    <mergeCell ref="C31:E31"/>
    <mergeCell ref="L31:P31"/>
    <mergeCell ref="C32:E32"/>
    <mergeCell ref="L32:P32"/>
    <mergeCell ref="C23:E23"/>
    <mergeCell ref="L23:P23"/>
    <mergeCell ref="C24:E24"/>
    <mergeCell ref="L24:P24"/>
    <mergeCell ref="C25:E25"/>
    <mergeCell ref="L25:P25"/>
    <mergeCell ref="C26:E26"/>
    <mergeCell ref="L26:P26"/>
    <mergeCell ref="C27:E27"/>
    <mergeCell ref="L27:P27"/>
    <mergeCell ref="A20:B20"/>
    <mergeCell ref="C20:E20"/>
    <mergeCell ref="F20:G20"/>
    <mergeCell ref="L20:P20"/>
    <mergeCell ref="V20:W20"/>
    <mergeCell ref="C21:E21"/>
    <mergeCell ref="L21:P21"/>
    <mergeCell ref="C22:E22"/>
    <mergeCell ref="L22:P22"/>
    <mergeCell ref="A10:C11"/>
    <mergeCell ref="D10:H10"/>
    <mergeCell ref="I10:I11"/>
    <mergeCell ref="J10:O10"/>
    <mergeCell ref="R10:U10"/>
    <mergeCell ref="V10:Y10"/>
    <mergeCell ref="V11:W11"/>
    <mergeCell ref="A12:C12"/>
    <mergeCell ref="I12:I17"/>
    <mergeCell ref="V12:W12"/>
    <mergeCell ref="A13:C13"/>
    <mergeCell ref="V13:W13"/>
    <mergeCell ref="A14:C14"/>
    <mergeCell ref="V14:W14"/>
    <mergeCell ref="A15:C15"/>
    <mergeCell ref="V15:W15"/>
    <mergeCell ref="A16:C16"/>
    <mergeCell ref="V16:W16"/>
    <mergeCell ref="A17:C17"/>
    <mergeCell ref="V17:W17"/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  <mergeCell ref="F6:G6"/>
  </mergeCells>
  <phoneticPr fontId="27" type="noConversion"/>
  <conditionalFormatting sqref="H21:H66">
    <cfRule type="cellIs" dxfId="104" priority="3" operator="equal">
      <formula>"취약"</formula>
    </cfRule>
    <cfRule type="cellIs" priority="4" operator="equal">
      <formula>"양호"</formula>
    </cfRule>
  </conditionalFormatting>
  <conditionalFormatting sqref="H68:H71">
    <cfRule type="cellIs" dxfId="103" priority="228" operator="equal">
      <formula>"취약"</formula>
    </cfRule>
    <cfRule type="cellIs" priority="229" operator="equal">
      <formula>"양호"</formula>
    </cfRule>
  </conditionalFormatting>
  <conditionalFormatting sqref="H78:H79">
    <cfRule type="cellIs" dxfId="102" priority="224" operator="equal">
      <formula>"취약"</formula>
    </cfRule>
    <cfRule type="cellIs" priority="225" operator="equal">
      <formula>"양호"</formula>
    </cfRule>
  </conditionalFormatting>
  <conditionalFormatting sqref="H81">
    <cfRule type="cellIs" dxfId="101" priority="222" operator="equal">
      <formula>"취약"</formula>
    </cfRule>
    <cfRule type="cellIs" priority="223" operator="equal">
      <formula>"양호"</formula>
    </cfRule>
  </conditionalFormatting>
  <conditionalFormatting sqref="J21:L21 J22:K58 J59:L84">
    <cfRule type="cellIs" dxfId="98" priority="273" stopIfTrue="1" operator="equal">
      <formula>"인터뷰"</formula>
    </cfRule>
    <cfRule type="cellIs" dxfId="97" priority="274" stopIfTrue="1" operator="equal">
      <formula>"R/A"</formula>
    </cfRule>
    <cfRule type="cellIs" dxfId="96" priority="275" stopIfTrue="1" operator="equal">
      <formula>"N/A"</formula>
    </cfRule>
    <cfRule type="cellIs" dxfId="95" priority="276" stopIfTrue="1" operator="equal">
      <formula>"N"</formula>
    </cfRule>
    <cfRule type="expression" dxfId="94" priority="277">
      <formula>OR(IF(J21=0,1,0),IF(J21="-",1,0))</formula>
    </cfRule>
  </conditionalFormatting>
  <conditionalFormatting sqref="K21:K84">
    <cfRule type="cellIs" dxfId="93" priority="270" operator="equal">
      <formula>"위험수용"</formula>
    </cfRule>
    <cfRule type="cellIs" dxfId="92" priority="271" operator="equal">
      <formula>"미조치"</formula>
    </cfRule>
    <cfRule type="cellIs" dxfId="91" priority="272" operator="equal">
      <formula>"조치"</formula>
    </cfRule>
  </conditionalFormatting>
  <conditionalFormatting sqref="L22:L58">
    <cfRule type="cellIs" dxfId="90" priority="33" stopIfTrue="1" operator="equal">
      <formula>"인터뷰"</formula>
    </cfRule>
    <cfRule type="cellIs" dxfId="89" priority="34" stopIfTrue="1" operator="equal">
      <formula>"R/A"</formula>
    </cfRule>
    <cfRule type="cellIs" dxfId="88" priority="35" stopIfTrue="1" operator="equal">
      <formula>"N/A"</formula>
    </cfRule>
    <cfRule type="cellIs" dxfId="87" priority="36" stopIfTrue="1" operator="equal">
      <formula>"N"</formula>
    </cfRule>
    <cfRule type="expression" dxfId="86" priority="37">
      <formula>OR(IF(L22=0,1,0),IF(L22="-",1,0))</formula>
    </cfRule>
  </conditionalFormatting>
  <conditionalFormatting sqref="V28:W60">
    <cfRule type="cellIs" dxfId="85" priority="9" operator="equal">
      <formula>"신규 취약점(즉시조치)"</formula>
    </cfRule>
    <cfRule type="cellIs" dxfId="84" priority="10" operator="equal">
      <formula>"기존 취약점(즉시조치)"</formula>
    </cfRule>
    <cfRule type="cellIs" dxfId="83" priority="11" operator="equal">
      <formula>"기존 취약점"</formula>
    </cfRule>
    <cfRule type="cellIs" dxfId="82" priority="12" operator="equal">
      <formula>"신규 취약점"</formula>
    </cfRule>
    <cfRule type="cellIs" dxfId="81" priority="13" operator="equal">
      <formula>"확인필요"</formula>
    </cfRule>
    <cfRule type="cellIs" dxfId="80" priority="14" operator="equal">
      <formula>"확인필요"</formula>
    </cfRule>
    <cfRule type="cellIs" dxfId="79" priority="15" operator="equal">
      <formula>"신규취약점"</formula>
    </cfRule>
    <cfRule type="cellIs" dxfId="78" priority="16" operator="equal">
      <formula>"조치완료"</formula>
    </cfRule>
  </conditionalFormatting>
  <conditionalFormatting sqref="Y21:Y84">
    <cfRule type="cellIs" dxfId="77" priority="571" operator="equal">
      <formula>"신규 취약점(즉시조치)"</formula>
    </cfRule>
    <cfRule type="cellIs" dxfId="76" priority="572" operator="equal">
      <formula>"기존 취약점(즉시조치)"</formula>
    </cfRule>
    <cfRule type="cellIs" dxfId="75" priority="573" operator="equal">
      <formula>"기존 취약점"</formula>
    </cfRule>
    <cfRule type="cellIs" dxfId="74" priority="574" operator="equal">
      <formula>"신규 취약점"</formula>
    </cfRule>
    <cfRule type="cellIs" dxfId="73" priority="575" operator="equal">
      <formula>"확인필요"</formula>
    </cfRule>
    <cfRule type="cellIs" dxfId="72" priority="576" operator="equal">
      <formula>"확인필요"</formula>
    </cfRule>
    <cfRule type="cellIs" dxfId="71" priority="577" operator="equal">
      <formula>"신규취약점"</formula>
    </cfRule>
    <cfRule type="cellIs" dxfId="70" priority="578" operator="equal">
      <formula>"조치완료"</formula>
    </cfRule>
  </conditionalFormatting>
  <dataValidations count="4">
    <dataValidation allowBlank="1" showInputMessage="1" showErrorMessage="1" errorTitle="오류!" error="Y, N, N/A 중에 선택" sqref="L21:L84"/>
    <dataValidation type="list" errorStyle="warning" showInputMessage="1" showErrorMessage="1" errorTitle="오류!" error="Y, N, N/A 중에 선택" sqref="J21:J84">
      <formula1>"Y,N,N/A,인터뷰,Y(즉시조치)"</formula1>
    </dataValidation>
    <dataValidation errorStyle="warning" allowBlank="1" showInputMessage="1" showErrorMessage="1" sqref="K21:K84"/>
    <dataValidation type="list" errorStyle="warning" allowBlank="1" showInputMessage="1" showErrorMessage="1" errorTitle="오류!" error="Y, N, N/A 중에 선택" sqref="H21:H84">
      <formula1>"Y,N,N/A,인터뷰,Y(즉시조치)"</formula1>
    </dataValidation>
  </dataValidations>
  <printOptions horizontalCentered="1"/>
  <pageMargins left="0.39347222447395325" right="0.39347222447395325" top="0.59041666984558105" bottom="0.59041666984558105" header="0.39347222447395325" footer="0.39347222447395325"/>
  <pageSetup paperSize="9" scale="29" fitToHeight="0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Y84"/>
  <sheetViews>
    <sheetView showGridLines="0" view="pageBreakPreview" zoomScaleNormal="100" zoomScaleSheetLayoutView="100" workbookViewId="0"/>
  </sheetViews>
  <sheetFormatPr defaultColWidth="8.77734375" defaultRowHeight="12"/>
  <cols>
    <col min="1" max="1" width="12.77734375" style="12" customWidth="1"/>
    <col min="2" max="2" width="6.6640625" style="12" bestFit="1" customWidth="1"/>
    <col min="3" max="3" width="14.21875" style="12" customWidth="1"/>
    <col min="4" max="4" width="7.6640625" style="12" customWidth="1"/>
    <col min="5" max="5" width="10.88671875" style="12" customWidth="1"/>
    <col min="6" max="8" width="7.6640625" style="12" customWidth="1"/>
    <col min="9" max="9" width="102.109375" style="12" customWidth="1"/>
    <col min="10" max="15" width="7.6640625" style="12" customWidth="1"/>
    <col min="16" max="16" width="13.33203125" style="12" customWidth="1"/>
    <col min="17" max="17" width="44.44140625" style="12" customWidth="1"/>
    <col min="18" max="18" width="13.77734375" style="10" customWidth="1"/>
    <col min="19" max="20" width="11.77734375" style="12" customWidth="1"/>
    <col min="21" max="21" width="12.44140625" style="12" customWidth="1"/>
    <col min="22" max="23" width="8.77734375" style="12" customWidth="1"/>
    <col min="24" max="24" width="18" style="12" customWidth="1"/>
    <col min="25" max="25" width="14.6640625" style="12" customWidth="1"/>
    <col min="26" max="16384" width="8.77734375" style="12"/>
  </cols>
  <sheetData>
    <row r="1" spans="1:25" ht="16.5">
      <c r="A1" s="16" t="str">
        <f ca="1">"■ "&amp;$B$4&amp;" 상세 진단결과"</f>
        <v>■ DHCP_BR_Win 상세 진단결과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35" customHeight="1">
      <c r="A3" s="46" t="s">
        <v>116</v>
      </c>
      <c r="B3" s="46"/>
      <c r="C3" s="46"/>
      <c r="D3" s="46"/>
      <c r="E3" s="46"/>
      <c r="F3" s="46"/>
      <c r="G3" s="46"/>
      <c r="H3" s="5"/>
      <c r="I3" s="5"/>
      <c r="R3" s="5" t="s">
        <v>234</v>
      </c>
      <c r="X3" s="5"/>
      <c r="Y3" s="5"/>
    </row>
    <row r="4" spans="1:25" ht="17.100000000000001" customHeight="1">
      <c r="A4" s="113" t="s">
        <v>142</v>
      </c>
      <c r="B4" s="255" t="str">
        <f ca="1">REPLACE(CELL("filename",A1),1,FIND("]",CELL("filename",A1)),"")</f>
        <v>DHCP_BR_Win</v>
      </c>
      <c r="C4" s="256"/>
      <c r="D4" s="257" t="s">
        <v>222</v>
      </c>
      <c r="E4" s="258"/>
      <c r="F4" s="259" t="str">
        <f ca="1">IFERROR(VLOOKUP($B$4,자산목록!$B$1:$Q$838,8,FALSE),"N/A")</f>
        <v>지사 DHCP서버</v>
      </c>
      <c r="G4" s="260"/>
      <c r="H4" s="56"/>
      <c r="I4" s="47"/>
      <c r="R4" s="25" t="s">
        <v>70</v>
      </c>
      <c r="S4" s="37">
        <f ca="1">IFERROR(VLOOKUP($B$4,자산목록!$B$1:$Q$838,13,FALSE),"N/A")</f>
        <v>3</v>
      </c>
      <c r="T4" s="261" t="s">
        <v>241</v>
      </c>
      <c r="U4" s="262" t="str">
        <f ca="1">IFERROR(VLOOKUP($B$4,자산목록!$B$1:$Q$838,16,FALSE),"N/A")</f>
        <v>H</v>
      </c>
      <c r="X4" s="5"/>
      <c r="Y4" s="5"/>
    </row>
    <row r="5" spans="1:25" ht="17.100000000000001" customHeight="1">
      <c r="A5" s="114" t="s">
        <v>120</v>
      </c>
      <c r="B5" s="263" t="str">
        <f ca="1">IFERROR(VLOOKUP($B$4,자산목록!$B$1:$Q$838,6,FALSE)&amp;" "&amp;VLOOKUP($B$4,자산목록!$B$1:$Q$838,7,FALSE),"N/A")</f>
        <v>- 2016</v>
      </c>
      <c r="C5" s="263"/>
      <c r="D5" s="264" t="s">
        <v>146</v>
      </c>
      <c r="E5" s="264"/>
      <c r="F5" s="263" t="str">
        <f ca="1">IFERROR(VLOOKUP($B$4,자산목록!$B$1:$Q$838,2,FALSE),"N/A")</f>
        <v>10.200.40.17</v>
      </c>
      <c r="G5" s="265"/>
      <c r="H5" s="56"/>
      <c r="I5" s="47"/>
      <c r="R5" s="25" t="s">
        <v>77</v>
      </c>
      <c r="S5" s="37">
        <f ca="1">IFERROR(VLOOKUP($B$4,자산목록!$B$1:$Q$838,14,FALSE),"N/A")</f>
        <v>3</v>
      </c>
      <c r="T5" s="261"/>
      <c r="U5" s="262"/>
      <c r="X5" s="5"/>
      <c r="Y5" s="5"/>
    </row>
    <row r="6" spans="1:25" ht="17.100000000000001" customHeight="1">
      <c r="A6" s="115" t="s">
        <v>71</v>
      </c>
      <c r="B6" s="266" t="str">
        <f ca="1">IFERROR(VLOOKUP($B$4,자산목록!$B$1:$Q$838,11,FALSE),"N/A")</f>
        <v>김도현</v>
      </c>
      <c r="C6" s="266"/>
      <c r="D6" s="267" t="s">
        <v>226</v>
      </c>
      <c r="E6" s="267"/>
      <c r="F6" s="266" t="str">
        <f ca="1">IFERROR(VLOOKUP($B$4,자산목록!$B$1:$Q$838,9,FALSE),"N/A")</f>
        <v>내부망</v>
      </c>
      <c r="G6" s="268"/>
      <c r="H6" s="56"/>
      <c r="I6" s="47"/>
      <c r="R6" s="25" t="s">
        <v>106</v>
      </c>
      <c r="S6" s="37">
        <f ca="1">IFERROR(VLOOKUP($B$4,자산목록!$B$1:$Q$838,15,FALSE),"N/A")</f>
        <v>3</v>
      </c>
      <c r="T6" s="261"/>
      <c r="U6" s="262"/>
      <c r="X6" s="5"/>
      <c r="Y6" s="5"/>
    </row>
    <row r="7" spans="1:25" ht="22.35" customHeight="1">
      <c r="R7" s="20"/>
      <c r="S7" s="17"/>
      <c r="X7" s="5"/>
      <c r="Y7" s="5"/>
    </row>
    <row r="8" spans="1:25" ht="34.35" customHeight="1">
      <c r="A8" s="5" t="s">
        <v>137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3.5">
      <c r="A9" s="48" t="s">
        <v>113</v>
      </c>
      <c r="B9" s="46"/>
      <c r="C9" s="46"/>
      <c r="D9" s="46"/>
      <c r="E9" s="46"/>
      <c r="F9" s="46"/>
      <c r="G9" s="46"/>
      <c r="H9" s="5"/>
      <c r="I9" s="5"/>
      <c r="M9" s="5"/>
      <c r="N9" s="5"/>
      <c r="O9" s="5"/>
      <c r="P9" s="5"/>
      <c r="R9" s="14"/>
      <c r="S9" s="49"/>
    </row>
    <row r="10" spans="1:25" ht="20.100000000000001" customHeight="1">
      <c r="A10" s="269" t="s">
        <v>79</v>
      </c>
      <c r="B10" s="251"/>
      <c r="C10" s="251"/>
      <c r="D10" s="271" t="s">
        <v>44</v>
      </c>
      <c r="E10" s="272"/>
      <c r="F10" s="272"/>
      <c r="G10" s="272"/>
      <c r="H10" s="272"/>
      <c r="I10" s="273" t="s">
        <v>134</v>
      </c>
      <c r="J10" s="275" t="s">
        <v>233</v>
      </c>
      <c r="K10" s="275"/>
      <c r="L10" s="275"/>
      <c r="M10" s="275"/>
      <c r="N10" s="275"/>
      <c r="O10" s="276"/>
      <c r="R10" s="277" t="s">
        <v>212</v>
      </c>
      <c r="S10" s="277"/>
      <c r="T10" s="277"/>
      <c r="U10" s="277"/>
      <c r="V10" s="278" t="s">
        <v>134</v>
      </c>
      <c r="W10" s="278"/>
      <c r="X10" s="278"/>
      <c r="Y10" s="278"/>
    </row>
    <row r="11" spans="1:25" ht="20.100000000000001" customHeight="1">
      <c r="A11" s="270"/>
      <c r="B11" s="254"/>
      <c r="C11" s="254"/>
      <c r="D11" s="116" t="s">
        <v>96</v>
      </c>
      <c r="E11" s="117" t="s">
        <v>76</v>
      </c>
      <c r="F11" s="118" t="s">
        <v>108</v>
      </c>
      <c r="G11" s="119" t="s">
        <v>78</v>
      </c>
      <c r="H11" s="119" t="s">
        <v>75</v>
      </c>
      <c r="I11" s="274"/>
      <c r="J11" s="129" t="s">
        <v>110</v>
      </c>
      <c r="K11" s="120" t="s">
        <v>97</v>
      </c>
      <c r="L11" s="121" t="s">
        <v>219</v>
      </c>
      <c r="M11" s="121" t="s">
        <v>78</v>
      </c>
      <c r="N11" s="121" t="s">
        <v>93</v>
      </c>
      <c r="O11" s="122" t="s">
        <v>75</v>
      </c>
      <c r="R11" s="41" t="s">
        <v>122</v>
      </c>
      <c r="S11" s="42" t="s">
        <v>119</v>
      </c>
      <c r="T11" s="42" t="s">
        <v>125</v>
      </c>
      <c r="U11" s="44" t="s">
        <v>127</v>
      </c>
      <c r="V11" s="279" t="s">
        <v>79</v>
      </c>
      <c r="W11" s="279"/>
      <c r="X11" s="11" t="s">
        <v>44</v>
      </c>
      <c r="Y11" s="11" t="s">
        <v>233</v>
      </c>
    </row>
    <row r="12" spans="1:25" ht="32.1" customHeight="1">
      <c r="A12" s="280" t="s">
        <v>217</v>
      </c>
      <c r="B12" s="281"/>
      <c r="C12" s="282"/>
      <c r="D12" s="37">
        <f ca="1">COUNTIF($A$21:INDIRECT(ADDRESS(MATCH("",$A:$A,-1),1,1,1)),$A12)</f>
        <v>14</v>
      </c>
      <c r="E12" s="37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4</v>
      </c>
      <c r="F12" s="37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4</v>
      </c>
      <c r="G12" s="37">
        <f ca="1">COUNTIFS($A$21:INDIRECT(ADDRESS(MATCH("",$A:$A,-1),1,1,1)),$A12&amp;"*",$H$21:INDIRECT(ADDRESS(MATCH("",$A:$A,-1),8,1,1)),"N/A")</f>
        <v>0</v>
      </c>
      <c r="H12" s="59">
        <f t="shared" ref="H12:H17" ca="1" si="0">IF($G12=$D12,"N/A",(S12/R12))</f>
        <v>0</v>
      </c>
      <c r="I12" s="283"/>
      <c r="J12" s="54">
        <f ca="1">COUNTIFS($A$21:INDIRECT(ADDRESS(MATCH("",$A:$A,-1),1,1,1)),$A12,$K$21:INDIRECT(ADDRESS(MATCH("",$B:$B,-1),11,1,1)),"조치")</f>
        <v>10</v>
      </c>
      <c r="K12" s="29">
        <f ca="1">COUNTIFS($A$21:INDIRECT(ADDRESS(MATCH("",$A:$A,-1),1,1,1)),$A12,$K$21:INDIRECT(ADDRESS(MATCH("",$B:$B,-1),11,1,1)),"미조치")</f>
        <v>0</v>
      </c>
      <c r="L12" s="29">
        <f ca="1">COUNTIFS($A$21:INDIRECT(ADDRESS(MATCH("",$A:$A,-1),1,1,1)),$A12,$K$21:INDIRECT(ADDRESS(MATCH("",$B:$B,-1),11,1,1)),"위험수용")</f>
        <v>0</v>
      </c>
      <c r="M12" s="29">
        <f ca="1">COUNTIFS($A$21:INDIRECT(ADDRESS(MATCH("",$A:$A,-1),1,1,1)),$A12,$K$21:INDIRECT(ADDRESS(MATCH("",$B:$B,-1),11,1,1)),"N/A")</f>
        <v>0</v>
      </c>
      <c r="N12" s="50">
        <f ca="1">IFERROR($J12/($F12-(M12-G12)),"N/A")</f>
        <v>2.5</v>
      </c>
      <c r="O12" s="123">
        <f ca="1">IF(OR($G12=$D12,$D12=$M12),"N/A",($T12/$U12))</f>
        <v>1</v>
      </c>
      <c r="R12" s="37">
        <f ca="1">SUMIF($A$21:INDIRECT(ADDRESS(MATCH("",$A:$A,-1),1,1,1)),$A12,$R$21:INDIRECT(ADDRESS(MATCH("",$A:$A,-1),18,1,1)))</f>
        <v>35</v>
      </c>
      <c r="S12" s="37">
        <f ca="1">SUMIF($A$21:INDIRECT(ADDRESS(MATCH("",$A:$A,-1),1,1,1)),$A12,$S$21:INDIRECT(ADDRESS(MATCH("",$A:$A,-1),19,1,1)))</f>
        <v>0</v>
      </c>
      <c r="T12" s="37">
        <f ca="1">SUMIF($A$21:INDIRECT(ADDRESS(MATCH("",$A:$A,-1),1,1,1)),$A12,$T$21:INDIRECT(ADDRESS(MATCH("",$A:$A,-1),20,1,1)))</f>
        <v>35</v>
      </c>
      <c r="U12" s="37">
        <f ca="1">SUMIF($A$21:INDIRECT(ADDRESS(MATCH("",$A:$A,-1),2,1,1)),$A12&amp;"*",$U$21:INDIRECT(ADDRESS(MATCH("",$A:$A,-1),21,1,1)))</f>
        <v>35</v>
      </c>
      <c r="V12" s="285">
        <f>B12</f>
        <v>0</v>
      </c>
      <c r="W12" s="282"/>
      <c r="X12" s="57">
        <f t="shared" ref="X12:X17" ca="1" si="1">H12</f>
        <v>0</v>
      </c>
      <c r="Y12" s="57">
        <f t="shared" ref="Y12:Y17" ca="1" si="2">O12</f>
        <v>1</v>
      </c>
    </row>
    <row r="13" spans="1:25" ht="32.1" customHeight="1">
      <c r="A13" s="280" t="s">
        <v>194</v>
      </c>
      <c r="B13" s="281"/>
      <c r="C13" s="282"/>
      <c r="D13" s="37">
        <f ca="1">COUNTIF($A$21:INDIRECT(ADDRESS(MATCH("",$A:$A,-1),1,1,1)),$A13)</f>
        <v>0</v>
      </c>
      <c r="E13" s="37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0</v>
      </c>
      <c r="F13" s="37">
        <f ca="1">COUNTIFS($A$21:INDIRECT(ADDRESS(MATCH("",$A:$A,-1),1,1,1)),$A13&amp;"*",$H$21:INDIRECT(ADDRESS(MATCH("",$A:$A,-1),8,1,1)),"N")</f>
        <v>0</v>
      </c>
      <c r="G13" s="37">
        <f ca="1">COUNTIFS($A$21:INDIRECT(ADDRESS(MATCH("",$A:$A,-1),1,1,1)),$A13&amp;"*",$H$21:INDIRECT(ADDRESS(MATCH("",$A:$A,-1),8,1,1)),"N/A")</f>
        <v>0</v>
      </c>
      <c r="H13" s="59" t="str">
        <f t="shared" ca="1" si="0"/>
        <v>N/A</v>
      </c>
      <c r="I13" s="283"/>
      <c r="J13" s="54">
        <f ca="1">COUNTIFS($A$21:INDIRECT(ADDRESS(MATCH("",$A:$A,-1),1,1,1)),$A13,$K$21:INDIRECT(ADDRESS(MATCH("",$B:$B,-1),11,1,1)),"조치")</f>
        <v>0</v>
      </c>
      <c r="K13" s="29">
        <f ca="1">COUNTIFS($A$21:INDIRECT(ADDRESS(MATCH("",$A:$A,-1),1,1,1)),$A13,$K$21:INDIRECT(ADDRESS(MATCH("",$B:$B,-1),11,1,1)),"미조치")</f>
        <v>0</v>
      </c>
      <c r="L13" s="29">
        <f ca="1">COUNTIFS($A$21:INDIRECT(ADDRESS(MATCH("",$A:$A,-1),1,1,1)),$A13,$K$21:INDIRECT(ADDRESS(MATCH("",$B:$B,-1),11,1,1)),"위험수용")</f>
        <v>0</v>
      </c>
      <c r="M13" s="29">
        <f ca="1">COUNTIFS($A$21:INDIRECT(ADDRESS(MATCH("",$A:$A,-1),1,1,1)),$A13,$K$21:INDIRECT(ADDRESS(MATCH("",$B:$B,-1),11,1,1)),"N/A")</f>
        <v>0</v>
      </c>
      <c r="N13" s="50" t="str">
        <f ca="1">IFERROR($J13/($F13-(M13-G13)),"N/A")</f>
        <v>N/A</v>
      </c>
      <c r="O13" s="123" t="str">
        <f ca="1">IF(OR($G13=$D13,$D13=$M13),"N/A",($T13/$U13))</f>
        <v>N/A</v>
      </c>
      <c r="R13" s="37">
        <f ca="1">SUMIF($A$21:INDIRECT(ADDRESS(MATCH("",$A:$A,-1),1,1,1)),$A13,$R$21:INDIRECT(ADDRESS(MATCH("",$A:$A,-1),18,1,1)))</f>
        <v>0</v>
      </c>
      <c r="S13" s="37">
        <f ca="1">SUMIF($A$21:INDIRECT(ADDRESS(MATCH("",$A:$A,-1),1,1,1)),$A13,$S$21:INDIRECT(ADDRESS(MATCH("",$A:$A,-1),19,1,1)))</f>
        <v>0</v>
      </c>
      <c r="T13" s="37">
        <f ca="1">SUMIF($A$21:INDIRECT(ADDRESS(MATCH("",$A:$A,-1),1,1,1)),$A13,$T$21:INDIRECT(ADDRESS(MATCH("",$A:$A,-1),20,1,1)))</f>
        <v>0</v>
      </c>
      <c r="U13" s="37">
        <f ca="1">SUMIF($A$21:INDIRECT(ADDRESS(MATCH("",$A:$A,-1),2,1,1)),$A13&amp;"*",$U$21:INDIRECT(ADDRESS(MATCH("",$A:$A,-1),21,1,1)))</f>
        <v>0</v>
      </c>
      <c r="V13" s="285">
        <f>B13</f>
        <v>0</v>
      </c>
      <c r="W13" s="282"/>
      <c r="X13" s="57" t="str">
        <f t="shared" ca="1" si="1"/>
        <v>N/A</v>
      </c>
      <c r="Y13" s="57" t="str">
        <f t="shared" ca="1" si="2"/>
        <v>N/A</v>
      </c>
    </row>
    <row r="14" spans="1:25" ht="32.1" customHeight="1">
      <c r="A14" s="280" t="s">
        <v>211</v>
      </c>
      <c r="B14" s="281"/>
      <c r="C14" s="282"/>
      <c r="D14" s="37">
        <f ca="1">COUNTIF($A$21:INDIRECT(ADDRESS(MATCH("",$A:$A,-1),1,1,1)),$A14)</f>
        <v>2</v>
      </c>
      <c r="E14" s="37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0</v>
      </c>
      <c r="F14" s="37">
        <f ca="1">COUNTIFS($A$21:INDIRECT(ADDRESS(MATCH("",$A:$A,-1),1,1,1)),$A14&amp;"*",$H$21:INDIRECT(ADDRESS(MATCH("",$A:$A,-1),8,1,1)),"N")</f>
        <v>2</v>
      </c>
      <c r="G14" s="37">
        <f ca="1">COUNTIFS($A$21:INDIRECT(ADDRESS(MATCH("",$A:$A,-1),1,1,1)),$A14&amp;"*",$H$21:INDIRECT(ADDRESS(MATCH("",$A:$A,-1),8,1,1)),"N/A")</f>
        <v>0</v>
      </c>
      <c r="H14" s="59">
        <f t="shared" ca="1" si="0"/>
        <v>0</v>
      </c>
      <c r="I14" s="283"/>
      <c r="J14" s="54">
        <f ca="1">COUNTIFS($A$21:INDIRECT(ADDRESS(MATCH("",$A:$A,-1),1,1,1)),$A14,$K$21:INDIRECT(ADDRESS(MATCH("",$B:$B,-1),11,1,1)),"조치")</f>
        <v>0</v>
      </c>
      <c r="K14" s="29">
        <f ca="1">COUNTIFS($A$21:INDIRECT(ADDRESS(MATCH("",$A:$A,-1),1,1,1)),$A14,$K$21:INDIRECT(ADDRESS(MATCH("",$B:$B,-1),11,1,1)),"미조치")</f>
        <v>0</v>
      </c>
      <c r="L14" s="29">
        <f ca="1">COUNTIFS($A$21:INDIRECT(ADDRESS(MATCH("",$A:$A,-1),1,1,1)),$A14,$K$21:INDIRECT(ADDRESS(MATCH("",$B:$B,-1),11,1,1)),"위험수용")</f>
        <v>0</v>
      </c>
      <c r="M14" s="29">
        <f ca="1">COUNTIFS($A$21:INDIRECT(ADDRESS(MATCH("",$A:$A,-1),1,1,1)),$A14,$K$21:INDIRECT(ADDRESS(MATCH("",$B:$B,-1),11,1,1)),"N/A")</f>
        <v>2</v>
      </c>
      <c r="N14" s="50" t="str">
        <f ca="1">IFERROR($J14/($F14-(M14-G14)),"N/A")</f>
        <v>N/A</v>
      </c>
      <c r="O14" s="123" t="str">
        <f ca="1">IF(OR($G14=$D14,$D14=$M14),"N/A",($T14/$U14))</f>
        <v>N/A</v>
      </c>
      <c r="R14" s="37">
        <f ca="1">SUMIF($A$21:INDIRECT(ADDRESS(MATCH("",$A:$A,-1),1,1,1)),$A14,$R$21:INDIRECT(ADDRESS(MATCH("",$A:$A,-1),18,1,1)))</f>
        <v>6</v>
      </c>
      <c r="S14" s="37">
        <f ca="1">SUMIF($A$21:INDIRECT(ADDRESS(MATCH("",$A:$A,-1),1,1,1)),$A14,$S$21:INDIRECT(ADDRESS(MATCH("",$A:$A,-1),19,1,1)))</f>
        <v>0</v>
      </c>
      <c r="T14" s="37">
        <f ca="1">SUMIF($A$21:INDIRECT(ADDRESS(MATCH("",$A:$A,-1),1,1,1)),$A14,$T$21:INDIRECT(ADDRESS(MATCH("",$A:$A,-1),20,1,1)))</f>
        <v>0</v>
      </c>
      <c r="U14" s="37">
        <f ca="1">SUMIF($A$21:INDIRECT(ADDRESS(MATCH("",$A:$A,-1),2,1,1)),$A14&amp;"*",$U$21:INDIRECT(ADDRESS(MATCH("",$A:$A,-1),21,1,1)))</f>
        <v>0</v>
      </c>
      <c r="V14" s="285">
        <f>B14</f>
        <v>0</v>
      </c>
      <c r="W14" s="282"/>
      <c r="X14" s="57">
        <f t="shared" ca="1" si="1"/>
        <v>0</v>
      </c>
      <c r="Y14" s="57" t="str">
        <f t="shared" ca="1" si="2"/>
        <v>N/A</v>
      </c>
    </row>
    <row r="15" spans="1:25" ht="32.1" customHeight="1">
      <c r="A15" s="280" t="s">
        <v>238</v>
      </c>
      <c r="B15" s="281"/>
      <c r="C15" s="282"/>
      <c r="D15" s="37">
        <f ca="1">COUNTIF($A$21:INDIRECT(ADDRESS(MATCH("",$A:$A,-1),1,1,1)),$A15)</f>
        <v>4</v>
      </c>
      <c r="E15" s="37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0</v>
      </c>
      <c r="F15" s="37">
        <f ca="1">COUNTIFS($A$21:INDIRECT(ADDRESS(MATCH("",$A:$A,-1),1,1,1)),$A15&amp;"*",$H$21:INDIRECT(ADDRESS(MATCH("",$A:$A,-1),8,1,1)),"N")</f>
        <v>4</v>
      </c>
      <c r="G15" s="37">
        <f ca="1">COUNTIFS($A$21:INDIRECT(ADDRESS(MATCH("",$A:$A,-1),1,1,1)),$A15&amp;"*",$H$21:INDIRECT(ADDRESS(MATCH("",$A:$A,-1),8,1,1)),"N/A")</f>
        <v>0</v>
      </c>
      <c r="H15" s="59">
        <f t="shared" ca="1" si="0"/>
        <v>0</v>
      </c>
      <c r="I15" s="283"/>
      <c r="J15" s="54">
        <f ca="1">COUNTIFS($A$21:INDIRECT(ADDRESS(MATCH("",$A:$A,-1),1,1,1)),$A15,$K$21:INDIRECT(ADDRESS(MATCH("",$B:$B,-1),11,1,1)),"조치")</f>
        <v>0</v>
      </c>
      <c r="K15" s="29">
        <f ca="1">COUNTIFS($A$21:INDIRECT(ADDRESS(MATCH("",$A:$A,-1),1,1,1)),$A15,$K$21:INDIRECT(ADDRESS(MATCH("",$B:$B,-1),11,1,1)),"미조치")</f>
        <v>0</v>
      </c>
      <c r="L15" s="29">
        <f ca="1">COUNTIFS($A$21:INDIRECT(ADDRESS(MATCH("",$A:$A,-1),1,1,1)),$A15,$K$21:INDIRECT(ADDRESS(MATCH("",$B:$B,-1),11,1,1)),"위험수용")</f>
        <v>0</v>
      </c>
      <c r="M15" s="29">
        <f ca="1">COUNTIFS($A$21:INDIRECT(ADDRESS(MATCH("",$A:$A,-1),1,1,1)),$A15,$K$21:INDIRECT(ADDRESS(MATCH("",$B:$B,-1),11,1,1)),"N/A")</f>
        <v>4</v>
      </c>
      <c r="N15" s="50" t="str">
        <f ca="1">IFERROR($J15/($F15-(M15-G15)),"N/A")</f>
        <v>N/A</v>
      </c>
      <c r="O15" s="123" t="str">
        <f ca="1">IF(OR($G15=$D15,$D15=$M15),"N/A",($T15/$U15))</f>
        <v>N/A</v>
      </c>
      <c r="R15" s="37">
        <f ca="1">SUMIF($A$21:INDIRECT(ADDRESS(MATCH("",$A:$A,-1),1,1,1)),$A15,$R$21:INDIRECT(ADDRESS(MATCH("",$A:$A,-1),18,1,1)))</f>
        <v>7</v>
      </c>
      <c r="S15" s="37">
        <f ca="1">SUMIF($A$21:INDIRECT(ADDRESS(MATCH("",$A:$A,-1),1,1,1)),$A15,$S$21:INDIRECT(ADDRESS(MATCH("",$A:$A,-1),19,1,1)))</f>
        <v>0</v>
      </c>
      <c r="T15" s="37">
        <f ca="1">SUMIF($A$21:INDIRECT(ADDRESS(MATCH("",$A:$A,-1),1,1,1)),$A15,$T$21:INDIRECT(ADDRESS(MATCH("",$A:$A,-1),20,1,1)))</f>
        <v>0</v>
      </c>
      <c r="U15" s="37">
        <f ca="1">SUMIF($A$21:INDIRECT(ADDRESS(MATCH("",$A:$A,-1),2,1,1)),$A15&amp;"*",$U$21:INDIRECT(ADDRESS(MATCH("",$A:$A,-1),21,1,1)))</f>
        <v>0</v>
      </c>
      <c r="V15" s="285">
        <f>B15</f>
        <v>0</v>
      </c>
      <c r="W15" s="282"/>
      <c r="X15" s="57">
        <f t="shared" ca="1" si="1"/>
        <v>0</v>
      </c>
      <c r="Y15" s="57" t="str">
        <f t="shared" ca="1" si="2"/>
        <v>N/A</v>
      </c>
    </row>
    <row r="16" spans="1:25" ht="32.1" customHeight="1">
      <c r="A16" s="280" t="s">
        <v>197</v>
      </c>
      <c r="B16" s="281"/>
      <c r="C16" s="282"/>
      <c r="D16" s="37">
        <f ca="1">COUNTIF($A$21:INDIRECT(ADDRESS(MATCH("",$A:$A,-1),1,1,1)),$A16)</f>
        <v>0</v>
      </c>
      <c r="E16" s="37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0</v>
      </c>
      <c r="F16" s="37">
        <f ca="1">COUNTIFS($A$21:INDIRECT(ADDRESS(MATCH("",$A:$A,-1),1,1,1)),$A16&amp;"*",$H$21:INDIRECT(ADDRESS(MATCH("",$A:$A,-1),8,1,1)),"N")</f>
        <v>0</v>
      </c>
      <c r="G16" s="37">
        <f ca="1">COUNTIFS($A$21:INDIRECT(ADDRESS(MATCH("",$A:$A,-1),1,1,1)),$A16&amp;"*",$H$21:INDIRECT(ADDRESS(MATCH("",$A:$A,-1),8,1,1)),"N/A")</f>
        <v>0</v>
      </c>
      <c r="H16" s="59" t="str">
        <f t="shared" ca="1" si="0"/>
        <v>N/A</v>
      </c>
      <c r="I16" s="283"/>
      <c r="J16" s="54">
        <f ca="1">COUNTIFS($A$21:INDIRECT(ADDRESS(MATCH("",$A:$A,-1),1,1,1)),$A16,$K$21:INDIRECT(ADDRESS(MATCH("",$B:$B,-1),11,1,1)),"조치")</f>
        <v>0</v>
      </c>
      <c r="K16" s="29">
        <f ca="1">COUNTIFS($A$21:INDIRECT(ADDRESS(MATCH("",$A:$A,-1),1,1,1)),$A16,$K$21:INDIRECT(ADDRESS(MATCH("",$B:$B,-1),11,1,1)),"미조치")</f>
        <v>0</v>
      </c>
      <c r="L16" s="29">
        <f ca="1">COUNTIFS($A$21:INDIRECT(ADDRESS(MATCH("",$A:$A,-1),1,1,1)),$A16,$K$21:INDIRECT(ADDRESS(MATCH("",$B:$B,-1),11,1,1)),"위험수용")</f>
        <v>0</v>
      </c>
      <c r="M16" s="29">
        <f ca="1">COUNTIFS($A$21:INDIRECT(ADDRESS(MATCH("",$A:$A,-1),1,1,1)),$A16,$K$21:INDIRECT(ADDRESS(MATCH("",$B:$B,-1),11,1,1)),"N/A")</f>
        <v>0</v>
      </c>
      <c r="N16" s="50" t="str">
        <f ca="1">IFERROR($J16/($F16-(M16-G16)),"N/A")</f>
        <v>N/A</v>
      </c>
      <c r="O16" s="123" t="str">
        <f ca="1">IF(OR($G16=$D16,$D16=$M16),"N/A",($T16/$U16))</f>
        <v>N/A</v>
      </c>
      <c r="R16" s="37">
        <f ca="1">SUMIF($A$21:INDIRECT(ADDRESS(MATCH("",$A:$A,-1),1,1,1)),$A16,$R$21:INDIRECT(ADDRESS(MATCH("",$A:$A,-1),18,1,1)))</f>
        <v>0</v>
      </c>
      <c r="S16" s="37">
        <f ca="1">SUMIF($A$21:INDIRECT(ADDRESS(MATCH("",$A:$A,-1),1,1,1)),$A16,$S$21:INDIRECT(ADDRESS(MATCH("",$A:$A,-1),19,1,1)))</f>
        <v>0</v>
      </c>
      <c r="T16" s="37">
        <f ca="1">SUMIF($A$21:INDIRECT(ADDRESS(MATCH("",$A:$A,-1),1,1,1)),$A16,$T$21:INDIRECT(ADDRESS(MATCH("",$A:$A,-1),20,1,1)))</f>
        <v>0</v>
      </c>
      <c r="U16" s="37">
        <f ca="1">SUMIF($A$21:INDIRECT(ADDRESS(MATCH("",$A:$A,-1),2,1,1)),$A16&amp;"*",$U$21:INDIRECT(ADDRESS(MATCH("",$A:$A,-1),21,1,1)))</f>
        <v>0</v>
      </c>
      <c r="V16" s="286">
        <f>B16</f>
        <v>0</v>
      </c>
      <c r="W16" s="287"/>
      <c r="X16" s="61" t="str">
        <f t="shared" ca="1" si="1"/>
        <v>N/A</v>
      </c>
      <c r="Y16" s="61" t="str">
        <f t="shared" ca="1" si="2"/>
        <v>N/A</v>
      </c>
    </row>
    <row r="17" spans="1:25" ht="20.100000000000001" customHeight="1">
      <c r="A17" s="288" t="s">
        <v>121</v>
      </c>
      <c r="B17" s="289"/>
      <c r="C17" s="290"/>
      <c r="D17" s="124">
        <f ca="1">SUM(D12:D16)</f>
        <v>20</v>
      </c>
      <c r="E17" s="124">
        <f ca="1">SUM(E12:E16)</f>
        <v>4</v>
      </c>
      <c r="F17" s="124">
        <f ca="1">SUM(F12:F16)</f>
        <v>10</v>
      </c>
      <c r="G17" s="125">
        <f ca="1">SUM(G12:G16)</f>
        <v>0</v>
      </c>
      <c r="H17" s="126">
        <f t="shared" ca="1" si="0"/>
        <v>0</v>
      </c>
      <c r="I17" s="284"/>
      <c r="J17" s="135">
        <f ca="1">SUM(J12:J16)</f>
        <v>10</v>
      </c>
      <c r="K17" s="124">
        <f ca="1">SUM(K12:K16)</f>
        <v>0</v>
      </c>
      <c r="L17" s="124">
        <f ca="1">SUM(L12:L16)</f>
        <v>0</v>
      </c>
      <c r="M17" s="124">
        <f ca="1">SUM(M12:M16)</f>
        <v>6</v>
      </c>
      <c r="N17" s="127">
        <f ca="1">IF($O17="N/A","N/A",IFERROR($J17/($F17-(M17-G17)),"N/A"))</f>
        <v>2.5</v>
      </c>
      <c r="O17" s="128">
        <f ca="1">IF($G17=$D17,"N/A",IFERROR((T17/U17),"N/A"))</f>
        <v>1</v>
      </c>
      <c r="R17" s="39">
        <f ca="1">SUM(R12:R16)</f>
        <v>48</v>
      </c>
      <c r="S17" s="40">
        <f ca="1">SUM(S12:S16)</f>
        <v>0</v>
      </c>
      <c r="T17" s="40">
        <f ca="1">SUM(T12:T16)</f>
        <v>35</v>
      </c>
      <c r="U17" s="39">
        <f ca="1">SUM(U12:U16)</f>
        <v>35</v>
      </c>
      <c r="V17" s="291" t="s">
        <v>140</v>
      </c>
      <c r="W17" s="292"/>
      <c r="X17" s="60">
        <f t="shared" ca="1" si="1"/>
        <v>0</v>
      </c>
      <c r="Y17" s="60">
        <f t="shared" ca="1" si="2"/>
        <v>1</v>
      </c>
    </row>
    <row r="18" spans="1:25">
      <c r="A18" s="9"/>
      <c r="B18" s="9"/>
      <c r="C18" s="9"/>
      <c r="D18" s="9"/>
      <c r="E18" s="9"/>
      <c r="F18" s="9"/>
      <c r="G18" s="9"/>
      <c r="H18" s="9"/>
      <c r="I18" s="9"/>
      <c r="M18" s="9"/>
      <c r="N18" s="9"/>
    </row>
    <row r="19" spans="1:25">
      <c r="A19" s="9" t="s">
        <v>126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7" t="s">
        <v>53</v>
      </c>
      <c r="S19" s="17"/>
    </row>
    <row r="20" spans="1:25" ht="21.95" customHeight="1">
      <c r="A20" s="293" t="s">
        <v>79</v>
      </c>
      <c r="B20" s="294"/>
      <c r="C20" s="295" t="s">
        <v>201</v>
      </c>
      <c r="D20" s="295"/>
      <c r="E20" s="295"/>
      <c r="F20" s="296" t="s">
        <v>101</v>
      </c>
      <c r="G20" s="295"/>
      <c r="H20" s="131" t="s">
        <v>218</v>
      </c>
      <c r="I20" s="132" t="s">
        <v>143</v>
      </c>
      <c r="J20" s="130" t="s">
        <v>233</v>
      </c>
      <c r="K20" s="132" t="s">
        <v>198</v>
      </c>
      <c r="L20" s="296" t="s">
        <v>245</v>
      </c>
      <c r="M20" s="295"/>
      <c r="N20" s="295"/>
      <c r="O20" s="295"/>
      <c r="P20" s="297"/>
      <c r="Q20" s="133" t="s">
        <v>112</v>
      </c>
      <c r="R20" s="45" t="s">
        <v>144</v>
      </c>
      <c r="S20" s="44" t="s">
        <v>119</v>
      </c>
      <c r="T20" s="25" t="s">
        <v>125</v>
      </c>
      <c r="U20" s="44" t="s">
        <v>127</v>
      </c>
      <c r="V20" s="298" t="s">
        <v>233</v>
      </c>
      <c r="W20" s="299"/>
      <c r="Y20" s="62"/>
    </row>
    <row r="21" spans="1:25" ht="12" customHeight="1">
      <c r="A21" s="32" t="str">
        <f>ChkList!A5</f>
        <v>계정 관리</v>
      </c>
      <c r="B21" s="51" t="str">
        <f>ChkList!B5</f>
        <v>W-01</v>
      </c>
      <c r="C21" s="300" t="str">
        <f>ChkList!C5</f>
        <v>Administrator 계정 이름 변경 등 보안성 강화</v>
      </c>
      <c r="D21" s="301"/>
      <c r="E21" s="302"/>
      <c r="F21" s="32" t="str">
        <f>ChkList!D5</f>
        <v>H</v>
      </c>
      <c r="G21" s="32">
        <f>ChkList!E5</f>
        <v>3</v>
      </c>
      <c r="H21" s="154" t="s">
        <v>100</v>
      </c>
      <c r="I21" s="152" t="s">
        <v>20</v>
      </c>
      <c r="J21" s="29" t="s">
        <v>88</v>
      </c>
      <c r="K21" s="29" t="str">
        <f>IF($J21="","",IF(OR($H21="Y",$H21="N/A",$H21="Y(즉시조치)"),$H21,IF(AND($H21="N",$J21="Y"),"조치",IF(AND($H21="N",$J21="N/A"),"N/A",IF(IFERROR(FIND("위험수용",$L21),0),"위험수용","미조치")))))</f>
        <v>조치</v>
      </c>
      <c r="L21" s="300"/>
      <c r="M21" s="301"/>
      <c r="N21" s="301"/>
      <c r="O21" s="301"/>
      <c r="P21" s="302"/>
      <c r="Q21" s="21" t="str">
        <f>IF($J21="",IF(OR(#REF!="N",#REF!="인터뷰"),ChkList!#REF!,""),IF(OR($J21="N",$J21="인터뷰"),ChkList!#REF!,""))</f>
        <v/>
      </c>
      <c r="R21" s="32">
        <f>IF($H21="N/A",0,VLOOKUP($F21,'parm(hidden)'!$B$8:$C$10,2,FALSE))*1</f>
        <v>3</v>
      </c>
      <c r="S21" s="32">
        <f>IFERROR(VLOOKUP($F21,'parm(hidden)'!$B$8:$C$10,2,FALSE)*VLOOKUP(#REF!,'parm(hidden)'!$B$15:$C$19,2,FALSE),0)</f>
        <v>0</v>
      </c>
      <c r="T21" s="32">
        <f>IFERROR(VLOOKUP($F21,'parm(hidden)'!$B$8:$C$10,2,FALSE)*VLOOKUP($K21,$V$22:$W$27,2,FALSE),0)</f>
        <v>3</v>
      </c>
      <c r="U21" s="11">
        <f>IF($J21="N/A",0,VLOOKUP($F21,'parm(hidden)'!$B$8:$C$10,2,FALSE))*1</f>
        <v>3</v>
      </c>
      <c r="V21" s="52" t="s">
        <v>82</v>
      </c>
      <c r="W21" s="38" t="s">
        <v>102</v>
      </c>
      <c r="Y21" s="10"/>
    </row>
    <row r="22" spans="1:25" ht="12" customHeight="1">
      <c r="A22" s="170" t="str">
        <f>ChkList!A6</f>
        <v>계정 관리</v>
      </c>
      <c r="B22" s="172" t="str">
        <f>ChkList!B6</f>
        <v>W-02</v>
      </c>
      <c r="C22" s="300" t="str">
        <f>ChkList!C6</f>
        <v>Guest 계정 비활성화</v>
      </c>
      <c r="D22" s="301"/>
      <c r="E22" s="302"/>
      <c r="F22" s="170" t="str">
        <f>ChkList!D6</f>
        <v>H</v>
      </c>
      <c r="G22" s="170">
        <f>ChkList!E6</f>
        <v>3</v>
      </c>
      <c r="H22" s="154" t="s">
        <v>100</v>
      </c>
      <c r="I22" s="152" t="s">
        <v>0</v>
      </c>
      <c r="J22" s="29" t="s">
        <v>88</v>
      </c>
      <c r="K22" s="29" t="str">
        <f t="shared" ref="K22:K84" si="3">IF($J22="","",IF(OR($H22="Y",$H22="N/A",$H22="Y(즉시조치)"),$H22,IF(AND($H22="N",$J22="Y"),"조치",IF(AND($H22="N",$J22="N/A"),"N/A",IF(IFERROR(FIND("위험수용",$L22),0),"위험수용","미조치")))))</f>
        <v>조치</v>
      </c>
      <c r="L22" s="300"/>
      <c r="M22" s="301"/>
      <c r="N22" s="301"/>
      <c r="O22" s="301"/>
      <c r="P22" s="302"/>
      <c r="Q22" s="21"/>
      <c r="R22" s="32">
        <f>IF($H22="N/A",0,VLOOKUP($F22,'parm(hidden)'!$B$8:$C$10,2,FALSE))*1</f>
        <v>3</v>
      </c>
      <c r="S22" s="32">
        <f>IFERROR(VLOOKUP($F22,'parm(hidden)'!$B$8:$C$10,2,FALSE)*VLOOKUP(#REF!,'parm(hidden)'!$B$15:$C$19,2,FALSE),0)</f>
        <v>0</v>
      </c>
      <c r="T22" s="32">
        <f>IFERROR(VLOOKUP($F22,'parm(hidden)'!$B$8:$C$10,2,FALSE)*VLOOKUP($K22,$V$22:$W$27,2,FALSE),0)</f>
        <v>3</v>
      </c>
      <c r="U22" s="11">
        <f>IF($J22="N/A",0,VLOOKUP($F22,'parm(hidden)'!$B$8:$C$10,2,FALSE))*1</f>
        <v>3</v>
      </c>
      <c r="V22" s="54" t="s">
        <v>110</v>
      </c>
      <c r="W22" s="29">
        <v>1</v>
      </c>
      <c r="Y22" s="10"/>
    </row>
    <row r="23" spans="1:25" ht="12" customHeight="1">
      <c r="A23" s="170" t="str">
        <f>ChkList!A7</f>
        <v>계정 관리</v>
      </c>
      <c r="B23" s="172" t="str">
        <f>ChkList!B7</f>
        <v>W-03</v>
      </c>
      <c r="C23" s="300" t="str">
        <f>ChkList!C7</f>
        <v>불필요한 계정 제거</v>
      </c>
      <c r="D23" s="301"/>
      <c r="E23" s="302"/>
      <c r="F23" s="170" t="str">
        <f>ChkList!D7</f>
        <v>H</v>
      </c>
      <c r="G23" s="170">
        <f>ChkList!E7</f>
        <v>3</v>
      </c>
      <c r="H23" s="157" t="s">
        <v>88</v>
      </c>
      <c r="I23" s="152" t="s">
        <v>33</v>
      </c>
      <c r="J23" s="29" t="s">
        <v>88</v>
      </c>
      <c r="K23" s="29" t="str">
        <f t="shared" si="3"/>
        <v>Y</v>
      </c>
      <c r="L23" s="300"/>
      <c r="M23" s="301"/>
      <c r="N23" s="301"/>
      <c r="O23" s="301"/>
      <c r="P23" s="302"/>
      <c r="Q23" s="21"/>
      <c r="R23" s="32">
        <f>IF($H23="N/A",0,VLOOKUP($F23,'parm(hidden)'!$B$8:$C$10,2,FALSE))*1</f>
        <v>3</v>
      </c>
      <c r="S23" s="32">
        <f>IFERROR(VLOOKUP($F23,'parm(hidden)'!$B$8:$C$10,2,FALSE)*VLOOKUP(#REF!,'parm(hidden)'!$B$15:$C$19,2,FALSE),0)</f>
        <v>0</v>
      </c>
      <c r="T23" s="32">
        <f>IFERROR(VLOOKUP($F23,'parm(hidden)'!$B$8:$C$10,2,FALSE)*VLOOKUP($K23,$V$22:$W$27,2,FALSE),0)</f>
        <v>3</v>
      </c>
      <c r="U23" s="11">
        <f>IF($J23="N/A",0,VLOOKUP($F23,'parm(hidden)'!$B$8:$C$10,2,FALSE))*1</f>
        <v>3</v>
      </c>
      <c r="V23" s="54" t="s">
        <v>97</v>
      </c>
      <c r="W23" s="29">
        <v>0</v>
      </c>
      <c r="Y23" s="10"/>
    </row>
    <row r="24" spans="1:25" ht="12" customHeight="1">
      <c r="A24" s="170" t="str">
        <f>ChkList!A8</f>
        <v>계정 관리</v>
      </c>
      <c r="B24" s="172" t="str">
        <f>ChkList!B8</f>
        <v>W-04</v>
      </c>
      <c r="C24" s="300" t="str">
        <f>ChkList!C8</f>
        <v>계정 잠금 임계값 설정</v>
      </c>
      <c r="D24" s="301"/>
      <c r="E24" s="302"/>
      <c r="F24" s="170" t="str">
        <f>ChkList!D8</f>
        <v>H</v>
      </c>
      <c r="G24" s="170">
        <f>ChkList!E8</f>
        <v>3</v>
      </c>
      <c r="H24" s="154" t="s">
        <v>100</v>
      </c>
      <c r="I24" s="152" t="s">
        <v>23</v>
      </c>
      <c r="J24" s="29" t="s">
        <v>88</v>
      </c>
      <c r="K24" s="29" t="str">
        <f t="shared" si="3"/>
        <v>조치</v>
      </c>
      <c r="L24" s="300"/>
      <c r="M24" s="301"/>
      <c r="N24" s="301"/>
      <c r="O24" s="301"/>
      <c r="P24" s="302"/>
      <c r="Q24" s="21"/>
      <c r="R24" s="32">
        <f>IF($H24="N/A",0,VLOOKUP($F24,'parm(hidden)'!$B$8:$C$10,2,FALSE))*1</f>
        <v>3</v>
      </c>
      <c r="S24" s="32">
        <f>IFERROR(VLOOKUP($F24,'parm(hidden)'!$B$8:$C$10,2,FALSE)*VLOOKUP(#REF!,'parm(hidden)'!$B$15:$C$19,2,FALSE),0)</f>
        <v>0</v>
      </c>
      <c r="T24" s="32">
        <f>IFERROR(VLOOKUP($F24,'parm(hidden)'!$B$8:$C$10,2,FALSE)*VLOOKUP($K24,$V$22:$W$27,2,FALSE),0)</f>
        <v>3</v>
      </c>
      <c r="U24" s="11">
        <f>IF($J24="N/A",0,VLOOKUP($F24,'parm(hidden)'!$B$8:$C$10,2,FALSE))*1</f>
        <v>3</v>
      </c>
      <c r="V24" s="54" t="s">
        <v>219</v>
      </c>
      <c r="W24" s="29">
        <v>0</v>
      </c>
      <c r="Y24" s="10"/>
    </row>
    <row r="25" spans="1:25" ht="12" customHeight="1">
      <c r="A25" s="170" t="str">
        <f>ChkList!A9</f>
        <v>계정 관리</v>
      </c>
      <c r="B25" s="172" t="str">
        <f>ChkList!B9</f>
        <v>W-05</v>
      </c>
      <c r="C25" s="300" t="str">
        <f>ChkList!C9</f>
        <v>해독 가능한 암호화를 사용하여 암호 저장 해제</v>
      </c>
      <c r="D25" s="301"/>
      <c r="E25" s="302"/>
      <c r="F25" s="170" t="str">
        <f>ChkList!D9</f>
        <v>H</v>
      </c>
      <c r="G25" s="170">
        <f>ChkList!E9</f>
        <v>3</v>
      </c>
      <c r="H25" s="157" t="s">
        <v>88</v>
      </c>
      <c r="I25" s="152" t="s">
        <v>17</v>
      </c>
      <c r="J25" s="29" t="s">
        <v>88</v>
      </c>
      <c r="K25" s="29" t="str">
        <f t="shared" si="3"/>
        <v>Y</v>
      </c>
      <c r="L25" s="300"/>
      <c r="M25" s="301"/>
      <c r="N25" s="301"/>
      <c r="O25" s="301"/>
      <c r="P25" s="302"/>
      <c r="Q25" s="21"/>
      <c r="R25" s="32">
        <f>IF($H25="N/A",0,VLOOKUP($F25,'parm(hidden)'!$B$8:$C$10,2,FALSE))*1</f>
        <v>3</v>
      </c>
      <c r="S25" s="32">
        <f>IFERROR(VLOOKUP($F25,'parm(hidden)'!$B$8:$C$10,2,FALSE)*VLOOKUP(#REF!,'parm(hidden)'!$B$15:$C$19,2,FALSE),0)</f>
        <v>0</v>
      </c>
      <c r="T25" s="32">
        <f>IFERROR(VLOOKUP($F25,'parm(hidden)'!$B$8:$C$10,2,FALSE)*VLOOKUP($K25,$V$22:$W$27,2,FALSE),0)</f>
        <v>3</v>
      </c>
      <c r="U25" s="11">
        <f>IF($J25="N/A",0,VLOOKUP($F25,'parm(hidden)'!$B$8:$C$10,2,FALSE))*1</f>
        <v>3</v>
      </c>
      <c r="V25" s="54" t="s">
        <v>78</v>
      </c>
      <c r="W25" s="29">
        <v>0</v>
      </c>
      <c r="Y25" s="10"/>
    </row>
    <row r="26" spans="1:25" ht="12" customHeight="1">
      <c r="A26" s="170" t="str">
        <f>ChkList!A10</f>
        <v>계정 관리</v>
      </c>
      <c r="B26" s="172" t="str">
        <f>ChkList!B10</f>
        <v>W-06</v>
      </c>
      <c r="C26" s="300" t="str">
        <f>ChkList!C10</f>
        <v>관리자 그룹에 최소한의 사용자 포함</v>
      </c>
      <c r="D26" s="301"/>
      <c r="E26" s="302"/>
      <c r="F26" s="170" t="str">
        <f>ChkList!D10</f>
        <v>H</v>
      </c>
      <c r="G26" s="170">
        <f>ChkList!E10</f>
        <v>3</v>
      </c>
      <c r="H26" s="157" t="s">
        <v>88</v>
      </c>
      <c r="I26" s="152" t="s">
        <v>21</v>
      </c>
      <c r="J26" s="29" t="s">
        <v>88</v>
      </c>
      <c r="K26" s="29" t="str">
        <f t="shared" si="3"/>
        <v>Y</v>
      </c>
      <c r="L26" s="300"/>
      <c r="M26" s="301"/>
      <c r="N26" s="301"/>
      <c r="O26" s="301"/>
      <c r="P26" s="302"/>
      <c r="Q26" s="21"/>
      <c r="R26" s="32">
        <f>IF($H26="N/A",0,VLOOKUP($F26,'parm(hidden)'!$B$8:$C$10,2,FALSE))*1</f>
        <v>3</v>
      </c>
      <c r="S26" s="32">
        <f>IFERROR(VLOOKUP($F26,'parm(hidden)'!$B$8:$C$10,2,FALSE)*VLOOKUP(#REF!,'parm(hidden)'!$B$15:$C$19,2,FALSE),0)</f>
        <v>0</v>
      </c>
      <c r="T26" s="32">
        <f>IFERROR(VLOOKUP($F26,'parm(hidden)'!$B$8:$C$10,2,FALSE)*VLOOKUP($K26,$V$22:$W$27,2,FALSE),0)</f>
        <v>3</v>
      </c>
      <c r="U26" s="11">
        <f>IF($J26="N/A",0,VLOOKUP($F26,'parm(hidden)'!$B$8:$C$10,2,FALSE))*1</f>
        <v>3</v>
      </c>
      <c r="V26" s="54" t="s">
        <v>88</v>
      </c>
      <c r="W26" s="29">
        <v>1</v>
      </c>
      <c r="Y26" s="10"/>
    </row>
    <row r="27" spans="1:25" ht="12" customHeight="1">
      <c r="A27" s="170" t="str">
        <f>ChkList!A11</f>
        <v>계정 관리</v>
      </c>
      <c r="B27" s="172" t="str">
        <f>ChkList!B11</f>
        <v>W-07</v>
      </c>
      <c r="C27" s="300" t="str">
        <f>ChkList!C11</f>
        <v>Everyone 사용 권한을 익명 사용자에 적용</v>
      </c>
      <c r="D27" s="301"/>
      <c r="E27" s="302"/>
      <c r="F27" s="170" t="str">
        <f>ChkList!D11</f>
        <v>M</v>
      </c>
      <c r="G27" s="170">
        <f>ChkList!E11</f>
        <v>2</v>
      </c>
      <c r="H27" s="157" t="s">
        <v>88</v>
      </c>
      <c r="I27" s="152" t="s">
        <v>16</v>
      </c>
      <c r="J27" s="29" t="s">
        <v>88</v>
      </c>
      <c r="K27" s="29" t="str">
        <f t="shared" si="3"/>
        <v>Y</v>
      </c>
      <c r="L27" s="300"/>
      <c r="M27" s="301"/>
      <c r="N27" s="301"/>
      <c r="O27" s="301"/>
      <c r="P27" s="302"/>
      <c r="Q27" s="21"/>
      <c r="R27" s="32">
        <f>IF($H27="N/A",0,VLOOKUP($F27,'parm(hidden)'!$B$8:$C$10,2,FALSE))*1</f>
        <v>2</v>
      </c>
      <c r="S27" s="32">
        <f>IFERROR(VLOOKUP($F27,'parm(hidden)'!$B$8:$C$10,2,FALSE)*VLOOKUP(#REF!,'parm(hidden)'!$B$15:$C$19,2,FALSE),0)</f>
        <v>0</v>
      </c>
      <c r="T27" s="32">
        <f>IFERROR(VLOOKUP($F27,'parm(hidden)'!$B$8:$C$10,2,FALSE)*VLOOKUP($K27,$V$22:$W$27,2,FALSE),0)</f>
        <v>2</v>
      </c>
      <c r="U27" s="11">
        <f>IF($J27="N/A",0,VLOOKUP($F27,'parm(hidden)'!$B$8:$C$10,2,FALSE))*1</f>
        <v>2</v>
      </c>
      <c r="V27" s="54" t="s">
        <v>193</v>
      </c>
      <c r="W27" s="29">
        <v>1</v>
      </c>
      <c r="Y27" s="10"/>
    </row>
    <row r="28" spans="1:25" ht="12" customHeight="1">
      <c r="A28" s="170" t="str">
        <f>ChkList!A12</f>
        <v>계정 관리</v>
      </c>
      <c r="B28" s="172" t="str">
        <f>ChkList!B12</f>
        <v>W-08</v>
      </c>
      <c r="C28" s="300" t="str">
        <f>ChkList!C12</f>
        <v>계정 잠금 기간 설정</v>
      </c>
      <c r="D28" s="301"/>
      <c r="E28" s="302"/>
      <c r="F28" s="170" t="str">
        <f>ChkList!D12</f>
        <v>M</v>
      </c>
      <c r="G28" s="170">
        <f>ChkList!E12</f>
        <v>2</v>
      </c>
      <c r="H28" s="154" t="s">
        <v>100</v>
      </c>
      <c r="I28" s="152" t="s">
        <v>18</v>
      </c>
      <c r="J28" s="29" t="s">
        <v>88</v>
      </c>
      <c r="K28" s="29" t="str">
        <f t="shared" si="3"/>
        <v>조치</v>
      </c>
      <c r="L28" s="300"/>
      <c r="M28" s="301"/>
      <c r="N28" s="301"/>
      <c r="O28" s="301"/>
      <c r="P28" s="302"/>
      <c r="Q28" s="21"/>
      <c r="R28" s="32">
        <f>IF($H28="N/A",0,VLOOKUP($F28,'parm(hidden)'!$B$8:$C$10,2,FALSE))*1</f>
        <v>2</v>
      </c>
      <c r="S28" s="32">
        <f>IFERROR(VLOOKUP($F28,'parm(hidden)'!$B$8:$C$10,2,FALSE)*VLOOKUP(#REF!,'parm(hidden)'!$B$15:$C$19,2,FALSE),0)</f>
        <v>0</v>
      </c>
      <c r="T28" s="32">
        <f>IFERROR(VLOOKUP($F28,'parm(hidden)'!$B$8:$C$10,2,FALSE)*VLOOKUP($K28,$V$22:$W$27,2,FALSE),0)</f>
        <v>2</v>
      </c>
      <c r="U28" s="11">
        <f>IF($J28="N/A",0,VLOOKUP($F28,'parm(hidden)'!$B$8:$C$10,2,FALSE))*1</f>
        <v>2</v>
      </c>
      <c r="V28" s="10"/>
      <c r="W28" s="10"/>
      <c r="Y28" s="10"/>
    </row>
    <row r="29" spans="1:25" ht="12" customHeight="1">
      <c r="A29" s="170" t="str">
        <f>ChkList!A13</f>
        <v>계정 관리</v>
      </c>
      <c r="B29" s="172" t="str">
        <f>ChkList!B13</f>
        <v>W-09</v>
      </c>
      <c r="C29" s="300" t="str">
        <f>ChkList!C13</f>
        <v>비밀번호 관리 정책 설정</v>
      </c>
      <c r="D29" s="301"/>
      <c r="E29" s="302"/>
      <c r="F29" s="170" t="str">
        <f>ChkList!D13</f>
        <v>H</v>
      </c>
      <c r="G29" s="170">
        <f>ChkList!E13</f>
        <v>3</v>
      </c>
      <c r="H29" s="154" t="s">
        <v>100</v>
      </c>
      <c r="I29" s="153" t="s">
        <v>152</v>
      </c>
      <c r="J29" s="29" t="s">
        <v>88</v>
      </c>
      <c r="K29" s="29" t="str">
        <f t="shared" si="3"/>
        <v>조치</v>
      </c>
      <c r="L29" s="300"/>
      <c r="M29" s="301"/>
      <c r="N29" s="301"/>
      <c r="O29" s="301"/>
      <c r="P29" s="302"/>
      <c r="Q29" s="21"/>
      <c r="R29" s="32">
        <f>IF($H29="N/A",0,VLOOKUP($F29,'parm(hidden)'!$B$8:$C$10,2,FALSE))*1</f>
        <v>3</v>
      </c>
      <c r="S29" s="32">
        <f>IFERROR(VLOOKUP($F29,'parm(hidden)'!$B$8:$C$10,2,FALSE)*VLOOKUP(#REF!,'parm(hidden)'!$B$15:$C$19,2,FALSE),0)</f>
        <v>0</v>
      </c>
      <c r="T29" s="32">
        <f>IFERROR(VLOOKUP($F29,'parm(hidden)'!$B$8:$C$10,2,FALSE)*VLOOKUP($K29,$V$22:$W$27,2,FALSE),0)</f>
        <v>3</v>
      </c>
      <c r="U29" s="11">
        <f>IF($J29="N/A",0,VLOOKUP($F29,'parm(hidden)'!$B$8:$C$10,2,FALSE))*1</f>
        <v>3</v>
      </c>
      <c r="V29" s="10"/>
      <c r="W29" s="10"/>
      <c r="Y29" s="10"/>
    </row>
    <row r="30" spans="1:25" ht="12" customHeight="1">
      <c r="A30" s="170" t="str">
        <f>ChkList!A14</f>
        <v>계정 관리</v>
      </c>
      <c r="B30" s="172" t="str">
        <f>ChkList!B14</f>
        <v>W-10</v>
      </c>
      <c r="C30" s="300" t="str">
        <f>ChkList!C14</f>
        <v>마지막 사용자 이름 표시 안 함</v>
      </c>
      <c r="D30" s="301"/>
      <c r="E30" s="302"/>
      <c r="F30" s="170" t="str">
        <f>ChkList!D14</f>
        <v>M</v>
      </c>
      <c r="G30" s="170">
        <f>ChkList!E14</f>
        <v>2</v>
      </c>
      <c r="H30" s="154" t="s">
        <v>100</v>
      </c>
      <c r="I30" s="153" t="s">
        <v>167</v>
      </c>
      <c r="J30" s="29" t="s">
        <v>88</v>
      </c>
      <c r="K30" s="29" t="str">
        <f t="shared" si="3"/>
        <v>조치</v>
      </c>
      <c r="L30" s="300"/>
      <c r="M30" s="301"/>
      <c r="N30" s="301"/>
      <c r="O30" s="301"/>
      <c r="P30" s="302"/>
      <c r="Q30" s="21"/>
      <c r="R30" s="32">
        <f>IF($H30="N/A",0,VLOOKUP($F30,'parm(hidden)'!$B$8:$C$10,2,FALSE))*1</f>
        <v>2</v>
      </c>
      <c r="S30" s="32">
        <f>IFERROR(VLOOKUP($F30,'parm(hidden)'!$B$8:$C$10,2,FALSE)*VLOOKUP(#REF!,'parm(hidden)'!$B$15:$C$19,2,FALSE),0)</f>
        <v>0</v>
      </c>
      <c r="T30" s="32">
        <f>IFERROR(VLOOKUP($F30,'parm(hidden)'!$B$8:$C$10,2,FALSE)*VLOOKUP($K30,$V$22:$W$27,2,FALSE),0)</f>
        <v>2</v>
      </c>
      <c r="U30" s="11">
        <f>IF($J30="N/A",0,VLOOKUP($F30,'parm(hidden)'!$B$8:$C$10,2,FALSE))*1</f>
        <v>2</v>
      </c>
      <c r="V30" s="10"/>
      <c r="W30" s="10"/>
      <c r="Y30" s="10"/>
    </row>
    <row r="31" spans="1:25" ht="12" customHeight="1">
      <c r="A31" s="170" t="str">
        <f>ChkList!A15</f>
        <v>계정 관리</v>
      </c>
      <c r="B31" s="172" t="str">
        <f>ChkList!B15</f>
        <v>W-11</v>
      </c>
      <c r="C31" s="300" t="str">
        <f>ChkList!C15</f>
        <v>로컬 로그온 허용</v>
      </c>
      <c r="D31" s="301"/>
      <c r="E31" s="302"/>
      <c r="F31" s="170" t="str">
        <f>ChkList!D15</f>
        <v>M</v>
      </c>
      <c r="G31" s="170">
        <f>ChkList!E15</f>
        <v>2</v>
      </c>
      <c r="H31" s="154" t="s">
        <v>100</v>
      </c>
      <c r="I31" s="153" t="s">
        <v>58</v>
      </c>
      <c r="J31" s="29" t="s">
        <v>88</v>
      </c>
      <c r="K31" s="29" t="str">
        <f t="shared" si="3"/>
        <v>조치</v>
      </c>
      <c r="L31" s="300"/>
      <c r="M31" s="301"/>
      <c r="N31" s="301"/>
      <c r="O31" s="301"/>
      <c r="P31" s="302"/>
      <c r="Q31" s="21"/>
      <c r="R31" s="32">
        <f>IF($H31="N/A",0,VLOOKUP($F31,'parm(hidden)'!$B$8:$C$10,2,FALSE))*1</f>
        <v>2</v>
      </c>
      <c r="S31" s="32">
        <f>IFERROR(VLOOKUP($F31,'parm(hidden)'!$B$8:$C$10,2,FALSE)*VLOOKUP(#REF!,'parm(hidden)'!$B$15:$C$19,2,FALSE),0)</f>
        <v>0</v>
      </c>
      <c r="T31" s="32">
        <f>IFERROR(VLOOKUP($F31,'parm(hidden)'!$B$8:$C$10,2,FALSE)*VLOOKUP($K31,$V$22:$W$27,2,FALSE),0)</f>
        <v>2</v>
      </c>
      <c r="U31" s="11">
        <f>IF($J31="N/A",0,VLOOKUP($F31,'parm(hidden)'!$B$8:$C$10,2,FALSE))*1</f>
        <v>2</v>
      </c>
      <c r="V31" s="10"/>
      <c r="W31" s="10"/>
      <c r="Y31" s="10"/>
    </row>
    <row r="32" spans="1:25" ht="12" customHeight="1">
      <c r="A32" s="170" t="str">
        <f>ChkList!A16</f>
        <v>계정 관리</v>
      </c>
      <c r="B32" s="172" t="str">
        <f>ChkList!B16</f>
        <v>W-12</v>
      </c>
      <c r="C32" s="300" t="str">
        <f>ChkList!C16</f>
        <v>익명 SID/이름 변환 허용 해제</v>
      </c>
      <c r="D32" s="301"/>
      <c r="E32" s="302"/>
      <c r="F32" s="170" t="str">
        <f>ChkList!D16</f>
        <v>M</v>
      </c>
      <c r="G32" s="170">
        <f>ChkList!E16</f>
        <v>2</v>
      </c>
      <c r="H32" s="154" t="s">
        <v>100</v>
      </c>
      <c r="I32" s="153" t="s">
        <v>63</v>
      </c>
      <c r="J32" s="29" t="s">
        <v>88</v>
      </c>
      <c r="K32" s="29" t="str">
        <f t="shared" si="3"/>
        <v>조치</v>
      </c>
      <c r="L32" s="300"/>
      <c r="M32" s="301"/>
      <c r="N32" s="301"/>
      <c r="O32" s="301"/>
      <c r="P32" s="302"/>
      <c r="Q32" s="21"/>
      <c r="R32" s="32">
        <f>IF($H32="N/A",0,VLOOKUP($F32,'parm(hidden)'!$B$8:$C$10,2,FALSE))*1</f>
        <v>2</v>
      </c>
      <c r="S32" s="32">
        <f>IFERROR(VLOOKUP($F32,'parm(hidden)'!$B$8:$C$10,2,FALSE)*VLOOKUP(#REF!,'parm(hidden)'!$B$15:$C$19,2,FALSE),0)</f>
        <v>0</v>
      </c>
      <c r="T32" s="32">
        <f>IFERROR(VLOOKUP($F32,'parm(hidden)'!$B$8:$C$10,2,FALSE)*VLOOKUP($K32,$V$22:$W$27,2,FALSE),0)</f>
        <v>2</v>
      </c>
      <c r="U32" s="11">
        <f>IF($J32="N/A",0,VLOOKUP($F32,'parm(hidden)'!$B$8:$C$10,2,FALSE))*1</f>
        <v>2</v>
      </c>
      <c r="V32" s="10"/>
      <c r="W32" s="10"/>
      <c r="Y32" s="10"/>
    </row>
    <row r="33" spans="1:25" ht="12" customHeight="1">
      <c r="A33" s="170" t="str">
        <f>ChkList!A17</f>
        <v>계정 관리</v>
      </c>
      <c r="B33" s="172" t="str">
        <f>ChkList!B17</f>
        <v>W-13</v>
      </c>
      <c r="C33" s="300" t="str">
        <f>ChkList!C17</f>
        <v>콘솔 로그온 시 로컬 계정에서 빈 암호 사용 제한</v>
      </c>
      <c r="D33" s="301"/>
      <c r="E33" s="302"/>
      <c r="F33" s="170" t="str">
        <f>ChkList!D17</f>
        <v>M</v>
      </c>
      <c r="G33" s="170">
        <f>ChkList!E17</f>
        <v>2</v>
      </c>
      <c r="H33" s="154" t="s">
        <v>100</v>
      </c>
      <c r="I33" s="152" t="s">
        <v>55</v>
      </c>
      <c r="J33" s="29" t="s">
        <v>88</v>
      </c>
      <c r="K33" s="29" t="str">
        <f t="shared" si="3"/>
        <v>조치</v>
      </c>
      <c r="L33" s="300"/>
      <c r="M33" s="301"/>
      <c r="N33" s="301"/>
      <c r="O33" s="301"/>
      <c r="P33" s="302"/>
      <c r="Q33" s="21"/>
      <c r="R33" s="32">
        <f>IF($H33="N/A",0,VLOOKUP($F33,'parm(hidden)'!$B$8:$C$10,2,FALSE))*1</f>
        <v>2</v>
      </c>
      <c r="S33" s="32">
        <f>IFERROR(VLOOKUP($F33,'parm(hidden)'!$B$8:$C$10,2,FALSE)*VLOOKUP(#REF!,'parm(hidden)'!$B$15:$C$19,2,FALSE),0)</f>
        <v>0</v>
      </c>
      <c r="T33" s="32">
        <f>IFERROR(VLOOKUP($F33,'parm(hidden)'!$B$8:$C$10,2,FALSE)*VLOOKUP($K33,$V$22:$W$27,2,FALSE),0)</f>
        <v>2</v>
      </c>
      <c r="U33" s="11">
        <f>IF($J33="N/A",0,VLOOKUP($F33,'parm(hidden)'!$B$8:$C$10,2,FALSE))*1</f>
        <v>2</v>
      </c>
      <c r="V33" s="10"/>
      <c r="W33" s="10"/>
      <c r="Y33" s="10"/>
    </row>
    <row r="34" spans="1:25" ht="12" customHeight="1">
      <c r="A34" s="170" t="str">
        <f>ChkList!A18</f>
        <v>계정 관리</v>
      </c>
      <c r="B34" s="172" t="str">
        <f>ChkList!B18</f>
        <v>W-14</v>
      </c>
      <c r="C34" s="300" t="str">
        <f>ChkList!C18</f>
        <v>원격터미널 접속 가능한 사용자 그룹 제한</v>
      </c>
      <c r="D34" s="301"/>
      <c r="E34" s="302"/>
      <c r="F34" s="170" t="str">
        <f>ChkList!D18</f>
        <v>M</v>
      </c>
      <c r="G34" s="170">
        <f>ChkList!E18</f>
        <v>2</v>
      </c>
      <c r="H34" s="154" t="s">
        <v>100</v>
      </c>
      <c r="I34" s="152" t="s">
        <v>1</v>
      </c>
      <c r="J34" s="29" t="s">
        <v>88</v>
      </c>
      <c r="K34" s="29" t="str">
        <f t="shared" si="3"/>
        <v>조치</v>
      </c>
      <c r="L34" s="300"/>
      <c r="M34" s="301"/>
      <c r="N34" s="301"/>
      <c r="O34" s="301"/>
      <c r="P34" s="302"/>
      <c r="Q34" s="21"/>
      <c r="R34" s="32">
        <f>IF($H34="N/A",0,VLOOKUP($F34,'parm(hidden)'!$B$8:$C$10,2,FALSE))*1</f>
        <v>2</v>
      </c>
      <c r="S34" s="32">
        <f>IFERROR(VLOOKUP($F34,'parm(hidden)'!$B$8:$C$10,2,FALSE)*VLOOKUP(#REF!,'parm(hidden)'!$B$15:$C$19,2,FALSE),0)</f>
        <v>0</v>
      </c>
      <c r="T34" s="32">
        <f>IFERROR(VLOOKUP($F34,'parm(hidden)'!$B$8:$C$10,2,FALSE)*VLOOKUP($K34,$V$22:$W$27,2,FALSE),0)</f>
        <v>2</v>
      </c>
      <c r="U34" s="11">
        <f>IF($J34="N/A",0,VLOOKUP($F34,'parm(hidden)'!$B$8:$C$10,2,FALSE))*1</f>
        <v>2</v>
      </c>
      <c r="V34" s="10"/>
      <c r="W34" s="10"/>
      <c r="Y34" s="10"/>
    </row>
    <row r="35" spans="1:25" ht="12" customHeight="1">
      <c r="A35" s="170" t="str">
        <f>ChkList!A19</f>
        <v>서비스 관리</v>
      </c>
      <c r="B35" s="172" t="str">
        <f>ChkList!B19</f>
        <v>W-15</v>
      </c>
      <c r="C35" s="300" t="str">
        <f>ChkList!C19</f>
        <v>사용자 개인키 사용 시 암호 입력</v>
      </c>
      <c r="D35" s="301"/>
      <c r="E35" s="302"/>
      <c r="F35" s="170" t="str">
        <f>ChkList!D19</f>
        <v>H</v>
      </c>
      <c r="G35" s="170">
        <f>ChkList!E19</f>
        <v>3</v>
      </c>
      <c r="H35" s="157" t="s">
        <v>88</v>
      </c>
      <c r="I35" s="152" t="s">
        <v>15</v>
      </c>
      <c r="J35" s="29" t="s">
        <v>88</v>
      </c>
      <c r="K35" s="29" t="str">
        <f t="shared" si="3"/>
        <v>Y</v>
      </c>
      <c r="L35" s="300"/>
      <c r="M35" s="301"/>
      <c r="N35" s="301"/>
      <c r="O35" s="301"/>
      <c r="P35" s="302"/>
      <c r="Q35" s="21"/>
      <c r="R35" s="32">
        <f>IF($H35="N/A",0,VLOOKUP($F35,'parm(hidden)'!$B$8:$C$10,2,FALSE))*1</f>
        <v>3</v>
      </c>
      <c r="S35" s="32">
        <f>IFERROR(VLOOKUP($F35,'parm(hidden)'!$B$8:$C$10,2,FALSE)*VLOOKUP(#REF!,'parm(hidden)'!$B$15:$C$19,2,FALSE),0)</f>
        <v>0</v>
      </c>
      <c r="T35" s="32">
        <f>IFERROR(VLOOKUP($F35,'parm(hidden)'!$B$8:$C$10,2,FALSE)*VLOOKUP($K35,$V$22:$W$27,2,FALSE),0)</f>
        <v>3</v>
      </c>
      <c r="U35" s="11">
        <f>IF($J35="N/A",0,VLOOKUP($F35,'parm(hidden)'!$B$8:$C$10,2,FALSE))*1</f>
        <v>3</v>
      </c>
      <c r="V35" s="10"/>
      <c r="W35" s="10"/>
      <c r="Y35" s="10"/>
    </row>
    <row r="36" spans="1:25" ht="12" customHeight="1">
      <c r="A36" s="170" t="str">
        <f>ChkList!A20</f>
        <v>서비스 관리</v>
      </c>
      <c r="B36" s="172" t="str">
        <f>ChkList!B20</f>
        <v>W-16</v>
      </c>
      <c r="C36" s="300" t="str">
        <f>ChkList!C20</f>
        <v>공유 권한 및 사용자 그룹 설정</v>
      </c>
      <c r="D36" s="301"/>
      <c r="E36" s="302"/>
      <c r="F36" s="170" t="str">
        <f>ChkList!D20</f>
        <v>H</v>
      </c>
      <c r="G36" s="170">
        <f>ChkList!E20</f>
        <v>3</v>
      </c>
      <c r="H36" s="154" t="s">
        <v>100</v>
      </c>
      <c r="I36" s="153" t="s">
        <v>62</v>
      </c>
      <c r="J36" s="29" t="s">
        <v>88</v>
      </c>
      <c r="K36" s="29" t="str">
        <f t="shared" si="3"/>
        <v>조치</v>
      </c>
      <c r="L36" s="300"/>
      <c r="M36" s="301"/>
      <c r="N36" s="301"/>
      <c r="O36" s="301"/>
      <c r="P36" s="302"/>
      <c r="Q36" s="21"/>
      <c r="R36" s="32">
        <f>IF($H36="N/A",0,VLOOKUP($F36,'parm(hidden)'!$B$8:$C$10,2,FALSE))*1</f>
        <v>3</v>
      </c>
      <c r="S36" s="32">
        <f>IFERROR(VLOOKUP($F36,'parm(hidden)'!$B$8:$C$10,2,FALSE)*VLOOKUP(#REF!,'parm(hidden)'!$B$15:$C$19,2,FALSE),0)</f>
        <v>0</v>
      </c>
      <c r="T36" s="32">
        <f>IFERROR(VLOOKUP($F36,'parm(hidden)'!$B$8:$C$10,2,FALSE)*VLOOKUP($K36,$V$22:$W$27,2,FALSE),0)</f>
        <v>3</v>
      </c>
      <c r="U36" s="11">
        <f>IF($J36="N/A",0,VLOOKUP($F36,'parm(hidden)'!$B$8:$C$10,2,FALSE))*1</f>
        <v>3</v>
      </c>
      <c r="V36" s="10"/>
      <c r="W36" s="10"/>
      <c r="Y36" s="10"/>
    </row>
    <row r="37" spans="1:25" ht="12" customHeight="1">
      <c r="A37" s="170" t="str">
        <f>ChkList!A21</f>
        <v>서비스 관리</v>
      </c>
      <c r="B37" s="172" t="str">
        <f>ChkList!B21</f>
        <v>W-17</v>
      </c>
      <c r="C37" s="300" t="str">
        <f>ChkList!C21</f>
        <v>하드디스크 기본 공유 제거</v>
      </c>
      <c r="D37" s="301"/>
      <c r="E37" s="302"/>
      <c r="F37" s="170" t="str">
        <f>ChkList!D21</f>
        <v>H</v>
      </c>
      <c r="G37" s="170">
        <f>ChkList!E21</f>
        <v>3</v>
      </c>
      <c r="H37" s="157" t="s">
        <v>88</v>
      </c>
      <c r="I37" s="152" t="s">
        <v>154</v>
      </c>
      <c r="J37" s="29" t="s">
        <v>88</v>
      </c>
      <c r="K37" s="29" t="str">
        <f t="shared" si="3"/>
        <v>Y</v>
      </c>
      <c r="L37" s="300"/>
      <c r="M37" s="301"/>
      <c r="N37" s="301"/>
      <c r="O37" s="301"/>
      <c r="P37" s="302"/>
      <c r="Q37" s="21"/>
      <c r="R37" s="32">
        <f>IF($H37="N/A",0,VLOOKUP($F37,'parm(hidden)'!$B$8:$C$10,2,FALSE))*1</f>
        <v>3</v>
      </c>
      <c r="S37" s="32">
        <f>IFERROR(VLOOKUP($F37,'parm(hidden)'!$B$8:$C$10,2,FALSE)*VLOOKUP(#REF!,'parm(hidden)'!$B$15:$C$19,2,FALSE),0)</f>
        <v>0</v>
      </c>
      <c r="T37" s="32">
        <f>IFERROR(VLOOKUP($F37,'parm(hidden)'!$B$8:$C$10,2,FALSE)*VLOOKUP($K37,$V$22:$W$27,2,FALSE),0)</f>
        <v>3</v>
      </c>
      <c r="U37" s="11">
        <f>IF($J37="N/A",0,VLOOKUP($F37,'parm(hidden)'!$B$8:$C$10,2,FALSE))*1</f>
        <v>3</v>
      </c>
      <c r="V37" s="10"/>
      <c r="W37" s="10"/>
      <c r="Y37" s="10"/>
    </row>
    <row r="38" spans="1:25" ht="12" customHeight="1">
      <c r="A38" s="170" t="str">
        <f>ChkList!A22</f>
        <v>서비스 관리</v>
      </c>
      <c r="B38" s="172" t="str">
        <f>ChkList!B22</f>
        <v>W-18</v>
      </c>
      <c r="C38" s="300" t="str">
        <f>ChkList!C22</f>
        <v>불필요한 서비스 제거</v>
      </c>
      <c r="D38" s="301"/>
      <c r="E38" s="302"/>
      <c r="F38" s="170" t="str">
        <f>ChkList!D22</f>
        <v>H</v>
      </c>
      <c r="G38" s="170">
        <f>ChkList!E22</f>
        <v>3</v>
      </c>
      <c r="H38" s="154" t="s">
        <v>100</v>
      </c>
      <c r="I38" s="153" t="s">
        <v>27</v>
      </c>
      <c r="J38" s="29" t="s">
        <v>88</v>
      </c>
      <c r="K38" s="29" t="str">
        <f t="shared" si="3"/>
        <v>조치</v>
      </c>
      <c r="L38" s="300"/>
      <c r="M38" s="301"/>
      <c r="N38" s="301"/>
      <c r="O38" s="301"/>
      <c r="P38" s="302"/>
      <c r="Q38" s="21"/>
      <c r="R38" s="32">
        <f>IF($H38="N/A",0,VLOOKUP($F38,'parm(hidden)'!$B$8:$C$10,2,FALSE))*1</f>
        <v>3</v>
      </c>
      <c r="S38" s="32">
        <f>IFERROR(VLOOKUP($F38,'parm(hidden)'!$B$8:$C$10,2,FALSE)*VLOOKUP(#REF!,'parm(hidden)'!$B$15:$C$19,2,FALSE),0)</f>
        <v>0</v>
      </c>
      <c r="T38" s="32">
        <f>IFERROR(VLOOKUP($F38,'parm(hidden)'!$B$8:$C$10,2,FALSE)*VLOOKUP($K38,$V$22:$W$27,2,FALSE),0)</f>
        <v>3</v>
      </c>
      <c r="U38" s="11">
        <f>IF($J38="N/A",0,VLOOKUP($F38,'parm(hidden)'!$B$8:$C$10,2,FALSE))*1</f>
        <v>3</v>
      </c>
      <c r="V38" s="10"/>
      <c r="W38" s="10"/>
      <c r="Y38" s="10"/>
    </row>
    <row r="39" spans="1:25" ht="12" customHeight="1">
      <c r="A39" s="170" t="str">
        <f>ChkList!A23</f>
        <v>서비스 관리</v>
      </c>
      <c r="B39" s="172" t="str">
        <f>ChkList!B23</f>
        <v>W-19</v>
      </c>
      <c r="C39" s="300" t="str">
        <f>ChkList!C23</f>
        <v>불필요한 IIS 서비스 구동 점검</v>
      </c>
      <c r="D39" s="301"/>
      <c r="E39" s="302"/>
      <c r="F39" s="170" t="str">
        <f>ChkList!D23</f>
        <v>H</v>
      </c>
      <c r="G39" s="170">
        <f>ChkList!E23</f>
        <v>3</v>
      </c>
      <c r="H39" s="154" t="s">
        <v>100</v>
      </c>
      <c r="I39" s="152" t="s">
        <v>61</v>
      </c>
      <c r="J39" s="29" t="s">
        <v>88</v>
      </c>
      <c r="K39" s="29" t="str">
        <f t="shared" si="3"/>
        <v>조치</v>
      </c>
      <c r="L39" s="300"/>
      <c r="M39" s="301"/>
      <c r="N39" s="301"/>
      <c r="O39" s="301"/>
      <c r="P39" s="302"/>
      <c r="Q39" s="21"/>
      <c r="R39" s="32">
        <f>IF($H39="N/A",0,VLOOKUP($F39,'parm(hidden)'!$B$8:$C$10,2,FALSE))*1</f>
        <v>3</v>
      </c>
      <c r="S39" s="32">
        <f>IFERROR(VLOOKUP($F39,'parm(hidden)'!$B$8:$C$10,2,FALSE)*VLOOKUP(#REF!,'parm(hidden)'!$B$15:$C$19,2,FALSE),0)</f>
        <v>0</v>
      </c>
      <c r="T39" s="32">
        <f>IFERROR(VLOOKUP($F39,'parm(hidden)'!$B$8:$C$10,2,FALSE)*VLOOKUP($K39,$V$22:$W$27,2,FALSE),0)</f>
        <v>3</v>
      </c>
      <c r="U39" s="11">
        <f>IF($J39="N/A",0,VLOOKUP($F39,'parm(hidden)'!$B$8:$C$10,2,FALSE))*1</f>
        <v>3</v>
      </c>
      <c r="V39" s="10"/>
      <c r="W39" s="10"/>
      <c r="Y39" s="10"/>
    </row>
    <row r="40" spans="1:25" ht="12" customHeight="1">
      <c r="A40" s="170" t="str">
        <f>ChkList!A24</f>
        <v>서비스 관리</v>
      </c>
      <c r="B40" s="172" t="str">
        <f>ChkList!B24</f>
        <v>W-20</v>
      </c>
      <c r="C40" s="300" t="str">
        <f>ChkList!C24</f>
        <v>NetBIOS 바인딩 서비스 구동 점검</v>
      </c>
      <c r="D40" s="301"/>
      <c r="E40" s="302"/>
      <c r="F40" s="170" t="str">
        <f>ChkList!D24</f>
        <v>H</v>
      </c>
      <c r="G40" s="170">
        <f>ChkList!E24</f>
        <v>3</v>
      </c>
      <c r="H40" s="154" t="s">
        <v>100</v>
      </c>
      <c r="I40" s="152" t="s">
        <v>159</v>
      </c>
      <c r="J40" s="29" t="s">
        <v>88</v>
      </c>
      <c r="K40" s="29" t="str">
        <f t="shared" si="3"/>
        <v>조치</v>
      </c>
      <c r="L40" s="300"/>
      <c r="M40" s="301"/>
      <c r="N40" s="301"/>
      <c r="O40" s="301"/>
      <c r="P40" s="302"/>
      <c r="Q40" s="21"/>
      <c r="R40" s="32">
        <f>IF($H40="N/A",0,VLOOKUP($F40,'parm(hidden)'!$B$8:$C$10,2,FALSE))*1</f>
        <v>3</v>
      </c>
      <c r="S40" s="32">
        <f>IFERROR(VLOOKUP($F40,'parm(hidden)'!$B$8:$C$10,2,FALSE)*VLOOKUP(#REF!,'parm(hidden)'!$B$15:$C$19,2,FALSE),0)</f>
        <v>0</v>
      </c>
      <c r="T40" s="32">
        <f>IFERROR(VLOOKUP($F40,'parm(hidden)'!$B$8:$C$10,2,FALSE)*VLOOKUP($K40,$V$22:$W$27,2,FALSE),0)</f>
        <v>3</v>
      </c>
      <c r="U40" s="11">
        <f>IF($J40="N/A",0,VLOOKUP($F40,'parm(hidden)'!$B$8:$C$10,2,FALSE))*1</f>
        <v>3</v>
      </c>
      <c r="V40" s="10"/>
      <c r="W40" s="10"/>
      <c r="Y40" s="10"/>
    </row>
    <row r="41" spans="1:25" ht="12" customHeight="1">
      <c r="A41" s="170" t="str">
        <f>ChkList!A25</f>
        <v>서비스 관리</v>
      </c>
      <c r="B41" s="172" t="str">
        <f>ChkList!B25</f>
        <v>W-21</v>
      </c>
      <c r="C41" s="300" t="str">
        <f>ChkList!C25</f>
        <v>암호화되지 않는 FTP 서비스 비활성화</v>
      </c>
      <c r="D41" s="301"/>
      <c r="E41" s="302"/>
      <c r="F41" s="170" t="str">
        <f>ChkList!D25</f>
        <v>H</v>
      </c>
      <c r="G41" s="170">
        <f>ChkList!E25</f>
        <v>3</v>
      </c>
      <c r="H41" s="154" t="s">
        <v>100</v>
      </c>
      <c r="I41" s="152" t="s">
        <v>162</v>
      </c>
      <c r="J41" s="29" t="s">
        <v>78</v>
      </c>
      <c r="K41" s="29" t="str">
        <f t="shared" si="3"/>
        <v>N/A</v>
      </c>
      <c r="L41" s="300"/>
      <c r="M41" s="301"/>
      <c r="N41" s="301"/>
      <c r="O41" s="301"/>
      <c r="P41" s="302"/>
      <c r="Q41" s="21"/>
      <c r="R41" s="32">
        <f>IF($H41="N/A",0,VLOOKUP($F41,'parm(hidden)'!$B$8:$C$10,2,FALSE))*1</f>
        <v>3</v>
      </c>
      <c r="S41" s="32">
        <f>IFERROR(VLOOKUP($F41,'parm(hidden)'!$B$8:$C$10,2,FALSE)*VLOOKUP(#REF!,'parm(hidden)'!$B$15:$C$19,2,FALSE),0)</f>
        <v>0</v>
      </c>
      <c r="T41" s="32">
        <f>IFERROR(VLOOKUP($F41,'parm(hidden)'!$B$8:$C$10,2,FALSE)*VLOOKUP($K41,$V$22:$W$27,2,FALSE),0)</f>
        <v>0</v>
      </c>
      <c r="U41" s="11">
        <f>IF($J41="N/A",0,VLOOKUP($F41,'parm(hidden)'!$B$8:$C$10,2,FALSE))*1</f>
        <v>0</v>
      </c>
      <c r="V41" s="10"/>
      <c r="W41" s="10"/>
      <c r="Y41" s="10"/>
    </row>
    <row r="42" spans="1:25" ht="12" customHeight="1">
      <c r="A42" s="170" t="str">
        <f>ChkList!A26</f>
        <v>서비스 관리</v>
      </c>
      <c r="B42" s="172" t="str">
        <f>ChkList!B26</f>
        <v>W-22</v>
      </c>
      <c r="C42" s="300" t="str">
        <f>ChkList!C26</f>
        <v>FTP 디렉토리 접근권한 설정</v>
      </c>
      <c r="D42" s="301"/>
      <c r="E42" s="302"/>
      <c r="F42" s="170" t="str">
        <f>ChkList!D26</f>
        <v>H</v>
      </c>
      <c r="G42" s="170">
        <f>ChkList!E26</f>
        <v>3</v>
      </c>
      <c r="H42" s="154" t="s">
        <v>100</v>
      </c>
      <c r="I42" s="153" t="s">
        <v>149</v>
      </c>
      <c r="J42" s="29" t="s">
        <v>88</v>
      </c>
      <c r="K42" s="29" t="str">
        <f t="shared" si="3"/>
        <v>조치</v>
      </c>
      <c r="L42" s="300"/>
      <c r="M42" s="301"/>
      <c r="N42" s="301"/>
      <c r="O42" s="301"/>
      <c r="P42" s="302"/>
      <c r="Q42" s="21"/>
      <c r="R42" s="32">
        <f>IF($H42="N/A",0,VLOOKUP($F42,'parm(hidden)'!$B$8:$C$10,2,FALSE))*1</f>
        <v>3</v>
      </c>
      <c r="S42" s="32">
        <f>IFERROR(VLOOKUP($F42,'parm(hidden)'!$B$8:$C$10,2,FALSE)*VLOOKUP(#REF!,'parm(hidden)'!$B$15:$C$19,2,FALSE),0)</f>
        <v>0</v>
      </c>
      <c r="T42" s="32">
        <f>IFERROR(VLOOKUP($F42,'parm(hidden)'!$B$8:$C$10,2,FALSE)*VLOOKUP($K42,$V$22:$W$27,2,FALSE),0)</f>
        <v>3</v>
      </c>
      <c r="U42" s="11">
        <f>IF($J42="N/A",0,VLOOKUP($F42,'parm(hidden)'!$B$8:$C$10,2,FALSE))*1</f>
        <v>3</v>
      </c>
      <c r="V42" s="10"/>
      <c r="W42" s="10"/>
      <c r="Y42" s="10"/>
    </row>
    <row r="43" spans="1:25" ht="12" customHeight="1">
      <c r="A43" s="170" t="str">
        <f>ChkList!A27</f>
        <v>서비스 관리</v>
      </c>
      <c r="B43" s="172" t="str">
        <f>ChkList!B27</f>
        <v>W-23</v>
      </c>
      <c r="C43" s="300" t="str">
        <f>ChkList!C27</f>
        <v>공유 서비스에 대한 익명 접근 제한 설정</v>
      </c>
      <c r="D43" s="301"/>
      <c r="E43" s="302"/>
      <c r="F43" s="170" t="str">
        <f>ChkList!D27</f>
        <v>H</v>
      </c>
      <c r="G43" s="170">
        <f>ChkList!E27</f>
        <v>3</v>
      </c>
      <c r="H43" s="154" t="s">
        <v>100</v>
      </c>
      <c r="I43" s="153" t="s">
        <v>149</v>
      </c>
      <c r="J43" s="29" t="s">
        <v>88</v>
      </c>
      <c r="K43" s="29" t="str">
        <f t="shared" si="3"/>
        <v>조치</v>
      </c>
      <c r="L43" s="300"/>
      <c r="M43" s="301"/>
      <c r="N43" s="301"/>
      <c r="O43" s="301"/>
      <c r="P43" s="302"/>
      <c r="Q43" s="21"/>
      <c r="R43" s="32">
        <f>IF($H43="N/A",0,VLOOKUP($F43,'parm(hidden)'!$B$8:$C$10,2,FALSE))*1</f>
        <v>3</v>
      </c>
      <c r="S43" s="32">
        <f>IFERROR(VLOOKUP($F43,'parm(hidden)'!$B$8:$C$10,2,FALSE)*VLOOKUP(#REF!,'parm(hidden)'!$B$15:$C$19,2,FALSE),0)</f>
        <v>0</v>
      </c>
      <c r="T43" s="32">
        <f>IFERROR(VLOOKUP($F43,'parm(hidden)'!$B$8:$C$10,2,FALSE)*VLOOKUP($K43,$V$22:$W$27,2,FALSE),0)</f>
        <v>3</v>
      </c>
      <c r="U43" s="11">
        <f>IF($J43="N/A",0,VLOOKUP($F43,'parm(hidden)'!$B$8:$C$10,2,FALSE))*1</f>
        <v>3</v>
      </c>
      <c r="V43" s="10"/>
      <c r="W43" s="10"/>
      <c r="Y43" s="10"/>
    </row>
    <row r="44" spans="1:25" ht="12" customHeight="1">
      <c r="A44" s="170" t="str">
        <f>ChkList!A28</f>
        <v>서비스 관리</v>
      </c>
      <c r="B44" s="172" t="str">
        <f>ChkList!B28</f>
        <v>W-24</v>
      </c>
      <c r="C44" s="300" t="str">
        <f>ChkList!C28</f>
        <v>FTP 접근 제어 설정</v>
      </c>
      <c r="D44" s="301"/>
      <c r="E44" s="302"/>
      <c r="F44" s="170" t="str">
        <f>ChkList!D28</f>
        <v>H</v>
      </c>
      <c r="G44" s="170">
        <f>ChkList!E28</f>
        <v>3</v>
      </c>
      <c r="H44" s="154" t="s">
        <v>100</v>
      </c>
      <c r="I44" s="153" t="s">
        <v>149</v>
      </c>
      <c r="J44" s="29" t="s">
        <v>88</v>
      </c>
      <c r="K44" s="29" t="str">
        <f t="shared" si="3"/>
        <v>조치</v>
      </c>
      <c r="L44" s="300"/>
      <c r="M44" s="301"/>
      <c r="N44" s="301"/>
      <c r="O44" s="301"/>
      <c r="P44" s="302"/>
      <c r="Q44" s="21"/>
      <c r="R44" s="32">
        <f>IF($H44="N/A",0,VLOOKUP($F44,'parm(hidden)'!$B$8:$C$10,2,FALSE))*1</f>
        <v>3</v>
      </c>
      <c r="S44" s="32">
        <f>IFERROR(VLOOKUP($F44,'parm(hidden)'!$B$8:$C$10,2,FALSE)*VLOOKUP(#REF!,'parm(hidden)'!$B$15:$C$19,2,FALSE),0)</f>
        <v>0</v>
      </c>
      <c r="T44" s="32">
        <f>IFERROR(VLOOKUP($F44,'parm(hidden)'!$B$8:$C$10,2,FALSE)*VLOOKUP($K44,$V$22:$W$27,2,FALSE),0)</f>
        <v>3</v>
      </c>
      <c r="U44" s="11">
        <f>IF($J44="N/A",0,VLOOKUP($F44,'parm(hidden)'!$B$8:$C$10,2,FALSE))*1</f>
        <v>3</v>
      </c>
      <c r="V44" s="10"/>
      <c r="W44" s="10"/>
      <c r="Y44" s="10"/>
    </row>
    <row r="45" spans="1:25" ht="12" customHeight="1">
      <c r="A45" s="170" t="str">
        <f>ChkList!A29</f>
        <v>서비스 관리</v>
      </c>
      <c r="B45" s="172" t="str">
        <f>ChkList!B29</f>
        <v>W-25</v>
      </c>
      <c r="C45" s="300" t="str">
        <f>ChkList!C29</f>
        <v>DNS Zone Transfer 설정</v>
      </c>
      <c r="D45" s="301"/>
      <c r="E45" s="302"/>
      <c r="F45" s="170" t="str">
        <f>ChkList!D29</f>
        <v>H</v>
      </c>
      <c r="G45" s="170">
        <f>ChkList!E29</f>
        <v>3</v>
      </c>
      <c r="H45" s="154" t="s">
        <v>100</v>
      </c>
      <c r="I45" s="153" t="s">
        <v>149</v>
      </c>
      <c r="J45" s="29" t="s">
        <v>88</v>
      </c>
      <c r="K45" s="29" t="str">
        <f t="shared" si="3"/>
        <v>조치</v>
      </c>
      <c r="L45" s="300"/>
      <c r="M45" s="301"/>
      <c r="N45" s="301"/>
      <c r="O45" s="301"/>
      <c r="P45" s="302"/>
      <c r="Q45" s="21"/>
      <c r="R45" s="32">
        <f>IF($H45="N/A",0,VLOOKUP($F45,'parm(hidden)'!$B$8:$C$10,2,FALSE))*1</f>
        <v>3</v>
      </c>
      <c r="S45" s="32">
        <f>IFERROR(VLOOKUP($F45,'parm(hidden)'!$B$8:$C$10,2,FALSE)*VLOOKUP(#REF!,'parm(hidden)'!$B$15:$C$19,2,FALSE),0)</f>
        <v>0</v>
      </c>
      <c r="T45" s="32">
        <f>IFERROR(VLOOKUP($F45,'parm(hidden)'!$B$8:$C$10,2,FALSE)*VLOOKUP($K45,$V$22:$W$27,2,FALSE),0)</f>
        <v>3</v>
      </c>
      <c r="U45" s="11">
        <f>IF($J45="N/A",0,VLOOKUP($F45,'parm(hidden)'!$B$8:$C$10,2,FALSE))*1</f>
        <v>3</v>
      </c>
      <c r="V45" s="10"/>
      <c r="W45" s="10"/>
      <c r="Y45" s="10"/>
    </row>
    <row r="46" spans="1:25" ht="12" customHeight="1">
      <c r="A46" s="170" t="str">
        <f>ChkList!A30</f>
        <v>서비스 관리</v>
      </c>
      <c r="B46" s="172" t="str">
        <f>ChkList!B30</f>
        <v>W-26</v>
      </c>
      <c r="C46" s="300" t="str">
        <f>ChkList!C30</f>
        <v>RDS(Remote Data Services)제거</v>
      </c>
      <c r="D46" s="301"/>
      <c r="E46" s="302"/>
      <c r="F46" s="170" t="str">
        <f>ChkList!D30</f>
        <v>H</v>
      </c>
      <c r="G46" s="170">
        <f>ChkList!E30</f>
        <v>3</v>
      </c>
      <c r="H46" s="154" t="s">
        <v>100</v>
      </c>
      <c r="I46" s="153" t="s">
        <v>149</v>
      </c>
      <c r="J46" s="29" t="s">
        <v>88</v>
      </c>
      <c r="K46" s="29" t="str">
        <f t="shared" si="3"/>
        <v>조치</v>
      </c>
      <c r="L46" s="300"/>
      <c r="M46" s="301"/>
      <c r="N46" s="301"/>
      <c r="O46" s="301"/>
      <c r="P46" s="302"/>
      <c r="Q46" s="21"/>
      <c r="R46" s="32">
        <f>IF($H46="N/A",0,VLOOKUP($F46,'parm(hidden)'!$B$8:$C$10,2,FALSE))*1</f>
        <v>3</v>
      </c>
      <c r="S46" s="32">
        <f>IFERROR(VLOOKUP($F46,'parm(hidden)'!$B$8:$C$10,2,FALSE)*VLOOKUP(#REF!,'parm(hidden)'!$B$15:$C$19,2,FALSE),0)</f>
        <v>0</v>
      </c>
      <c r="T46" s="32">
        <f>IFERROR(VLOOKUP($F46,'parm(hidden)'!$B$8:$C$10,2,FALSE)*VLOOKUP($K46,$V$22:$W$27,2,FALSE),0)</f>
        <v>3</v>
      </c>
      <c r="U46" s="11">
        <f>IF($J46="N/A",0,VLOOKUP($F46,'parm(hidden)'!$B$8:$C$10,2,FALSE))*1</f>
        <v>3</v>
      </c>
      <c r="V46" s="10"/>
      <c r="W46" s="10"/>
      <c r="Y46" s="10"/>
    </row>
    <row r="47" spans="1:25" ht="12" customHeight="1">
      <c r="A47" s="170" t="str">
        <f>ChkList!A31</f>
        <v>서비스 관리</v>
      </c>
      <c r="B47" s="172" t="str">
        <f>ChkList!B31</f>
        <v>W-27</v>
      </c>
      <c r="C47" s="300" t="str">
        <f>ChkList!C31</f>
        <v>최신 Windows OS Build 버전 적용</v>
      </c>
      <c r="D47" s="301"/>
      <c r="E47" s="302"/>
      <c r="F47" s="170" t="str">
        <f>ChkList!D31</f>
        <v>H</v>
      </c>
      <c r="G47" s="170">
        <f>ChkList!E31</f>
        <v>3</v>
      </c>
      <c r="H47" s="154" t="s">
        <v>100</v>
      </c>
      <c r="I47" s="153" t="s">
        <v>149</v>
      </c>
      <c r="J47" s="29" t="s">
        <v>88</v>
      </c>
      <c r="K47" s="29" t="str">
        <f t="shared" si="3"/>
        <v>조치</v>
      </c>
      <c r="L47" s="300"/>
      <c r="M47" s="301"/>
      <c r="N47" s="301"/>
      <c r="O47" s="301"/>
      <c r="P47" s="302"/>
      <c r="Q47" s="21"/>
      <c r="R47" s="32">
        <f>IF($H47="N/A",0,VLOOKUP($F47,'parm(hidden)'!$B$8:$C$10,2,FALSE))*1</f>
        <v>3</v>
      </c>
      <c r="S47" s="32">
        <f>IFERROR(VLOOKUP($F47,'parm(hidden)'!$B$8:$C$10,2,FALSE)*VLOOKUP(#REF!,'parm(hidden)'!$B$15:$C$19,2,FALSE),0)</f>
        <v>0</v>
      </c>
      <c r="T47" s="32">
        <f>IFERROR(VLOOKUP($F47,'parm(hidden)'!$B$8:$C$10,2,FALSE)*VLOOKUP($K47,$V$22:$W$27,2,FALSE),0)</f>
        <v>3</v>
      </c>
      <c r="U47" s="11">
        <f>IF($J47="N/A",0,VLOOKUP($F47,'parm(hidden)'!$B$8:$C$10,2,FALSE))*1</f>
        <v>3</v>
      </c>
      <c r="V47" s="10"/>
      <c r="W47" s="10"/>
      <c r="Y47" s="10"/>
    </row>
    <row r="48" spans="1:25" ht="12" customHeight="1">
      <c r="A48" s="170" t="str">
        <f>ChkList!A32</f>
        <v>서비스 관리</v>
      </c>
      <c r="B48" s="172" t="str">
        <f>ChkList!B32</f>
        <v>W-28</v>
      </c>
      <c r="C48" s="300" t="str">
        <f>ChkList!C32</f>
        <v>터미널 서비스 암호화 수준 설정</v>
      </c>
      <c r="D48" s="301"/>
      <c r="E48" s="302"/>
      <c r="F48" s="170" t="str">
        <f>ChkList!D32</f>
        <v>M</v>
      </c>
      <c r="G48" s="170">
        <f>ChkList!E32</f>
        <v>2</v>
      </c>
      <c r="H48" s="154" t="s">
        <v>100</v>
      </c>
      <c r="I48" s="153" t="s">
        <v>149</v>
      </c>
      <c r="J48" s="29" t="s">
        <v>88</v>
      </c>
      <c r="K48" s="29" t="str">
        <f t="shared" si="3"/>
        <v>조치</v>
      </c>
      <c r="L48" s="300"/>
      <c r="M48" s="301"/>
      <c r="N48" s="301"/>
      <c r="O48" s="301"/>
      <c r="P48" s="302"/>
      <c r="Q48" s="21"/>
      <c r="R48" s="32">
        <f>IF($H48="N/A",0,VLOOKUP($F48,'parm(hidden)'!$B$8:$C$10,2,FALSE))*1</f>
        <v>2</v>
      </c>
      <c r="S48" s="32">
        <f>IFERROR(VLOOKUP($F48,'parm(hidden)'!$B$8:$C$10,2,FALSE)*VLOOKUP(#REF!,'parm(hidden)'!$B$15:$C$19,2,FALSE),0)</f>
        <v>0</v>
      </c>
      <c r="T48" s="32">
        <f>IFERROR(VLOOKUP($F48,'parm(hidden)'!$B$8:$C$10,2,FALSE)*VLOOKUP($K48,$V$22:$W$27,2,FALSE),0)</f>
        <v>2</v>
      </c>
      <c r="U48" s="11">
        <f>IF($J48="N/A",0,VLOOKUP($F48,'parm(hidden)'!$B$8:$C$10,2,FALSE))*1</f>
        <v>2</v>
      </c>
      <c r="V48" s="10"/>
      <c r="W48" s="10"/>
      <c r="Y48" s="10"/>
    </row>
    <row r="49" spans="1:25" ht="12" customHeight="1">
      <c r="A49" s="170" t="str">
        <f>ChkList!A33</f>
        <v>서비스 관리</v>
      </c>
      <c r="B49" s="172" t="str">
        <f>ChkList!B33</f>
        <v>W-29</v>
      </c>
      <c r="C49" s="300" t="str">
        <f>ChkList!C33</f>
        <v>불필요한 SNMP 서비스 구동 점검</v>
      </c>
      <c r="D49" s="301"/>
      <c r="E49" s="302"/>
      <c r="F49" s="170" t="str">
        <f>ChkList!D33</f>
        <v>M</v>
      </c>
      <c r="G49" s="170">
        <f>ChkList!E33</f>
        <v>2</v>
      </c>
      <c r="H49" s="154" t="s">
        <v>100</v>
      </c>
      <c r="I49" s="153" t="s">
        <v>149</v>
      </c>
      <c r="J49" s="29" t="s">
        <v>88</v>
      </c>
      <c r="K49" s="29" t="str">
        <f t="shared" si="3"/>
        <v>조치</v>
      </c>
      <c r="L49" s="300"/>
      <c r="M49" s="301"/>
      <c r="N49" s="301"/>
      <c r="O49" s="301"/>
      <c r="P49" s="302"/>
      <c r="Q49" s="21"/>
      <c r="R49" s="32">
        <f>IF($H49="N/A",0,VLOOKUP($F49,'parm(hidden)'!$B$8:$C$10,2,FALSE))*1</f>
        <v>2</v>
      </c>
      <c r="S49" s="32">
        <f>IFERROR(VLOOKUP($F49,'parm(hidden)'!$B$8:$C$10,2,FALSE)*VLOOKUP(#REF!,'parm(hidden)'!$B$15:$C$19,2,FALSE),0)</f>
        <v>0</v>
      </c>
      <c r="T49" s="32">
        <f>IFERROR(VLOOKUP($F49,'parm(hidden)'!$B$8:$C$10,2,FALSE)*VLOOKUP($K49,$V$22:$W$27,2,FALSE),0)</f>
        <v>2</v>
      </c>
      <c r="U49" s="11">
        <f>IF($J49="N/A",0,VLOOKUP($F49,'parm(hidden)'!$B$8:$C$10,2,FALSE))*1</f>
        <v>2</v>
      </c>
      <c r="V49" s="10"/>
      <c r="W49" s="10"/>
      <c r="Y49" s="10"/>
    </row>
    <row r="50" spans="1:25" ht="12" customHeight="1">
      <c r="A50" s="170" t="str">
        <f>ChkList!A34</f>
        <v>서비스 관리</v>
      </c>
      <c r="B50" s="172" t="str">
        <f>ChkList!B34</f>
        <v>W-30</v>
      </c>
      <c r="C50" s="300" t="str">
        <f>ChkList!C34</f>
        <v>SNMP Community String 복잡성 설정</v>
      </c>
      <c r="D50" s="301"/>
      <c r="E50" s="302"/>
      <c r="F50" s="170" t="str">
        <f>ChkList!D34</f>
        <v>M</v>
      </c>
      <c r="G50" s="170">
        <f>ChkList!E34</f>
        <v>2</v>
      </c>
      <c r="H50" s="154" t="s">
        <v>100</v>
      </c>
      <c r="I50" s="153" t="s">
        <v>149</v>
      </c>
      <c r="J50" s="29" t="s">
        <v>88</v>
      </c>
      <c r="K50" s="29" t="str">
        <f t="shared" si="3"/>
        <v>조치</v>
      </c>
      <c r="L50" s="300"/>
      <c r="M50" s="301"/>
      <c r="N50" s="301"/>
      <c r="O50" s="301"/>
      <c r="P50" s="302"/>
      <c r="Q50" s="21"/>
      <c r="R50" s="32">
        <f>IF($H50="N/A",0,VLOOKUP($F50,'parm(hidden)'!$B$8:$C$10,2,FALSE))*1</f>
        <v>2</v>
      </c>
      <c r="S50" s="32">
        <f>IFERROR(VLOOKUP($F50,'parm(hidden)'!$B$8:$C$10,2,FALSE)*VLOOKUP(#REF!,'parm(hidden)'!$B$15:$C$19,2,FALSE),0)</f>
        <v>0</v>
      </c>
      <c r="T50" s="32">
        <f>IFERROR(VLOOKUP($F50,'parm(hidden)'!$B$8:$C$10,2,FALSE)*VLOOKUP($K50,$V$22:$W$27,2,FALSE),0)</f>
        <v>2</v>
      </c>
      <c r="U50" s="11">
        <f>IF($J50="N/A",0,VLOOKUP($F50,'parm(hidden)'!$B$8:$C$10,2,FALSE))*1</f>
        <v>2</v>
      </c>
      <c r="V50" s="10"/>
      <c r="W50" s="10"/>
      <c r="Y50" s="10"/>
    </row>
    <row r="51" spans="1:25" ht="12" customHeight="1">
      <c r="A51" s="170" t="str">
        <f>ChkList!A35</f>
        <v>서비스 관리</v>
      </c>
      <c r="B51" s="172" t="str">
        <f>ChkList!B35</f>
        <v>W-31</v>
      </c>
      <c r="C51" s="300" t="str">
        <f>ChkList!C35</f>
        <v>SNMP Access Control 설정</v>
      </c>
      <c r="D51" s="301"/>
      <c r="E51" s="302"/>
      <c r="F51" s="170" t="str">
        <f>ChkList!D35</f>
        <v>M</v>
      </c>
      <c r="G51" s="170">
        <f>ChkList!E35</f>
        <v>2</v>
      </c>
      <c r="H51" s="154" t="s">
        <v>100</v>
      </c>
      <c r="I51" s="153" t="s">
        <v>149</v>
      </c>
      <c r="J51" s="29" t="s">
        <v>88</v>
      </c>
      <c r="K51" s="29" t="str">
        <f t="shared" si="3"/>
        <v>조치</v>
      </c>
      <c r="L51" s="300"/>
      <c r="M51" s="301"/>
      <c r="N51" s="301"/>
      <c r="O51" s="301"/>
      <c r="P51" s="302"/>
      <c r="Q51" s="21"/>
      <c r="R51" s="32">
        <f>IF($H51="N/A",0,VLOOKUP($F51,'parm(hidden)'!$B$8:$C$10,2,FALSE))*1</f>
        <v>2</v>
      </c>
      <c r="S51" s="32">
        <f>IFERROR(VLOOKUP($F51,'parm(hidden)'!$B$8:$C$10,2,FALSE)*VLOOKUP(#REF!,'parm(hidden)'!$B$15:$C$19,2,FALSE),0)</f>
        <v>0</v>
      </c>
      <c r="T51" s="32">
        <f>IFERROR(VLOOKUP($F51,'parm(hidden)'!$B$8:$C$10,2,FALSE)*VLOOKUP($K51,$V$22:$W$27,2,FALSE),0)</f>
        <v>2</v>
      </c>
      <c r="U51" s="11">
        <f>IF($J51="N/A",0,VLOOKUP($F51,'parm(hidden)'!$B$8:$C$10,2,FALSE))*1</f>
        <v>2</v>
      </c>
      <c r="V51" s="10"/>
      <c r="W51" s="10"/>
      <c r="Y51" s="10"/>
    </row>
    <row r="52" spans="1:25" ht="12" customHeight="1">
      <c r="A52" s="170" t="str">
        <f>ChkList!A36</f>
        <v>서비스 관리</v>
      </c>
      <c r="B52" s="172" t="str">
        <f>ChkList!B36</f>
        <v>W-32</v>
      </c>
      <c r="C52" s="300" t="str">
        <f>ChkList!C36</f>
        <v>DNS 서비스 구동 점검</v>
      </c>
      <c r="D52" s="301"/>
      <c r="E52" s="302"/>
      <c r="F52" s="170" t="str">
        <f>ChkList!D36</f>
        <v>M</v>
      </c>
      <c r="G52" s="170">
        <f>ChkList!E36</f>
        <v>2</v>
      </c>
      <c r="H52" s="154" t="s">
        <v>100</v>
      </c>
      <c r="I52" s="153" t="s">
        <v>149</v>
      </c>
      <c r="J52" s="29" t="s">
        <v>88</v>
      </c>
      <c r="K52" s="29" t="str">
        <f t="shared" si="3"/>
        <v>조치</v>
      </c>
      <c r="L52" s="300"/>
      <c r="M52" s="301"/>
      <c r="N52" s="301"/>
      <c r="O52" s="301"/>
      <c r="P52" s="302"/>
      <c r="Q52" s="21"/>
      <c r="R52" s="32">
        <f>IF($H52="N/A",0,VLOOKUP($F52,'parm(hidden)'!$B$8:$C$10,2,FALSE))*1</f>
        <v>2</v>
      </c>
      <c r="S52" s="32">
        <f>IFERROR(VLOOKUP($F52,'parm(hidden)'!$B$8:$C$10,2,FALSE)*VLOOKUP(#REF!,'parm(hidden)'!$B$15:$C$19,2,FALSE),0)</f>
        <v>0</v>
      </c>
      <c r="T52" s="32">
        <f>IFERROR(VLOOKUP($F52,'parm(hidden)'!$B$8:$C$10,2,FALSE)*VLOOKUP($K52,$V$22:$W$27,2,FALSE),0)</f>
        <v>2</v>
      </c>
      <c r="U52" s="11">
        <f>IF($J52="N/A",0,VLOOKUP($F52,'parm(hidden)'!$B$8:$C$10,2,FALSE))*1</f>
        <v>2</v>
      </c>
      <c r="V52" s="10"/>
      <c r="W52" s="10"/>
      <c r="Y52" s="10"/>
    </row>
    <row r="53" spans="1:25" ht="12" customHeight="1">
      <c r="A53" s="170" t="str">
        <f>ChkList!A37</f>
        <v>서비스 관리</v>
      </c>
      <c r="B53" s="172" t="str">
        <f>ChkList!B37</f>
        <v>W-33</v>
      </c>
      <c r="C53" s="300" t="str">
        <f>ChkList!C37</f>
        <v>HTTP/FTP/SMTP 배너 차단</v>
      </c>
      <c r="D53" s="301"/>
      <c r="E53" s="302"/>
      <c r="F53" s="170" t="str">
        <f>ChkList!D37</f>
        <v>L</v>
      </c>
      <c r="G53" s="170">
        <f>ChkList!E37</f>
        <v>1</v>
      </c>
      <c r="H53" s="154" t="s">
        <v>100</v>
      </c>
      <c r="I53" s="153" t="s">
        <v>149</v>
      </c>
      <c r="J53" s="29" t="s">
        <v>88</v>
      </c>
      <c r="K53" s="29" t="str">
        <f t="shared" si="3"/>
        <v>조치</v>
      </c>
      <c r="L53" s="300"/>
      <c r="M53" s="301"/>
      <c r="N53" s="301"/>
      <c r="O53" s="301"/>
      <c r="P53" s="302"/>
      <c r="Q53" s="21"/>
      <c r="R53" s="32">
        <f>IF($H53="N/A",0,VLOOKUP($F53,'parm(hidden)'!$B$8:$C$10,2,FALSE))*1</f>
        <v>1</v>
      </c>
      <c r="S53" s="32">
        <f>IFERROR(VLOOKUP($F53,'parm(hidden)'!$B$8:$C$10,2,FALSE)*VLOOKUP(#REF!,'parm(hidden)'!$B$15:$C$19,2,FALSE),0)</f>
        <v>0</v>
      </c>
      <c r="T53" s="32">
        <f>IFERROR(VLOOKUP($F53,'parm(hidden)'!$B$8:$C$10,2,FALSE)*VLOOKUP($K53,$V$22:$W$27,2,FALSE),0)</f>
        <v>1</v>
      </c>
      <c r="U53" s="11">
        <f>IF($J53="N/A",0,VLOOKUP($F53,'parm(hidden)'!$B$8:$C$10,2,FALSE))*1</f>
        <v>1</v>
      </c>
      <c r="V53" s="10"/>
      <c r="W53" s="10"/>
      <c r="Y53" s="10"/>
    </row>
    <row r="54" spans="1:25" ht="12" customHeight="1">
      <c r="A54" s="170" t="str">
        <f>ChkList!A38</f>
        <v>서비스 관리</v>
      </c>
      <c r="B54" s="172" t="str">
        <f>ChkList!B38</f>
        <v>W-34</v>
      </c>
      <c r="C54" s="300" t="str">
        <f>ChkList!C38</f>
        <v>Telnet 서비스 비활성화</v>
      </c>
      <c r="D54" s="301"/>
      <c r="E54" s="302"/>
      <c r="F54" s="170" t="str">
        <f>ChkList!D38</f>
        <v>M</v>
      </c>
      <c r="G54" s="170">
        <f>ChkList!E38</f>
        <v>2</v>
      </c>
      <c r="H54" s="154" t="s">
        <v>100</v>
      </c>
      <c r="I54" s="153" t="s">
        <v>149</v>
      </c>
      <c r="J54" s="29" t="s">
        <v>88</v>
      </c>
      <c r="K54" s="29" t="str">
        <f t="shared" si="3"/>
        <v>조치</v>
      </c>
      <c r="L54" s="300"/>
      <c r="M54" s="301"/>
      <c r="N54" s="301"/>
      <c r="O54" s="301"/>
      <c r="P54" s="302"/>
      <c r="Q54" s="21"/>
      <c r="R54" s="32">
        <f>IF($H54="N/A",0,VLOOKUP($F54,'parm(hidden)'!$B$8:$C$10,2,FALSE))*1</f>
        <v>2</v>
      </c>
      <c r="S54" s="32">
        <f>IFERROR(VLOOKUP($F54,'parm(hidden)'!$B$8:$C$10,2,FALSE)*VLOOKUP(#REF!,'parm(hidden)'!$B$15:$C$19,2,FALSE),0)</f>
        <v>0</v>
      </c>
      <c r="T54" s="32">
        <f>IFERROR(VLOOKUP($F54,'parm(hidden)'!$B$8:$C$10,2,FALSE)*VLOOKUP($K54,$V$22:$W$27,2,FALSE),0)</f>
        <v>2</v>
      </c>
      <c r="U54" s="11">
        <f>IF($J54="N/A",0,VLOOKUP($F54,'parm(hidden)'!$B$8:$C$10,2,FALSE))*1</f>
        <v>2</v>
      </c>
      <c r="V54" s="10"/>
      <c r="W54" s="10"/>
      <c r="Y54" s="10"/>
    </row>
    <row r="55" spans="1:25" ht="12" customHeight="1">
      <c r="A55" s="170" t="str">
        <f>ChkList!A39</f>
        <v>서비스 관리</v>
      </c>
      <c r="B55" s="172" t="str">
        <f>ChkList!B39</f>
        <v>W-35</v>
      </c>
      <c r="C55" s="300" t="str">
        <f>ChkList!C39</f>
        <v>불필요한 ODBC/OLE-DB 데이터 소스와 드라이브 제거</v>
      </c>
      <c r="D55" s="301"/>
      <c r="E55" s="302"/>
      <c r="F55" s="170" t="str">
        <f>ChkList!D39</f>
        <v>M</v>
      </c>
      <c r="G55" s="170">
        <f>ChkList!E39</f>
        <v>2</v>
      </c>
      <c r="H55" s="154" t="s">
        <v>100</v>
      </c>
      <c r="I55" s="153" t="s">
        <v>149</v>
      </c>
      <c r="J55" s="29" t="s">
        <v>88</v>
      </c>
      <c r="K55" s="29" t="str">
        <f t="shared" si="3"/>
        <v>조치</v>
      </c>
      <c r="L55" s="300"/>
      <c r="M55" s="301"/>
      <c r="N55" s="301"/>
      <c r="O55" s="301"/>
      <c r="P55" s="302"/>
      <c r="Q55" s="21"/>
      <c r="R55" s="32">
        <f>IF($H55="N/A",0,VLOOKUP($F55,'parm(hidden)'!$B$8:$C$10,2,FALSE))*1</f>
        <v>2</v>
      </c>
      <c r="S55" s="32">
        <f>IFERROR(VLOOKUP($F55,'parm(hidden)'!$B$8:$C$10,2,FALSE)*VLOOKUP(#REF!,'parm(hidden)'!$B$15:$C$19,2,FALSE),0)</f>
        <v>0</v>
      </c>
      <c r="T55" s="32">
        <f>IFERROR(VLOOKUP($F55,'parm(hidden)'!$B$8:$C$10,2,FALSE)*VLOOKUP($K55,$V$22:$W$27,2,FALSE),0)</f>
        <v>2</v>
      </c>
      <c r="U55" s="11">
        <f>IF($J55="N/A",0,VLOOKUP($F55,'parm(hidden)'!$B$8:$C$10,2,FALSE))*1</f>
        <v>2</v>
      </c>
      <c r="V55" s="10"/>
      <c r="W55" s="10"/>
      <c r="Y55" s="10"/>
    </row>
    <row r="56" spans="1:25" ht="12" customHeight="1">
      <c r="A56" s="170" t="str">
        <f>ChkList!A40</f>
        <v>서비스 관리</v>
      </c>
      <c r="B56" s="172" t="str">
        <f>ChkList!B40</f>
        <v>W-36</v>
      </c>
      <c r="C56" s="300" t="str">
        <f>ChkList!C40</f>
        <v>원격터미널 접속 타임아웃 설정</v>
      </c>
      <c r="D56" s="301"/>
      <c r="E56" s="302"/>
      <c r="F56" s="170" t="str">
        <f>ChkList!D40</f>
        <v>M</v>
      </c>
      <c r="G56" s="170">
        <f>ChkList!E40</f>
        <v>2</v>
      </c>
      <c r="H56" s="154" t="s">
        <v>100</v>
      </c>
      <c r="I56" s="152" t="s">
        <v>155</v>
      </c>
      <c r="J56" s="29" t="s">
        <v>88</v>
      </c>
      <c r="K56" s="29" t="str">
        <f t="shared" si="3"/>
        <v>조치</v>
      </c>
      <c r="L56" s="300"/>
      <c r="M56" s="301"/>
      <c r="N56" s="301"/>
      <c r="O56" s="301"/>
      <c r="P56" s="302"/>
      <c r="Q56" s="21"/>
      <c r="R56" s="32">
        <f>IF($H56="N/A",0,VLOOKUP($F56,'parm(hidden)'!$B$8:$C$10,2,FALSE))*1</f>
        <v>2</v>
      </c>
      <c r="S56" s="32">
        <f>IFERROR(VLOOKUP($F56,'parm(hidden)'!$B$8:$C$10,2,FALSE)*VLOOKUP(#REF!,'parm(hidden)'!$B$15:$C$19,2,FALSE),0)</f>
        <v>0</v>
      </c>
      <c r="T56" s="32">
        <f>IFERROR(VLOOKUP($F56,'parm(hidden)'!$B$8:$C$10,2,FALSE)*VLOOKUP($K56,$V$22:$W$27,2,FALSE),0)</f>
        <v>2</v>
      </c>
      <c r="U56" s="11">
        <f>IF($J56="N/A",0,VLOOKUP($F56,'parm(hidden)'!$B$8:$C$10,2,FALSE))*1</f>
        <v>2</v>
      </c>
      <c r="V56" s="10"/>
      <c r="W56" s="10"/>
      <c r="Y56" s="10"/>
    </row>
    <row r="57" spans="1:25" ht="12" customHeight="1">
      <c r="A57" s="170" t="str">
        <f>ChkList!A41</f>
        <v>서비스 관리</v>
      </c>
      <c r="B57" s="172" t="str">
        <f>ChkList!B41</f>
        <v>W-37</v>
      </c>
      <c r="C57" s="300" t="str">
        <f>ChkList!C41</f>
        <v>예약된 작업에 의심스러운 명령이 등록되어 있는지 점검</v>
      </c>
      <c r="D57" s="301"/>
      <c r="E57" s="302"/>
      <c r="F57" s="170" t="str">
        <f>ChkList!D41</f>
        <v>M</v>
      </c>
      <c r="G57" s="170">
        <f>ChkList!E41</f>
        <v>2</v>
      </c>
      <c r="H57" s="154" t="s">
        <v>100</v>
      </c>
      <c r="I57" s="153" t="s">
        <v>149</v>
      </c>
      <c r="J57" s="29" t="s">
        <v>88</v>
      </c>
      <c r="K57" s="29" t="str">
        <f t="shared" si="3"/>
        <v>조치</v>
      </c>
      <c r="L57" s="300"/>
      <c r="M57" s="301"/>
      <c r="N57" s="301"/>
      <c r="O57" s="301"/>
      <c r="P57" s="302"/>
      <c r="Q57" s="21"/>
      <c r="R57" s="32">
        <f>IF($H57="N/A",0,VLOOKUP($F57,'parm(hidden)'!$B$8:$C$10,2,FALSE))*1</f>
        <v>2</v>
      </c>
      <c r="S57" s="32">
        <f>IFERROR(VLOOKUP($F57,'parm(hidden)'!$B$8:$C$10,2,FALSE)*VLOOKUP(#REF!,'parm(hidden)'!$B$15:$C$19,2,FALSE),0)</f>
        <v>0</v>
      </c>
      <c r="T57" s="32">
        <f>IFERROR(VLOOKUP($F57,'parm(hidden)'!$B$8:$C$10,2,FALSE)*VLOOKUP($K57,$V$22:$W$27,2,FALSE),0)</f>
        <v>2</v>
      </c>
      <c r="U57" s="11">
        <f>IF($J57="N/A",0,VLOOKUP($F57,'parm(hidden)'!$B$8:$C$10,2,FALSE))*1</f>
        <v>2</v>
      </c>
      <c r="V57" s="10"/>
      <c r="W57" s="10"/>
      <c r="Y57" s="10"/>
    </row>
    <row r="58" spans="1:25" ht="12" customHeight="1">
      <c r="A58" s="170" t="str">
        <f>ChkList!A42</f>
        <v>패치 관리</v>
      </c>
      <c r="B58" s="172" t="str">
        <f>ChkList!B42</f>
        <v>W-38</v>
      </c>
      <c r="C58" s="300" t="str">
        <f>ChkList!C42</f>
        <v>주기적 보안 패치 및 벤더 권고사항 적용</v>
      </c>
      <c r="D58" s="301"/>
      <c r="E58" s="302"/>
      <c r="F58" s="170" t="str">
        <f>ChkList!D42</f>
        <v>H</v>
      </c>
      <c r="G58" s="170">
        <f>ChkList!E42</f>
        <v>3</v>
      </c>
      <c r="H58" s="154" t="s">
        <v>100</v>
      </c>
      <c r="I58" s="153" t="s">
        <v>149</v>
      </c>
      <c r="J58" s="29" t="s">
        <v>78</v>
      </c>
      <c r="K58" s="29" t="str">
        <f t="shared" si="3"/>
        <v>N/A</v>
      </c>
      <c r="L58" s="300"/>
      <c r="M58" s="301"/>
      <c r="N58" s="301"/>
      <c r="O58" s="301"/>
      <c r="P58" s="302"/>
      <c r="Q58" s="21"/>
      <c r="R58" s="32">
        <f>IF($H58="N/A",0,VLOOKUP($F58,'parm(hidden)'!$B$8:$C$10,2,FALSE))*1</f>
        <v>3</v>
      </c>
      <c r="S58" s="32">
        <f>IFERROR(VLOOKUP($F58,'parm(hidden)'!$B$8:$C$10,2,FALSE)*VLOOKUP(#REF!,'parm(hidden)'!$B$15:$C$19,2,FALSE),0)</f>
        <v>0</v>
      </c>
      <c r="T58" s="32">
        <f>IFERROR(VLOOKUP($F58,'parm(hidden)'!$B$8:$C$10,2,FALSE)*VLOOKUP($K58,$V$22:$W$27,2,FALSE),0)</f>
        <v>0</v>
      </c>
      <c r="U58" s="11">
        <f>IF($J58="N/A",0,VLOOKUP($F58,'parm(hidden)'!$B$8:$C$10,2,FALSE))*1</f>
        <v>0</v>
      </c>
      <c r="V58" s="10"/>
      <c r="W58" s="10"/>
      <c r="Y58" s="10"/>
    </row>
    <row r="59" spans="1:25" ht="12" customHeight="1">
      <c r="A59" s="170" t="str">
        <f>ChkList!A43</f>
        <v>패치 관리</v>
      </c>
      <c r="B59" s="172" t="str">
        <f>ChkList!B43</f>
        <v>W-39</v>
      </c>
      <c r="C59" s="300" t="str">
        <f>ChkList!C43</f>
        <v>백신 프로그램 업데이트</v>
      </c>
      <c r="D59" s="301"/>
      <c r="E59" s="302"/>
      <c r="F59" s="170" t="str">
        <f>ChkList!D43</f>
        <v>H</v>
      </c>
      <c r="G59" s="170">
        <f>ChkList!E43</f>
        <v>3</v>
      </c>
      <c r="H59" s="154" t="s">
        <v>100</v>
      </c>
      <c r="I59" s="153" t="s">
        <v>149</v>
      </c>
      <c r="J59" s="29" t="s">
        <v>78</v>
      </c>
      <c r="K59" s="29" t="str">
        <f t="shared" si="3"/>
        <v>N/A</v>
      </c>
      <c r="L59" s="300"/>
      <c r="M59" s="301"/>
      <c r="N59" s="301"/>
      <c r="O59" s="301"/>
      <c r="P59" s="302"/>
      <c r="Q59" s="21" t="str">
        <f>IF($J59="",IF(OR(#REF!="N",#REF!="인터뷰"),ChkList!#REF!,""),IF(OR($J59="N",$J59="인터뷰"),ChkList!#REF!,""))</f>
        <v/>
      </c>
      <c r="R59" s="32">
        <f>IF($H59="N/A",0,VLOOKUP($F59,'parm(hidden)'!$B$8:$C$10,2,FALSE))*1</f>
        <v>3</v>
      </c>
      <c r="S59" s="32">
        <f>IFERROR(VLOOKUP($F59,'parm(hidden)'!$B$8:$C$10,2,FALSE)*VLOOKUP(#REF!,'parm(hidden)'!$B$15:$C$19,2,FALSE),0)</f>
        <v>0</v>
      </c>
      <c r="T59" s="32">
        <f>IFERROR(VLOOKUP($F59,'parm(hidden)'!$B$8:$C$10,2,FALSE)*VLOOKUP($K59,$V$22:$W$27,2,FALSE),0)</f>
        <v>0</v>
      </c>
      <c r="U59" s="11">
        <f>IF($J59="N/A",0,VLOOKUP($F59,'parm(hidden)'!$B$8:$C$10,2,FALSE))*1</f>
        <v>0</v>
      </c>
      <c r="V59" s="10"/>
      <c r="W59" s="10"/>
      <c r="Y59" s="10"/>
    </row>
    <row r="60" spans="1:25" ht="12" customHeight="1">
      <c r="A60" s="170" t="str">
        <f>ChkList!A44</f>
        <v>로그 관리</v>
      </c>
      <c r="B60" s="172" t="str">
        <f>ChkList!B44</f>
        <v>W-40</v>
      </c>
      <c r="C60" s="300" t="str">
        <f>ChkList!C44</f>
        <v>정책에 따른 시스템 로깅 설정</v>
      </c>
      <c r="D60" s="301"/>
      <c r="E60" s="302"/>
      <c r="F60" s="170" t="str">
        <f>ChkList!D44</f>
        <v>M</v>
      </c>
      <c r="G60" s="170">
        <f>ChkList!E44</f>
        <v>2</v>
      </c>
      <c r="H60" s="154" t="s">
        <v>100</v>
      </c>
      <c r="I60" s="153" t="s">
        <v>149</v>
      </c>
      <c r="J60" s="29" t="s">
        <v>78</v>
      </c>
      <c r="K60" s="29" t="str">
        <f t="shared" si="3"/>
        <v>N/A</v>
      </c>
      <c r="L60" s="300"/>
      <c r="M60" s="301"/>
      <c r="N60" s="301"/>
      <c r="O60" s="301"/>
      <c r="P60" s="302"/>
      <c r="Q60" s="21" t="str">
        <f>IF($J60="",IF(OR(#REF!="N",#REF!="인터뷰"),ChkList!#REF!,""),IF(OR($J60="N",$J60="인터뷰"),ChkList!#REF!,""))</f>
        <v/>
      </c>
      <c r="R60" s="32">
        <f>IF($H60="N/A",0,VLOOKUP($F60,'parm(hidden)'!$B$8:$C$10,2,FALSE))*1</f>
        <v>2</v>
      </c>
      <c r="S60" s="32">
        <f>IFERROR(VLOOKUP($F60,'parm(hidden)'!$B$8:$C$10,2,FALSE)*VLOOKUP(#REF!,'parm(hidden)'!$B$15:$C$19,2,FALSE),0)</f>
        <v>0</v>
      </c>
      <c r="T60" s="32">
        <f>IFERROR(VLOOKUP($F60,'parm(hidden)'!$B$8:$C$10,2,FALSE)*VLOOKUP($K60,$V$22:$W$27,2,FALSE),0)</f>
        <v>0</v>
      </c>
      <c r="U60" s="11">
        <f>IF($J60="N/A",0,VLOOKUP($F60,'parm(hidden)'!$B$8:$C$10,2,FALSE))*1</f>
        <v>0</v>
      </c>
      <c r="V60" s="10"/>
      <c r="W60" s="10"/>
      <c r="Y60" s="10"/>
    </row>
    <row r="61" spans="1:25" ht="12" customHeight="1">
      <c r="A61" s="170" t="str">
        <f>ChkList!A45</f>
        <v>로그 관리</v>
      </c>
      <c r="B61" s="172" t="str">
        <f>ChkList!B45</f>
        <v>W-41</v>
      </c>
      <c r="C61" s="300" t="str">
        <f>ChkList!C45</f>
        <v>NTP 및 시각 동기화 설정</v>
      </c>
      <c r="D61" s="301"/>
      <c r="E61" s="302"/>
      <c r="F61" s="170" t="str">
        <f>ChkList!D45</f>
        <v>M</v>
      </c>
      <c r="G61" s="170">
        <f>ChkList!E45</f>
        <v>2</v>
      </c>
      <c r="H61" s="154" t="s">
        <v>100</v>
      </c>
      <c r="I61" s="153" t="s">
        <v>149</v>
      </c>
      <c r="J61" s="29" t="s">
        <v>78</v>
      </c>
      <c r="K61" s="29" t="str">
        <f t="shared" si="3"/>
        <v>N/A</v>
      </c>
      <c r="L61" s="300"/>
      <c r="M61" s="301"/>
      <c r="N61" s="301"/>
      <c r="O61" s="301"/>
      <c r="P61" s="302"/>
      <c r="Q61" s="21" t="str">
        <f>IF($J61="",IF(OR(#REF!="N",#REF!="인터뷰"),ChkList!#REF!,""),IF(OR($J61="N",$J61="인터뷰"),ChkList!#REF!,""))</f>
        <v/>
      </c>
      <c r="R61" s="32">
        <f>IF($H61="N/A",0,VLOOKUP($F61,'parm(hidden)'!$B$8:$C$10,2,FALSE))*1</f>
        <v>2</v>
      </c>
      <c r="S61" s="32">
        <f>IFERROR(VLOOKUP($F61,'parm(hidden)'!$B$8:$C$10,2,FALSE)*VLOOKUP(#REF!,'parm(hidden)'!$B$15:$C$19,2,FALSE),0)</f>
        <v>0</v>
      </c>
      <c r="T61" s="32">
        <f>IFERROR(VLOOKUP($F61,'parm(hidden)'!$B$8:$C$10,2,FALSE)*VLOOKUP($K61,$V$22:$W$27,2,FALSE),0)</f>
        <v>0</v>
      </c>
      <c r="U61" s="11">
        <f>IF($J61="N/A",0,VLOOKUP($F61,'parm(hidden)'!$B$8:$C$10,2,FALSE))*1</f>
        <v>0</v>
      </c>
      <c r="Y61" s="10"/>
    </row>
    <row r="62" spans="1:25" ht="12" customHeight="1">
      <c r="A62" s="170" t="str">
        <f>ChkList!A46</f>
        <v>로그 관리</v>
      </c>
      <c r="B62" s="172" t="str">
        <f>ChkList!B46</f>
        <v>W-42</v>
      </c>
      <c r="C62" s="300" t="str">
        <f>ChkList!C46</f>
        <v>이벤트 로그 관리 설정</v>
      </c>
      <c r="D62" s="301"/>
      <c r="E62" s="302"/>
      <c r="F62" s="170" t="str">
        <f>ChkList!D46</f>
        <v>L</v>
      </c>
      <c r="G62" s="170">
        <f>ChkList!E46</f>
        <v>1</v>
      </c>
      <c r="H62" s="154" t="s">
        <v>100</v>
      </c>
      <c r="I62" s="152" t="s">
        <v>29</v>
      </c>
      <c r="J62" s="29" t="s">
        <v>78</v>
      </c>
      <c r="K62" s="29" t="str">
        <f t="shared" si="3"/>
        <v>N/A</v>
      </c>
      <c r="L62" s="300"/>
      <c r="M62" s="301"/>
      <c r="N62" s="301"/>
      <c r="O62" s="301"/>
      <c r="P62" s="302"/>
      <c r="Q62" s="21" t="str">
        <f>IF($J62="",IF(OR(#REF!="N",#REF!="인터뷰"),ChkList!#REF!,""),IF(OR($J62="N",$J62="인터뷰"),ChkList!#REF!,""))</f>
        <v/>
      </c>
      <c r="R62" s="32">
        <f>IF($H62="N/A",0,VLOOKUP($F62,'parm(hidden)'!$B$8:$C$10,2,FALSE))*1</f>
        <v>1</v>
      </c>
      <c r="S62" s="32">
        <f>IFERROR(VLOOKUP($F62,'parm(hidden)'!$B$8:$C$10,2,FALSE)*VLOOKUP(H62,'parm(hidden)'!$B$15:$C$19,2,FALSE),0)</f>
        <v>0</v>
      </c>
      <c r="T62" s="32">
        <f>IFERROR(VLOOKUP($F62,'parm(hidden)'!$B$8:$C$10,2,FALSE)*VLOOKUP($K62,$V$22:$W$27,2,FALSE),0)</f>
        <v>0</v>
      </c>
      <c r="U62" s="11">
        <f>IF($J62="N/A",0,VLOOKUP($F62,'parm(hidden)'!$B$8:$C$10,2,FALSE))*1</f>
        <v>0</v>
      </c>
      <c r="Y62" s="10"/>
    </row>
    <row r="63" spans="1:25" ht="12" customHeight="1">
      <c r="A63" s="170" t="str">
        <f>ChkList!A47</f>
        <v>로그 관리</v>
      </c>
      <c r="B63" s="172" t="str">
        <f>ChkList!B47</f>
        <v>W-43</v>
      </c>
      <c r="C63" s="300" t="str">
        <f>ChkList!C47</f>
        <v>이벤트 로그 파일 접근 통제 설정</v>
      </c>
      <c r="D63" s="301"/>
      <c r="E63" s="302"/>
      <c r="F63" s="170" t="str">
        <f>ChkList!D47</f>
        <v>M</v>
      </c>
      <c r="G63" s="170">
        <f>ChkList!E47</f>
        <v>2</v>
      </c>
      <c r="H63" s="154" t="s">
        <v>100</v>
      </c>
      <c r="I63" s="152" t="s">
        <v>26</v>
      </c>
      <c r="J63" s="29" t="s">
        <v>78</v>
      </c>
      <c r="K63" s="29" t="str">
        <f t="shared" si="3"/>
        <v>N/A</v>
      </c>
      <c r="L63" s="300"/>
      <c r="M63" s="301"/>
      <c r="N63" s="301"/>
      <c r="O63" s="301"/>
      <c r="P63" s="302"/>
      <c r="Q63" s="21" t="str">
        <f>IF($J63="",IF(OR(#REF!="N",#REF!="인터뷰"),ChkList!#REF!,""),IF(OR($J63="N",$J63="인터뷰"),ChkList!#REF!,""))</f>
        <v/>
      </c>
      <c r="R63" s="32">
        <f>IF($H63="N/A",0,VLOOKUP($F63,'parm(hidden)'!$B$8:$C$10,2,FALSE))*1</f>
        <v>2</v>
      </c>
      <c r="S63" s="32">
        <f>IFERROR(VLOOKUP($F63,'parm(hidden)'!$B$8:$C$10,2,FALSE)*VLOOKUP(H63,'parm(hidden)'!$B$15:$C$19,2,FALSE),0)</f>
        <v>0</v>
      </c>
      <c r="T63" s="32">
        <f>IFERROR(VLOOKUP($F63,'parm(hidden)'!$B$8:$C$10,2,FALSE)*VLOOKUP($K63,$V$22:$W$27,2,FALSE),0)</f>
        <v>0</v>
      </c>
      <c r="U63" s="11">
        <f>IF($J63="N/A",0,VLOOKUP($F63,'parm(hidden)'!$B$8:$C$10,2,FALSE))*1</f>
        <v>0</v>
      </c>
      <c r="Y63" s="10"/>
    </row>
    <row r="64" spans="1:25" ht="12" customHeight="1">
      <c r="A64" s="170" t="str">
        <f>ChkList!A48</f>
        <v>보안 관리</v>
      </c>
      <c r="B64" s="172" t="str">
        <f>ChkList!B48</f>
        <v>W-44</v>
      </c>
      <c r="C64" s="300" t="str">
        <f>ChkList!C48</f>
        <v>원격으로 액세스할 수 있는 레지스트리 경로</v>
      </c>
      <c r="D64" s="301"/>
      <c r="E64" s="302"/>
      <c r="F64" s="170" t="str">
        <f>ChkList!D48</f>
        <v>H</v>
      </c>
      <c r="G64" s="170">
        <f>ChkList!E48</f>
        <v>3</v>
      </c>
      <c r="H64" s="154" t="s">
        <v>100</v>
      </c>
      <c r="I64" s="153" t="s">
        <v>3</v>
      </c>
      <c r="J64" s="29" t="s">
        <v>78</v>
      </c>
      <c r="K64" s="29" t="str">
        <f t="shared" si="3"/>
        <v>N/A</v>
      </c>
      <c r="L64" s="300"/>
      <c r="M64" s="301"/>
      <c r="N64" s="301"/>
      <c r="O64" s="301"/>
      <c r="P64" s="302"/>
      <c r="Q64" s="21" t="str">
        <f>IF($J64="",IF(OR(#REF!="N",#REF!="인터뷰"),ChkList!#REF!,""),IF(OR($J64="N",$J64="인터뷰"),ChkList!#REF!,""))</f>
        <v/>
      </c>
      <c r="R64" s="32">
        <f>IF($H64="N/A",0,VLOOKUP($F64,'parm(hidden)'!$B$8:$C$10,2,FALSE))*1</f>
        <v>3</v>
      </c>
      <c r="S64" s="32">
        <f>IFERROR(VLOOKUP($F64,'parm(hidden)'!$B$8:$C$10,2,FALSE)*VLOOKUP(H64,'parm(hidden)'!$B$15:$C$19,2,FALSE),0)</f>
        <v>0</v>
      </c>
      <c r="T64" s="32">
        <f>IFERROR(VLOOKUP($F64,'parm(hidden)'!$B$8:$C$10,2,FALSE)*VLOOKUP($K64,$V$22:$W$27,2,FALSE),0)</f>
        <v>0</v>
      </c>
      <c r="U64" s="11">
        <f>IF($J64="N/A",0,VLOOKUP($F64,'parm(hidden)'!$B$8:$C$10,2,FALSE))*1</f>
        <v>0</v>
      </c>
      <c r="Y64" s="10"/>
    </row>
    <row r="65" spans="1:25" ht="12" customHeight="1">
      <c r="A65" s="170" t="str">
        <f>ChkList!A49</f>
        <v>보안 관리</v>
      </c>
      <c r="B65" s="172" t="str">
        <f>ChkList!B49</f>
        <v>W-45</v>
      </c>
      <c r="C65" s="300" t="str">
        <f>ChkList!C49</f>
        <v>백신 프로그램 설치</v>
      </c>
      <c r="D65" s="301"/>
      <c r="E65" s="302"/>
      <c r="F65" s="170" t="str">
        <f>ChkList!D49</f>
        <v>H</v>
      </c>
      <c r="G65" s="170">
        <f>ChkList!E49</f>
        <v>3</v>
      </c>
      <c r="H65" s="154" t="s">
        <v>100</v>
      </c>
      <c r="I65" s="153" t="s">
        <v>149</v>
      </c>
      <c r="J65" s="29" t="s">
        <v>78</v>
      </c>
      <c r="K65" s="29" t="str">
        <f t="shared" si="3"/>
        <v>N/A</v>
      </c>
      <c r="L65" s="300"/>
      <c r="M65" s="301"/>
      <c r="N65" s="301"/>
      <c r="O65" s="301"/>
      <c r="P65" s="302"/>
      <c r="Q65" s="21" t="str">
        <f>IF($J65="",IF(OR(#REF!="N",#REF!="인터뷰"),ChkList!#REF!,""),IF(OR($J65="N",$J65="인터뷰"),ChkList!#REF!,""))</f>
        <v/>
      </c>
      <c r="R65" s="32">
        <f>IF($H65="N/A",0,VLOOKUP($F65,'parm(hidden)'!$B$8:$C$10,2,FALSE))*1</f>
        <v>3</v>
      </c>
      <c r="S65" s="32">
        <f>IFERROR(VLOOKUP($F65,'parm(hidden)'!$B$8:$C$10,2,FALSE)*VLOOKUP(H65,'parm(hidden)'!$B$15:$C$19,2,FALSE),0)</f>
        <v>0</v>
      </c>
      <c r="T65" s="32">
        <f>IFERROR(VLOOKUP($F65,'parm(hidden)'!$B$8:$C$10,2,FALSE)*VLOOKUP($K65,$V$22:$W$27,2,FALSE),0)</f>
        <v>0</v>
      </c>
      <c r="U65" s="11">
        <f>IF($J65="N/A",0,VLOOKUP($F65,'parm(hidden)'!$B$8:$C$10,2,FALSE))*1</f>
        <v>0</v>
      </c>
      <c r="Y65" s="10"/>
    </row>
    <row r="66" spans="1:25" ht="12" customHeight="1">
      <c r="A66" s="170" t="str">
        <f>ChkList!A50</f>
        <v>보안 관리</v>
      </c>
      <c r="B66" s="172" t="str">
        <f>ChkList!B50</f>
        <v>W-46</v>
      </c>
      <c r="C66" s="300" t="str">
        <f>ChkList!C50</f>
        <v>SAM 파일 접근 통제 설정</v>
      </c>
      <c r="D66" s="301"/>
      <c r="E66" s="302"/>
      <c r="F66" s="170" t="str">
        <f>ChkList!D50</f>
        <v>H</v>
      </c>
      <c r="G66" s="170">
        <f>ChkList!E50</f>
        <v>3</v>
      </c>
      <c r="H66" s="154" t="s">
        <v>100</v>
      </c>
      <c r="I66" s="153" t="s">
        <v>175</v>
      </c>
      <c r="J66" s="29" t="s">
        <v>88</v>
      </c>
      <c r="K66" s="29" t="str">
        <f t="shared" si="3"/>
        <v>조치</v>
      </c>
      <c r="L66" s="300"/>
      <c r="M66" s="301"/>
      <c r="N66" s="301"/>
      <c r="O66" s="301"/>
      <c r="P66" s="302"/>
      <c r="Q66" s="21" t="str">
        <f>IF($J66="",IF(OR(#REF!="N",#REF!="인터뷰"),ChkList!#REF!,""),IF(OR($J66="N",$J66="인터뷰"),ChkList!#REF!,""))</f>
        <v/>
      </c>
      <c r="R66" s="32">
        <f>IF($H66="N/A",0,VLOOKUP($F66,'parm(hidden)'!$B$8:$C$10,2,FALSE))*1</f>
        <v>3</v>
      </c>
      <c r="S66" s="32">
        <f>IFERROR(VLOOKUP($F66,'parm(hidden)'!$B$8:$C$10,2,FALSE)*VLOOKUP(H66,'parm(hidden)'!$B$15:$C$19,2,FALSE),0)</f>
        <v>0</v>
      </c>
      <c r="T66" s="32">
        <f>IFERROR(VLOOKUP($F66,'parm(hidden)'!$B$8:$C$10,2,FALSE)*VLOOKUP($K66,$V$22:$W$27,2,FALSE),0)</f>
        <v>3</v>
      </c>
      <c r="U66" s="11">
        <f>IF($J66="N/A",0,VLOOKUP($F66,'parm(hidden)'!$B$8:$C$10,2,FALSE))*1</f>
        <v>3</v>
      </c>
      <c r="Y66" s="10"/>
    </row>
    <row r="67" spans="1:25" ht="12" customHeight="1">
      <c r="A67" s="170" t="str">
        <f>ChkList!A51</f>
        <v>보안 관리</v>
      </c>
      <c r="B67" s="172" t="str">
        <f>ChkList!B51</f>
        <v>W-47</v>
      </c>
      <c r="C67" s="300" t="str">
        <f>ChkList!C51</f>
        <v>화면 보호기 설정</v>
      </c>
      <c r="D67" s="301"/>
      <c r="E67" s="302"/>
      <c r="F67" s="170" t="str">
        <f>ChkList!D51</f>
        <v>L</v>
      </c>
      <c r="G67" s="170">
        <f>ChkList!E51</f>
        <v>1</v>
      </c>
      <c r="H67" s="29" t="s">
        <v>88</v>
      </c>
      <c r="I67" s="153" t="s">
        <v>25</v>
      </c>
      <c r="J67" s="29" t="s">
        <v>88</v>
      </c>
      <c r="K67" s="29" t="str">
        <f t="shared" si="3"/>
        <v>Y</v>
      </c>
      <c r="L67" s="300"/>
      <c r="M67" s="301"/>
      <c r="N67" s="301"/>
      <c r="O67" s="301"/>
      <c r="P67" s="302"/>
      <c r="Q67" s="21" t="str">
        <f>IF($J67="",IF(OR(#REF!="N",#REF!="인터뷰"),ChkList!#REF!,""),IF(OR($J67="N",$J67="인터뷰"),ChkList!#REF!,""))</f>
        <v/>
      </c>
      <c r="R67" s="32">
        <f>IF($H67="N/A",0,VLOOKUP($F67,'parm(hidden)'!$B$8:$C$10,2,FALSE))*1</f>
        <v>1</v>
      </c>
      <c r="S67" s="32">
        <f>IFERROR(VLOOKUP($F67,'parm(hidden)'!$B$8:$C$10,2,FALSE)*VLOOKUP(H67,'parm(hidden)'!$B$15:$C$19,2,FALSE),0)</f>
        <v>1</v>
      </c>
      <c r="T67" s="32">
        <f>IFERROR(VLOOKUP($F67,'parm(hidden)'!$B$8:$C$10,2,FALSE)*VLOOKUP($K67,$V$22:$W$27,2,FALSE),0)</f>
        <v>1</v>
      </c>
      <c r="U67" s="11">
        <f>IF($J67="N/A",0,VLOOKUP($F67,'parm(hidden)'!$B$8:$C$10,2,FALSE))*1</f>
        <v>1</v>
      </c>
      <c r="Y67" s="10"/>
    </row>
    <row r="68" spans="1:25" ht="12" customHeight="1">
      <c r="A68" s="170" t="str">
        <f>ChkList!A52</f>
        <v>보안 관리</v>
      </c>
      <c r="B68" s="172" t="str">
        <f>ChkList!B52</f>
        <v>W-48</v>
      </c>
      <c r="C68" s="300" t="str">
        <f>ChkList!C52</f>
        <v>로그온하지 않고 시스템 종료 허용</v>
      </c>
      <c r="D68" s="301"/>
      <c r="E68" s="302"/>
      <c r="F68" s="170" t="str">
        <f>ChkList!D52</f>
        <v>H</v>
      </c>
      <c r="G68" s="170">
        <f>ChkList!E52</f>
        <v>3</v>
      </c>
      <c r="H68" s="154" t="s">
        <v>100</v>
      </c>
      <c r="I68" s="153" t="s">
        <v>175</v>
      </c>
      <c r="J68" s="29" t="s">
        <v>88</v>
      </c>
      <c r="K68" s="29" t="str">
        <f t="shared" si="3"/>
        <v>조치</v>
      </c>
      <c r="L68" s="300"/>
      <c r="M68" s="301"/>
      <c r="N68" s="301"/>
      <c r="O68" s="301"/>
      <c r="P68" s="302"/>
      <c r="Q68" s="21" t="str">
        <f>IF($J68="",IF(OR(#REF!="N",#REF!="인터뷰"),ChkList!#REF!,""),IF(OR($J68="N",$J68="인터뷰"),ChkList!#REF!,""))</f>
        <v/>
      </c>
      <c r="R68" s="32">
        <f>IF($H68="N/A",0,VLOOKUP($F68,'parm(hidden)'!$B$8:$C$10,2,FALSE))*1</f>
        <v>3</v>
      </c>
      <c r="S68" s="32">
        <f>IFERROR(VLOOKUP($F68,'parm(hidden)'!$B$8:$C$10,2,FALSE)*VLOOKUP(H68,'parm(hidden)'!$B$15:$C$19,2,FALSE),0)</f>
        <v>0</v>
      </c>
      <c r="T68" s="32">
        <f>IFERROR(VLOOKUP($F68,'parm(hidden)'!$B$8:$C$10,2,FALSE)*VLOOKUP($K68,$V$22:$W$27,2,FALSE),0)</f>
        <v>3</v>
      </c>
      <c r="U68" s="11">
        <f>IF($J68="N/A",0,VLOOKUP($F68,'parm(hidden)'!$B$8:$C$10,2,FALSE))*1</f>
        <v>3</v>
      </c>
      <c r="Y68" s="10"/>
    </row>
    <row r="69" spans="1:25" ht="12" customHeight="1">
      <c r="A69" s="170" t="str">
        <f>ChkList!A53</f>
        <v>보안 관리</v>
      </c>
      <c r="B69" s="172" t="str">
        <f>ChkList!B53</f>
        <v>W-49</v>
      </c>
      <c r="C69" s="300" t="str">
        <f>ChkList!C53</f>
        <v>원격 시스템에서 강제로 시스템 종료</v>
      </c>
      <c r="D69" s="301"/>
      <c r="E69" s="302"/>
      <c r="F69" s="170" t="str">
        <f>ChkList!D53</f>
        <v>H</v>
      </c>
      <c r="G69" s="170">
        <f>ChkList!E53</f>
        <v>3</v>
      </c>
      <c r="H69" s="154" t="s">
        <v>100</v>
      </c>
      <c r="I69" s="153" t="s">
        <v>149</v>
      </c>
      <c r="J69" s="29" t="s">
        <v>88</v>
      </c>
      <c r="K69" s="29" t="str">
        <f t="shared" si="3"/>
        <v>조치</v>
      </c>
      <c r="L69" s="300"/>
      <c r="M69" s="301"/>
      <c r="N69" s="301"/>
      <c r="O69" s="301"/>
      <c r="P69" s="302"/>
      <c r="Q69" s="21" t="str">
        <f>IF($J69="",IF(OR(#REF!="N",#REF!="인터뷰"),ChkList!#REF!,""),IF(OR($J69="N",$J69="인터뷰"),ChkList!#REF!,""))</f>
        <v/>
      </c>
      <c r="R69" s="32">
        <f>IF($H69="N/A",0,VLOOKUP($F69,'parm(hidden)'!$B$8:$C$10,2,FALSE))*1</f>
        <v>3</v>
      </c>
      <c r="S69" s="32">
        <f>IFERROR(VLOOKUP($F69,'parm(hidden)'!$B$8:$C$10,2,FALSE)*VLOOKUP(H69,'parm(hidden)'!$B$15:$C$19,2,FALSE),0)</f>
        <v>0</v>
      </c>
      <c r="T69" s="32">
        <f>IFERROR(VLOOKUP($F69,'parm(hidden)'!$B$8:$C$10,2,FALSE)*VLOOKUP($K69,$V$22:$W$27,2,FALSE),0)</f>
        <v>3</v>
      </c>
      <c r="U69" s="11">
        <f>IF($J69="N/A",0,VLOOKUP($F69,'parm(hidden)'!$B$8:$C$10,2,FALSE))*1</f>
        <v>3</v>
      </c>
      <c r="Y69" s="10"/>
    </row>
    <row r="70" spans="1:25" ht="12" customHeight="1">
      <c r="A70" s="170" t="str">
        <f>ChkList!A54</f>
        <v>보안 관리</v>
      </c>
      <c r="B70" s="172" t="str">
        <f>ChkList!B54</f>
        <v>W-50</v>
      </c>
      <c r="C70" s="300" t="str">
        <f>ChkList!C54</f>
        <v>보안 감사를 로그 할 수 없는 경우 즉시 시스템 종료</v>
      </c>
      <c r="D70" s="301"/>
      <c r="E70" s="302"/>
      <c r="F70" s="170" t="str">
        <f>ChkList!D54</f>
        <v>H</v>
      </c>
      <c r="G70" s="170">
        <f>ChkList!E54</f>
        <v>3</v>
      </c>
      <c r="H70" s="154" t="s">
        <v>100</v>
      </c>
      <c r="I70" s="153" t="s">
        <v>151</v>
      </c>
      <c r="J70" s="29" t="s">
        <v>88</v>
      </c>
      <c r="K70" s="29" t="str">
        <f t="shared" si="3"/>
        <v>조치</v>
      </c>
      <c r="L70" s="300"/>
      <c r="M70" s="301"/>
      <c r="N70" s="301"/>
      <c r="O70" s="301"/>
      <c r="P70" s="302"/>
      <c r="Q70" s="21" t="str">
        <f>IF($J70="",IF(OR(#REF!="N",#REF!="인터뷰"),ChkList!#REF!,""),IF(OR($J70="N",$J70="인터뷰"),ChkList!#REF!,""))</f>
        <v/>
      </c>
      <c r="R70" s="32">
        <f>IF($H70="N/A",0,VLOOKUP($F70,'parm(hidden)'!$B$8:$C$10,2,FALSE))*1</f>
        <v>3</v>
      </c>
      <c r="S70" s="32">
        <f>IFERROR(VLOOKUP($F70,'parm(hidden)'!$B$8:$C$10,2,FALSE)*VLOOKUP(H70,'parm(hidden)'!$B$15:$C$19,2,FALSE),0)</f>
        <v>0</v>
      </c>
      <c r="T70" s="32">
        <f>IFERROR(VLOOKUP($F70,'parm(hidden)'!$B$8:$C$10,2,FALSE)*VLOOKUP($K70,$V$22:$W$27,2,FALSE),0)</f>
        <v>3</v>
      </c>
      <c r="U70" s="11">
        <f>IF($J70="N/A",0,VLOOKUP($F70,'parm(hidden)'!$B$8:$C$10,2,FALSE))*1</f>
        <v>3</v>
      </c>
      <c r="Y70" s="10"/>
    </row>
    <row r="71" spans="1:25" ht="12" customHeight="1">
      <c r="A71" s="170" t="str">
        <f>ChkList!A55</f>
        <v>보안 관리</v>
      </c>
      <c r="B71" s="172" t="str">
        <f>ChkList!B55</f>
        <v>W-51</v>
      </c>
      <c r="C71" s="300" t="str">
        <f>ChkList!C55</f>
        <v>SAM 계정과 공유의 익명 열거 허용 안 함</v>
      </c>
      <c r="D71" s="301"/>
      <c r="E71" s="302"/>
      <c r="F71" s="170" t="str">
        <f>ChkList!D55</f>
        <v>H</v>
      </c>
      <c r="G71" s="170">
        <f>ChkList!E55</f>
        <v>3</v>
      </c>
      <c r="H71" s="154" t="s">
        <v>100</v>
      </c>
      <c r="I71" s="153" t="s">
        <v>2</v>
      </c>
      <c r="J71" s="29" t="s">
        <v>88</v>
      </c>
      <c r="K71" s="29" t="str">
        <f t="shared" si="3"/>
        <v>조치</v>
      </c>
      <c r="L71" s="300"/>
      <c r="M71" s="301"/>
      <c r="N71" s="301"/>
      <c r="O71" s="301"/>
      <c r="P71" s="302"/>
      <c r="Q71" s="21" t="str">
        <f>IF($J71="",IF(OR(#REF!="N",#REF!="인터뷰"),ChkList!#REF!,""),IF(OR($J71="N",$J71="인터뷰"),ChkList!#REF!,""))</f>
        <v/>
      </c>
      <c r="R71" s="32">
        <f>IF($H71="N/A",0,VLOOKUP($F71,'parm(hidden)'!$B$8:$C$10,2,FALSE))*1</f>
        <v>3</v>
      </c>
      <c r="S71" s="32">
        <f>IFERROR(VLOOKUP($F71,'parm(hidden)'!$B$8:$C$10,2,FALSE)*VLOOKUP(H71,'parm(hidden)'!$B$15:$C$19,2,FALSE),0)</f>
        <v>0</v>
      </c>
      <c r="T71" s="32">
        <f>IFERROR(VLOOKUP($F71,'parm(hidden)'!$B$8:$C$10,2,FALSE)*VLOOKUP($K71,$V$22:$W$27,2,FALSE),0)</f>
        <v>3</v>
      </c>
      <c r="U71" s="11">
        <f>IF($J71="N/A",0,VLOOKUP($F71,'parm(hidden)'!$B$8:$C$10,2,FALSE))*1</f>
        <v>3</v>
      </c>
      <c r="Y71" s="10"/>
    </row>
    <row r="72" spans="1:25" ht="12" customHeight="1">
      <c r="A72" s="170" t="str">
        <f>ChkList!A56</f>
        <v>보안 관리</v>
      </c>
      <c r="B72" s="172" t="str">
        <f>ChkList!B56</f>
        <v>W-52</v>
      </c>
      <c r="C72" s="300" t="str">
        <f>ChkList!C56</f>
        <v>Autologon 기능 제어</v>
      </c>
      <c r="D72" s="301"/>
      <c r="E72" s="302"/>
      <c r="F72" s="170" t="str">
        <f>ChkList!D56</f>
        <v>H</v>
      </c>
      <c r="G72" s="170">
        <f>ChkList!E56</f>
        <v>3</v>
      </c>
      <c r="H72" s="29" t="s">
        <v>88</v>
      </c>
      <c r="I72" s="153" t="s">
        <v>147</v>
      </c>
      <c r="J72" s="29" t="s">
        <v>88</v>
      </c>
      <c r="K72" s="29" t="str">
        <f t="shared" si="3"/>
        <v>Y</v>
      </c>
      <c r="L72" s="300"/>
      <c r="M72" s="301"/>
      <c r="N72" s="301"/>
      <c r="O72" s="301"/>
      <c r="P72" s="302"/>
      <c r="Q72" s="21" t="str">
        <f>IF($J72="",IF(OR(#REF!="N",#REF!="인터뷰"),ChkList!#REF!,""),IF(OR($J72="N",$J72="인터뷰"),ChkList!#REF!,""))</f>
        <v/>
      </c>
      <c r="R72" s="32">
        <f>IF($H72="N/A",0,VLOOKUP($F72,'parm(hidden)'!$B$8:$C$10,2,FALSE))*1</f>
        <v>3</v>
      </c>
      <c r="S72" s="32">
        <f>IFERROR(VLOOKUP($F72,'parm(hidden)'!$B$8:$C$10,2,FALSE)*VLOOKUP(H72,'parm(hidden)'!$B$15:$C$19,2,FALSE),0)</f>
        <v>3</v>
      </c>
      <c r="T72" s="32">
        <f>IFERROR(VLOOKUP($F72,'parm(hidden)'!$B$8:$C$10,2,FALSE)*VLOOKUP($K72,$V$22:$W$27,2,FALSE),0)</f>
        <v>3</v>
      </c>
      <c r="U72" s="11">
        <f>IF($J72="N/A",0,VLOOKUP($F72,'parm(hidden)'!$B$8:$C$10,2,FALSE))*1</f>
        <v>3</v>
      </c>
      <c r="Y72" s="10"/>
    </row>
    <row r="73" spans="1:25" ht="12" customHeight="1">
      <c r="A73" s="170" t="str">
        <f>ChkList!A57</f>
        <v>보안 관리</v>
      </c>
      <c r="B73" s="172" t="str">
        <f>ChkList!B57</f>
        <v>W-53</v>
      </c>
      <c r="C73" s="300" t="str">
        <f>ChkList!C57</f>
        <v>이동식 미디어 포맷 및 꺼내기 허용</v>
      </c>
      <c r="D73" s="301"/>
      <c r="E73" s="302"/>
      <c r="F73" s="170" t="str">
        <f>ChkList!D57</f>
        <v>H</v>
      </c>
      <c r="G73" s="170">
        <f>ChkList!E57</f>
        <v>3</v>
      </c>
      <c r="H73" s="155" t="s">
        <v>100</v>
      </c>
      <c r="I73" s="152" t="s">
        <v>24</v>
      </c>
      <c r="J73" s="29" t="s">
        <v>88</v>
      </c>
      <c r="K73" s="29" t="str">
        <f t="shared" si="3"/>
        <v>조치</v>
      </c>
      <c r="L73" s="300"/>
      <c r="M73" s="301"/>
      <c r="N73" s="301"/>
      <c r="O73" s="301"/>
      <c r="P73" s="302"/>
      <c r="Q73" s="21" t="str">
        <f>IF($J73="",IF(OR(#REF!="N",#REF!="인터뷰"),ChkList!#REF!,""),IF(OR($J73="N",$J73="인터뷰"),ChkList!#REF!,""))</f>
        <v/>
      </c>
      <c r="R73" s="32">
        <f>IF($H73="N/A",0,VLOOKUP($F73,'parm(hidden)'!$B$8:$C$10,2,FALSE))*1</f>
        <v>3</v>
      </c>
      <c r="S73" s="32">
        <f>IFERROR(VLOOKUP($F73,'parm(hidden)'!$B$8:$C$10,2,FALSE)*VLOOKUP(H73,'parm(hidden)'!$B$15:$C$19,2,FALSE),0)</f>
        <v>0</v>
      </c>
      <c r="T73" s="32">
        <f>IFERROR(VLOOKUP($F73,'parm(hidden)'!$B$8:$C$10,2,FALSE)*VLOOKUP($K73,$V$22:$W$27,2,FALSE),0)</f>
        <v>3</v>
      </c>
      <c r="U73" s="11">
        <f>IF($J73="N/A",0,VLOOKUP($F73,'parm(hidden)'!$B$8:$C$10,2,FALSE))*1</f>
        <v>3</v>
      </c>
      <c r="Y73" s="10"/>
    </row>
    <row r="74" spans="1:25" ht="12" customHeight="1">
      <c r="A74" s="170" t="str">
        <f>ChkList!A58</f>
        <v>보안 관리</v>
      </c>
      <c r="B74" s="172" t="str">
        <f>ChkList!B58</f>
        <v>W-54</v>
      </c>
      <c r="C74" s="300" t="str">
        <f>ChkList!C58</f>
        <v>Dos 공격 방어 레지스트리 설정</v>
      </c>
      <c r="D74" s="301"/>
      <c r="E74" s="302"/>
      <c r="F74" s="170" t="str">
        <f>ChkList!D58</f>
        <v>M</v>
      </c>
      <c r="G74" s="170">
        <f>ChkList!E58</f>
        <v>2</v>
      </c>
      <c r="H74" s="29" t="s">
        <v>88</v>
      </c>
      <c r="I74" s="153" t="s">
        <v>148</v>
      </c>
      <c r="J74" s="29" t="s">
        <v>88</v>
      </c>
      <c r="K74" s="29" t="str">
        <f t="shared" si="3"/>
        <v>Y</v>
      </c>
      <c r="L74" s="300"/>
      <c r="M74" s="301"/>
      <c r="N74" s="301"/>
      <c r="O74" s="301"/>
      <c r="P74" s="302"/>
      <c r="Q74" s="21" t="str">
        <f>IF($J74="",IF(OR(#REF!="N",#REF!="인터뷰"),ChkList!#REF!,""),IF(OR($J74="N",$J74="인터뷰"),ChkList!#REF!,""))</f>
        <v/>
      </c>
      <c r="R74" s="32">
        <f>IF($H74="N/A",0,VLOOKUP($F74,'parm(hidden)'!$B$8:$C$10,2,FALSE))*1</f>
        <v>2</v>
      </c>
      <c r="S74" s="32">
        <f>IFERROR(VLOOKUP($F74,'parm(hidden)'!$B$8:$C$10,2,FALSE)*VLOOKUP(H74,'parm(hidden)'!$B$15:$C$19,2,FALSE),0)</f>
        <v>2</v>
      </c>
      <c r="T74" s="32">
        <f>IFERROR(VLOOKUP($F74,'parm(hidden)'!$B$8:$C$10,2,FALSE)*VLOOKUP($K74,$V$22:$W$27,2,FALSE),0)</f>
        <v>2</v>
      </c>
      <c r="U74" s="11">
        <f>IF($J74="N/A",0,VLOOKUP($F74,'parm(hidden)'!$B$8:$C$10,2,FALSE))*1</f>
        <v>2</v>
      </c>
      <c r="Y74" s="10"/>
    </row>
    <row r="75" spans="1:25" ht="12" customHeight="1">
      <c r="A75" s="170" t="str">
        <f>ChkList!A59</f>
        <v>보안 관리</v>
      </c>
      <c r="B75" s="172" t="str">
        <f>ChkList!B59</f>
        <v>W-55</v>
      </c>
      <c r="C75" s="300" t="str">
        <f>ChkList!C59</f>
        <v>사용자가 프린터 드라이버를 설치할 수 없게 함</v>
      </c>
      <c r="D75" s="301"/>
      <c r="E75" s="302"/>
      <c r="F75" s="170" t="str">
        <f>ChkList!D59</f>
        <v>M</v>
      </c>
      <c r="G75" s="170">
        <f>ChkList!E59</f>
        <v>2</v>
      </c>
      <c r="H75" s="155" t="s">
        <v>100</v>
      </c>
      <c r="I75" s="153" t="s">
        <v>150</v>
      </c>
      <c r="J75" s="29" t="s">
        <v>88</v>
      </c>
      <c r="K75" s="29" t="str">
        <f t="shared" si="3"/>
        <v>조치</v>
      </c>
      <c r="L75" s="300"/>
      <c r="M75" s="301"/>
      <c r="N75" s="301"/>
      <c r="O75" s="301"/>
      <c r="P75" s="302"/>
      <c r="Q75" s="21" t="str">
        <f>IF($J75="",IF(OR(#REF!="N",#REF!="인터뷰"),ChkList!#REF!,""),IF(OR($J75="N",$J75="인터뷰"),ChkList!#REF!,""))</f>
        <v/>
      </c>
      <c r="R75" s="32">
        <f>IF($H75="N/A",0,VLOOKUP($F75,'parm(hidden)'!$B$8:$C$10,2,FALSE))*1</f>
        <v>2</v>
      </c>
      <c r="S75" s="32">
        <f>IFERROR(VLOOKUP($F75,'parm(hidden)'!$B$8:$C$10,2,FALSE)*VLOOKUP(H75,'parm(hidden)'!$B$15:$C$19,2,FALSE),0)</f>
        <v>0</v>
      </c>
      <c r="T75" s="32">
        <f>IFERROR(VLOOKUP($F75,'parm(hidden)'!$B$8:$C$10,2,FALSE)*VLOOKUP($K75,$V$22:$W$27,2,FALSE),0)</f>
        <v>2</v>
      </c>
      <c r="U75" s="11">
        <f>IF($J75="N/A",0,VLOOKUP($F75,'parm(hidden)'!$B$8:$C$10,2,FALSE))*1</f>
        <v>2</v>
      </c>
      <c r="Y75" s="10"/>
    </row>
    <row r="76" spans="1:25" ht="12" customHeight="1">
      <c r="A76" s="170" t="str">
        <f>ChkList!A60</f>
        <v>보안 관리</v>
      </c>
      <c r="B76" s="172" t="str">
        <f>ChkList!B60</f>
        <v>W-56</v>
      </c>
      <c r="C76" s="300" t="str">
        <f>ChkList!C60</f>
        <v>SMB 세션 중단 관리 설정</v>
      </c>
      <c r="D76" s="301"/>
      <c r="E76" s="302"/>
      <c r="F76" s="170" t="str">
        <f>ChkList!D60</f>
        <v>M</v>
      </c>
      <c r="G76" s="170">
        <f>ChkList!E60</f>
        <v>2</v>
      </c>
      <c r="H76" s="155" t="s">
        <v>100</v>
      </c>
      <c r="I76" s="152" t="s">
        <v>31</v>
      </c>
      <c r="J76" s="29" t="s">
        <v>88</v>
      </c>
      <c r="K76" s="29" t="str">
        <f t="shared" si="3"/>
        <v>조치</v>
      </c>
      <c r="L76" s="300"/>
      <c r="M76" s="301"/>
      <c r="N76" s="301"/>
      <c r="O76" s="301"/>
      <c r="P76" s="302"/>
      <c r="Q76" s="21" t="str">
        <f>IF($J76="",IF(OR(#REF!="N",#REF!="인터뷰"),ChkList!#REF!,""),IF(OR($J76="N",$J76="인터뷰"),ChkList!#REF!,""))</f>
        <v/>
      </c>
      <c r="R76" s="32">
        <f>IF($H76="N/A",0,VLOOKUP($F76,'parm(hidden)'!$B$8:$C$10,2,FALSE))*1</f>
        <v>2</v>
      </c>
      <c r="S76" s="32">
        <f>IFERROR(VLOOKUP($F76,'parm(hidden)'!$B$8:$C$10,2,FALSE)*VLOOKUP(H76,'parm(hidden)'!$B$15:$C$19,2,FALSE),0)</f>
        <v>0</v>
      </c>
      <c r="T76" s="32">
        <f>IFERROR(VLOOKUP($F76,'parm(hidden)'!$B$8:$C$10,2,FALSE)*VLOOKUP($K76,$V$22:$W$27,2,FALSE),0)</f>
        <v>2</v>
      </c>
      <c r="U76" s="11">
        <f>IF($J76="N/A",0,VLOOKUP($F76,'parm(hidden)'!$B$8:$C$10,2,FALSE))*1</f>
        <v>2</v>
      </c>
      <c r="Y76" s="10"/>
    </row>
    <row r="77" spans="1:25" ht="12" customHeight="1">
      <c r="A77" s="170" t="str">
        <f>ChkList!A61</f>
        <v>보안 관리</v>
      </c>
      <c r="B77" s="172" t="str">
        <f>ChkList!B61</f>
        <v>W-57</v>
      </c>
      <c r="C77" s="300" t="str">
        <f>ChkList!C61</f>
        <v>로그온 시 경고 메시지 설정</v>
      </c>
      <c r="D77" s="301"/>
      <c r="E77" s="302"/>
      <c r="F77" s="170" t="str">
        <f>ChkList!D61</f>
        <v>L</v>
      </c>
      <c r="G77" s="170">
        <f>ChkList!E61</f>
        <v>1</v>
      </c>
      <c r="H77" s="155" t="s">
        <v>100</v>
      </c>
      <c r="I77" s="153" t="s">
        <v>19</v>
      </c>
      <c r="J77" s="29" t="s">
        <v>88</v>
      </c>
      <c r="K77" s="29" t="str">
        <f t="shared" si="3"/>
        <v>조치</v>
      </c>
      <c r="L77" s="300"/>
      <c r="M77" s="301"/>
      <c r="N77" s="301"/>
      <c r="O77" s="301"/>
      <c r="P77" s="302"/>
      <c r="Q77" s="21" t="str">
        <f>IF($J77="",IF(OR(#REF!="N",#REF!="인터뷰"),ChkList!#REF!,""),IF(OR($J77="N",$J77="인터뷰"),ChkList!#REF!,""))</f>
        <v/>
      </c>
      <c r="R77" s="32">
        <f>IF($H77="N/A",0,VLOOKUP($F77,'parm(hidden)'!$B$8:$C$10,2,FALSE))*1</f>
        <v>1</v>
      </c>
      <c r="S77" s="32">
        <f>IFERROR(VLOOKUP($F77,'parm(hidden)'!$B$8:$C$10,2,FALSE)*VLOOKUP(H77,'parm(hidden)'!$B$15:$C$19,2,FALSE),0)</f>
        <v>0</v>
      </c>
      <c r="T77" s="32">
        <f>IFERROR(VLOOKUP($F77,'parm(hidden)'!$B$8:$C$10,2,FALSE)*VLOOKUP($K77,$V$22:$W$27,2,FALSE),0)</f>
        <v>1</v>
      </c>
      <c r="U77" s="11">
        <f>IF($J77="N/A",0,VLOOKUP($F77,'parm(hidden)'!$B$8:$C$10,2,FALSE))*1</f>
        <v>1</v>
      </c>
      <c r="Y77" s="10"/>
    </row>
    <row r="78" spans="1:25" ht="12" customHeight="1">
      <c r="A78" s="170" t="str">
        <f>ChkList!A62</f>
        <v>보안 관리</v>
      </c>
      <c r="B78" s="172" t="str">
        <f>ChkList!B62</f>
        <v>W-58</v>
      </c>
      <c r="C78" s="300" t="str">
        <f>ChkList!C62</f>
        <v>사용자별 홈 디렉터리 권한 설정</v>
      </c>
      <c r="D78" s="301"/>
      <c r="E78" s="302"/>
      <c r="F78" s="170" t="str">
        <f>ChkList!D62</f>
        <v>M</v>
      </c>
      <c r="G78" s="170">
        <f>ChkList!E62</f>
        <v>2</v>
      </c>
      <c r="H78" s="154" t="s">
        <v>100</v>
      </c>
      <c r="I78" s="152" t="s">
        <v>153</v>
      </c>
      <c r="J78" s="29" t="s">
        <v>78</v>
      </c>
      <c r="K78" s="29" t="str">
        <f t="shared" si="3"/>
        <v>N/A</v>
      </c>
      <c r="L78" s="300"/>
      <c r="M78" s="301"/>
      <c r="N78" s="301"/>
      <c r="O78" s="301"/>
      <c r="P78" s="302"/>
      <c r="Q78" s="21" t="str">
        <f>IF($J78="",IF(OR(#REF!="N",#REF!="인터뷰"),ChkList!#REF!,""),IF(OR($J78="N",$J78="인터뷰"),ChkList!#REF!,""))</f>
        <v/>
      </c>
      <c r="R78" s="32">
        <f>IF($H78="N/A",0,VLOOKUP($F78,'parm(hidden)'!$B$8:$C$10,2,FALSE))*1</f>
        <v>2</v>
      </c>
      <c r="S78" s="32">
        <f>IFERROR(VLOOKUP($F78,'parm(hidden)'!$B$8:$C$10,2,FALSE)*VLOOKUP(H78,'parm(hidden)'!$B$15:$C$19,2,FALSE),0)</f>
        <v>0</v>
      </c>
      <c r="T78" s="32">
        <f>IFERROR(VLOOKUP($F78,'parm(hidden)'!$B$8:$C$10,2,FALSE)*VLOOKUP($K78,$V$22:$W$27,2,FALSE),0)</f>
        <v>0</v>
      </c>
      <c r="U78" s="11">
        <f>IF($J78="N/A",0,VLOOKUP($F78,'parm(hidden)'!$B$8:$C$10,2,FALSE))*1</f>
        <v>0</v>
      </c>
      <c r="Y78" s="10"/>
    </row>
    <row r="79" spans="1:25" ht="12" customHeight="1">
      <c r="A79" s="170" t="str">
        <f>ChkList!A63</f>
        <v>보안 관리</v>
      </c>
      <c r="B79" s="172" t="str">
        <f>ChkList!B63</f>
        <v>W-59</v>
      </c>
      <c r="C79" s="300" t="str">
        <f>ChkList!C63</f>
        <v>LAN Manager 인증 수준</v>
      </c>
      <c r="D79" s="301"/>
      <c r="E79" s="302"/>
      <c r="F79" s="170" t="str">
        <f>ChkList!D63</f>
        <v>M</v>
      </c>
      <c r="G79" s="170">
        <f>ChkList!E63</f>
        <v>2</v>
      </c>
      <c r="H79" s="154" t="s">
        <v>100</v>
      </c>
      <c r="I79" s="152" t="s">
        <v>164</v>
      </c>
      <c r="J79" s="29" t="s">
        <v>88</v>
      </c>
      <c r="K79" s="29" t="str">
        <f t="shared" si="3"/>
        <v>조치</v>
      </c>
      <c r="L79" s="300"/>
      <c r="M79" s="301"/>
      <c r="N79" s="301"/>
      <c r="O79" s="301"/>
      <c r="P79" s="302"/>
      <c r="Q79" s="21" t="str">
        <f>IF($J79="",IF(OR(#REF!="N",#REF!="인터뷰"),ChkList!#REF!,""),IF(OR($J79="N",$J79="인터뷰"),ChkList!#REF!,""))</f>
        <v/>
      </c>
      <c r="R79" s="32">
        <f>IF($H79="N/A",0,VLOOKUP($F79,'parm(hidden)'!$B$8:$C$10,2,FALSE))*1</f>
        <v>2</v>
      </c>
      <c r="S79" s="32">
        <f>IFERROR(VLOOKUP($F79,'parm(hidden)'!$B$8:$C$10,2,FALSE)*VLOOKUP(H79,'parm(hidden)'!$B$15:$C$19,2,FALSE),0)</f>
        <v>0</v>
      </c>
      <c r="T79" s="32">
        <f>IFERROR(VLOOKUP($F79,'parm(hidden)'!$B$8:$C$10,2,FALSE)*VLOOKUP($K79,$V$22:$W$27,2,FALSE),0)</f>
        <v>2</v>
      </c>
      <c r="U79" s="11">
        <f>IF($J79="N/A",0,VLOOKUP($F79,'parm(hidden)'!$B$8:$C$10,2,FALSE))*1</f>
        <v>2</v>
      </c>
      <c r="Y79" s="10"/>
    </row>
    <row r="80" spans="1:25" ht="12" customHeight="1">
      <c r="A80" s="170" t="str">
        <f>ChkList!A64</f>
        <v>보안 관리</v>
      </c>
      <c r="B80" s="172" t="str">
        <f>ChkList!B64</f>
        <v>W-60</v>
      </c>
      <c r="C80" s="300" t="str">
        <f>ChkList!C64</f>
        <v>보안 채널 데이터 디지털 암호화 또는 서명</v>
      </c>
      <c r="D80" s="301"/>
      <c r="E80" s="302"/>
      <c r="F80" s="170" t="str">
        <f>ChkList!D64</f>
        <v>M</v>
      </c>
      <c r="G80" s="170">
        <f>ChkList!E64</f>
        <v>2</v>
      </c>
      <c r="H80" s="29" t="s">
        <v>88</v>
      </c>
      <c r="I80" s="153" t="s">
        <v>66</v>
      </c>
      <c r="J80" s="29" t="s">
        <v>88</v>
      </c>
      <c r="K80" s="29" t="str">
        <f t="shared" si="3"/>
        <v>Y</v>
      </c>
      <c r="L80" s="300"/>
      <c r="M80" s="301"/>
      <c r="N80" s="301"/>
      <c r="O80" s="301"/>
      <c r="P80" s="302"/>
      <c r="Q80" s="21" t="str">
        <f>IF($J80="",IF(OR(#REF!="N",#REF!="인터뷰"),ChkList!#REF!,""),IF(OR($J80="N",$J80="인터뷰"),ChkList!#REF!,""))</f>
        <v/>
      </c>
      <c r="R80" s="32">
        <f>IF($H80="N/A",0,VLOOKUP($F80,'parm(hidden)'!$B$8:$C$10,2,FALSE))*1</f>
        <v>2</v>
      </c>
      <c r="S80" s="32">
        <f>IFERROR(VLOOKUP($F80,'parm(hidden)'!$B$8:$C$10,2,FALSE)*VLOOKUP(H80,'parm(hidden)'!$B$15:$C$19,2,FALSE),0)</f>
        <v>2</v>
      </c>
      <c r="T80" s="32">
        <f>IFERROR(VLOOKUP($F80,'parm(hidden)'!$B$8:$C$10,2,FALSE)*VLOOKUP($K80,$V$22:$W$27,2,FALSE),0)</f>
        <v>2</v>
      </c>
      <c r="U80" s="11">
        <f>IF($J80="N/A",0,VLOOKUP($F80,'parm(hidden)'!$B$8:$C$10,2,FALSE))*1</f>
        <v>2</v>
      </c>
      <c r="Y80" s="10"/>
    </row>
    <row r="81" spans="1:25" ht="12" customHeight="1">
      <c r="A81" s="170" t="str">
        <f>ChkList!A65</f>
        <v>보안 관리</v>
      </c>
      <c r="B81" s="172" t="str">
        <f>ChkList!B65</f>
        <v>W-61</v>
      </c>
      <c r="C81" s="300" t="str">
        <f>ChkList!C65</f>
        <v>파일 및 디렉토리 보호</v>
      </c>
      <c r="D81" s="301"/>
      <c r="E81" s="302"/>
      <c r="F81" s="170" t="str">
        <f>ChkList!D65</f>
        <v>M</v>
      </c>
      <c r="G81" s="170">
        <f>ChkList!E65</f>
        <v>2</v>
      </c>
      <c r="H81" s="157" t="s">
        <v>88</v>
      </c>
      <c r="I81" s="153" t="s">
        <v>168</v>
      </c>
      <c r="J81" s="29" t="s">
        <v>88</v>
      </c>
      <c r="K81" s="29" t="str">
        <f t="shared" si="3"/>
        <v>Y</v>
      </c>
      <c r="L81" s="300"/>
      <c r="M81" s="301"/>
      <c r="N81" s="301"/>
      <c r="O81" s="301"/>
      <c r="P81" s="302"/>
      <c r="Q81" s="21" t="str">
        <f>IF($J81="",IF(OR(#REF!="N",#REF!="인터뷰"),ChkList!#REF!,""),IF(OR($J81="N",$J81="인터뷰"),ChkList!#REF!,""))</f>
        <v/>
      </c>
      <c r="R81" s="32">
        <f>IF($H81="N/A",0,VLOOKUP($F81,'parm(hidden)'!$B$8:$C$10,2,FALSE))*1</f>
        <v>2</v>
      </c>
      <c r="S81" s="32">
        <f>IFERROR(VLOOKUP($F81,'parm(hidden)'!$B$8:$C$10,2,FALSE)*VLOOKUP(H81,'parm(hidden)'!$B$15:$C$19,2,FALSE),0)</f>
        <v>2</v>
      </c>
      <c r="T81" s="32">
        <f>IFERROR(VLOOKUP($F81,'parm(hidden)'!$B$8:$C$10,2,FALSE)*VLOOKUP($K81,$V$22:$W$27,2,FALSE),0)</f>
        <v>2</v>
      </c>
      <c r="U81" s="11">
        <f>IF($J81="N/A",0,VLOOKUP($F81,'parm(hidden)'!$B$8:$C$10,2,FALSE))*1</f>
        <v>2</v>
      </c>
      <c r="Y81" s="10"/>
    </row>
    <row r="82" spans="1:25" ht="12" customHeight="1">
      <c r="A82" s="170" t="str">
        <f>ChkList!A66</f>
        <v>보안 관리</v>
      </c>
      <c r="B82" s="172" t="str">
        <f>ChkList!B66</f>
        <v>W-62</v>
      </c>
      <c r="C82" s="300" t="str">
        <f>ChkList!C66</f>
        <v>시작 프로그램 목록 분석</v>
      </c>
      <c r="D82" s="301"/>
      <c r="E82" s="302"/>
      <c r="F82" s="170" t="str">
        <f>ChkList!D66</f>
        <v>M</v>
      </c>
      <c r="G82" s="170">
        <f>ChkList!E66</f>
        <v>2</v>
      </c>
      <c r="H82" s="156" t="s">
        <v>100</v>
      </c>
      <c r="I82" s="152" t="s">
        <v>31</v>
      </c>
      <c r="J82" s="29" t="s">
        <v>88</v>
      </c>
      <c r="K82" s="29" t="str">
        <f t="shared" si="3"/>
        <v>조치</v>
      </c>
      <c r="L82" s="300"/>
      <c r="M82" s="301"/>
      <c r="N82" s="301"/>
      <c r="O82" s="301"/>
      <c r="P82" s="302"/>
      <c r="Q82" s="21" t="str">
        <f>IF($J82="",IF(OR(#REF!="N",#REF!="인터뷰"),ChkList!#REF!,""),IF(OR($J82="N",$J82="인터뷰"),ChkList!#REF!,""))</f>
        <v/>
      </c>
      <c r="R82" s="32">
        <f>IF($H82="N/A",0,VLOOKUP($F82,'parm(hidden)'!$B$8:$C$10,2,FALSE))*1</f>
        <v>2</v>
      </c>
      <c r="S82" s="32">
        <f>IFERROR(VLOOKUP($F82,'parm(hidden)'!$B$8:$C$10,2,FALSE)*VLOOKUP(H82,'parm(hidden)'!$B$15:$C$19,2,FALSE),0)</f>
        <v>0</v>
      </c>
      <c r="T82" s="32">
        <f>IFERROR(VLOOKUP($F82,'parm(hidden)'!$B$8:$C$10,2,FALSE)*VLOOKUP($K82,$V$22:$W$27,2,FALSE),0)</f>
        <v>2</v>
      </c>
      <c r="U82" s="11">
        <f>IF($J82="N/A",0,VLOOKUP($F82,'parm(hidden)'!$B$8:$C$10,2,FALSE))*1</f>
        <v>2</v>
      </c>
      <c r="Y82" s="10"/>
    </row>
    <row r="83" spans="1:25" ht="12" customHeight="1">
      <c r="A83" s="170" t="str">
        <f>ChkList!A67</f>
        <v>보안 관리</v>
      </c>
      <c r="B83" s="172" t="str">
        <f>ChkList!B67</f>
        <v>W-63</v>
      </c>
      <c r="C83" s="300" t="str">
        <f>ChkList!C67</f>
        <v>도메인 컨트롤러-사용자의 시간 동기화</v>
      </c>
      <c r="D83" s="301"/>
      <c r="E83" s="302"/>
      <c r="F83" s="170" t="str">
        <f>ChkList!D67</f>
        <v>M</v>
      </c>
      <c r="G83" s="170">
        <f>ChkList!E67</f>
        <v>2</v>
      </c>
      <c r="H83" s="29" t="s">
        <v>88</v>
      </c>
      <c r="I83" s="153" t="s">
        <v>22</v>
      </c>
      <c r="J83" s="29" t="s">
        <v>88</v>
      </c>
      <c r="K83" s="29" t="str">
        <f t="shared" si="3"/>
        <v>Y</v>
      </c>
      <c r="L83" s="300"/>
      <c r="M83" s="301"/>
      <c r="N83" s="301"/>
      <c r="O83" s="301"/>
      <c r="P83" s="302"/>
      <c r="Q83" s="21" t="str">
        <f>IF($J83="",IF(OR(#REF!="N",#REF!="인터뷰"),ChkList!#REF!,""),IF(OR($J83="N",$J83="인터뷰"),ChkList!#REF!,""))</f>
        <v/>
      </c>
      <c r="R83" s="32">
        <f>IF($H83="N/A",0,VLOOKUP($F83,'parm(hidden)'!$B$8:$C$10,2,FALSE))*1</f>
        <v>2</v>
      </c>
      <c r="S83" s="32">
        <f>IFERROR(VLOOKUP($F83,'parm(hidden)'!$B$8:$C$10,2,FALSE)*VLOOKUP(H83,'parm(hidden)'!$B$15:$C$19,2,FALSE),0)</f>
        <v>2</v>
      </c>
      <c r="T83" s="32">
        <f>IFERROR(VLOOKUP($F83,'parm(hidden)'!$B$8:$C$10,2,FALSE)*VLOOKUP($K83,$V$22:$W$27,2,FALSE),0)</f>
        <v>2</v>
      </c>
      <c r="U83" s="11">
        <f>IF($J83="N/A",0,VLOOKUP($F83,'parm(hidden)'!$B$8:$C$10,2,FALSE))*1</f>
        <v>2</v>
      </c>
      <c r="Y83" s="10"/>
    </row>
    <row r="84" spans="1:25" ht="12" customHeight="1">
      <c r="A84" s="170" t="str">
        <f>ChkList!A68</f>
        <v>보안 관리</v>
      </c>
      <c r="B84" s="172" t="str">
        <f>ChkList!B68</f>
        <v>W-64</v>
      </c>
      <c r="C84" s="300" t="str">
        <f>ChkList!C68</f>
        <v>윈도우 방화벽 설정</v>
      </c>
      <c r="D84" s="301"/>
      <c r="E84" s="302"/>
      <c r="F84" s="170" t="str">
        <f>ChkList!D68</f>
        <v>M</v>
      </c>
      <c r="G84" s="170">
        <f>ChkList!E68</f>
        <v>2</v>
      </c>
      <c r="H84" s="156" t="s">
        <v>100</v>
      </c>
      <c r="I84" s="152" t="s">
        <v>64</v>
      </c>
      <c r="J84" s="29" t="s">
        <v>88</v>
      </c>
      <c r="K84" s="29" t="str">
        <f t="shared" si="3"/>
        <v>조치</v>
      </c>
      <c r="L84" s="300"/>
      <c r="M84" s="301"/>
      <c r="N84" s="301"/>
      <c r="O84" s="301"/>
      <c r="P84" s="302"/>
      <c r="Q84" s="21" t="str">
        <f>IF($J84="",IF(OR(#REF!="N",#REF!="인터뷰"),ChkList!#REF!,""),IF(OR($J84="N",$J84="인터뷰"),ChkList!#REF!,""))</f>
        <v/>
      </c>
      <c r="R84" s="32">
        <f>IF($H84="N/A",0,VLOOKUP($F84,'parm(hidden)'!$B$8:$C$10,2,FALSE))*1</f>
        <v>2</v>
      </c>
      <c r="S84" s="32">
        <f>IFERROR(VLOOKUP($F84,'parm(hidden)'!$B$8:$C$10,2,FALSE)*VLOOKUP(H84,'parm(hidden)'!$B$15:$C$19,2,FALSE),0)</f>
        <v>0</v>
      </c>
      <c r="T84" s="32">
        <f>IFERROR(VLOOKUP($F84,'parm(hidden)'!$B$8:$C$10,2,FALSE)*VLOOKUP($K84,$V$22:$W$27,2,FALSE),0)</f>
        <v>2</v>
      </c>
      <c r="U84" s="11">
        <f>IF($J84="N/A",0,VLOOKUP($F84,'parm(hidden)'!$B$8:$C$10,2,FALSE))*1</f>
        <v>2</v>
      </c>
      <c r="Y84" s="10"/>
    </row>
  </sheetData>
  <mergeCells count="164">
    <mergeCell ref="C83:E83"/>
    <mergeCell ref="L83:P83"/>
    <mergeCell ref="C84:E84"/>
    <mergeCell ref="L84:P84"/>
    <mergeCell ref="C78:E78"/>
    <mergeCell ref="L78:P78"/>
    <mergeCell ref="C79:E79"/>
    <mergeCell ref="L79:P79"/>
    <mergeCell ref="C80:E80"/>
    <mergeCell ref="L80:P80"/>
    <mergeCell ref="C81:E81"/>
    <mergeCell ref="L81:P81"/>
    <mergeCell ref="C82:E82"/>
    <mergeCell ref="L82:P82"/>
    <mergeCell ref="C73:E73"/>
    <mergeCell ref="L73:P73"/>
    <mergeCell ref="C74:E74"/>
    <mergeCell ref="L74:P74"/>
    <mergeCell ref="C75:E75"/>
    <mergeCell ref="L75:P75"/>
    <mergeCell ref="C76:E76"/>
    <mergeCell ref="L76:P76"/>
    <mergeCell ref="C77:E77"/>
    <mergeCell ref="L77:P77"/>
    <mergeCell ref="C68:E68"/>
    <mergeCell ref="L68:P68"/>
    <mergeCell ref="C69:E69"/>
    <mergeCell ref="L69:P69"/>
    <mergeCell ref="C70:E70"/>
    <mergeCell ref="L70:P70"/>
    <mergeCell ref="C71:E71"/>
    <mergeCell ref="L71:P71"/>
    <mergeCell ref="C72:E72"/>
    <mergeCell ref="L72:P72"/>
    <mergeCell ref="C63:E63"/>
    <mergeCell ref="L63:P63"/>
    <mergeCell ref="C64:E64"/>
    <mergeCell ref="L64:P64"/>
    <mergeCell ref="C65:E65"/>
    <mergeCell ref="L65:P65"/>
    <mergeCell ref="C66:E66"/>
    <mergeCell ref="L66:P66"/>
    <mergeCell ref="C67:E67"/>
    <mergeCell ref="L67:P67"/>
    <mergeCell ref="C58:E58"/>
    <mergeCell ref="L58:P58"/>
    <mergeCell ref="C59:E59"/>
    <mergeCell ref="L59:P59"/>
    <mergeCell ref="C60:E60"/>
    <mergeCell ref="L60:P60"/>
    <mergeCell ref="C61:E61"/>
    <mergeCell ref="L61:P61"/>
    <mergeCell ref="C62:E62"/>
    <mergeCell ref="L62:P62"/>
    <mergeCell ref="C53:E53"/>
    <mergeCell ref="L53:P53"/>
    <mergeCell ref="C54:E54"/>
    <mergeCell ref="L54:P54"/>
    <mergeCell ref="C55:E55"/>
    <mergeCell ref="L55:P55"/>
    <mergeCell ref="C56:E56"/>
    <mergeCell ref="L56:P56"/>
    <mergeCell ref="C57:E57"/>
    <mergeCell ref="L57:P57"/>
    <mergeCell ref="C48:E48"/>
    <mergeCell ref="L48:P48"/>
    <mergeCell ref="C49:E49"/>
    <mergeCell ref="L49:P49"/>
    <mergeCell ref="C50:E50"/>
    <mergeCell ref="L50:P50"/>
    <mergeCell ref="C51:E51"/>
    <mergeCell ref="L51:P51"/>
    <mergeCell ref="C52:E52"/>
    <mergeCell ref="L52:P52"/>
    <mergeCell ref="C43:E43"/>
    <mergeCell ref="L43:P43"/>
    <mergeCell ref="C44:E44"/>
    <mergeCell ref="L44:P44"/>
    <mergeCell ref="C45:E45"/>
    <mergeCell ref="L45:P45"/>
    <mergeCell ref="C46:E46"/>
    <mergeCell ref="L46:P46"/>
    <mergeCell ref="C47:E47"/>
    <mergeCell ref="L47:P47"/>
    <mergeCell ref="C38:E38"/>
    <mergeCell ref="L38:P38"/>
    <mergeCell ref="C39:E39"/>
    <mergeCell ref="L39:P39"/>
    <mergeCell ref="C40:E40"/>
    <mergeCell ref="L40:P40"/>
    <mergeCell ref="C41:E41"/>
    <mergeCell ref="L41:P41"/>
    <mergeCell ref="C42:E42"/>
    <mergeCell ref="L42:P42"/>
    <mergeCell ref="C33:E33"/>
    <mergeCell ref="L33:P33"/>
    <mergeCell ref="C34:E34"/>
    <mergeCell ref="L34:P34"/>
    <mergeCell ref="C35:E35"/>
    <mergeCell ref="L35:P35"/>
    <mergeCell ref="C36:E36"/>
    <mergeCell ref="L36:P36"/>
    <mergeCell ref="C37:E37"/>
    <mergeCell ref="L37:P37"/>
    <mergeCell ref="C28:E28"/>
    <mergeCell ref="L28:P28"/>
    <mergeCell ref="C29:E29"/>
    <mergeCell ref="L29:P29"/>
    <mergeCell ref="C30:E30"/>
    <mergeCell ref="L30:P30"/>
    <mergeCell ref="C31:E31"/>
    <mergeCell ref="L31:P31"/>
    <mergeCell ref="C32:E32"/>
    <mergeCell ref="L32:P32"/>
    <mergeCell ref="C23:E23"/>
    <mergeCell ref="L23:P23"/>
    <mergeCell ref="C24:E24"/>
    <mergeCell ref="L24:P24"/>
    <mergeCell ref="C25:E25"/>
    <mergeCell ref="L25:P25"/>
    <mergeCell ref="C26:E26"/>
    <mergeCell ref="L26:P26"/>
    <mergeCell ref="C27:E27"/>
    <mergeCell ref="L27:P27"/>
    <mergeCell ref="A20:B20"/>
    <mergeCell ref="C20:E20"/>
    <mergeCell ref="F20:G20"/>
    <mergeCell ref="L20:P20"/>
    <mergeCell ref="V20:W20"/>
    <mergeCell ref="C21:E21"/>
    <mergeCell ref="L21:P21"/>
    <mergeCell ref="C22:E22"/>
    <mergeCell ref="L22:P22"/>
    <mergeCell ref="A10:C11"/>
    <mergeCell ref="D10:H10"/>
    <mergeCell ref="I10:I11"/>
    <mergeCell ref="J10:O10"/>
    <mergeCell ref="R10:U10"/>
    <mergeCell ref="V10:Y10"/>
    <mergeCell ref="V11:W11"/>
    <mergeCell ref="A12:C12"/>
    <mergeCell ref="I12:I17"/>
    <mergeCell ref="V12:W12"/>
    <mergeCell ref="A13:C13"/>
    <mergeCell ref="V13:W13"/>
    <mergeCell ref="A14:C14"/>
    <mergeCell ref="V14:W14"/>
    <mergeCell ref="A15:C15"/>
    <mergeCell ref="V15:W15"/>
    <mergeCell ref="A16:C16"/>
    <mergeCell ref="V16:W16"/>
    <mergeCell ref="A17:C17"/>
    <mergeCell ref="V17:W17"/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  <mergeCell ref="F6:G6"/>
  </mergeCells>
  <phoneticPr fontId="27" type="noConversion"/>
  <conditionalFormatting sqref="H21:H66">
    <cfRule type="cellIs" dxfId="69" priority="3" operator="equal">
      <formula>"취약"</formula>
    </cfRule>
    <cfRule type="cellIs" priority="4" operator="equal">
      <formula>"양호"</formula>
    </cfRule>
  </conditionalFormatting>
  <conditionalFormatting sqref="H68:H71">
    <cfRule type="cellIs" dxfId="68" priority="228" operator="equal">
      <formula>"취약"</formula>
    </cfRule>
    <cfRule type="cellIs" priority="229" operator="equal">
      <formula>"양호"</formula>
    </cfRule>
  </conditionalFormatting>
  <conditionalFormatting sqref="H78:H79">
    <cfRule type="cellIs" dxfId="67" priority="224" operator="equal">
      <formula>"취약"</formula>
    </cfRule>
    <cfRule type="cellIs" priority="225" operator="equal">
      <formula>"양호"</formula>
    </cfRule>
  </conditionalFormatting>
  <conditionalFormatting sqref="H81">
    <cfRule type="cellIs" dxfId="66" priority="222" operator="equal">
      <formula>"취약"</formula>
    </cfRule>
    <cfRule type="cellIs" priority="223" operator="equal">
      <formula>"양호"</formula>
    </cfRule>
  </conditionalFormatting>
  <conditionalFormatting sqref="J21:L21 J22:K58 J59:L84">
    <cfRule type="cellIs" dxfId="63" priority="273" stopIfTrue="1" operator="equal">
      <formula>"인터뷰"</formula>
    </cfRule>
    <cfRule type="cellIs" dxfId="62" priority="274" stopIfTrue="1" operator="equal">
      <formula>"R/A"</formula>
    </cfRule>
    <cfRule type="cellIs" dxfId="61" priority="275" stopIfTrue="1" operator="equal">
      <formula>"N/A"</formula>
    </cfRule>
    <cfRule type="cellIs" dxfId="60" priority="276" stopIfTrue="1" operator="equal">
      <formula>"N"</formula>
    </cfRule>
    <cfRule type="expression" dxfId="59" priority="277">
      <formula>OR(IF(J21=0,1,0),IF(J21="-",1,0))</formula>
    </cfRule>
  </conditionalFormatting>
  <conditionalFormatting sqref="K21:K84">
    <cfRule type="cellIs" dxfId="58" priority="270" operator="equal">
      <formula>"위험수용"</formula>
    </cfRule>
    <cfRule type="cellIs" dxfId="57" priority="271" operator="equal">
      <formula>"미조치"</formula>
    </cfRule>
    <cfRule type="cellIs" dxfId="56" priority="272" operator="equal">
      <formula>"조치"</formula>
    </cfRule>
  </conditionalFormatting>
  <conditionalFormatting sqref="L22:L58">
    <cfRule type="cellIs" dxfId="55" priority="33" stopIfTrue="1" operator="equal">
      <formula>"인터뷰"</formula>
    </cfRule>
    <cfRule type="cellIs" dxfId="54" priority="34" stopIfTrue="1" operator="equal">
      <formula>"R/A"</formula>
    </cfRule>
    <cfRule type="cellIs" dxfId="53" priority="35" stopIfTrue="1" operator="equal">
      <formula>"N/A"</formula>
    </cfRule>
    <cfRule type="cellIs" dxfId="52" priority="36" stopIfTrue="1" operator="equal">
      <formula>"N"</formula>
    </cfRule>
    <cfRule type="expression" dxfId="51" priority="37">
      <formula>OR(IF(L22=0,1,0),IF(L22="-",1,0))</formula>
    </cfRule>
  </conditionalFormatting>
  <conditionalFormatting sqref="V28:W60">
    <cfRule type="cellIs" dxfId="50" priority="9" operator="equal">
      <formula>"신규 취약점(즉시조치)"</formula>
    </cfRule>
    <cfRule type="cellIs" dxfId="49" priority="10" operator="equal">
      <formula>"기존 취약점(즉시조치)"</formula>
    </cfRule>
    <cfRule type="cellIs" dxfId="48" priority="11" operator="equal">
      <formula>"기존 취약점"</formula>
    </cfRule>
    <cfRule type="cellIs" dxfId="47" priority="12" operator="equal">
      <formula>"신규 취약점"</formula>
    </cfRule>
    <cfRule type="cellIs" dxfId="46" priority="13" operator="equal">
      <formula>"확인필요"</formula>
    </cfRule>
    <cfRule type="cellIs" dxfId="45" priority="14" operator="equal">
      <formula>"확인필요"</formula>
    </cfRule>
    <cfRule type="cellIs" dxfId="44" priority="15" operator="equal">
      <formula>"신규취약점"</formula>
    </cfRule>
    <cfRule type="cellIs" dxfId="43" priority="16" operator="equal">
      <formula>"조치완료"</formula>
    </cfRule>
  </conditionalFormatting>
  <conditionalFormatting sqref="Y21:Y84">
    <cfRule type="cellIs" dxfId="42" priority="571" operator="equal">
      <formula>"신규 취약점(즉시조치)"</formula>
    </cfRule>
    <cfRule type="cellIs" dxfId="41" priority="572" operator="equal">
      <formula>"기존 취약점(즉시조치)"</formula>
    </cfRule>
    <cfRule type="cellIs" dxfId="40" priority="573" operator="equal">
      <formula>"기존 취약점"</formula>
    </cfRule>
    <cfRule type="cellIs" dxfId="39" priority="574" operator="equal">
      <formula>"신규 취약점"</formula>
    </cfRule>
    <cfRule type="cellIs" dxfId="38" priority="575" operator="equal">
      <formula>"확인필요"</formula>
    </cfRule>
    <cfRule type="cellIs" dxfId="37" priority="576" operator="equal">
      <formula>"확인필요"</formula>
    </cfRule>
    <cfRule type="cellIs" dxfId="36" priority="577" operator="equal">
      <formula>"신규취약점"</formula>
    </cfRule>
    <cfRule type="cellIs" dxfId="35" priority="578" operator="equal">
      <formula>"조치완료"</formula>
    </cfRule>
  </conditionalFormatting>
  <dataValidations count="4">
    <dataValidation allowBlank="1" showInputMessage="1" showErrorMessage="1" errorTitle="오류!" error="Y, N, N/A 중에 선택" sqref="L21:L84"/>
    <dataValidation type="list" errorStyle="warning" showInputMessage="1" showErrorMessage="1" errorTitle="오류!" error="Y, N, N/A 중에 선택" sqref="J21:J84">
      <formula1>"Y,N,N/A,인터뷰,Y(즉시조치)"</formula1>
    </dataValidation>
    <dataValidation errorStyle="warning" allowBlank="1" showInputMessage="1" showErrorMessage="1" sqref="K21:K84"/>
    <dataValidation type="list" errorStyle="warning" allowBlank="1" showInputMessage="1" showErrorMessage="1" errorTitle="오류!" error="Y, N, N/A 중에 선택" sqref="H21:H84">
      <formula1>"Y,N,N/A,인터뷰,Y(즉시조치)"</formula1>
    </dataValidation>
  </dataValidations>
  <printOptions horizontalCentered="1"/>
  <pageMargins left="0.39347222447395325" right="0.39347222447395325" top="0.59041666984558105" bottom="0.59041666984558105" header="0.39347222447395325" footer="0.39347222447395325"/>
  <pageSetup paperSize="9" scale="29" fitToHeight="0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Y84"/>
  <sheetViews>
    <sheetView showGridLines="0" view="pageBreakPreview" topLeftCell="A13" zoomScaleNormal="100" zoomScaleSheetLayoutView="100" workbookViewId="0"/>
  </sheetViews>
  <sheetFormatPr defaultColWidth="8.77734375" defaultRowHeight="12"/>
  <cols>
    <col min="1" max="1" width="12.77734375" style="12" customWidth="1"/>
    <col min="2" max="2" width="6.6640625" style="12" bestFit="1" customWidth="1"/>
    <col min="3" max="3" width="14.21875" style="12" customWidth="1"/>
    <col min="4" max="4" width="7.6640625" style="12" customWidth="1"/>
    <col min="5" max="5" width="10.88671875" style="12" customWidth="1"/>
    <col min="6" max="8" width="7.6640625" style="12" customWidth="1"/>
    <col min="9" max="9" width="102.109375" style="12" customWidth="1"/>
    <col min="10" max="15" width="7.6640625" style="12" customWidth="1"/>
    <col min="16" max="16" width="13.33203125" style="12" customWidth="1"/>
    <col min="17" max="17" width="44.44140625" style="12" customWidth="1"/>
    <col min="18" max="18" width="13.77734375" style="10" customWidth="1"/>
    <col min="19" max="20" width="11.77734375" style="12" customWidth="1"/>
    <col min="21" max="21" width="12.44140625" style="12" customWidth="1"/>
    <col min="22" max="23" width="8.77734375" style="12" customWidth="1"/>
    <col min="24" max="24" width="18" style="12" customWidth="1"/>
    <col min="25" max="25" width="14.6640625" style="12" customWidth="1"/>
    <col min="26" max="16384" width="8.77734375" style="12"/>
  </cols>
  <sheetData>
    <row r="1" spans="1:25" ht="16.5">
      <c r="A1" s="16" t="str">
        <f ca="1">"■ "&amp;$B$4&amp;" 상세 진단결과"</f>
        <v>■ DNS_BR_Win 상세 진단결과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35" customHeight="1">
      <c r="A3" s="46" t="s">
        <v>116</v>
      </c>
      <c r="B3" s="46"/>
      <c r="C3" s="46"/>
      <c r="D3" s="46"/>
      <c r="E3" s="46"/>
      <c r="F3" s="46"/>
      <c r="G3" s="46"/>
      <c r="H3" s="5"/>
      <c r="I3" s="5"/>
      <c r="R3" s="5" t="s">
        <v>234</v>
      </c>
      <c r="X3" s="5"/>
      <c r="Y3" s="5"/>
    </row>
    <row r="4" spans="1:25" ht="17.100000000000001" customHeight="1">
      <c r="A4" s="113" t="s">
        <v>142</v>
      </c>
      <c r="B4" s="255" t="str">
        <f ca="1">REPLACE(CELL("filename",A1),1,FIND("]",CELL("filename",A1)),"")</f>
        <v>DNS_BR_Win</v>
      </c>
      <c r="C4" s="256"/>
      <c r="D4" s="257" t="s">
        <v>222</v>
      </c>
      <c r="E4" s="258"/>
      <c r="F4" s="259" t="str">
        <f ca="1">IFERROR(VLOOKUP($B$4,자산목록!$B$1:$Q$838,8,FALSE),"N/A")</f>
        <v>지사 DNS서버</v>
      </c>
      <c r="G4" s="260"/>
      <c r="H4" s="56"/>
      <c r="I4" s="47"/>
      <c r="R4" s="25" t="s">
        <v>70</v>
      </c>
      <c r="S4" s="37">
        <f ca="1">IFERROR(VLOOKUP($B$4,자산목록!$B$1:$Q$838,13,FALSE),"N/A")</f>
        <v>3</v>
      </c>
      <c r="T4" s="261" t="s">
        <v>241</v>
      </c>
      <c r="U4" s="262" t="str">
        <f ca="1">IFERROR(VLOOKUP($B$4,자산목록!$B$1:$Q$838,16,FALSE),"N/A")</f>
        <v>H</v>
      </c>
      <c r="X4" s="5"/>
      <c r="Y4" s="5"/>
    </row>
    <row r="5" spans="1:25" ht="17.100000000000001" customHeight="1">
      <c r="A5" s="114" t="s">
        <v>120</v>
      </c>
      <c r="B5" s="263" t="str">
        <f ca="1">IFERROR(VLOOKUP($B$4,자산목록!$B$1:$Q$838,6,FALSE)&amp;" "&amp;VLOOKUP($B$4,자산목록!$B$1:$Q$838,7,FALSE),"N/A")</f>
        <v>- 2016</v>
      </c>
      <c r="C5" s="263"/>
      <c r="D5" s="264" t="s">
        <v>146</v>
      </c>
      <c r="E5" s="264"/>
      <c r="F5" s="263" t="str">
        <f ca="1">IFERROR(VLOOKUP($B$4,자산목록!$B$1:$Q$838,2,FALSE),"N/A")</f>
        <v>10.200.40.2</v>
      </c>
      <c r="G5" s="265"/>
      <c r="H5" s="56"/>
      <c r="I5" s="47"/>
      <c r="R5" s="25" t="s">
        <v>77</v>
      </c>
      <c r="S5" s="37">
        <f ca="1">IFERROR(VLOOKUP($B$4,자산목록!$B$1:$Q$838,14,FALSE),"N/A")</f>
        <v>3</v>
      </c>
      <c r="T5" s="261"/>
      <c r="U5" s="262"/>
      <c r="X5" s="5"/>
      <c r="Y5" s="5"/>
    </row>
    <row r="6" spans="1:25" ht="17.100000000000001" customHeight="1">
      <c r="A6" s="115" t="s">
        <v>71</v>
      </c>
      <c r="B6" s="266" t="str">
        <f ca="1">IFERROR(VLOOKUP($B$4,자산목록!$B$1:$Q$838,11,FALSE),"N/A")</f>
        <v>정하늘</v>
      </c>
      <c r="C6" s="266"/>
      <c r="D6" s="267" t="s">
        <v>226</v>
      </c>
      <c r="E6" s="267"/>
      <c r="F6" s="266" t="str">
        <f ca="1">IFERROR(VLOOKUP($B$4,자산목록!$B$1:$Q$838,9,FALSE),"N/A")</f>
        <v>DMZ</v>
      </c>
      <c r="G6" s="268"/>
      <c r="H6" s="56"/>
      <c r="I6" s="47"/>
      <c r="R6" s="25" t="s">
        <v>106</v>
      </c>
      <c r="S6" s="37">
        <f ca="1">IFERROR(VLOOKUP($B$4,자산목록!$B$1:$Q$838,15,FALSE),"N/A")</f>
        <v>3</v>
      </c>
      <c r="T6" s="261"/>
      <c r="U6" s="262"/>
      <c r="X6" s="5"/>
      <c r="Y6" s="5"/>
    </row>
    <row r="7" spans="1:25" ht="22.35" customHeight="1">
      <c r="R7" s="20"/>
      <c r="S7" s="17"/>
      <c r="X7" s="5"/>
      <c r="Y7" s="5"/>
    </row>
    <row r="8" spans="1:25" ht="34.35" customHeight="1">
      <c r="A8" s="5" t="s">
        <v>137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3.5">
      <c r="A9" s="48" t="s">
        <v>113</v>
      </c>
      <c r="B9" s="46"/>
      <c r="C9" s="46"/>
      <c r="D9" s="46"/>
      <c r="E9" s="46"/>
      <c r="F9" s="46"/>
      <c r="G9" s="46"/>
      <c r="H9" s="5"/>
      <c r="I9" s="5"/>
      <c r="M9" s="5"/>
      <c r="N9" s="5"/>
      <c r="O9" s="5"/>
      <c r="P9" s="5"/>
      <c r="R9" s="14"/>
      <c r="S9" s="49"/>
    </row>
    <row r="10" spans="1:25" ht="20.100000000000001" customHeight="1">
      <c r="A10" s="269" t="s">
        <v>79</v>
      </c>
      <c r="B10" s="251"/>
      <c r="C10" s="251"/>
      <c r="D10" s="271" t="s">
        <v>44</v>
      </c>
      <c r="E10" s="272"/>
      <c r="F10" s="272"/>
      <c r="G10" s="272"/>
      <c r="H10" s="272"/>
      <c r="I10" s="273" t="s">
        <v>134</v>
      </c>
      <c r="J10" s="275" t="s">
        <v>233</v>
      </c>
      <c r="K10" s="275"/>
      <c r="L10" s="275"/>
      <c r="M10" s="275"/>
      <c r="N10" s="275"/>
      <c r="O10" s="276"/>
      <c r="R10" s="277" t="s">
        <v>212</v>
      </c>
      <c r="S10" s="277"/>
      <c r="T10" s="277"/>
      <c r="U10" s="277"/>
      <c r="V10" s="278" t="s">
        <v>134</v>
      </c>
      <c r="W10" s="278"/>
      <c r="X10" s="278"/>
      <c r="Y10" s="278"/>
    </row>
    <row r="11" spans="1:25" ht="20.100000000000001" customHeight="1">
      <c r="A11" s="270"/>
      <c r="B11" s="254"/>
      <c r="C11" s="254"/>
      <c r="D11" s="116" t="s">
        <v>96</v>
      </c>
      <c r="E11" s="117" t="s">
        <v>76</v>
      </c>
      <c r="F11" s="118" t="s">
        <v>108</v>
      </c>
      <c r="G11" s="119" t="s">
        <v>78</v>
      </c>
      <c r="H11" s="119" t="s">
        <v>75</v>
      </c>
      <c r="I11" s="274"/>
      <c r="J11" s="129" t="s">
        <v>110</v>
      </c>
      <c r="K11" s="120" t="s">
        <v>97</v>
      </c>
      <c r="L11" s="121" t="s">
        <v>219</v>
      </c>
      <c r="M11" s="121" t="s">
        <v>78</v>
      </c>
      <c r="N11" s="121" t="s">
        <v>93</v>
      </c>
      <c r="O11" s="122" t="s">
        <v>75</v>
      </c>
      <c r="R11" s="41" t="s">
        <v>122</v>
      </c>
      <c r="S11" s="42" t="s">
        <v>119</v>
      </c>
      <c r="T11" s="42" t="s">
        <v>125</v>
      </c>
      <c r="U11" s="44" t="s">
        <v>127</v>
      </c>
      <c r="V11" s="279" t="s">
        <v>79</v>
      </c>
      <c r="W11" s="279"/>
      <c r="X11" s="11" t="s">
        <v>44</v>
      </c>
      <c r="Y11" s="11" t="s">
        <v>233</v>
      </c>
    </row>
    <row r="12" spans="1:25" ht="32.1" customHeight="1">
      <c r="A12" s="280" t="s">
        <v>217</v>
      </c>
      <c r="B12" s="281"/>
      <c r="C12" s="282"/>
      <c r="D12" s="37">
        <f ca="1">COUNTIF($A$21:INDIRECT(ADDRESS(MATCH("",$A:$A,-1),1,1,1)),$A12)</f>
        <v>14</v>
      </c>
      <c r="E12" s="37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4</v>
      </c>
      <c r="F12" s="37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4</v>
      </c>
      <c r="G12" s="37">
        <f ca="1">COUNTIFS($A$21:INDIRECT(ADDRESS(MATCH("",$A:$A,-1),1,1,1)),$A12&amp;"*",$H$21:INDIRECT(ADDRESS(MATCH("",$A:$A,-1),8,1,1)),"N/A")</f>
        <v>0</v>
      </c>
      <c r="H12" s="59">
        <f t="shared" ref="H12:H17" ca="1" si="0">IF($G12=$D12,"N/A",(S12/R12))</f>
        <v>0</v>
      </c>
      <c r="I12" s="283"/>
      <c r="J12" s="54">
        <f ca="1">COUNTIFS($A$21:INDIRECT(ADDRESS(MATCH("",$A:$A,-1),1,1,1)),$A12,$K$21:INDIRECT(ADDRESS(MATCH("",$B:$B,-1),11,1,1)),"조치")</f>
        <v>10</v>
      </c>
      <c r="K12" s="29">
        <f ca="1">COUNTIFS($A$21:INDIRECT(ADDRESS(MATCH("",$A:$A,-1),1,1,1)),$A12,$K$21:INDIRECT(ADDRESS(MATCH("",$B:$B,-1),11,1,1)),"미조치")</f>
        <v>0</v>
      </c>
      <c r="L12" s="29">
        <f ca="1">COUNTIFS($A$21:INDIRECT(ADDRESS(MATCH("",$A:$A,-1),1,1,1)),$A12,$K$21:INDIRECT(ADDRESS(MATCH("",$B:$B,-1),11,1,1)),"위험수용")</f>
        <v>0</v>
      </c>
      <c r="M12" s="29">
        <f ca="1">COUNTIFS($A$21:INDIRECT(ADDRESS(MATCH("",$A:$A,-1),1,1,1)),$A12,$K$21:INDIRECT(ADDRESS(MATCH("",$B:$B,-1),11,1,1)),"N/A")</f>
        <v>0</v>
      </c>
      <c r="N12" s="50">
        <f ca="1">IFERROR($J12/($F12-(M12-G12)),"N/A")</f>
        <v>2.5</v>
      </c>
      <c r="O12" s="123">
        <f ca="1">IF(OR($G12=$D12,$D12=$M12),"N/A",($T12/$U12))</f>
        <v>1</v>
      </c>
      <c r="R12" s="37">
        <f ca="1">SUMIF($A$21:INDIRECT(ADDRESS(MATCH("",$A:$A,-1),1,1,1)),$A12,$R$21:INDIRECT(ADDRESS(MATCH("",$A:$A,-1),18,1,1)))</f>
        <v>35</v>
      </c>
      <c r="S12" s="37">
        <f ca="1">SUMIF($A$21:INDIRECT(ADDRESS(MATCH("",$A:$A,-1),1,1,1)),$A12,$S$21:INDIRECT(ADDRESS(MATCH("",$A:$A,-1),19,1,1)))</f>
        <v>0</v>
      </c>
      <c r="T12" s="37">
        <f ca="1">SUMIF($A$21:INDIRECT(ADDRESS(MATCH("",$A:$A,-1),1,1,1)),$A12,$T$21:INDIRECT(ADDRESS(MATCH("",$A:$A,-1),20,1,1)))</f>
        <v>35</v>
      </c>
      <c r="U12" s="37">
        <f ca="1">SUMIF($A$21:INDIRECT(ADDRESS(MATCH("",$A:$A,-1),2,1,1)),$A12&amp;"*",$U$21:INDIRECT(ADDRESS(MATCH("",$A:$A,-1),21,1,1)))</f>
        <v>35</v>
      </c>
      <c r="V12" s="285">
        <f>B12</f>
        <v>0</v>
      </c>
      <c r="W12" s="282"/>
      <c r="X12" s="57">
        <f t="shared" ref="X12:X17" ca="1" si="1">H12</f>
        <v>0</v>
      </c>
      <c r="Y12" s="57">
        <f t="shared" ref="Y12:Y17" ca="1" si="2">O12</f>
        <v>1</v>
      </c>
    </row>
    <row r="13" spans="1:25" ht="32.1" customHeight="1">
      <c r="A13" s="280" t="s">
        <v>194</v>
      </c>
      <c r="B13" s="281"/>
      <c r="C13" s="282"/>
      <c r="D13" s="37">
        <f ca="1">COUNTIF($A$21:INDIRECT(ADDRESS(MATCH("",$A:$A,-1),1,1,1)),$A13)</f>
        <v>0</v>
      </c>
      <c r="E13" s="37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0</v>
      </c>
      <c r="F13" s="37">
        <f ca="1">COUNTIFS($A$21:INDIRECT(ADDRESS(MATCH("",$A:$A,-1),1,1,1)),$A13&amp;"*",$H$21:INDIRECT(ADDRESS(MATCH("",$A:$A,-1),8,1,1)),"N")</f>
        <v>0</v>
      </c>
      <c r="G13" s="37">
        <f ca="1">COUNTIFS($A$21:INDIRECT(ADDRESS(MATCH("",$A:$A,-1),1,1,1)),$A13&amp;"*",$H$21:INDIRECT(ADDRESS(MATCH("",$A:$A,-1),8,1,1)),"N/A")</f>
        <v>0</v>
      </c>
      <c r="H13" s="59" t="str">
        <f t="shared" ca="1" si="0"/>
        <v>N/A</v>
      </c>
      <c r="I13" s="283"/>
      <c r="J13" s="54">
        <f ca="1">COUNTIFS($A$21:INDIRECT(ADDRESS(MATCH("",$A:$A,-1),1,1,1)),$A13,$K$21:INDIRECT(ADDRESS(MATCH("",$B:$B,-1),11,1,1)),"조치")</f>
        <v>0</v>
      </c>
      <c r="K13" s="29">
        <f ca="1">COUNTIFS($A$21:INDIRECT(ADDRESS(MATCH("",$A:$A,-1),1,1,1)),$A13,$K$21:INDIRECT(ADDRESS(MATCH("",$B:$B,-1),11,1,1)),"미조치")</f>
        <v>0</v>
      </c>
      <c r="L13" s="29">
        <f ca="1">COUNTIFS($A$21:INDIRECT(ADDRESS(MATCH("",$A:$A,-1),1,1,1)),$A13,$K$21:INDIRECT(ADDRESS(MATCH("",$B:$B,-1),11,1,1)),"위험수용")</f>
        <v>0</v>
      </c>
      <c r="M13" s="29">
        <f ca="1">COUNTIFS($A$21:INDIRECT(ADDRESS(MATCH("",$A:$A,-1),1,1,1)),$A13,$K$21:INDIRECT(ADDRESS(MATCH("",$B:$B,-1),11,1,1)),"N/A")</f>
        <v>0</v>
      </c>
      <c r="N13" s="50" t="str">
        <f ca="1">IFERROR($J13/($F13-(M13-G13)),"N/A")</f>
        <v>N/A</v>
      </c>
      <c r="O13" s="123" t="str">
        <f ca="1">IF(OR($G13=$D13,$D13=$M13),"N/A",($T13/$U13))</f>
        <v>N/A</v>
      </c>
      <c r="R13" s="37">
        <f ca="1">SUMIF($A$21:INDIRECT(ADDRESS(MATCH("",$A:$A,-1),1,1,1)),$A13,$R$21:INDIRECT(ADDRESS(MATCH("",$A:$A,-1),18,1,1)))</f>
        <v>0</v>
      </c>
      <c r="S13" s="37">
        <f ca="1">SUMIF($A$21:INDIRECT(ADDRESS(MATCH("",$A:$A,-1),1,1,1)),$A13,$S$21:INDIRECT(ADDRESS(MATCH("",$A:$A,-1),19,1,1)))</f>
        <v>0</v>
      </c>
      <c r="T13" s="37">
        <f ca="1">SUMIF($A$21:INDIRECT(ADDRESS(MATCH("",$A:$A,-1),1,1,1)),$A13,$T$21:INDIRECT(ADDRESS(MATCH("",$A:$A,-1),20,1,1)))</f>
        <v>0</v>
      </c>
      <c r="U13" s="37">
        <f ca="1">SUMIF($A$21:INDIRECT(ADDRESS(MATCH("",$A:$A,-1),2,1,1)),$A13&amp;"*",$U$21:INDIRECT(ADDRESS(MATCH("",$A:$A,-1),21,1,1)))</f>
        <v>0</v>
      </c>
      <c r="V13" s="285">
        <f>B13</f>
        <v>0</v>
      </c>
      <c r="W13" s="282"/>
      <c r="X13" s="57" t="str">
        <f t="shared" ca="1" si="1"/>
        <v>N/A</v>
      </c>
      <c r="Y13" s="57" t="str">
        <f t="shared" ca="1" si="2"/>
        <v>N/A</v>
      </c>
    </row>
    <row r="14" spans="1:25" ht="32.1" customHeight="1">
      <c r="A14" s="280" t="s">
        <v>211</v>
      </c>
      <c r="B14" s="281"/>
      <c r="C14" s="282"/>
      <c r="D14" s="37">
        <f ca="1">COUNTIF($A$21:INDIRECT(ADDRESS(MATCH("",$A:$A,-1),1,1,1)),$A14)</f>
        <v>2</v>
      </c>
      <c r="E14" s="37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0</v>
      </c>
      <c r="F14" s="37">
        <f ca="1">COUNTIFS($A$21:INDIRECT(ADDRESS(MATCH("",$A:$A,-1),1,1,1)),$A14&amp;"*",$H$21:INDIRECT(ADDRESS(MATCH("",$A:$A,-1),8,1,1)),"N")</f>
        <v>2</v>
      </c>
      <c r="G14" s="37">
        <f ca="1">COUNTIFS($A$21:INDIRECT(ADDRESS(MATCH("",$A:$A,-1),1,1,1)),$A14&amp;"*",$H$21:INDIRECT(ADDRESS(MATCH("",$A:$A,-1),8,1,1)),"N/A")</f>
        <v>0</v>
      </c>
      <c r="H14" s="59">
        <f t="shared" ca="1" si="0"/>
        <v>0</v>
      </c>
      <c r="I14" s="283"/>
      <c r="J14" s="54">
        <f ca="1">COUNTIFS($A$21:INDIRECT(ADDRESS(MATCH("",$A:$A,-1),1,1,1)),$A14,$K$21:INDIRECT(ADDRESS(MATCH("",$B:$B,-1),11,1,1)),"조치")</f>
        <v>0</v>
      </c>
      <c r="K14" s="29">
        <f ca="1">COUNTIFS($A$21:INDIRECT(ADDRESS(MATCH("",$A:$A,-1),1,1,1)),$A14,$K$21:INDIRECT(ADDRESS(MATCH("",$B:$B,-1),11,1,1)),"미조치")</f>
        <v>0</v>
      </c>
      <c r="L14" s="29">
        <f ca="1">COUNTIFS($A$21:INDIRECT(ADDRESS(MATCH("",$A:$A,-1),1,1,1)),$A14,$K$21:INDIRECT(ADDRESS(MATCH("",$B:$B,-1),11,1,1)),"위험수용")</f>
        <v>0</v>
      </c>
      <c r="M14" s="29">
        <f ca="1">COUNTIFS($A$21:INDIRECT(ADDRESS(MATCH("",$A:$A,-1),1,1,1)),$A14,$K$21:INDIRECT(ADDRESS(MATCH("",$B:$B,-1),11,1,1)),"N/A")</f>
        <v>2</v>
      </c>
      <c r="N14" s="50" t="str">
        <f ca="1">IFERROR($J14/($F14-(M14-G14)),"N/A")</f>
        <v>N/A</v>
      </c>
      <c r="O14" s="123" t="str">
        <f ca="1">IF(OR($G14=$D14,$D14=$M14),"N/A",($T14/$U14))</f>
        <v>N/A</v>
      </c>
      <c r="R14" s="37">
        <f ca="1">SUMIF($A$21:INDIRECT(ADDRESS(MATCH("",$A:$A,-1),1,1,1)),$A14,$R$21:INDIRECT(ADDRESS(MATCH("",$A:$A,-1),18,1,1)))</f>
        <v>6</v>
      </c>
      <c r="S14" s="37">
        <f ca="1">SUMIF($A$21:INDIRECT(ADDRESS(MATCH("",$A:$A,-1),1,1,1)),$A14,$S$21:INDIRECT(ADDRESS(MATCH("",$A:$A,-1),19,1,1)))</f>
        <v>0</v>
      </c>
      <c r="T14" s="37">
        <f ca="1">SUMIF($A$21:INDIRECT(ADDRESS(MATCH("",$A:$A,-1),1,1,1)),$A14,$T$21:INDIRECT(ADDRESS(MATCH("",$A:$A,-1),20,1,1)))</f>
        <v>0</v>
      </c>
      <c r="U14" s="37">
        <f ca="1">SUMIF($A$21:INDIRECT(ADDRESS(MATCH("",$A:$A,-1),2,1,1)),$A14&amp;"*",$U$21:INDIRECT(ADDRESS(MATCH("",$A:$A,-1),21,1,1)))</f>
        <v>0</v>
      </c>
      <c r="V14" s="285">
        <f>B14</f>
        <v>0</v>
      </c>
      <c r="W14" s="282"/>
      <c r="X14" s="57">
        <f t="shared" ca="1" si="1"/>
        <v>0</v>
      </c>
      <c r="Y14" s="57" t="str">
        <f t="shared" ca="1" si="2"/>
        <v>N/A</v>
      </c>
    </row>
    <row r="15" spans="1:25" ht="32.1" customHeight="1">
      <c r="A15" s="280" t="s">
        <v>238</v>
      </c>
      <c r="B15" s="281"/>
      <c r="C15" s="282"/>
      <c r="D15" s="37">
        <f ca="1">COUNTIF($A$21:INDIRECT(ADDRESS(MATCH("",$A:$A,-1),1,1,1)),$A15)</f>
        <v>4</v>
      </c>
      <c r="E15" s="37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0</v>
      </c>
      <c r="F15" s="37">
        <f ca="1">COUNTIFS($A$21:INDIRECT(ADDRESS(MATCH("",$A:$A,-1),1,1,1)),$A15&amp;"*",$H$21:INDIRECT(ADDRESS(MATCH("",$A:$A,-1),8,1,1)),"N")</f>
        <v>4</v>
      </c>
      <c r="G15" s="37">
        <f ca="1">COUNTIFS($A$21:INDIRECT(ADDRESS(MATCH("",$A:$A,-1),1,1,1)),$A15&amp;"*",$H$21:INDIRECT(ADDRESS(MATCH("",$A:$A,-1),8,1,1)),"N/A")</f>
        <v>0</v>
      </c>
      <c r="H15" s="59">
        <f t="shared" ca="1" si="0"/>
        <v>0</v>
      </c>
      <c r="I15" s="283"/>
      <c r="J15" s="54">
        <f ca="1">COUNTIFS($A$21:INDIRECT(ADDRESS(MATCH("",$A:$A,-1),1,1,1)),$A15,$K$21:INDIRECT(ADDRESS(MATCH("",$B:$B,-1),11,1,1)),"조치")</f>
        <v>0</v>
      </c>
      <c r="K15" s="29">
        <f ca="1">COUNTIFS($A$21:INDIRECT(ADDRESS(MATCH("",$A:$A,-1),1,1,1)),$A15,$K$21:INDIRECT(ADDRESS(MATCH("",$B:$B,-1),11,1,1)),"미조치")</f>
        <v>0</v>
      </c>
      <c r="L15" s="29">
        <f ca="1">COUNTIFS($A$21:INDIRECT(ADDRESS(MATCH("",$A:$A,-1),1,1,1)),$A15,$K$21:INDIRECT(ADDRESS(MATCH("",$B:$B,-1),11,1,1)),"위험수용")</f>
        <v>0</v>
      </c>
      <c r="M15" s="29">
        <f ca="1">COUNTIFS($A$21:INDIRECT(ADDRESS(MATCH("",$A:$A,-1),1,1,1)),$A15,$K$21:INDIRECT(ADDRESS(MATCH("",$B:$B,-1),11,1,1)),"N/A")</f>
        <v>4</v>
      </c>
      <c r="N15" s="50" t="str">
        <f ca="1">IFERROR($J15/($F15-(M15-G15)),"N/A")</f>
        <v>N/A</v>
      </c>
      <c r="O15" s="123" t="str">
        <f ca="1">IF(OR($G15=$D15,$D15=$M15),"N/A",($T15/$U15))</f>
        <v>N/A</v>
      </c>
      <c r="R15" s="37">
        <f ca="1">SUMIF($A$21:INDIRECT(ADDRESS(MATCH("",$A:$A,-1),1,1,1)),$A15,$R$21:INDIRECT(ADDRESS(MATCH("",$A:$A,-1),18,1,1)))</f>
        <v>7</v>
      </c>
      <c r="S15" s="37">
        <f ca="1">SUMIF($A$21:INDIRECT(ADDRESS(MATCH("",$A:$A,-1),1,1,1)),$A15,$S$21:INDIRECT(ADDRESS(MATCH("",$A:$A,-1),19,1,1)))</f>
        <v>0</v>
      </c>
      <c r="T15" s="37">
        <f ca="1">SUMIF($A$21:INDIRECT(ADDRESS(MATCH("",$A:$A,-1),1,1,1)),$A15,$T$21:INDIRECT(ADDRESS(MATCH("",$A:$A,-1),20,1,1)))</f>
        <v>0</v>
      </c>
      <c r="U15" s="37">
        <f ca="1">SUMIF($A$21:INDIRECT(ADDRESS(MATCH("",$A:$A,-1),2,1,1)),$A15&amp;"*",$U$21:INDIRECT(ADDRESS(MATCH("",$A:$A,-1),21,1,1)))</f>
        <v>0</v>
      </c>
      <c r="V15" s="285">
        <f>B15</f>
        <v>0</v>
      </c>
      <c r="W15" s="282"/>
      <c r="X15" s="57">
        <f t="shared" ca="1" si="1"/>
        <v>0</v>
      </c>
      <c r="Y15" s="57" t="str">
        <f t="shared" ca="1" si="2"/>
        <v>N/A</v>
      </c>
    </row>
    <row r="16" spans="1:25" ht="32.1" customHeight="1">
      <c r="A16" s="280" t="s">
        <v>197</v>
      </c>
      <c r="B16" s="281"/>
      <c r="C16" s="282"/>
      <c r="D16" s="37">
        <f ca="1">COUNTIF($A$21:INDIRECT(ADDRESS(MATCH("",$A:$A,-1),1,1,1)),$A16)</f>
        <v>0</v>
      </c>
      <c r="E16" s="37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0</v>
      </c>
      <c r="F16" s="37">
        <f ca="1">COUNTIFS($A$21:INDIRECT(ADDRESS(MATCH("",$A:$A,-1),1,1,1)),$A16&amp;"*",$H$21:INDIRECT(ADDRESS(MATCH("",$A:$A,-1),8,1,1)),"N")</f>
        <v>0</v>
      </c>
      <c r="G16" s="37">
        <f ca="1">COUNTIFS($A$21:INDIRECT(ADDRESS(MATCH("",$A:$A,-1),1,1,1)),$A16&amp;"*",$H$21:INDIRECT(ADDRESS(MATCH("",$A:$A,-1),8,1,1)),"N/A")</f>
        <v>0</v>
      </c>
      <c r="H16" s="59" t="str">
        <f t="shared" ca="1" si="0"/>
        <v>N/A</v>
      </c>
      <c r="I16" s="283"/>
      <c r="J16" s="54">
        <f ca="1">COUNTIFS($A$21:INDIRECT(ADDRESS(MATCH("",$A:$A,-1),1,1,1)),$A16,$K$21:INDIRECT(ADDRESS(MATCH("",$B:$B,-1),11,1,1)),"조치")</f>
        <v>0</v>
      </c>
      <c r="K16" s="29">
        <f ca="1">COUNTIFS($A$21:INDIRECT(ADDRESS(MATCH("",$A:$A,-1),1,1,1)),$A16,$K$21:INDIRECT(ADDRESS(MATCH("",$B:$B,-1),11,1,1)),"미조치")</f>
        <v>0</v>
      </c>
      <c r="L16" s="29">
        <f ca="1">COUNTIFS($A$21:INDIRECT(ADDRESS(MATCH("",$A:$A,-1),1,1,1)),$A16,$K$21:INDIRECT(ADDRESS(MATCH("",$B:$B,-1),11,1,1)),"위험수용")</f>
        <v>0</v>
      </c>
      <c r="M16" s="29">
        <f ca="1">COUNTIFS($A$21:INDIRECT(ADDRESS(MATCH("",$A:$A,-1),1,1,1)),$A16,$K$21:INDIRECT(ADDRESS(MATCH("",$B:$B,-1),11,1,1)),"N/A")</f>
        <v>0</v>
      </c>
      <c r="N16" s="50" t="str">
        <f ca="1">IFERROR($J16/($F16-(M16-G16)),"N/A")</f>
        <v>N/A</v>
      </c>
      <c r="O16" s="123" t="str">
        <f ca="1">IF(OR($G16=$D16,$D16=$M16),"N/A",($T16/$U16))</f>
        <v>N/A</v>
      </c>
      <c r="R16" s="37">
        <f ca="1">SUMIF($A$21:INDIRECT(ADDRESS(MATCH("",$A:$A,-1),1,1,1)),$A16,$R$21:INDIRECT(ADDRESS(MATCH("",$A:$A,-1),18,1,1)))</f>
        <v>0</v>
      </c>
      <c r="S16" s="37">
        <f ca="1">SUMIF($A$21:INDIRECT(ADDRESS(MATCH("",$A:$A,-1),1,1,1)),$A16,$S$21:INDIRECT(ADDRESS(MATCH("",$A:$A,-1),19,1,1)))</f>
        <v>0</v>
      </c>
      <c r="T16" s="37">
        <f ca="1">SUMIF($A$21:INDIRECT(ADDRESS(MATCH("",$A:$A,-1),1,1,1)),$A16,$T$21:INDIRECT(ADDRESS(MATCH("",$A:$A,-1),20,1,1)))</f>
        <v>0</v>
      </c>
      <c r="U16" s="37">
        <f ca="1">SUMIF($A$21:INDIRECT(ADDRESS(MATCH("",$A:$A,-1),2,1,1)),$A16&amp;"*",$U$21:INDIRECT(ADDRESS(MATCH("",$A:$A,-1),21,1,1)))</f>
        <v>0</v>
      </c>
      <c r="V16" s="286">
        <f>B16</f>
        <v>0</v>
      </c>
      <c r="W16" s="287"/>
      <c r="X16" s="61" t="str">
        <f t="shared" ca="1" si="1"/>
        <v>N/A</v>
      </c>
      <c r="Y16" s="61" t="str">
        <f t="shared" ca="1" si="2"/>
        <v>N/A</v>
      </c>
    </row>
    <row r="17" spans="1:25" ht="20.100000000000001" customHeight="1">
      <c r="A17" s="288" t="s">
        <v>121</v>
      </c>
      <c r="B17" s="289"/>
      <c r="C17" s="290"/>
      <c r="D17" s="124">
        <f ca="1">SUM(D12:D16)</f>
        <v>20</v>
      </c>
      <c r="E17" s="124">
        <f ca="1">SUM(E12:E16)</f>
        <v>4</v>
      </c>
      <c r="F17" s="124">
        <f ca="1">SUM(F12:F16)</f>
        <v>10</v>
      </c>
      <c r="G17" s="125">
        <f ca="1">SUM(G12:G16)</f>
        <v>0</v>
      </c>
      <c r="H17" s="126">
        <f t="shared" ca="1" si="0"/>
        <v>0</v>
      </c>
      <c r="I17" s="284"/>
      <c r="J17" s="135">
        <f ca="1">SUM(J12:J16)</f>
        <v>10</v>
      </c>
      <c r="K17" s="124">
        <f ca="1">SUM(K12:K16)</f>
        <v>0</v>
      </c>
      <c r="L17" s="124">
        <f ca="1">SUM(L12:L16)</f>
        <v>0</v>
      </c>
      <c r="M17" s="124">
        <f ca="1">SUM(M12:M16)</f>
        <v>6</v>
      </c>
      <c r="N17" s="127">
        <f ca="1">IF($O17="N/A","N/A",IFERROR($J17/($F17-(M17-G17)),"N/A"))</f>
        <v>2.5</v>
      </c>
      <c r="O17" s="128">
        <f ca="1">IF($G17=$D17,"N/A",IFERROR((T17/U17),"N/A"))</f>
        <v>1</v>
      </c>
      <c r="R17" s="39">
        <f ca="1">SUM(R12:R16)</f>
        <v>48</v>
      </c>
      <c r="S17" s="40">
        <f ca="1">SUM(S12:S16)</f>
        <v>0</v>
      </c>
      <c r="T17" s="40">
        <f ca="1">SUM(T12:T16)</f>
        <v>35</v>
      </c>
      <c r="U17" s="39">
        <f ca="1">SUM(U12:U16)</f>
        <v>35</v>
      </c>
      <c r="V17" s="291" t="s">
        <v>140</v>
      </c>
      <c r="W17" s="292"/>
      <c r="X17" s="60">
        <f t="shared" ca="1" si="1"/>
        <v>0</v>
      </c>
      <c r="Y17" s="60">
        <f t="shared" ca="1" si="2"/>
        <v>1</v>
      </c>
    </row>
    <row r="18" spans="1:25">
      <c r="A18" s="9"/>
      <c r="B18" s="9"/>
      <c r="C18" s="9"/>
      <c r="D18" s="9"/>
      <c r="E18" s="9"/>
      <c r="F18" s="9"/>
      <c r="G18" s="9"/>
      <c r="H18" s="9"/>
      <c r="I18" s="9"/>
      <c r="M18" s="9"/>
      <c r="N18" s="9"/>
    </row>
    <row r="19" spans="1:25">
      <c r="A19" s="9" t="s">
        <v>126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7" t="s">
        <v>53</v>
      </c>
      <c r="S19" s="17"/>
    </row>
    <row r="20" spans="1:25" ht="21.95" customHeight="1">
      <c r="A20" s="293" t="s">
        <v>79</v>
      </c>
      <c r="B20" s="294"/>
      <c r="C20" s="295" t="s">
        <v>201</v>
      </c>
      <c r="D20" s="295"/>
      <c r="E20" s="295"/>
      <c r="F20" s="296" t="s">
        <v>101</v>
      </c>
      <c r="G20" s="295"/>
      <c r="H20" s="131" t="s">
        <v>218</v>
      </c>
      <c r="I20" s="132" t="s">
        <v>143</v>
      </c>
      <c r="J20" s="130" t="s">
        <v>233</v>
      </c>
      <c r="K20" s="132" t="s">
        <v>198</v>
      </c>
      <c r="L20" s="296" t="s">
        <v>245</v>
      </c>
      <c r="M20" s="295"/>
      <c r="N20" s="295"/>
      <c r="O20" s="295"/>
      <c r="P20" s="297"/>
      <c r="Q20" s="133" t="s">
        <v>112</v>
      </c>
      <c r="R20" s="45" t="s">
        <v>144</v>
      </c>
      <c r="S20" s="44" t="s">
        <v>119</v>
      </c>
      <c r="T20" s="25" t="s">
        <v>125</v>
      </c>
      <c r="U20" s="44" t="s">
        <v>127</v>
      </c>
      <c r="V20" s="298" t="s">
        <v>233</v>
      </c>
      <c r="W20" s="299"/>
      <c r="Y20" s="62"/>
    </row>
    <row r="21" spans="1:25" ht="12" customHeight="1">
      <c r="A21" s="32" t="str">
        <f>ChkList!A5</f>
        <v>계정 관리</v>
      </c>
      <c r="B21" s="51" t="str">
        <f>ChkList!B5</f>
        <v>W-01</v>
      </c>
      <c r="C21" s="300" t="str">
        <f>ChkList!C5</f>
        <v>Administrator 계정 이름 변경 등 보안성 강화</v>
      </c>
      <c r="D21" s="301"/>
      <c r="E21" s="302"/>
      <c r="F21" s="32" t="str">
        <f>ChkList!D5</f>
        <v>H</v>
      </c>
      <c r="G21" s="32">
        <f>ChkList!E5</f>
        <v>3</v>
      </c>
      <c r="H21" s="154" t="s">
        <v>100</v>
      </c>
      <c r="I21" s="152" t="s">
        <v>20</v>
      </c>
      <c r="J21" s="29" t="s">
        <v>88</v>
      </c>
      <c r="K21" s="29" t="str">
        <f>IF($J21="","",IF(OR($H21="Y",$H21="N/A",$H21="Y(즉시조치)"),$H21,IF(AND($H21="N",$J21="Y"),"조치",IF(AND($H21="N",$J21="N/A"),"N/A",IF(IFERROR(FIND("위험수용",$L21),0),"위험수용","미조치")))))</f>
        <v>조치</v>
      </c>
      <c r="L21" s="300"/>
      <c r="M21" s="301"/>
      <c r="N21" s="301"/>
      <c r="O21" s="301"/>
      <c r="P21" s="302"/>
      <c r="Q21" s="21" t="str">
        <f>IF($J21="",IF(OR(#REF!="N",#REF!="인터뷰"),ChkList!#REF!,""),IF(OR($J21="N",$J21="인터뷰"),ChkList!#REF!,""))</f>
        <v/>
      </c>
      <c r="R21" s="32">
        <f>IF($H21="N/A",0,VLOOKUP($F21,'parm(hidden)'!$B$8:$C$10,2,FALSE))*1</f>
        <v>3</v>
      </c>
      <c r="S21" s="32">
        <f>IFERROR(VLOOKUP($F21,'parm(hidden)'!$B$8:$C$10,2,FALSE)*VLOOKUP(#REF!,'parm(hidden)'!$B$15:$C$19,2,FALSE),0)</f>
        <v>0</v>
      </c>
      <c r="T21" s="32">
        <f>IFERROR(VLOOKUP($F21,'parm(hidden)'!$B$8:$C$10,2,FALSE)*VLOOKUP($K21,$V$22:$W$27,2,FALSE),0)</f>
        <v>3</v>
      </c>
      <c r="U21" s="11">
        <f>IF($J21="N/A",0,VLOOKUP($F21,'parm(hidden)'!$B$8:$C$10,2,FALSE))*1</f>
        <v>3</v>
      </c>
      <c r="V21" s="52" t="s">
        <v>82</v>
      </c>
      <c r="W21" s="38" t="s">
        <v>102</v>
      </c>
      <c r="Y21" s="10"/>
    </row>
    <row r="22" spans="1:25" ht="12" customHeight="1">
      <c r="A22" s="170" t="str">
        <f>ChkList!A6</f>
        <v>계정 관리</v>
      </c>
      <c r="B22" s="172" t="str">
        <f>ChkList!B6</f>
        <v>W-02</v>
      </c>
      <c r="C22" s="300" t="str">
        <f>ChkList!C6</f>
        <v>Guest 계정 비활성화</v>
      </c>
      <c r="D22" s="301"/>
      <c r="E22" s="302"/>
      <c r="F22" s="170" t="str">
        <f>ChkList!D6</f>
        <v>H</v>
      </c>
      <c r="G22" s="170">
        <f>ChkList!E6</f>
        <v>3</v>
      </c>
      <c r="H22" s="154" t="s">
        <v>100</v>
      </c>
      <c r="I22" s="152" t="s">
        <v>0</v>
      </c>
      <c r="J22" s="29" t="s">
        <v>88</v>
      </c>
      <c r="K22" s="29" t="str">
        <f t="shared" ref="K22:K84" si="3">IF($J22="","",IF(OR($H22="Y",$H22="N/A",$H22="Y(즉시조치)"),$H22,IF(AND($H22="N",$J22="Y"),"조치",IF(AND($H22="N",$J22="N/A"),"N/A",IF(IFERROR(FIND("위험수용",$L22),0),"위험수용","미조치")))))</f>
        <v>조치</v>
      </c>
      <c r="L22" s="300"/>
      <c r="M22" s="301"/>
      <c r="N22" s="301"/>
      <c r="O22" s="301"/>
      <c r="P22" s="302"/>
      <c r="Q22" s="21"/>
      <c r="R22" s="32">
        <f>IF($H22="N/A",0,VLOOKUP($F22,'parm(hidden)'!$B$8:$C$10,2,FALSE))*1</f>
        <v>3</v>
      </c>
      <c r="S22" s="32">
        <f>IFERROR(VLOOKUP($F22,'parm(hidden)'!$B$8:$C$10,2,FALSE)*VLOOKUP(#REF!,'parm(hidden)'!$B$15:$C$19,2,FALSE),0)</f>
        <v>0</v>
      </c>
      <c r="T22" s="32">
        <f>IFERROR(VLOOKUP($F22,'parm(hidden)'!$B$8:$C$10,2,FALSE)*VLOOKUP($K22,$V$22:$W$27,2,FALSE),0)</f>
        <v>3</v>
      </c>
      <c r="U22" s="11">
        <f>IF($J22="N/A",0,VLOOKUP($F22,'parm(hidden)'!$B$8:$C$10,2,FALSE))*1</f>
        <v>3</v>
      </c>
      <c r="V22" s="54" t="s">
        <v>110</v>
      </c>
      <c r="W22" s="29">
        <v>1</v>
      </c>
      <c r="Y22" s="10"/>
    </row>
    <row r="23" spans="1:25" ht="12" customHeight="1">
      <c r="A23" s="170" t="str">
        <f>ChkList!A7</f>
        <v>계정 관리</v>
      </c>
      <c r="B23" s="172" t="str">
        <f>ChkList!B7</f>
        <v>W-03</v>
      </c>
      <c r="C23" s="300" t="str">
        <f>ChkList!C7</f>
        <v>불필요한 계정 제거</v>
      </c>
      <c r="D23" s="301"/>
      <c r="E23" s="302"/>
      <c r="F23" s="170" t="str">
        <f>ChkList!D7</f>
        <v>H</v>
      </c>
      <c r="G23" s="170">
        <f>ChkList!E7</f>
        <v>3</v>
      </c>
      <c r="H23" s="157" t="s">
        <v>88</v>
      </c>
      <c r="I23" s="152" t="s">
        <v>33</v>
      </c>
      <c r="J23" s="29" t="s">
        <v>88</v>
      </c>
      <c r="K23" s="29" t="str">
        <f t="shared" si="3"/>
        <v>Y</v>
      </c>
      <c r="L23" s="300"/>
      <c r="M23" s="301"/>
      <c r="N23" s="301"/>
      <c r="O23" s="301"/>
      <c r="P23" s="302"/>
      <c r="Q23" s="21"/>
      <c r="R23" s="32">
        <f>IF($H23="N/A",0,VLOOKUP($F23,'parm(hidden)'!$B$8:$C$10,2,FALSE))*1</f>
        <v>3</v>
      </c>
      <c r="S23" s="32">
        <f>IFERROR(VLOOKUP($F23,'parm(hidden)'!$B$8:$C$10,2,FALSE)*VLOOKUP(#REF!,'parm(hidden)'!$B$15:$C$19,2,FALSE),0)</f>
        <v>0</v>
      </c>
      <c r="T23" s="32">
        <f>IFERROR(VLOOKUP($F23,'parm(hidden)'!$B$8:$C$10,2,FALSE)*VLOOKUP($K23,$V$22:$W$27,2,FALSE),0)</f>
        <v>3</v>
      </c>
      <c r="U23" s="11">
        <f>IF($J23="N/A",0,VLOOKUP($F23,'parm(hidden)'!$B$8:$C$10,2,FALSE))*1</f>
        <v>3</v>
      </c>
      <c r="V23" s="54" t="s">
        <v>97</v>
      </c>
      <c r="W23" s="29">
        <v>0</v>
      </c>
      <c r="Y23" s="10"/>
    </row>
    <row r="24" spans="1:25" ht="12" customHeight="1">
      <c r="A24" s="170" t="str">
        <f>ChkList!A8</f>
        <v>계정 관리</v>
      </c>
      <c r="B24" s="172" t="str">
        <f>ChkList!B8</f>
        <v>W-04</v>
      </c>
      <c r="C24" s="300" t="str">
        <f>ChkList!C8</f>
        <v>계정 잠금 임계값 설정</v>
      </c>
      <c r="D24" s="301"/>
      <c r="E24" s="302"/>
      <c r="F24" s="170" t="str">
        <f>ChkList!D8</f>
        <v>H</v>
      </c>
      <c r="G24" s="170">
        <f>ChkList!E8</f>
        <v>3</v>
      </c>
      <c r="H24" s="154" t="s">
        <v>100</v>
      </c>
      <c r="I24" s="152" t="s">
        <v>23</v>
      </c>
      <c r="J24" s="29" t="s">
        <v>88</v>
      </c>
      <c r="K24" s="29" t="str">
        <f t="shared" si="3"/>
        <v>조치</v>
      </c>
      <c r="L24" s="300"/>
      <c r="M24" s="301"/>
      <c r="N24" s="301"/>
      <c r="O24" s="301"/>
      <c r="P24" s="302"/>
      <c r="Q24" s="21"/>
      <c r="R24" s="32">
        <f>IF($H24="N/A",0,VLOOKUP($F24,'parm(hidden)'!$B$8:$C$10,2,FALSE))*1</f>
        <v>3</v>
      </c>
      <c r="S24" s="32">
        <f>IFERROR(VLOOKUP($F24,'parm(hidden)'!$B$8:$C$10,2,FALSE)*VLOOKUP(#REF!,'parm(hidden)'!$B$15:$C$19,2,FALSE),0)</f>
        <v>0</v>
      </c>
      <c r="T24" s="32">
        <f>IFERROR(VLOOKUP($F24,'parm(hidden)'!$B$8:$C$10,2,FALSE)*VLOOKUP($K24,$V$22:$W$27,2,FALSE),0)</f>
        <v>3</v>
      </c>
      <c r="U24" s="11">
        <f>IF($J24="N/A",0,VLOOKUP($F24,'parm(hidden)'!$B$8:$C$10,2,FALSE))*1</f>
        <v>3</v>
      </c>
      <c r="V24" s="54" t="s">
        <v>219</v>
      </c>
      <c r="W24" s="29">
        <v>0</v>
      </c>
      <c r="Y24" s="10"/>
    </row>
    <row r="25" spans="1:25" ht="12" customHeight="1">
      <c r="A25" s="170" t="str">
        <f>ChkList!A9</f>
        <v>계정 관리</v>
      </c>
      <c r="B25" s="172" t="str">
        <f>ChkList!B9</f>
        <v>W-05</v>
      </c>
      <c r="C25" s="300" t="str">
        <f>ChkList!C9</f>
        <v>해독 가능한 암호화를 사용하여 암호 저장 해제</v>
      </c>
      <c r="D25" s="301"/>
      <c r="E25" s="302"/>
      <c r="F25" s="170" t="str">
        <f>ChkList!D9</f>
        <v>H</v>
      </c>
      <c r="G25" s="170">
        <f>ChkList!E9</f>
        <v>3</v>
      </c>
      <c r="H25" s="157" t="s">
        <v>88</v>
      </c>
      <c r="I25" s="152" t="s">
        <v>17</v>
      </c>
      <c r="J25" s="29" t="s">
        <v>88</v>
      </c>
      <c r="K25" s="29" t="str">
        <f t="shared" si="3"/>
        <v>Y</v>
      </c>
      <c r="L25" s="300"/>
      <c r="M25" s="301"/>
      <c r="N25" s="301"/>
      <c r="O25" s="301"/>
      <c r="P25" s="302"/>
      <c r="Q25" s="21"/>
      <c r="R25" s="32">
        <f>IF($H25="N/A",0,VLOOKUP($F25,'parm(hidden)'!$B$8:$C$10,2,FALSE))*1</f>
        <v>3</v>
      </c>
      <c r="S25" s="32">
        <f>IFERROR(VLOOKUP($F25,'parm(hidden)'!$B$8:$C$10,2,FALSE)*VLOOKUP(#REF!,'parm(hidden)'!$B$15:$C$19,2,FALSE),0)</f>
        <v>0</v>
      </c>
      <c r="T25" s="32">
        <f>IFERROR(VLOOKUP($F25,'parm(hidden)'!$B$8:$C$10,2,FALSE)*VLOOKUP($K25,$V$22:$W$27,2,FALSE),0)</f>
        <v>3</v>
      </c>
      <c r="U25" s="11">
        <f>IF($J25="N/A",0,VLOOKUP($F25,'parm(hidden)'!$B$8:$C$10,2,FALSE))*1</f>
        <v>3</v>
      </c>
      <c r="V25" s="54" t="s">
        <v>78</v>
      </c>
      <c r="W25" s="29">
        <v>0</v>
      </c>
      <c r="Y25" s="10"/>
    </row>
    <row r="26" spans="1:25" ht="12" customHeight="1">
      <c r="A26" s="170" t="str">
        <f>ChkList!A10</f>
        <v>계정 관리</v>
      </c>
      <c r="B26" s="172" t="str">
        <f>ChkList!B10</f>
        <v>W-06</v>
      </c>
      <c r="C26" s="300" t="str">
        <f>ChkList!C10</f>
        <v>관리자 그룹에 최소한의 사용자 포함</v>
      </c>
      <c r="D26" s="301"/>
      <c r="E26" s="302"/>
      <c r="F26" s="170" t="str">
        <f>ChkList!D10</f>
        <v>H</v>
      </c>
      <c r="G26" s="170">
        <f>ChkList!E10</f>
        <v>3</v>
      </c>
      <c r="H26" s="157" t="s">
        <v>88</v>
      </c>
      <c r="I26" s="152" t="s">
        <v>21</v>
      </c>
      <c r="J26" s="29" t="s">
        <v>88</v>
      </c>
      <c r="K26" s="29" t="str">
        <f t="shared" si="3"/>
        <v>Y</v>
      </c>
      <c r="L26" s="300"/>
      <c r="M26" s="301"/>
      <c r="N26" s="301"/>
      <c r="O26" s="301"/>
      <c r="P26" s="302"/>
      <c r="Q26" s="21"/>
      <c r="R26" s="32">
        <f>IF($H26="N/A",0,VLOOKUP($F26,'parm(hidden)'!$B$8:$C$10,2,FALSE))*1</f>
        <v>3</v>
      </c>
      <c r="S26" s="32">
        <f>IFERROR(VLOOKUP($F26,'parm(hidden)'!$B$8:$C$10,2,FALSE)*VLOOKUP(#REF!,'parm(hidden)'!$B$15:$C$19,2,FALSE),0)</f>
        <v>0</v>
      </c>
      <c r="T26" s="32">
        <f>IFERROR(VLOOKUP($F26,'parm(hidden)'!$B$8:$C$10,2,FALSE)*VLOOKUP($K26,$V$22:$W$27,2,FALSE),0)</f>
        <v>3</v>
      </c>
      <c r="U26" s="11">
        <f>IF($J26="N/A",0,VLOOKUP($F26,'parm(hidden)'!$B$8:$C$10,2,FALSE))*1</f>
        <v>3</v>
      </c>
      <c r="V26" s="54" t="s">
        <v>88</v>
      </c>
      <c r="W26" s="29">
        <v>1</v>
      </c>
      <c r="Y26" s="10"/>
    </row>
    <row r="27" spans="1:25" ht="12" customHeight="1">
      <c r="A27" s="170" t="str">
        <f>ChkList!A11</f>
        <v>계정 관리</v>
      </c>
      <c r="B27" s="172" t="str">
        <f>ChkList!B11</f>
        <v>W-07</v>
      </c>
      <c r="C27" s="300" t="str">
        <f>ChkList!C11</f>
        <v>Everyone 사용 권한을 익명 사용자에 적용</v>
      </c>
      <c r="D27" s="301"/>
      <c r="E27" s="302"/>
      <c r="F27" s="170" t="str">
        <f>ChkList!D11</f>
        <v>M</v>
      </c>
      <c r="G27" s="170">
        <f>ChkList!E11</f>
        <v>2</v>
      </c>
      <c r="H27" s="157" t="s">
        <v>88</v>
      </c>
      <c r="I27" s="152" t="s">
        <v>16</v>
      </c>
      <c r="J27" s="29" t="s">
        <v>88</v>
      </c>
      <c r="K27" s="29" t="str">
        <f t="shared" si="3"/>
        <v>Y</v>
      </c>
      <c r="L27" s="300"/>
      <c r="M27" s="301"/>
      <c r="N27" s="301"/>
      <c r="O27" s="301"/>
      <c r="P27" s="302"/>
      <c r="Q27" s="21"/>
      <c r="R27" s="32">
        <f>IF($H27="N/A",0,VLOOKUP($F27,'parm(hidden)'!$B$8:$C$10,2,FALSE))*1</f>
        <v>2</v>
      </c>
      <c r="S27" s="32">
        <f>IFERROR(VLOOKUP($F27,'parm(hidden)'!$B$8:$C$10,2,FALSE)*VLOOKUP(#REF!,'parm(hidden)'!$B$15:$C$19,2,FALSE),0)</f>
        <v>0</v>
      </c>
      <c r="T27" s="32">
        <f>IFERROR(VLOOKUP($F27,'parm(hidden)'!$B$8:$C$10,2,FALSE)*VLOOKUP($K27,$V$22:$W$27,2,FALSE),0)</f>
        <v>2</v>
      </c>
      <c r="U27" s="11">
        <f>IF($J27="N/A",0,VLOOKUP($F27,'parm(hidden)'!$B$8:$C$10,2,FALSE))*1</f>
        <v>2</v>
      </c>
      <c r="V27" s="54" t="s">
        <v>193</v>
      </c>
      <c r="W27" s="29">
        <v>1</v>
      </c>
      <c r="Y27" s="10"/>
    </row>
    <row r="28" spans="1:25" ht="12" customHeight="1">
      <c r="A28" s="170" t="str">
        <f>ChkList!A12</f>
        <v>계정 관리</v>
      </c>
      <c r="B28" s="172" t="str">
        <f>ChkList!B12</f>
        <v>W-08</v>
      </c>
      <c r="C28" s="300" t="str">
        <f>ChkList!C12</f>
        <v>계정 잠금 기간 설정</v>
      </c>
      <c r="D28" s="301"/>
      <c r="E28" s="302"/>
      <c r="F28" s="170" t="str">
        <f>ChkList!D12</f>
        <v>M</v>
      </c>
      <c r="G28" s="170">
        <f>ChkList!E12</f>
        <v>2</v>
      </c>
      <c r="H28" s="154" t="s">
        <v>100</v>
      </c>
      <c r="I28" s="152" t="s">
        <v>18</v>
      </c>
      <c r="J28" s="29" t="s">
        <v>88</v>
      </c>
      <c r="K28" s="29" t="str">
        <f t="shared" si="3"/>
        <v>조치</v>
      </c>
      <c r="L28" s="300"/>
      <c r="M28" s="301"/>
      <c r="N28" s="301"/>
      <c r="O28" s="301"/>
      <c r="P28" s="302"/>
      <c r="Q28" s="21"/>
      <c r="R28" s="32">
        <f>IF($H28="N/A",0,VLOOKUP($F28,'parm(hidden)'!$B$8:$C$10,2,FALSE))*1</f>
        <v>2</v>
      </c>
      <c r="S28" s="32">
        <f>IFERROR(VLOOKUP($F28,'parm(hidden)'!$B$8:$C$10,2,FALSE)*VLOOKUP(#REF!,'parm(hidden)'!$B$15:$C$19,2,FALSE),0)</f>
        <v>0</v>
      </c>
      <c r="T28" s="32">
        <f>IFERROR(VLOOKUP($F28,'parm(hidden)'!$B$8:$C$10,2,FALSE)*VLOOKUP($K28,$V$22:$W$27,2,FALSE),0)</f>
        <v>2</v>
      </c>
      <c r="U28" s="11">
        <f>IF($J28="N/A",0,VLOOKUP($F28,'parm(hidden)'!$B$8:$C$10,2,FALSE))*1</f>
        <v>2</v>
      </c>
      <c r="V28" s="10"/>
      <c r="W28" s="10"/>
      <c r="Y28" s="10"/>
    </row>
    <row r="29" spans="1:25" ht="12" customHeight="1">
      <c r="A29" s="170" t="str">
        <f>ChkList!A13</f>
        <v>계정 관리</v>
      </c>
      <c r="B29" s="172" t="str">
        <f>ChkList!B13</f>
        <v>W-09</v>
      </c>
      <c r="C29" s="300" t="str">
        <f>ChkList!C13</f>
        <v>비밀번호 관리 정책 설정</v>
      </c>
      <c r="D29" s="301"/>
      <c r="E29" s="302"/>
      <c r="F29" s="170" t="str">
        <f>ChkList!D13</f>
        <v>H</v>
      </c>
      <c r="G29" s="170">
        <f>ChkList!E13</f>
        <v>3</v>
      </c>
      <c r="H29" s="154" t="s">
        <v>100</v>
      </c>
      <c r="I29" s="153" t="s">
        <v>152</v>
      </c>
      <c r="J29" s="29" t="s">
        <v>88</v>
      </c>
      <c r="K29" s="29" t="str">
        <f t="shared" si="3"/>
        <v>조치</v>
      </c>
      <c r="L29" s="300"/>
      <c r="M29" s="301"/>
      <c r="N29" s="301"/>
      <c r="O29" s="301"/>
      <c r="P29" s="302"/>
      <c r="Q29" s="21"/>
      <c r="R29" s="32">
        <f>IF($H29="N/A",0,VLOOKUP($F29,'parm(hidden)'!$B$8:$C$10,2,FALSE))*1</f>
        <v>3</v>
      </c>
      <c r="S29" s="32">
        <f>IFERROR(VLOOKUP($F29,'parm(hidden)'!$B$8:$C$10,2,FALSE)*VLOOKUP(#REF!,'parm(hidden)'!$B$15:$C$19,2,FALSE),0)</f>
        <v>0</v>
      </c>
      <c r="T29" s="32">
        <f>IFERROR(VLOOKUP($F29,'parm(hidden)'!$B$8:$C$10,2,FALSE)*VLOOKUP($K29,$V$22:$W$27,2,FALSE),0)</f>
        <v>3</v>
      </c>
      <c r="U29" s="11">
        <f>IF($J29="N/A",0,VLOOKUP($F29,'parm(hidden)'!$B$8:$C$10,2,FALSE))*1</f>
        <v>3</v>
      </c>
      <c r="V29" s="10"/>
      <c r="W29" s="10"/>
      <c r="Y29" s="10"/>
    </row>
    <row r="30" spans="1:25" ht="12" customHeight="1">
      <c r="A30" s="170" t="str">
        <f>ChkList!A14</f>
        <v>계정 관리</v>
      </c>
      <c r="B30" s="172" t="str">
        <f>ChkList!B14</f>
        <v>W-10</v>
      </c>
      <c r="C30" s="300" t="str">
        <f>ChkList!C14</f>
        <v>마지막 사용자 이름 표시 안 함</v>
      </c>
      <c r="D30" s="301"/>
      <c r="E30" s="302"/>
      <c r="F30" s="170" t="str">
        <f>ChkList!D14</f>
        <v>M</v>
      </c>
      <c r="G30" s="170">
        <f>ChkList!E14</f>
        <v>2</v>
      </c>
      <c r="H30" s="154" t="s">
        <v>100</v>
      </c>
      <c r="I30" s="153" t="s">
        <v>167</v>
      </c>
      <c r="J30" s="29" t="s">
        <v>88</v>
      </c>
      <c r="K30" s="29" t="str">
        <f t="shared" si="3"/>
        <v>조치</v>
      </c>
      <c r="L30" s="300"/>
      <c r="M30" s="301"/>
      <c r="N30" s="301"/>
      <c r="O30" s="301"/>
      <c r="P30" s="302"/>
      <c r="Q30" s="21"/>
      <c r="R30" s="32">
        <f>IF($H30="N/A",0,VLOOKUP($F30,'parm(hidden)'!$B$8:$C$10,2,FALSE))*1</f>
        <v>2</v>
      </c>
      <c r="S30" s="32">
        <f>IFERROR(VLOOKUP($F30,'parm(hidden)'!$B$8:$C$10,2,FALSE)*VLOOKUP(#REF!,'parm(hidden)'!$B$15:$C$19,2,FALSE),0)</f>
        <v>0</v>
      </c>
      <c r="T30" s="32">
        <f>IFERROR(VLOOKUP($F30,'parm(hidden)'!$B$8:$C$10,2,FALSE)*VLOOKUP($K30,$V$22:$W$27,2,FALSE),0)</f>
        <v>2</v>
      </c>
      <c r="U30" s="11">
        <f>IF($J30="N/A",0,VLOOKUP($F30,'parm(hidden)'!$B$8:$C$10,2,FALSE))*1</f>
        <v>2</v>
      </c>
      <c r="V30" s="10"/>
      <c r="W30" s="10"/>
      <c r="Y30" s="10"/>
    </row>
    <row r="31" spans="1:25" ht="12" customHeight="1">
      <c r="A31" s="170" t="str">
        <f>ChkList!A15</f>
        <v>계정 관리</v>
      </c>
      <c r="B31" s="172" t="str">
        <f>ChkList!B15</f>
        <v>W-11</v>
      </c>
      <c r="C31" s="300" t="str">
        <f>ChkList!C15</f>
        <v>로컬 로그온 허용</v>
      </c>
      <c r="D31" s="301"/>
      <c r="E31" s="302"/>
      <c r="F31" s="170" t="str">
        <f>ChkList!D15</f>
        <v>M</v>
      </c>
      <c r="G31" s="170">
        <f>ChkList!E15</f>
        <v>2</v>
      </c>
      <c r="H31" s="154" t="s">
        <v>100</v>
      </c>
      <c r="I31" s="153" t="s">
        <v>58</v>
      </c>
      <c r="J31" s="29" t="s">
        <v>88</v>
      </c>
      <c r="K31" s="29" t="str">
        <f t="shared" si="3"/>
        <v>조치</v>
      </c>
      <c r="L31" s="300"/>
      <c r="M31" s="301"/>
      <c r="N31" s="301"/>
      <c r="O31" s="301"/>
      <c r="P31" s="302"/>
      <c r="Q31" s="21"/>
      <c r="R31" s="32">
        <f>IF($H31="N/A",0,VLOOKUP($F31,'parm(hidden)'!$B$8:$C$10,2,FALSE))*1</f>
        <v>2</v>
      </c>
      <c r="S31" s="32">
        <f>IFERROR(VLOOKUP($F31,'parm(hidden)'!$B$8:$C$10,2,FALSE)*VLOOKUP(#REF!,'parm(hidden)'!$B$15:$C$19,2,FALSE),0)</f>
        <v>0</v>
      </c>
      <c r="T31" s="32">
        <f>IFERROR(VLOOKUP($F31,'parm(hidden)'!$B$8:$C$10,2,FALSE)*VLOOKUP($K31,$V$22:$W$27,2,FALSE),0)</f>
        <v>2</v>
      </c>
      <c r="U31" s="11">
        <f>IF($J31="N/A",0,VLOOKUP($F31,'parm(hidden)'!$B$8:$C$10,2,FALSE))*1</f>
        <v>2</v>
      </c>
      <c r="V31" s="10"/>
      <c r="W31" s="10"/>
      <c r="Y31" s="10"/>
    </row>
    <row r="32" spans="1:25" ht="12" customHeight="1">
      <c r="A32" s="170" t="str">
        <f>ChkList!A16</f>
        <v>계정 관리</v>
      </c>
      <c r="B32" s="172" t="str">
        <f>ChkList!B16</f>
        <v>W-12</v>
      </c>
      <c r="C32" s="300" t="str">
        <f>ChkList!C16</f>
        <v>익명 SID/이름 변환 허용 해제</v>
      </c>
      <c r="D32" s="301"/>
      <c r="E32" s="302"/>
      <c r="F32" s="170" t="str">
        <f>ChkList!D16</f>
        <v>M</v>
      </c>
      <c r="G32" s="170">
        <f>ChkList!E16</f>
        <v>2</v>
      </c>
      <c r="H32" s="154" t="s">
        <v>100</v>
      </c>
      <c r="I32" s="153" t="s">
        <v>63</v>
      </c>
      <c r="J32" s="29" t="s">
        <v>88</v>
      </c>
      <c r="K32" s="29" t="str">
        <f t="shared" si="3"/>
        <v>조치</v>
      </c>
      <c r="L32" s="300"/>
      <c r="M32" s="301"/>
      <c r="N32" s="301"/>
      <c r="O32" s="301"/>
      <c r="P32" s="302"/>
      <c r="Q32" s="21"/>
      <c r="R32" s="32">
        <f>IF($H32="N/A",0,VLOOKUP($F32,'parm(hidden)'!$B$8:$C$10,2,FALSE))*1</f>
        <v>2</v>
      </c>
      <c r="S32" s="32">
        <f>IFERROR(VLOOKUP($F32,'parm(hidden)'!$B$8:$C$10,2,FALSE)*VLOOKUP(#REF!,'parm(hidden)'!$B$15:$C$19,2,FALSE),0)</f>
        <v>0</v>
      </c>
      <c r="T32" s="32">
        <f>IFERROR(VLOOKUP($F32,'parm(hidden)'!$B$8:$C$10,2,FALSE)*VLOOKUP($K32,$V$22:$W$27,2,FALSE),0)</f>
        <v>2</v>
      </c>
      <c r="U32" s="11">
        <f>IF($J32="N/A",0,VLOOKUP($F32,'parm(hidden)'!$B$8:$C$10,2,FALSE))*1</f>
        <v>2</v>
      </c>
      <c r="V32" s="10"/>
      <c r="W32" s="10"/>
      <c r="Y32" s="10"/>
    </row>
    <row r="33" spans="1:25" ht="12" customHeight="1">
      <c r="A33" s="170" t="str">
        <f>ChkList!A17</f>
        <v>계정 관리</v>
      </c>
      <c r="B33" s="172" t="str">
        <f>ChkList!B17</f>
        <v>W-13</v>
      </c>
      <c r="C33" s="300" t="str">
        <f>ChkList!C17</f>
        <v>콘솔 로그온 시 로컬 계정에서 빈 암호 사용 제한</v>
      </c>
      <c r="D33" s="301"/>
      <c r="E33" s="302"/>
      <c r="F33" s="170" t="str">
        <f>ChkList!D17</f>
        <v>M</v>
      </c>
      <c r="G33" s="170">
        <f>ChkList!E17</f>
        <v>2</v>
      </c>
      <c r="H33" s="154" t="s">
        <v>100</v>
      </c>
      <c r="I33" s="152" t="s">
        <v>55</v>
      </c>
      <c r="J33" s="29" t="s">
        <v>88</v>
      </c>
      <c r="K33" s="29" t="str">
        <f t="shared" si="3"/>
        <v>조치</v>
      </c>
      <c r="L33" s="300"/>
      <c r="M33" s="301"/>
      <c r="N33" s="301"/>
      <c r="O33" s="301"/>
      <c r="P33" s="302"/>
      <c r="Q33" s="21"/>
      <c r="R33" s="32">
        <f>IF($H33="N/A",0,VLOOKUP($F33,'parm(hidden)'!$B$8:$C$10,2,FALSE))*1</f>
        <v>2</v>
      </c>
      <c r="S33" s="32">
        <f>IFERROR(VLOOKUP($F33,'parm(hidden)'!$B$8:$C$10,2,FALSE)*VLOOKUP(#REF!,'parm(hidden)'!$B$15:$C$19,2,FALSE),0)</f>
        <v>0</v>
      </c>
      <c r="T33" s="32">
        <f>IFERROR(VLOOKUP($F33,'parm(hidden)'!$B$8:$C$10,2,FALSE)*VLOOKUP($K33,$V$22:$W$27,2,FALSE),0)</f>
        <v>2</v>
      </c>
      <c r="U33" s="11">
        <f>IF($J33="N/A",0,VLOOKUP($F33,'parm(hidden)'!$B$8:$C$10,2,FALSE))*1</f>
        <v>2</v>
      </c>
      <c r="V33" s="10"/>
      <c r="W33" s="10"/>
      <c r="Y33" s="10"/>
    </row>
    <row r="34" spans="1:25" ht="12" customHeight="1">
      <c r="A34" s="170" t="str">
        <f>ChkList!A18</f>
        <v>계정 관리</v>
      </c>
      <c r="B34" s="172" t="str">
        <f>ChkList!B18</f>
        <v>W-14</v>
      </c>
      <c r="C34" s="300" t="str">
        <f>ChkList!C18</f>
        <v>원격터미널 접속 가능한 사용자 그룹 제한</v>
      </c>
      <c r="D34" s="301"/>
      <c r="E34" s="302"/>
      <c r="F34" s="170" t="str">
        <f>ChkList!D18</f>
        <v>M</v>
      </c>
      <c r="G34" s="170">
        <f>ChkList!E18</f>
        <v>2</v>
      </c>
      <c r="H34" s="154" t="s">
        <v>100</v>
      </c>
      <c r="I34" s="152" t="s">
        <v>1</v>
      </c>
      <c r="J34" s="29" t="s">
        <v>88</v>
      </c>
      <c r="K34" s="29" t="str">
        <f t="shared" si="3"/>
        <v>조치</v>
      </c>
      <c r="L34" s="300"/>
      <c r="M34" s="301"/>
      <c r="N34" s="301"/>
      <c r="O34" s="301"/>
      <c r="P34" s="302"/>
      <c r="Q34" s="21"/>
      <c r="R34" s="32">
        <f>IF($H34="N/A",0,VLOOKUP($F34,'parm(hidden)'!$B$8:$C$10,2,FALSE))*1</f>
        <v>2</v>
      </c>
      <c r="S34" s="32">
        <f>IFERROR(VLOOKUP($F34,'parm(hidden)'!$B$8:$C$10,2,FALSE)*VLOOKUP(#REF!,'parm(hidden)'!$B$15:$C$19,2,FALSE),0)</f>
        <v>0</v>
      </c>
      <c r="T34" s="32">
        <f>IFERROR(VLOOKUP($F34,'parm(hidden)'!$B$8:$C$10,2,FALSE)*VLOOKUP($K34,$V$22:$W$27,2,FALSE),0)</f>
        <v>2</v>
      </c>
      <c r="U34" s="11">
        <f>IF($J34="N/A",0,VLOOKUP($F34,'parm(hidden)'!$B$8:$C$10,2,FALSE))*1</f>
        <v>2</v>
      </c>
      <c r="V34" s="10"/>
      <c r="W34" s="10"/>
      <c r="Y34" s="10"/>
    </row>
    <row r="35" spans="1:25" ht="12" customHeight="1">
      <c r="A35" s="170" t="str">
        <f>ChkList!A19</f>
        <v>서비스 관리</v>
      </c>
      <c r="B35" s="172" t="str">
        <f>ChkList!B19</f>
        <v>W-15</v>
      </c>
      <c r="C35" s="300" t="str">
        <f>ChkList!C19</f>
        <v>사용자 개인키 사용 시 암호 입력</v>
      </c>
      <c r="D35" s="301"/>
      <c r="E35" s="302"/>
      <c r="F35" s="170" t="str">
        <f>ChkList!D19</f>
        <v>H</v>
      </c>
      <c r="G35" s="170">
        <f>ChkList!E19</f>
        <v>3</v>
      </c>
      <c r="H35" s="157" t="s">
        <v>88</v>
      </c>
      <c r="I35" s="152" t="s">
        <v>15</v>
      </c>
      <c r="J35" s="29" t="s">
        <v>88</v>
      </c>
      <c r="K35" s="29" t="str">
        <f t="shared" si="3"/>
        <v>Y</v>
      </c>
      <c r="L35" s="300"/>
      <c r="M35" s="301"/>
      <c r="N35" s="301"/>
      <c r="O35" s="301"/>
      <c r="P35" s="302"/>
      <c r="Q35" s="21"/>
      <c r="R35" s="32">
        <f>IF($H35="N/A",0,VLOOKUP($F35,'parm(hidden)'!$B$8:$C$10,2,FALSE))*1</f>
        <v>3</v>
      </c>
      <c r="S35" s="32">
        <f>IFERROR(VLOOKUP($F35,'parm(hidden)'!$B$8:$C$10,2,FALSE)*VLOOKUP(#REF!,'parm(hidden)'!$B$15:$C$19,2,FALSE),0)</f>
        <v>0</v>
      </c>
      <c r="T35" s="32">
        <f>IFERROR(VLOOKUP($F35,'parm(hidden)'!$B$8:$C$10,2,FALSE)*VLOOKUP($K35,$V$22:$W$27,2,FALSE),0)</f>
        <v>3</v>
      </c>
      <c r="U35" s="11">
        <f>IF($J35="N/A",0,VLOOKUP($F35,'parm(hidden)'!$B$8:$C$10,2,FALSE))*1</f>
        <v>3</v>
      </c>
      <c r="V35" s="10"/>
      <c r="W35" s="10"/>
      <c r="Y35" s="10"/>
    </row>
    <row r="36" spans="1:25" ht="12" customHeight="1">
      <c r="A36" s="170" t="str">
        <f>ChkList!A20</f>
        <v>서비스 관리</v>
      </c>
      <c r="B36" s="172" t="str">
        <f>ChkList!B20</f>
        <v>W-16</v>
      </c>
      <c r="C36" s="300" t="str">
        <f>ChkList!C20</f>
        <v>공유 권한 및 사용자 그룹 설정</v>
      </c>
      <c r="D36" s="301"/>
      <c r="E36" s="302"/>
      <c r="F36" s="170" t="str">
        <f>ChkList!D20</f>
        <v>H</v>
      </c>
      <c r="G36" s="170">
        <f>ChkList!E20</f>
        <v>3</v>
      </c>
      <c r="H36" s="154" t="s">
        <v>100</v>
      </c>
      <c r="I36" s="153" t="s">
        <v>62</v>
      </c>
      <c r="J36" s="29" t="s">
        <v>88</v>
      </c>
      <c r="K36" s="29" t="str">
        <f t="shared" si="3"/>
        <v>조치</v>
      </c>
      <c r="L36" s="300"/>
      <c r="M36" s="301"/>
      <c r="N36" s="301"/>
      <c r="O36" s="301"/>
      <c r="P36" s="302"/>
      <c r="Q36" s="21"/>
      <c r="R36" s="32">
        <f>IF($H36="N/A",0,VLOOKUP($F36,'parm(hidden)'!$B$8:$C$10,2,FALSE))*1</f>
        <v>3</v>
      </c>
      <c r="S36" s="32">
        <f>IFERROR(VLOOKUP($F36,'parm(hidden)'!$B$8:$C$10,2,FALSE)*VLOOKUP(#REF!,'parm(hidden)'!$B$15:$C$19,2,FALSE),0)</f>
        <v>0</v>
      </c>
      <c r="T36" s="32">
        <f>IFERROR(VLOOKUP($F36,'parm(hidden)'!$B$8:$C$10,2,FALSE)*VLOOKUP($K36,$V$22:$W$27,2,FALSE),0)</f>
        <v>3</v>
      </c>
      <c r="U36" s="11">
        <f>IF($J36="N/A",0,VLOOKUP($F36,'parm(hidden)'!$B$8:$C$10,2,FALSE))*1</f>
        <v>3</v>
      </c>
      <c r="V36" s="10"/>
      <c r="W36" s="10"/>
      <c r="Y36" s="10"/>
    </row>
    <row r="37" spans="1:25" ht="12" customHeight="1">
      <c r="A37" s="170" t="str">
        <f>ChkList!A21</f>
        <v>서비스 관리</v>
      </c>
      <c r="B37" s="172" t="str">
        <f>ChkList!B21</f>
        <v>W-17</v>
      </c>
      <c r="C37" s="300" t="str">
        <f>ChkList!C21</f>
        <v>하드디스크 기본 공유 제거</v>
      </c>
      <c r="D37" s="301"/>
      <c r="E37" s="302"/>
      <c r="F37" s="170" t="str">
        <f>ChkList!D21</f>
        <v>H</v>
      </c>
      <c r="G37" s="170">
        <f>ChkList!E21</f>
        <v>3</v>
      </c>
      <c r="H37" s="157" t="s">
        <v>88</v>
      </c>
      <c r="I37" s="152" t="s">
        <v>154</v>
      </c>
      <c r="J37" s="29" t="s">
        <v>88</v>
      </c>
      <c r="K37" s="29" t="str">
        <f t="shared" si="3"/>
        <v>Y</v>
      </c>
      <c r="L37" s="300"/>
      <c r="M37" s="301"/>
      <c r="N37" s="301"/>
      <c r="O37" s="301"/>
      <c r="P37" s="302"/>
      <c r="Q37" s="21"/>
      <c r="R37" s="32">
        <f>IF($H37="N/A",0,VLOOKUP($F37,'parm(hidden)'!$B$8:$C$10,2,FALSE))*1</f>
        <v>3</v>
      </c>
      <c r="S37" s="32">
        <f>IFERROR(VLOOKUP($F37,'parm(hidden)'!$B$8:$C$10,2,FALSE)*VLOOKUP(#REF!,'parm(hidden)'!$B$15:$C$19,2,FALSE),0)</f>
        <v>0</v>
      </c>
      <c r="T37" s="32">
        <f>IFERROR(VLOOKUP($F37,'parm(hidden)'!$B$8:$C$10,2,FALSE)*VLOOKUP($K37,$V$22:$W$27,2,FALSE),0)</f>
        <v>3</v>
      </c>
      <c r="U37" s="11">
        <f>IF($J37="N/A",0,VLOOKUP($F37,'parm(hidden)'!$B$8:$C$10,2,FALSE))*1</f>
        <v>3</v>
      </c>
      <c r="V37" s="10"/>
      <c r="W37" s="10"/>
      <c r="Y37" s="10"/>
    </row>
    <row r="38" spans="1:25" ht="12" customHeight="1">
      <c r="A38" s="170" t="str">
        <f>ChkList!A22</f>
        <v>서비스 관리</v>
      </c>
      <c r="B38" s="172" t="str">
        <f>ChkList!B22</f>
        <v>W-18</v>
      </c>
      <c r="C38" s="300" t="str">
        <f>ChkList!C22</f>
        <v>불필요한 서비스 제거</v>
      </c>
      <c r="D38" s="301"/>
      <c r="E38" s="302"/>
      <c r="F38" s="170" t="str">
        <f>ChkList!D22</f>
        <v>H</v>
      </c>
      <c r="G38" s="170">
        <f>ChkList!E22</f>
        <v>3</v>
      </c>
      <c r="H38" s="154" t="s">
        <v>100</v>
      </c>
      <c r="I38" s="153" t="s">
        <v>27</v>
      </c>
      <c r="J38" s="29" t="s">
        <v>88</v>
      </c>
      <c r="K38" s="29" t="str">
        <f t="shared" si="3"/>
        <v>조치</v>
      </c>
      <c r="L38" s="300"/>
      <c r="M38" s="301"/>
      <c r="N38" s="301"/>
      <c r="O38" s="301"/>
      <c r="P38" s="302"/>
      <c r="Q38" s="21"/>
      <c r="R38" s="32">
        <f>IF($H38="N/A",0,VLOOKUP($F38,'parm(hidden)'!$B$8:$C$10,2,FALSE))*1</f>
        <v>3</v>
      </c>
      <c r="S38" s="32">
        <f>IFERROR(VLOOKUP($F38,'parm(hidden)'!$B$8:$C$10,2,FALSE)*VLOOKUP(#REF!,'parm(hidden)'!$B$15:$C$19,2,FALSE),0)</f>
        <v>0</v>
      </c>
      <c r="T38" s="32">
        <f>IFERROR(VLOOKUP($F38,'parm(hidden)'!$B$8:$C$10,2,FALSE)*VLOOKUP($K38,$V$22:$W$27,2,FALSE),0)</f>
        <v>3</v>
      </c>
      <c r="U38" s="11">
        <f>IF($J38="N/A",0,VLOOKUP($F38,'parm(hidden)'!$B$8:$C$10,2,FALSE))*1</f>
        <v>3</v>
      </c>
      <c r="V38" s="10"/>
      <c r="W38" s="10"/>
      <c r="Y38" s="10"/>
    </row>
    <row r="39" spans="1:25" ht="12" customHeight="1">
      <c r="A39" s="170" t="str">
        <f>ChkList!A23</f>
        <v>서비스 관리</v>
      </c>
      <c r="B39" s="172" t="str">
        <f>ChkList!B23</f>
        <v>W-19</v>
      </c>
      <c r="C39" s="300" t="str">
        <f>ChkList!C23</f>
        <v>불필요한 IIS 서비스 구동 점검</v>
      </c>
      <c r="D39" s="301"/>
      <c r="E39" s="302"/>
      <c r="F39" s="170" t="str">
        <f>ChkList!D23</f>
        <v>H</v>
      </c>
      <c r="G39" s="170">
        <f>ChkList!E23</f>
        <v>3</v>
      </c>
      <c r="H39" s="154" t="s">
        <v>100</v>
      </c>
      <c r="I39" s="152" t="s">
        <v>61</v>
      </c>
      <c r="J39" s="29" t="s">
        <v>88</v>
      </c>
      <c r="K39" s="29" t="str">
        <f t="shared" si="3"/>
        <v>조치</v>
      </c>
      <c r="L39" s="300"/>
      <c r="M39" s="301"/>
      <c r="N39" s="301"/>
      <c r="O39" s="301"/>
      <c r="P39" s="302"/>
      <c r="Q39" s="21"/>
      <c r="R39" s="32">
        <f>IF($H39="N/A",0,VLOOKUP($F39,'parm(hidden)'!$B$8:$C$10,2,FALSE))*1</f>
        <v>3</v>
      </c>
      <c r="S39" s="32">
        <f>IFERROR(VLOOKUP($F39,'parm(hidden)'!$B$8:$C$10,2,FALSE)*VLOOKUP(#REF!,'parm(hidden)'!$B$15:$C$19,2,FALSE),0)</f>
        <v>0</v>
      </c>
      <c r="T39" s="32">
        <f>IFERROR(VLOOKUP($F39,'parm(hidden)'!$B$8:$C$10,2,FALSE)*VLOOKUP($K39,$V$22:$W$27,2,FALSE),0)</f>
        <v>3</v>
      </c>
      <c r="U39" s="11">
        <f>IF($J39="N/A",0,VLOOKUP($F39,'parm(hidden)'!$B$8:$C$10,2,FALSE))*1</f>
        <v>3</v>
      </c>
      <c r="V39" s="10"/>
      <c r="W39" s="10"/>
      <c r="Y39" s="10"/>
    </row>
    <row r="40" spans="1:25" ht="12" customHeight="1">
      <c r="A40" s="170" t="str">
        <f>ChkList!A24</f>
        <v>서비스 관리</v>
      </c>
      <c r="B40" s="172" t="str">
        <f>ChkList!B24</f>
        <v>W-20</v>
      </c>
      <c r="C40" s="300" t="str">
        <f>ChkList!C24</f>
        <v>NetBIOS 바인딩 서비스 구동 점검</v>
      </c>
      <c r="D40" s="301"/>
      <c r="E40" s="302"/>
      <c r="F40" s="170" t="str">
        <f>ChkList!D24</f>
        <v>H</v>
      </c>
      <c r="G40" s="170">
        <f>ChkList!E24</f>
        <v>3</v>
      </c>
      <c r="H40" s="154" t="s">
        <v>100</v>
      </c>
      <c r="I40" s="152" t="s">
        <v>159</v>
      </c>
      <c r="J40" s="29" t="s">
        <v>88</v>
      </c>
      <c r="K40" s="29" t="str">
        <f t="shared" si="3"/>
        <v>조치</v>
      </c>
      <c r="L40" s="300"/>
      <c r="M40" s="301"/>
      <c r="N40" s="301"/>
      <c r="O40" s="301"/>
      <c r="P40" s="302"/>
      <c r="Q40" s="21"/>
      <c r="R40" s="32">
        <f>IF($H40="N/A",0,VLOOKUP($F40,'parm(hidden)'!$B$8:$C$10,2,FALSE))*1</f>
        <v>3</v>
      </c>
      <c r="S40" s="32">
        <f>IFERROR(VLOOKUP($F40,'parm(hidden)'!$B$8:$C$10,2,FALSE)*VLOOKUP(#REF!,'parm(hidden)'!$B$15:$C$19,2,FALSE),0)</f>
        <v>0</v>
      </c>
      <c r="T40" s="32">
        <f>IFERROR(VLOOKUP($F40,'parm(hidden)'!$B$8:$C$10,2,FALSE)*VLOOKUP($K40,$V$22:$W$27,2,FALSE),0)</f>
        <v>3</v>
      </c>
      <c r="U40" s="11">
        <f>IF($J40="N/A",0,VLOOKUP($F40,'parm(hidden)'!$B$8:$C$10,2,FALSE))*1</f>
        <v>3</v>
      </c>
      <c r="V40" s="10"/>
      <c r="W40" s="10"/>
      <c r="Y40" s="10"/>
    </row>
    <row r="41" spans="1:25" ht="12" customHeight="1">
      <c r="A41" s="170" t="str">
        <f>ChkList!A25</f>
        <v>서비스 관리</v>
      </c>
      <c r="B41" s="172" t="str">
        <f>ChkList!B25</f>
        <v>W-21</v>
      </c>
      <c r="C41" s="300" t="str">
        <f>ChkList!C25</f>
        <v>암호화되지 않는 FTP 서비스 비활성화</v>
      </c>
      <c r="D41" s="301"/>
      <c r="E41" s="302"/>
      <c r="F41" s="170" t="str">
        <f>ChkList!D25</f>
        <v>H</v>
      </c>
      <c r="G41" s="170">
        <f>ChkList!E25</f>
        <v>3</v>
      </c>
      <c r="H41" s="154" t="s">
        <v>100</v>
      </c>
      <c r="I41" s="152" t="s">
        <v>162</v>
      </c>
      <c r="J41" s="29" t="s">
        <v>78</v>
      </c>
      <c r="K41" s="29" t="str">
        <f t="shared" si="3"/>
        <v>N/A</v>
      </c>
      <c r="L41" s="300"/>
      <c r="M41" s="301"/>
      <c r="N41" s="301"/>
      <c r="O41" s="301"/>
      <c r="P41" s="302"/>
      <c r="Q41" s="21"/>
      <c r="R41" s="32">
        <f>IF($H41="N/A",0,VLOOKUP($F41,'parm(hidden)'!$B$8:$C$10,2,FALSE))*1</f>
        <v>3</v>
      </c>
      <c r="S41" s="32">
        <f>IFERROR(VLOOKUP($F41,'parm(hidden)'!$B$8:$C$10,2,FALSE)*VLOOKUP(#REF!,'parm(hidden)'!$B$15:$C$19,2,FALSE),0)</f>
        <v>0</v>
      </c>
      <c r="T41" s="32">
        <f>IFERROR(VLOOKUP($F41,'parm(hidden)'!$B$8:$C$10,2,FALSE)*VLOOKUP($K41,$V$22:$W$27,2,FALSE),0)</f>
        <v>0</v>
      </c>
      <c r="U41" s="11">
        <f>IF($J41="N/A",0,VLOOKUP($F41,'parm(hidden)'!$B$8:$C$10,2,FALSE))*1</f>
        <v>0</v>
      </c>
      <c r="V41" s="10"/>
      <c r="W41" s="10"/>
      <c r="Y41" s="10"/>
    </row>
    <row r="42" spans="1:25" ht="12" customHeight="1">
      <c r="A42" s="170" t="str">
        <f>ChkList!A26</f>
        <v>서비스 관리</v>
      </c>
      <c r="B42" s="172" t="str">
        <f>ChkList!B26</f>
        <v>W-22</v>
      </c>
      <c r="C42" s="300" t="str">
        <f>ChkList!C26</f>
        <v>FTP 디렉토리 접근권한 설정</v>
      </c>
      <c r="D42" s="301"/>
      <c r="E42" s="302"/>
      <c r="F42" s="170" t="str">
        <f>ChkList!D26</f>
        <v>H</v>
      </c>
      <c r="G42" s="170">
        <f>ChkList!E26</f>
        <v>3</v>
      </c>
      <c r="H42" s="154" t="s">
        <v>100</v>
      </c>
      <c r="I42" s="153" t="s">
        <v>149</v>
      </c>
      <c r="J42" s="29" t="s">
        <v>88</v>
      </c>
      <c r="K42" s="29" t="str">
        <f t="shared" si="3"/>
        <v>조치</v>
      </c>
      <c r="L42" s="300"/>
      <c r="M42" s="301"/>
      <c r="N42" s="301"/>
      <c r="O42" s="301"/>
      <c r="P42" s="302"/>
      <c r="Q42" s="21"/>
      <c r="R42" s="32">
        <f>IF($H42="N/A",0,VLOOKUP($F42,'parm(hidden)'!$B$8:$C$10,2,FALSE))*1</f>
        <v>3</v>
      </c>
      <c r="S42" s="32">
        <f>IFERROR(VLOOKUP($F42,'parm(hidden)'!$B$8:$C$10,2,FALSE)*VLOOKUP(#REF!,'parm(hidden)'!$B$15:$C$19,2,FALSE),0)</f>
        <v>0</v>
      </c>
      <c r="T42" s="32">
        <f>IFERROR(VLOOKUP($F42,'parm(hidden)'!$B$8:$C$10,2,FALSE)*VLOOKUP($K42,$V$22:$W$27,2,FALSE),0)</f>
        <v>3</v>
      </c>
      <c r="U42" s="11">
        <f>IF($J42="N/A",0,VLOOKUP($F42,'parm(hidden)'!$B$8:$C$10,2,FALSE))*1</f>
        <v>3</v>
      </c>
      <c r="V42" s="10"/>
      <c r="W42" s="10"/>
      <c r="Y42" s="10"/>
    </row>
    <row r="43" spans="1:25" ht="12" customHeight="1">
      <c r="A43" s="170" t="str">
        <f>ChkList!A27</f>
        <v>서비스 관리</v>
      </c>
      <c r="B43" s="172" t="str">
        <f>ChkList!B27</f>
        <v>W-23</v>
      </c>
      <c r="C43" s="300" t="str">
        <f>ChkList!C27</f>
        <v>공유 서비스에 대한 익명 접근 제한 설정</v>
      </c>
      <c r="D43" s="301"/>
      <c r="E43" s="302"/>
      <c r="F43" s="170" t="str">
        <f>ChkList!D27</f>
        <v>H</v>
      </c>
      <c r="G43" s="170">
        <f>ChkList!E27</f>
        <v>3</v>
      </c>
      <c r="H43" s="154" t="s">
        <v>100</v>
      </c>
      <c r="I43" s="153" t="s">
        <v>149</v>
      </c>
      <c r="J43" s="29" t="s">
        <v>88</v>
      </c>
      <c r="K43" s="29" t="str">
        <f t="shared" si="3"/>
        <v>조치</v>
      </c>
      <c r="L43" s="300"/>
      <c r="M43" s="301"/>
      <c r="N43" s="301"/>
      <c r="O43" s="301"/>
      <c r="P43" s="302"/>
      <c r="Q43" s="21"/>
      <c r="R43" s="32">
        <f>IF($H43="N/A",0,VLOOKUP($F43,'parm(hidden)'!$B$8:$C$10,2,FALSE))*1</f>
        <v>3</v>
      </c>
      <c r="S43" s="32">
        <f>IFERROR(VLOOKUP($F43,'parm(hidden)'!$B$8:$C$10,2,FALSE)*VLOOKUP(#REF!,'parm(hidden)'!$B$15:$C$19,2,FALSE),0)</f>
        <v>0</v>
      </c>
      <c r="T43" s="32">
        <f>IFERROR(VLOOKUP($F43,'parm(hidden)'!$B$8:$C$10,2,FALSE)*VLOOKUP($K43,$V$22:$W$27,2,FALSE),0)</f>
        <v>3</v>
      </c>
      <c r="U43" s="11">
        <f>IF($J43="N/A",0,VLOOKUP($F43,'parm(hidden)'!$B$8:$C$10,2,FALSE))*1</f>
        <v>3</v>
      </c>
      <c r="V43" s="10"/>
      <c r="W43" s="10"/>
      <c r="Y43" s="10"/>
    </row>
    <row r="44" spans="1:25" ht="12" customHeight="1">
      <c r="A44" s="170" t="str">
        <f>ChkList!A28</f>
        <v>서비스 관리</v>
      </c>
      <c r="B44" s="172" t="str">
        <f>ChkList!B28</f>
        <v>W-24</v>
      </c>
      <c r="C44" s="300" t="str">
        <f>ChkList!C28</f>
        <v>FTP 접근 제어 설정</v>
      </c>
      <c r="D44" s="301"/>
      <c r="E44" s="302"/>
      <c r="F44" s="170" t="str">
        <f>ChkList!D28</f>
        <v>H</v>
      </c>
      <c r="G44" s="170">
        <f>ChkList!E28</f>
        <v>3</v>
      </c>
      <c r="H44" s="154" t="s">
        <v>100</v>
      </c>
      <c r="I44" s="153" t="s">
        <v>149</v>
      </c>
      <c r="J44" s="29" t="s">
        <v>88</v>
      </c>
      <c r="K44" s="29" t="str">
        <f t="shared" si="3"/>
        <v>조치</v>
      </c>
      <c r="L44" s="300"/>
      <c r="M44" s="301"/>
      <c r="N44" s="301"/>
      <c r="O44" s="301"/>
      <c r="P44" s="302"/>
      <c r="Q44" s="21"/>
      <c r="R44" s="32">
        <f>IF($H44="N/A",0,VLOOKUP($F44,'parm(hidden)'!$B$8:$C$10,2,FALSE))*1</f>
        <v>3</v>
      </c>
      <c r="S44" s="32">
        <f>IFERROR(VLOOKUP($F44,'parm(hidden)'!$B$8:$C$10,2,FALSE)*VLOOKUP(#REF!,'parm(hidden)'!$B$15:$C$19,2,FALSE),0)</f>
        <v>0</v>
      </c>
      <c r="T44" s="32">
        <f>IFERROR(VLOOKUP($F44,'parm(hidden)'!$B$8:$C$10,2,FALSE)*VLOOKUP($K44,$V$22:$W$27,2,FALSE),0)</f>
        <v>3</v>
      </c>
      <c r="U44" s="11">
        <f>IF($J44="N/A",0,VLOOKUP($F44,'parm(hidden)'!$B$8:$C$10,2,FALSE))*1</f>
        <v>3</v>
      </c>
      <c r="V44" s="10"/>
      <c r="W44" s="10"/>
      <c r="Y44" s="10"/>
    </row>
    <row r="45" spans="1:25" ht="12" customHeight="1">
      <c r="A45" s="170" t="str">
        <f>ChkList!A29</f>
        <v>서비스 관리</v>
      </c>
      <c r="B45" s="172" t="str">
        <f>ChkList!B29</f>
        <v>W-25</v>
      </c>
      <c r="C45" s="300" t="str">
        <f>ChkList!C29</f>
        <v>DNS Zone Transfer 설정</v>
      </c>
      <c r="D45" s="301"/>
      <c r="E45" s="302"/>
      <c r="F45" s="170" t="str">
        <f>ChkList!D29</f>
        <v>H</v>
      </c>
      <c r="G45" s="170">
        <f>ChkList!E29</f>
        <v>3</v>
      </c>
      <c r="H45" s="154" t="s">
        <v>100</v>
      </c>
      <c r="I45" s="153" t="s">
        <v>149</v>
      </c>
      <c r="J45" s="29" t="s">
        <v>88</v>
      </c>
      <c r="K45" s="29" t="str">
        <f t="shared" si="3"/>
        <v>조치</v>
      </c>
      <c r="L45" s="300"/>
      <c r="M45" s="301"/>
      <c r="N45" s="301"/>
      <c r="O45" s="301"/>
      <c r="P45" s="302"/>
      <c r="Q45" s="21"/>
      <c r="R45" s="32">
        <f>IF($H45="N/A",0,VLOOKUP($F45,'parm(hidden)'!$B$8:$C$10,2,FALSE))*1</f>
        <v>3</v>
      </c>
      <c r="S45" s="32">
        <f>IFERROR(VLOOKUP($F45,'parm(hidden)'!$B$8:$C$10,2,FALSE)*VLOOKUP(#REF!,'parm(hidden)'!$B$15:$C$19,2,FALSE),0)</f>
        <v>0</v>
      </c>
      <c r="T45" s="32">
        <f>IFERROR(VLOOKUP($F45,'parm(hidden)'!$B$8:$C$10,2,FALSE)*VLOOKUP($K45,$V$22:$W$27,2,FALSE),0)</f>
        <v>3</v>
      </c>
      <c r="U45" s="11">
        <f>IF($J45="N/A",0,VLOOKUP($F45,'parm(hidden)'!$B$8:$C$10,2,FALSE))*1</f>
        <v>3</v>
      </c>
      <c r="V45" s="10"/>
      <c r="W45" s="10"/>
      <c r="Y45" s="10"/>
    </row>
    <row r="46" spans="1:25" ht="12" customHeight="1">
      <c r="A46" s="170" t="str">
        <f>ChkList!A30</f>
        <v>서비스 관리</v>
      </c>
      <c r="B46" s="172" t="str">
        <f>ChkList!B30</f>
        <v>W-26</v>
      </c>
      <c r="C46" s="300" t="str">
        <f>ChkList!C30</f>
        <v>RDS(Remote Data Services)제거</v>
      </c>
      <c r="D46" s="301"/>
      <c r="E46" s="302"/>
      <c r="F46" s="170" t="str">
        <f>ChkList!D30</f>
        <v>H</v>
      </c>
      <c r="G46" s="170">
        <f>ChkList!E30</f>
        <v>3</v>
      </c>
      <c r="H46" s="154" t="s">
        <v>100</v>
      </c>
      <c r="I46" s="153" t="s">
        <v>149</v>
      </c>
      <c r="J46" s="29" t="s">
        <v>88</v>
      </c>
      <c r="K46" s="29" t="str">
        <f t="shared" si="3"/>
        <v>조치</v>
      </c>
      <c r="L46" s="300"/>
      <c r="M46" s="301"/>
      <c r="N46" s="301"/>
      <c r="O46" s="301"/>
      <c r="P46" s="302"/>
      <c r="Q46" s="21"/>
      <c r="R46" s="32">
        <f>IF($H46="N/A",0,VLOOKUP($F46,'parm(hidden)'!$B$8:$C$10,2,FALSE))*1</f>
        <v>3</v>
      </c>
      <c r="S46" s="32">
        <f>IFERROR(VLOOKUP($F46,'parm(hidden)'!$B$8:$C$10,2,FALSE)*VLOOKUP(#REF!,'parm(hidden)'!$B$15:$C$19,2,FALSE),0)</f>
        <v>0</v>
      </c>
      <c r="T46" s="32">
        <f>IFERROR(VLOOKUP($F46,'parm(hidden)'!$B$8:$C$10,2,FALSE)*VLOOKUP($K46,$V$22:$W$27,2,FALSE),0)</f>
        <v>3</v>
      </c>
      <c r="U46" s="11">
        <f>IF($J46="N/A",0,VLOOKUP($F46,'parm(hidden)'!$B$8:$C$10,2,FALSE))*1</f>
        <v>3</v>
      </c>
      <c r="V46" s="10"/>
      <c r="W46" s="10"/>
      <c r="Y46" s="10"/>
    </row>
    <row r="47" spans="1:25" ht="12" customHeight="1">
      <c r="A47" s="170" t="str">
        <f>ChkList!A31</f>
        <v>서비스 관리</v>
      </c>
      <c r="B47" s="172" t="str">
        <f>ChkList!B31</f>
        <v>W-27</v>
      </c>
      <c r="C47" s="300" t="str">
        <f>ChkList!C31</f>
        <v>최신 Windows OS Build 버전 적용</v>
      </c>
      <c r="D47" s="301"/>
      <c r="E47" s="302"/>
      <c r="F47" s="170" t="str">
        <f>ChkList!D31</f>
        <v>H</v>
      </c>
      <c r="G47" s="170">
        <f>ChkList!E31</f>
        <v>3</v>
      </c>
      <c r="H47" s="154" t="s">
        <v>100</v>
      </c>
      <c r="I47" s="153" t="s">
        <v>149</v>
      </c>
      <c r="J47" s="29" t="s">
        <v>88</v>
      </c>
      <c r="K47" s="29" t="str">
        <f t="shared" si="3"/>
        <v>조치</v>
      </c>
      <c r="L47" s="300"/>
      <c r="M47" s="301"/>
      <c r="N47" s="301"/>
      <c r="O47" s="301"/>
      <c r="P47" s="302"/>
      <c r="Q47" s="21"/>
      <c r="R47" s="32">
        <f>IF($H47="N/A",0,VLOOKUP($F47,'parm(hidden)'!$B$8:$C$10,2,FALSE))*1</f>
        <v>3</v>
      </c>
      <c r="S47" s="32">
        <f>IFERROR(VLOOKUP($F47,'parm(hidden)'!$B$8:$C$10,2,FALSE)*VLOOKUP(#REF!,'parm(hidden)'!$B$15:$C$19,2,FALSE),0)</f>
        <v>0</v>
      </c>
      <c r="T47" s="32">
        <f>IFERROR(VLOOKUP($F47,'parm(hidden)'!$B$8:$C$10,2,FALSE)*VLOOKUP($K47,$V$22:$W$27,2,FALSE),0)</f>
        <v>3</v>
      </c>
      <c r="U47" s="11">
        <f>IF($J47="N/A",0,VLOOKUP($F47,'parm(hidden)'!$B$8:$C$10,2,FALSE))*1</f>
        <v>3</v>
      </c>
      <c r="V47" s="10"/>
      <c r="W47" s="10"/>
      <c r="Y47" s="10"/>
    </row>
    <row r="48" spans="1:25" ht="12" customHeight="1">
      <c r="A48" s="170" t="str">
        <f>ChkList!A32</f>
        <v>서비스 관리</v>
      </c>
      <c r="B48" s="172" t="str">
        <f>ChkList!B32</f>
        <v>W-28</v>
      </c>
      <c r="C48" s="300" t="str">
        <f>ChkList!C32</f>
        <v>터미널 서비스 암호화 수준 설정</v>
      </c>
      <c r="D48" s="301"/>
      <c r="E48" s="302"/>
      <c r="F48" s="170" t="str">
        <f>ChkList!D32</f>
        <v>M</v>
      </c>
      <c r="G48" s="170">
        <f>ChkList!E32</f>
        <v>2</v>
      </c>
      <c r="H48" s="154" t="s">
        <v>100</v>
      </c>
      <c r="I48" s="153" t="s">
        <v>149</v>
      </c>
      <c r="J48" s="29" t="s">
        <v>88</v>
      </c>
      <c r="K48" s="29" t="str">
        <f t="shared" si="3"/>
        <v>조치</v>
      </c>
      <c r="L48" s="300"/>
      <c r="M48" s="301"/>
      <c r="N48" s="301"/>
      <c r="O48" s="301"/>
      <c r="P48" s="302"/>
      <c r="Q48" s="21"/>
      <c r="R48" s="32">
        <f>IF($H48="N/A",0,VLOOKUP($F48,'parm(hidden)'!$B$8:$C$10,2,FALSE))*1</f>
        <v>2</v>
      </c>
      <c r="S48" s="32">
        <f>IFERROR(VLOOKUP($F48,'parm(hidden)'!$B$8:$C$10,2,FALSE)*VLOOKUP(#REF!,'parm(hidden)'!$B$15:$C$19,2,FALSE),0)</f>
        <v>0</v>
      </c>
      <c r="T48" s="32">
        <f>IFERROR(VLOOKUP($F48,'parm(hidden)'!$B$8:$C$10,2,FALSE)*VLOOKUP($K48,$V$22:$W$27,2,FALSE),0)</f>
        <v>2</v>
      </c>
      <c r="U48" s="11">
        <f>IF($J48="N/A",0,VLOOKUP($F48,'parm(hidden)'!$B$8:$C$10,2,FALSE))*1</f>
        <v>2</v>
      </c>
      <c r="V48" s="10"/>
      <c r="W48" s="10"/>
      <c r="Y48" s="10"/>
    </row>
    <row r="49" spans="1:25" ht="12" customHeight="1">
      <c r="A49" s="170" t="str">
        <f>ChkList!A33</f>
        <v>서비스 관리</v>
      </c>
      <c r="B49" s="172" t="str">
        <f>ChkList!B33</f>
        <v>W-29</v>
      </c>
      <c r="C49" s="300" t="str">
        <f>ChkList!C33</f>
        <v>불필요한 SNMP 서비스 구동 점검</v>
      </c>
      <c r="D49" s="301"/>
      <c r="E49" s="302"/>
      <c r="F49" s="170" t="str">
        <f>ChkList!D33</f>
        <v>M</v>
      </c>
      <c r="G49" s="170">
        <f>ChkList!E33</f>
        <v>2</v>
      </c>
      <c r="H49" s="154" t="s">
        <v>100</v>
      </c>
      <c r="I49" s="153" t="s">
        <v>149</v>
      </c>
      <c r="J49" s="29" t="s">
        <v>88</v>
      </c>
      <c r="K49" s="29" t="str">
        <f t="shared" si="3"/>
        <v>조치</v>
      </c>
      <c r="L49" s="300"/>
      <c r="M49" s="301"/>
      <c r="N49" s="301"/>
      <c r="O49" s="301"/>
      <c r="P49" s="302"/>
      <c r="Q49" s="21"/>
      <c r="R49" s="32">
        <f>IF($H49="N/A",0,VLOOKUP($F49,'parm(hidden)'!$B$8:$C$10,2,FALSE))*1</f>
        <v>2</v>
      </c>
      <c r="S49" s="32">
        <f>IFERROR(VLOOKUP($F49,'parm(hidden)'!$B$8:$C$10,2,FALSE)*VLOOKUP(#REF!,'parm(hidden)'!$B$15:$C$19,2,FALSE),0)</f>
        <v>0</v>
      </c>
      <c r="T49" s="32">
        <f>IFERROR(VLOOKUP($F49,'parm(hidden)'!$B$8:$C$10,2,FALSE)*VLOOKUP($K49,$V$22:$W$27,2,FALSE),0)</f>
        <v>2</v>
      </c>
      <c r="U49" s="11">
        <f>IF($J49="N/A",0,VLOOKUP($F49,'parm(hidden)'!$B$8:$C$10,2,FALSE))*1</f>
        <v>2</v>
      </c>
      <c r="V49" s="10"/>
      <c r="W49" s="10"/>
      <c r="Y49" s="10"/>
    </row>
    <row r="50" spans="1:25" ht="12" customHeight="1">
      <c r="A50" s="170" t="str">
        <f>ChkList!A34</f>
        <v>서비스 관리</v>
      </c>
      <c r="B50" s="172" t="str">
        <f>ChkList!B34</f>
        <v>W-30</v>
      </c>
      <c r="C50" s="300" t="str">
        <f>ChkList!C34</f>
        <v>SNMP Community String 복잡성 설정</v>
      </c>
      <c r="D50" s="301"/>
      <c r="E50" s="302"/>
      <c r="F50" s="170" t="str">
        <f>ChkList!D34</f>
        <v>M</v>
      </c>
      <c r="G50" s="170">
        <f>ChkList!E34</f>
        <v>2</v>
      </c>
      <c r="H50" s="154" t="s">
        <v>100</v>
      </c>
      <c r="I50" s="153" t="s">
        <v>149</v>
      </c>
      <c r="J50" s="29" t="s">
        <v>88</v>
      </c>
      <c r="K50" s="29" t="str">
        <f t="shared" si="3"/>
        <v>조치</v>
      </c>
      <c r="L50" s="300"/>
      <c r="M50" s="301"/>
      <c r="N50" s="301"/>
      <c r="O50" s="301"/>
      <c r="P50" s="302"/>
      <c r="Q50" s="21"/>
      <c r="R50" s="32">
        <f>IF($H50="N/A",0,VLOOKUP($F50,'parm(hidden)'!$B$8:$C$10,2,FALSE))*1</f>
        <v>2</v>
      </c>
      <c r="S50" s="32">
        <f>IFERROR(VLOOKUP($F50,'parm(hidden)'!$B$8:$C$10,2,FALSE)*VLOOKUP(#REF!,'parm(hidden)'!$B$15:$C$19,2,FALSE),0)</f>
        <v>0</v>
      </c>
      <c r="T50" s="32">
        <f>IFERROR(VLOOKUP($F50,'parm(hidden)'!$B$8:$C$10,2,FALSE)*VLOOKUP($K50,$V$22:$W$27,2,FALSE),0)</f>
        <v>2</v>
      </c>
      <c r="U50" s="11">
        <f>IF($J50="N/A",0,VLOOKUP($F50,'parm(hidden)'!$B$8:$C$10,2,FALSE))*1</f>
        <v>2</v>
      </c>
      <c r="V50" s="10"/>
      <c r="W50" s="10"/>
      <c r="Y50" s="10"/>
    </row>
    <row r="51" spans="1:25" ht="12" customHeight="1">
      <c r="A51" s="170" t="str">
        <f>ChkList!A35</f>
        <v>서비스 관리</v>
      </c>
      <c r="B51" s="172" t="str">
        <f>ChkList!B35</f>
        <v>W-31</v>
      </c>
      <c r="C51" s="300" t="str">
        <f>ChkList!C35</f>
        <v>SNMP Access Control 설정</v>
      </c>
      <c r="D51" s="301"/>
      <c r="E51" s="302"/>
      <c r="F51" s="170" t="str">
        <f>ChkList!D35</f>
        <v>M</v>
      </c>
      <c r="G51" s="170">
        <f>ChkList!E35</f>
        <v>2</v>
      </c>
      <c r="H51" s="154" t="s">
        <v>100</v>
      </c>
      <c r="I51" s="153" t="s">
        <v>149</v>
      </c>
      <c r="J51" s="29" t="s">
        <v>88</v>
      </c>
      <c r="K51" s="29" t="str">
        <f t="shared" si="3"/>
        <v>조치</v>
      </c>
      <c r="L51" s="300"/>
      <c r="M51" s="301"/>
      <c r="N51" s="301"/>
      <c r="O51" s="301"/>
      <c r="P51" s="302"/>
      <c r="Q51" s="21"/>
      <c r="R51" s="32">
        <f>IF($H51="N/A",0,VLOOKUP($F51,'parm(hidden)'!$B$8:$C$10,2,FALSE))*1</f>
        <v>2</v>
      </c>
      <c r="S51" s="32">
        <f>IFERROR(VLOOKUP($F51,'parm(hidden)'!$B$8:$C$10,2,FALSE)*VLOOKUP(#REF!,'parm(hidden)'!$B$15:$C$19,2,FALSE),0)</f>
        <v>0</v>
      </c>
      <c r="T51" s="32">
        <f>IFERROR(VLOOKUP($F51,'parm(hidden)'!$B$8:$C$10,2,FALSE)*VLOOKUP($K51,$V$22:$W$27,2,FALSE),0)</f>
        <v>2</v>
      </c>
      <c r="U51" s="11">
        <f>IF($J51="N/A",0,VLOOKUP($F51,'parm(hidden)'!$B$8:$C$10,2,FALSE))*1</f>
        <v>2</v>
      </c>
      <c r="V51" s="10"/>
      <c r="W51" s="10"/>
      <c r="Y51" s="10"/>
    </row>
    <row r="52" spans="1:25" ht="12" customHeight="1">
      <c r="A52" s="170" t="str">
        <f>ChkList!A36</f>
        <v>서비스 관리</v>
      </c>
      <c r="B52" s="172" t="str">
        <f>ChkList!B36</f>
        <v>W-32</v>
      </c>
      <c r="C52" s="300" t="str">
        <f>ChkList!C36</f>
        <v>DNS 서비스 구동 점검</v>
      </c>
      <c r="D52" s="301"/>
      <c r="E52" s="302"/>
      <c r="F52" s="170" t="str">
        <f>ChkList!D36</f>
        <v>M</v>
      </c>
      <c r="G52" s="170">
        <f>ChkList!E36</f>
        <v>2</v>
      </c>
      <c r="H52" s="154" t="s">
        <v>100</v>
      </c>
      <c r="I52" s="153" t="s">
        <v>149</v>
      </c>
      <c r="J52" s="29" t="s">
        <v>88</v>
      </c>
      <c r="K52" s="29" t="str">
        <f t="shared" si="3"/>
        <v>조치</v>
      </c>
      <c r="L52" s="300"/>
      <c r="M52" s="301"/>
      <c r="N52" s="301"/>
      <c r="O52" s="301"/>
      <c r="P52" s="302"/>
      <c r="Q52" s="21"/>
      <c r="R52" s="32">
        <f>IF($H52="N/A",0,VLOOKUP($F52,'parm(hidden)'!$B$8:$C$10,2,FALSE))*1</f>
        <v>2</v>
      </c>
      <c r="S52" s="32">
        <f>IFERROR(VLOOKUP($F52,'parm(hidden)'!$B$8:$C$10,2,FALSE)*VLOOKUP(#REF!,'parm(hidden)'!$B$15:$C$19,2,FALSE),0)</f>
        <v>0</v>
      </c>
      <c r="T52" s="32">
        <f>IFERROR(VLOOKUP($F52,'parm(hidden)'!$B$8:$C$10,2,FALSE)*VLOOKUP($K52,$V$22:$W$27,2,FALSE),0)</f>
        <v>2</v>
      </c>
      <c r="U52" s="11">
        <f>IF($J52="N/A",0,VLOOKUP($F52,'parm(hidden)'!$B$8:$C$10,2,FALSE))*1</f>
        <v>2</v>
      </c>
      <c r="V52" s="10"/>
      <c r="W52" s="10"/>
      <c r="Y52" s="10"/>
    </row>
    <row r="53" spans="1:25" ht="12" customHeight="1">
      <c r="A53" s="170" t="str">
        <f>ChkList!A37</f>
        <v>서비스 관리</v>
      </c>
      <c r="B53" s="172" t="str">
        <f>ChkList!B37</f>
        <v>W-33</v>
      </c>
      <c r="C53" s="300" t="str">
        <f>ChkList!C37</f>
        <v>HTTP/FTP/SMTP 배너 차단</v>
      </c>
      <c r="D53" s="301"/>
      <c r="E53" s="302"/>
      <c r="F53" s="170" t="str">
        <f>ChkList!D37</f>
        <v>L</v>
      </c>
      <c r="G53" s="170">
        <f>ChkList!E37</f>
        <v>1</v>
      </c>
      <c r="H53" s="154" t="s">
        <v>100</v>
      </c>
      <c r="I53" s="153" t="s">
        <v>149</v>
      </c>
      <c r="J53" s="29" t="s">
        <v>88</v>
      </c>
      <c r="K53" s="29" t="str">
        <f t="shared" si="3"/>
        <v>조치</v>
      </c>
      <c r="L53" s="300"/>
      <c r="M53" s="301"/>
      <c r="N53" s="301"/>
      <c r="O53" s="301"/>
      <c r="P53" s="302"/>
      <c r="Q53" s="21"/>
      <c r="R53" s="32">
        <f>IF($H53="N/A",0,VLOOKUP($F53,'parm(hidden)'!$B$8:$C$10,2,FALSE))*1</f>
        <v>1</v>
      </c>
      <c r="S53" s="32">
        <f>IFERROR(VLOOKUP($F53,'parm(hidden)'!$B$8:$C$10,2,FALSE)*VLOOKUP(#REF!,'parm(hidden)'!$B$15:$C$19,2,FALSE),0)</f>
        <v>0</v>
      </c>
      <c r="T53" s="32">
        <f>IFERROR(VLOOKUP($F53,'parm(hidden)'!$B$8:$C$10,2,FALSE)*VLOOKUP($K53,$V$22:$W$27,2,FALSE),0)</f>
        <v>1</v>
      </c>
      <c r="U53" s="11">
        <f>IF($J53="N/A",0,VLOOKUP($F53,'parm(hidden)'!$B$8:$C$10,2,FALSE))*1</f>
        <v>1</v>
      </c>
      <c r="V53" s="10"/>
      <c r="W53" s="10"/>
      <c r="Y53" s="10"/>
    </row>
    <row r="54" spans="1:25" ht="12" customHeight="1">
      <c r="A54" s="170" t="str">
        <f>ChkList!A38</f>
        <v>서비스 관리</v>
      </c>
      <c r="B54" s="172" t="str">
        <f>ChkList!B38</f>
        <v>W-34</v>
      </c>
      <c r="C54" s="300" t="str">
        <f>ChkList!C38</f>
        <v>Telnet 서비스 비활성화</v>
      </c>
      <c r="D54" s="301"/>
      <c r="E54" s="302"/>
      <c r="F54" s="170" t="str">
        <f>ChkList!D38</f>
        <v>M</v>
      </c>
      <c r="G54" s="170">
        <f>ChkList!E38</f>
        <v>2</v>
      </c>
      <c r="H54" s="154" t="s">
        <v>100</v>
      </c>
      <c r="I54" s="153" t="s">
        <v>149</v>
      </c>
      <c r="J54" s="29" t="s">
        <v>88</v>
      </c>
      <c r="K54" s="29" t="str">
        <f t="shared" si="3"/>
        <v>조치</v>
      </c>
      <c r="L54" s="300"/>
      <c r="M54" s="301"/>
      <c r="N54" s="301"/>
      <c r="O54" s="301"/>
      <c r="P54" s="302"/>
      <c r="Q54" s="21"/>
      <c r="R54" s="32">
        <f>IF($H54="N/A",0,VLOOKUP($F54,'parm(hidden)'!$B$8:$C$10,2,FALSE))*1</f>
        <v>2</v>
      </c>
      <c r="S54" s="32">
        <f>IFERROR(VLOOKUP($F54,'parm(hidden)'!$B$8:$C$10,2,FALSE)*VLOOKUP(#REF!,'parm(hidden)'!$B$15:$C$19,2,FALSE),0)</f>
        <v>0</v>
      </c>
      <c r="T54" s="32">
        <f>IFERROR(VLOOKUP($F54,'parm(hidden)'!$B$8:$C$10,2,FALSE)*VLOOKUP($K54,$V$22:$W$27,2,FALSE),0)</f>
        <v>2</v>
      </c>
      <c r="U54" s="11">
        <f>IF($J54="N/A",0,VLOOKUP($F54,'parm(hidden)'!$B$8:$C$10,2,FALSE))*1</f>
        <v>2</v>
      </c>
      <c r="V54" s="10"/>
      <c r="W54" s="10"/>
      <c r="Y54" s="10"/>
    </row>
    <row r="55" spans="1:25" ht="12" customHeight="1">
      <c r="A55" s="170" t="str">
        <f>ChkList!A39</f>
        <v>서비스 관리</v>
      </c>
      <c r="B55" s="172" t="str">
        <f>ChkList!B39</f>
        <v>W-35</v>
      </c>
      <c r="C55" s="300" t="str">
        <f>ChkList!C39</f>
        <v>불필요한 ODBC/OLE-DB 데이터 소스와 드라이브 제거</v>
      </c>
      <c r="D55" s="301"/>
      <c r="E55" s="302"/>
      <c r="F55" s="170" t="str">
        <f>ChkList!D39</f>
        <v>M</v>
      </c>
      <c r="G55" s="170">
        <f>ChkList!E39</f>
        <v>2</v>
      </c>
      <c r="H55" s="154" t="s">
        <v>100</v>
      </c>
      <c r="I55" s="153" t="s">
        <v>149</v>
      </c>
      <c r="J55" s="29" t="s">
        <v>88</v>
      </c>
      <c r="K55" s="29" t="str">
        <f t="shared" si="3"/>
        <v>조치</v>
      </c>
      <c r="L55" s="300"/>
      <c r="M55" s="301"/>
      <c r="N55" s="301"/>
      <c r="O55" s="301"/>
      <c r="P55" s="302"/>
      <c r="Q55" s="21"/>
      <c r="R55" s="32">
        <f>IF($H55="N/A",0,VLOOKUP($F55,'parm(hidden)'!$B$8:$C$10,2,FALSE))*1</f>
        <v>2</v>
      </c>
      <c r="S55" s="32">
        <f>IFERROR(VLOOKUP($F55,'parm(hidden)'!$B$8:$C$10,2,FALSE)*VLOOKUP(#REF!,'parm(hidden)'!$B$15:$C$19,2,FALSE),0)</f>
        <v>0</v>
      </c>
      <c r="T55" s="32">
        <f>IFERROR(VLOOKUP($F55,'parm(hidden)'!$B$8:$C$10,2,FALSE)*VLOOKUP($K55,$V$22:$W$27,2,FALSE),0)</f>
        <v>2</v>
      </c>
      <c r="U55" s="11">
        <f>IF($J55="N/A",0,VLOOKUP($F55,'parm(hidden)'!$B$8:$C$10,2,FALSE))*1</f>
        <v>2</v>
      </c>
      <c r="V55" s="10"/>
      <c r="W55" s="10"/>
      <c r="Y55" s="10"/>
    </row>
    <row r="56" spans="1:25" ht="12" customHeight="1">
      <c r="A56" s="170" t="str">
        <f>ChkList!A40</f>
        <v>서비스 관리</v>
      </c>
      <c r="B56" s="172" t="str">
        <f>ChkList!B40</f>
        <v>W-36</v>
      </c>
      <c r="C56" s="300" t="str">
        <f>ChkList!C40</f>
        <v>원격터미널 접속 타임아웃 설정</v>
      </c>
      <c r="D56" s="301"/>
      <c r="E56" s="302"/>
      <c r="F56" s="170" t="str">
        <f>ChkList!D40</f>
        <v>M</v>
      </c>
      <c r="G56" s="170">
        <f>ChkList!E40</f>
        <v>2</v>
      </c>
      <c r="H56" s="154" t="s">
        <v>100</v>
      </c>
      <c r="I56" s="152" t="s">
        <v>155</v>
      </c>
      <c r="J56" s="29" t="s">
        <v>88</v>
      </c>
      <c r="K56" s="29" t="str">
        <f t="shared" si="3"/>
        <v>조치</v>
      </c>
      <c r="L56" s="300"/>
      <c r="M56" s="301"/>
      <c r="N56" s="301"/>
      <c r="O56" s="301"/>
      <c r="P56" s="302"/>
      <c r="Q56" s="21"/>
      <c r="R56" s="32">
        <f>IF($H56="N/A",0,VLOOKUP($F56,'parm(hidden)'!$B$8:$C$10,2,FALSE))*1</f>
        <v>2</v>
      </c>
      <c r="S56" s="32">
        <f>IFERROR(VLOOKUP($F56,'parm(hidden)'!$B$8:$C$10,2,FALSE)*VLOOKUP(#REF!,'parm(hidden)'!$B$15:$C$19,2,FALSE),0)</f>
        <v>0</v>
      </c>
      <c r="T56" s="32">
        <f>IFERROR(VLOOKUP($F56,'parm(hidden)'!$B$8:$C$10,2,FALSE)*VLOOKUP($K56,$V$22:$W$27,2,FALSE),0)</f>
        <v>2</v>
      </c>
      <c r="U56" s="11">
        <f>IF($J56="N/A",0,VLOOKUP($F56,'parm(hidden)'!$B$8:$C$10,2,FALSE))*1</f>
        <v>2</v>
      </c>
      <c r="V56" s="10"/>
      <c r="W56" s="10"/>
      <c r="Y56" s="10"/>
    </row>
    <row r="57" spans="1:25" ht="12" customHeight="1">
      <c r="A57" s="170" t="str">
        <f>ChkList!A41</f>
        <v>서비스 관리</v>
      </c>
      <c r="B57" s="172" t="str">
        <f>ChkList!B41</f>
        <v>W-37</v>
      </c>
      <c r="C57" s="300" t="str">
        <f>ChkList!C41</f>
        <v>예약된 작업에 의심스러운 명령이 등록되어 있는지 점검</v>
      </c>
      <c r="D57" s="301"/>
      <c r="E57" s="302"/>
      <c r="F57" s="170" t="str">
        <f>ChkList!D41</f>
        <v>M</v>
      </c>
      <c r="G57" s="170">
        <f>ChkList!E41</f>
        <v>2</v>
      </c>
      <c r="H57" s="154" t="s">
        <v>100</v>
      </c>
      <c r="I57" s="153" t="s">
        <v>149</v>
      </c>
      <c r="J57" s="29" t="s">
        <v>88</v>
      </c>
      <c r="K57" s="29" t="str">
        <f t="shared" si="3"/>
        <v>조치</v>
      </c>
      <c r="L57" s="300"/>
      <c r="M57" s="301"/>
      <c r="N57" s="301"/>
      <c r="O57" s="301"/>
      <c r="P57" s="302"/>
      <c r="Q57" s="21"/>
      <c r="R57" s="32">
        <f>IF($H57="N/A",0,VLOOKUP($F57,'parm(hidden)'!$B$8:$C$10,2,FALSE))*1</f>
        <v>2</v>
      </c>
      <c r="S57" s="32">
        <f>IFERROR(VLOOKUP($F57,'parm(hidden)'!$B$8:$C$10,2,FALSE)*VLOOKUP(#REF!,'parm(hidden)'!$B$15:$C$19,2,FALSE),0)</f>
        <v>0</v>
      </c>
      <c r="T57" s="32">
        <f>IFERROR(VLOOKUP($F57,'parm(hidden)'!$B$8:$C$10,2,FALSE)*VLOOKUP($K57,$V$22:$W$27,2,FALSE),0)</f>
        <v>2</v>
      </c>
      <c r="U57" s="11">
        <f>IF($J57="N/A",0,VLOOKUP($F57,'parm(hidden)'!$B$8:$C$10,2,FALSE))*1</f>
        <v>2</v>
      </c>
      <c r="V57" s="10"/>
      <c r="W57" s="10"/>
      <c r="Y57" s="10"/>
    </row>
    <row r="58" spans="1:25" ht="12" customHeight="1">
      <c r="A58" s="170" t="str">
        <f>ChkList!A42</f>
        <v>패치 관리</v>
      </c>
      <c r="B58" s="172" t="str">
        <f>ChkList!B42</f>
        <v>W-38</v>
      </c>
      <c r="C58" s="300" t="str">
        <f>ChkList!C42</f>
        <v>주기적 보안 패치 및 벤더 권고사항 적용</v>
      </c>
      <c r="D58" s="301"/>
      <c r="E58" s="302"/>
      <c r="F58" s="170" t="str">
        <f>ChkList!D42</f>
        <v>H</v>
      </c>
      <c r="G58" s="170">
        <f>ChkList!E42</f>
        <v>3</v>
      </c>
      <c r="H58" s="154" t="s">
        <v>100</v>
      </c>
      <c r="I58" s="153" t="s">
        <v>149</v>
      </c>
      <c r="J58" s="29" t="s">
        <v>78</v>
      </c>
      <c r="K58" s="29" t="str">
        <f t="shared" si="3"/>
        <v>N/A</v>
      </c>
      <c r="L58" s="300"/>
      <c r="M58" s="301"/>
      <c r="N58" s="301"/>
      <c r="O58" s="301"/>
      <c r="P58" s="302"/>
      <c r="Q58" s="21"/>
      <c r="R58" s="32">
        <f>IF($H58="N/A",0,VLOOKUP($F58,'parm(hidden)'!$B$8:$C$10,2,FALSE))*1</f>
        <v>3</v>
      </c>
      <c r="S58" s="32">
        <f>IFERROR(VLOOKUP($F58,'parm(hidden)'!$B$8:$C$10,2,FALSE)*VLOOKUP(#REF!,'parm(hidden)'!$B$15:$C$19,2,FALSE),0)</f>
        <v>0</v>
      </c>
      <c r="T58" s="32">
        <f>IFERROR(VLOOKUP($F58,'parm(hidden)'!$B$8:$C$10,2,FALSE)*VLOOKUP($K58,$V$22:$W$27,2,FALSE),0)</f>
        <v>0</v>
      </c>
      <c r="U58" s="11">
        <f>IF($J58="N/A",0,VLOOKUP($F58,'parm(hidden)'!$B$8:$C$10,2,FALSE))*1</f>
        <v>0</v>
      </c>
      <c r="V58" s="10"/>
      <c r="W58" s="10"/>
      <c r="Y58" s="10"/>
    </row>
    <row r="59" spans="1:25" ht="12" customHeight="1">
      <c r="A59" s="170" t="str">
        <f>ChkList!A43</f>
        <v>패치 관리</v>
      </c>
      <c r="B59" s="172" t="str">
        <f>ChkList!B43</f>
        <v>W-39</v>
      </c>
      <c r="C59" s="300" t="str">
        <f>ChkList!C43</f>
        <v>백신 프로그램 업데이트</v>
      </c>
      <c r="D59" s="301"/>
      <c r="E59" s="302"/>
      <c r="F59" s="170" t="str">
        <f>ChkList!D43</f>
        <v>H</v>
      </c>
      <c r="G59" s="170">
        <f>ChkList!E43</f>
        <v>3</v>
      </c>
      <c r="H59" s="154" t="s">
        <v>100</v>
      </c>
      <c r="I59" s="153" t="s">
        <v>149</v>
      </c>
      <c r="J59" s="29" t="s">
        <v>78</v>
      </c>
      <c r="K59" s="29" t="str">
        <f t="shared" si="3"/>
        <v>N/A</v>
      </c>
      <c r="L59" s="300"/>
      <c r="M59" s="301"/>
      <c r="N59" s="301"/>
      <c r="O59" s="301"/>
      <c r="P59" s="302"/>
      <c r="Q59" s="21" t="str">
        <f>IF($J59="",IF(OR(#REF!="N",#REF!="인터뷰"),ChkList!#REF!,""),IF(OR($J59="N",$J59="인터뷰"),ChkList!#REF!,""))</f>
        <v/>
      </c>
      <c r="R59" s="32">
        <f>IF($H59="N/A",0,VLOOKUP($F59,'parm(hidden)'!$B$8:$C$10,2,FALSE))*1</f>
        <v>3</v>
      </c>
      <c r="S59" s="32">
        <f>IFERROR(VLOOKUP($F59,'parm(hidden)'!$B$8:$C$10,2,FALSE)*VLOOKUP(#REF!,'parm(hidden)'!$B$15:$C$19,2,FALSE),0)</f>
        <v>0</v>
      </c>
      <c r="T59" s="32">
        <f>IFERROR(VLOOKUP($F59,'parm(hidden)'!$B$8:$C$10,2,FALSE)*VLOOKUP($K59,$V$22:$W$27,2,FALSE),0)</f>
        <v>0</v>
      </c>
      <c r="U59" s="11">
        <f>IF($J59="N/A",0,VLOOKUP($F59,'parm(hidden)'!$B$8:$C$10,2,FALSE))*1</f>
        <v>0</v>
      </c>
      <c r="V59" s="10"/>
      <c r="W59" s="10"/>
      <c r="Y59" s="10"/>
    </row>
    <row r="60" spans="1:25" ht="12" customHeight="1">
      <c r="A60" s="170" t="str">
        <f>ChkList!A44</f>
        <v>로그 관리</v>
      </c>
      <c r="B60" s="172" t="str">
        <f>ChkList!B44</f>
        <v>W-40</v>
      </c>
      <c r="C60" s="300" t="str">
        <f>ChkList!C44</f>
        <v>정책에 따른 시스템 로깅 설정</v>
      </c>
      <c r="D60" s="301"/>
      <c r="E60" s="302"/>
      <c r="F60" s="170" t="str">
        <f>ChkList!D44</f>
        <v>M</v>
      </c>
      <c r="G60" s="170">
        <f>ChkList!E44</f>
        <v>2</v>
      </c>
      <c r="H60" s="154" t="s">
        <v>100</v>
      </c>
      <c r="I60" s="153" t="s">
        <v>149</v>
      </c>
      <c r="J60" s="29" t="s">
        <v>78</v>
      </c>
      <c r="K60" s="29" t="str">
        <f t="shared" si="3"/>
        <v>N/A</v>
      </c>
      <c r="L60" s="300"/>
      <c r="M60" s="301"/>
      <c r="N60" s="301"/>
      <c r="O60" s="301"/>
      <c r="P60" s="302"/>
      <c r="Q60" s="21" t="str">
        <f>IF($J60="",IF(OR(#REF!="N",#REF!="인터뷰"),ChkList!#REF!,""),IF(OR($J60="N",$J60="인터뷰"),ChkList!#REF!,""))</f>
        <v/>
      </c>
      <c r="R60" s="32">
        <f>IF($H60="N/A",0,VLOOKUP($F60,'parm(hidden)'!$B$8:$C$10,2,FALSE))*1</f>
        <v>2</v>
      </c>
      <c r="S60" s="32">
        <f>IFERROR(VLOOKUP($F60,'parm(hidden)'!$B$8:$C$10,2,FALSE)*VLOOKUP(#REF!,'parm(hidden)'!$B$15:$C$19,2,FALSE),0)</f>
        <v>0</v>
      </c>
      <c r="T60" s="32">
        <f>IFERROR(VLOOKUP($F60,'parm(hidden)'!$B$8:$C$10,2,FALSE)*VLOOKUP($K60,$V$22:$W$27,2,FALSE),0)</f>
        <v>0</v>
      </c>
      <c r="U60" s="11">
        <f>IF($J60="N/A",0,VLOOKUP($F60,'parm(hidden)'!$B$8:$C$10,2,FALSE))*1</f>
        <v>0</v>
      </c>
      <c r="V60" s="10"/>
      <c r="W60" s="10"/>
      <c r="Y60" s="10"/>
    </row>
    <row r="61" spans="1:25" ht="12" customHeight="1">
      <c r="A61" s="170" t="str">
        <f>ChkList!A45</f>
        <v>로그 관리</v>
      </c>
      <c r="B61" s="172" t="str">
        <f>ChkList!B45</f>
        <v>W-41</v>
      </c>
      <c r="C61" s="300" t="str">
        <f>ChkList!C45</f>
        <v>NTP 및 시각 동기화 설정</v>
      </c>
      <c r="D61" s="301"/>
      <c r="E61" s="302"/>
      <c r="F61" s="170" t="str">
        <f>ChkList!D45</f>
        <v>M</v>
      </c>
      <c r="G61" s="170">
        <f>ChkList!E45</f>
        <v>2</v>
      </c>
      <c r="H61" s="154" t="s">
        <v>100</v>
      </c>
      <c r="I61" s="153" t="s">
        <v>149</v>
      </c>
      <c r="J61" s="29" t="s">
        <v>78</v>
      </c>
      <c r="K61" s="29" t="str">
        <f t="shared" si="3"/>
        <v>N/A</v>
      </c>
      <c r="L61" s="300"/>
      <c r="M61" s="301"/>
      <c r="N61" s="301"/>
      <c r="O61" s="301"/>
      <c r="P61" s="302"/>
      <c r="Q61" s="21" t="str">
        <f>IF($J61="",IF(OR(#REF!="N",#REF!="인터뷰"),ChkList!#REF!,""),IF(OR($J61="N",$J61="인터뷰"),ChkList!#REF!,""))</f>
        <v/>
      </c>
      <c r="R61" s="32">
        <f>IF($H61="N/A",0,VLOOKUP($F61,'parm(hidden)'!$B$8:$C$10,2,FALSE))*1</f>
        <v>2</v>
      </c>
      <c r="S61" s="32">
        <f>IFERROR(VLOOKUP($F61,'parm(hidden)'!$B$8:$C$10,2,FALSE)*VLOOKUP(#REF!,'parm(hidden)'!$B$15:$C$19,2,FALSE),0)</f>
        <v>0</v>
      </c>
      <c r="T61" s="32">
        <f>IFERROR(VLOOKUP($F61,'parm(hidden)'!$B$8:$C$10,2,FALSE)*VLOOKUP($K61,$V$22:$W$27,2,FALSE),0)</f>
        <v>0</v>
      </c>
      <c r="U61" s="11">
        <f>IF($J61="N/A",0,VLOOKUP($F61,'parm(hidden)'!$B$8:$C$10,2,FALSE))*1</f>
        <v>0</v>
      </c>
      <c r="Y61" s="10"/>
    </row>
    <row r="62" spans="1:25" ht="12" customHeight="1">
      <c r="A62" s="170" t="str">
        <f>ChkList!A46</f>
        <v>로그 관리</v>
      </c>
      <c r="B62" s="172" t="str">
        <f>ChkList!B46</f>
        <v>W-42</v>
      </c>
      <c r="C62" s="300" t="str">
        <f>ChkList!C46</f>
        <v>이벤트 로그 관리 설정</v>
      </c>
      <c r="D62" s="301"/>
      <c r="E62" s="302"/>
      <c r="F62" s="170" t="str">
        <f>ChkList!D46</f>
        <v>L</v>
      </c>
      <c r="G62" s="170">
        <f>ChkList!E46</f>
        <v>1</v>
      </c>
      <c r="H62" s="154" t="s">
        <v>100</v>
      </c>
      <c r="I62" s="152" t="s">
        <v>29</v>
      </c>
      <c r="J62" s="29" t="s">
        <v>78</v>
      </c>
      <c r="K62" s="29" t="str">
        <f t="shared" si="3"/>
        <v>N/A</v>
      </c>
      <c r="L62" s="300"/>
      <c r="M62" s="301"/>
      <c r="N62" s="301"/>
      <c r="O62" s="301"/>
      <c r="P62" s="302"/>
      <c r="Q62" s="21" t="str">
        <f>IF($J62="",IF(OR(#REF!="N",#REF!="인터뷰"),ChkList!#REF!,""),IF(OR($J62="N",$J62="인터뷰"),ChkList!#REF!,""))</f>
        <v/>
      </c>
      <c r="R62" s="32">
        <f>IF($H62="N/A",0,VLOOKUP($F62,'parm(hidden)'!$B$8:$C$10,2,FALSE))*1</f>
        <v>1</v>
      </c>
      <c r="S62" s="32">
        <f>IFERROR(VLOOKUP($F62,'parm(hidden)'!$B$8:$C$10,2,FALSE)*VLOOKUP(H62,'parm(hidden)'!$B$15:$C$19,2,FALSE),0)</f>
        <v>0</v>
      </c>
      <c r="T62" s="32">
        <f>IFERROR(VLOOKUP($F62,'parm(hidden)'!$B$8:$C$10,2,FALSE)*VLOOKUP($K62,$V$22:$W$27,2,FALSE),0)</f>
        <v>0</v>
      </c>
      <c r="U62" s="11">
        <f>IF($J62="N/A",0,VLOOKUP($F62,'parm(hidden)'!$B$8:$C$10,2,FALSE))*1</f>
        <v>0</v>
      </c>
      <c r="Y62" s="10"/>
    </row>
    <row r="63" spans="1:25" ht="12" customHeight="1">
      <c r="A63" s="170" t="str">
        <f>ChkList!A47</f>
        <v>로그 관리</v>
      </c>
      <c r="B63" s="172" t="str">
        <f>ChkList!B47</f>
        <v>W-43</v>
      </c>
      <c r="C63" s="300" t="str">
        <f>ChkList!C47</f>
        <v>이벤트 로그 파일 접근 통제 설정</v>
      </c>
      <c r="D63" s="301"/>
      <c r="E63" s="302"/>
      <c r="F63" s="170" t="str">
        <f>ChkList!D47</f>
        <v>M</v>
      </c>
      <c r="G63" s="170">
        <f>ChkList!E47</f>
        <v>2</v>
      </c>
      <c r="H63" s="154" t="s">
        <v>100</v>
      </c>
      <c r="I63" s="152" t="s">
        <v>26</v>
      </c>
      <c r="J63" s="29" t="s">
        <v>78</v>
      </c>
      <c r="K63" s="29" t="str">
        <f t="shared" si="3"/>
        <v>N/A</v>
      </c>
      <c r="L63" s="300"/>
      <c r="M63" s="301"/>
      <c r="N63" s="301"/>
      <c r="O63" s="301"/>
      <c r="P63" s="302"/>
      <c r="Q63" s="21" t="str">
        <f>IF($J63="",IF(OR(#REF!="N",#REF!="인터뷰"),ChkList!#REF!,""),IF(OR($J63="N",$J63="인터뷰"),ChkList!#REF!,""))</f>
        <v/>
      </c>
      <c r="R63" s="32">
        <f>IF($H63="N/A",0,VLOOKUP($F63,'parm(hidden)'!$B$8:$C$10,2,FALSE))*1</f>
        <v>2</v>
      </c>
      <c r="S63" s="32">
        <f>IFERROR(VLOOKUP($F63,'parm(hidden)'!$B$8:$C$10,2,FALSE)*VLOOKUP(H63,'parm(hidden)'!$B$15:$C$19,2,FALSE),0)</f>
        <v>0</v>
      </c>
      <c r="T63" s="32">
        <f>IFERROR(VLOOKUP($F63,'parm(hidden)'!$B$8:$C$10,2,FALSE)*VLOOKUP($K63,$V$22:$W$27,2,FALSE),0)</f>
        <v>0</v>
      </c>
      <c r="U63" s="11">
        <f>IF($J63="N/A",0,VLOOKUP($F63,'parm(hidden)'!$B$8:$C$10,2,FALSE))*1</f>
        <v>0</v>
      </c>
      <c r="Y63" s="10"/>
    </row>
    <row r="64" spans="1:25" ht="12" customHeight="1">
      <c r="A64" s="170" t="str">
        <f>ChkList!A48</f>
        <v>보안 관리</v>
      </c>
      <c r="B64" s="172" t="str">
        <f>ChkList!B48</f>
        <v>W-44</v>
      </c>
      <c r="C64" s="300" t="str">
        <f>ChkList!C48</f>
        <v>원격으로 액세스할 수 있는 레지스트리 경로</v>
      </c>
      <c r="D64" s="301"/>
      <c r="E64" s="302"/>
      <c r="F64" s="170" t="str">
        <f>ChkList!D48</f>
        <v>H</v>
      </c>
      <c r="G64" s="170">
        <f>ChkList!E48</f>
        <v>3</v>
      </c>
      <c r="H64" s="154" t="s">
        <v>100</v>
      </c>
      <c r="I64" s="153" t="s">
        <v>3</v>
      </c>
      <c r="J64" s="29" t="s">
        <v>78</v>
      </c>
      <c r="K64" s="29" t="str">
        <f t="shared" si="3"/>
        <v>N/A</v>
      </c>
      <c r="L64" s="300"/>
      <c r="M64" s="301"/>
      <c r="N64" s="301"/>
      <c r="O64" s="301"/>
      <c r="P64" s="302"/>
      <c r="Q64" s="21" t="str">
        <f>IF($J64="",IF(OR(#REF!="N",#REF!="인터뷰"),ChkList!#REF!,""),IF(OR($J64="N",$J64="인터뷰"),ChkList!#REF!,""))</f>
        <v/>
      </c>
      <c r="R64" s="32">
        <f>IF($H64="N/A",0,VLOOKUP($F64,'parm(hidden)'!$B$8:$C$10,2,FALSE))*1</f>
        <v>3</v>
      </c>
      <c r="S64" s="32">
        <f>IFERROR(VLOOKUP($F64,'parm(hidden)'!$B$8:$C$10,2,FALSE)*VLOOKUP(H64,'parm(hidden)'!$B$15:$C$19,2,FALSE),0)</f>
        <v>0</v>
      </c>
      <c r="T64" s="32">
        <f>IFERROR(VLOOKUP($F64,'parm(hidden)'!$B$8:$C$10,2,FALSE)*VLOOKUP($K64,$V$22:$W$27,2,FALSE),0)</f>
        <v>0</v>
      </c>
      <c r="U64" s="11">
        <f>IF($J64="N/A",0,VLOOKUP($F64,'parm(hidden)'!$B$8:$C$10,2,FALSE))*1</f>
        <v>0</v>
      </c>
      <c r="Y64" s="10"/>
    </row>
    <row r="65" spans="1:25" ht="12" customHeight="1">
      <c r="A65" s="170" t="str">
        <f>ChkList!A49</f>
        <v>보안 관리</v>
      </c>
      <c r="B65" s="172" t="str">
        <f>ChkList!B49</f>
        <v>W-45</v>
      </c>
      <c r="C65" s="300" t="str">
        <f>ChkList!C49</f>
        <v>백신 프로그램 설치</v>
      </c>
      <c r="D65" s="301"/>
      <c r="E65" s="302"/>
      <c r="F65" s="170" t="str">
        <f>ChkList!D49</f>
        <v>H</v>
      </c>
      <c r="G65" s="170">
        <f>ChkList!E49</f>
        <v>3</v>
      </c>
      <c r="H65" s="154" t="s">
        <v>100</v>
      </c>
      <c r="I65" s="153" t="s">
        <v>149</v>
      </c>
      <c r="J65" s="29" t="s">
        <v>78</v>
      </c>
      <c r="K65" s="29" t="str">
        <f t="shared" si="3"/>
        <v>N/A</v>
      </c>
      <c r="L65" s="300"/>
      <c r="M65" s="301"/>
      <c r="N65" s="301"/>
      <c r="O65" s="301"/>
      <c r="P65" s="302"/>
      <c r="Q65" s="21" t="str">
        <f>IF($J65="",IF(OR(#REF!="N",#REF!="인터뷰"),ChkList!#REF!,""),IF(OR($J65="N",$J65="인터뷰"),ChkList!#REF!,""))</f>
        <v/>
      </c>
      <c r="R65" s="32">
        <f>IF($H65="N/A",0,VLOOKUP($F65,'parm(hidden)'!$B$8:$C$10,2,FALSE))*1</f>
        <v>3</v>
      </c>
      <c r="S65" s="32">
        <f>IFERROR(VLOOKUP($F65,'parm(hidden)'!$B$8:$C$10,2,FALSE)*VLOOKUP(H65,'parm(hidden)'!$B$15:$C$19,2,FALSE),0)</f>
        <v>0</v>
      </c>
      <c r="T65" s="32">
        <f>IFERROR(VLOOKUP($F65,'parm(hidden)'!$B$8:$C$10,2,FALSE)*VLOOKUP($K65,$V$22:$W$27,2,FALSE),0)</f>
        <v>0</v>
      </c>
      <c r="U65" s="11">
        <f>IF($J65="N/A",0,VLOOKUP($F65,'parm(hidden)'!$B$8:$C$10,2,FALSE))*1</f>
        <v>0</v>
      </c>
      <c r="Y65" s="10"/>
    </row>
    <row r="66" spans="1:25" ht="12" customHeight="1">
      <c r="A66" s="170" t="str">
        <f>ChkList!A50</f>
        <v>보안 관리</v>
      </c>
      <c r="B66" s="172" t="str">
        <f>ChkList!B50</f>
        <v>W-46</v>
      </c>
      <c r="C66" s="300" t="str">
        <f>ChkList!C50</f>
        <v>SAM 파일 접근 통제 설정</v>
      </c>
      <c r="D66" s="301"/>
      <c r="E66" s="302"/>
      <c r="F66" s="170" t="str">
        <f>ChkList!D50</f>
        <v>H</v>
      </c>
      <c r="G66" s="170">
        <f>ChkList!E50</f>
        <v>3</v>
      </c>
      <c r="H66" s="154" t="s">
        <v>100</v>
      </c>
      <c r="I66" s="153" t="s">
        <v>175</v>
      </c>
      <c r="J66" s="29" t="s">
        <v>88</v>
      </c>
      <c r="K66" s="29" t="str">
        <f t="shared" si="3"/>
        <v>조치</v>
      </c>
      <c r="L66" s="300"/>
      <c r="M66" s="301"/>
      <c r="N66" s="301"/>
      <c r="O66" s="301"/>
      <c r="P66" s="302"/>
      <c r="Q66" s="21" t="str">
        <f>IF($J66="",IF(OR(#REF!="N",#REF!="인터뷰"),ChkList!#REF!,""),IF(OR($J66="N",$J66="인터뷰"),ChkList!#REF!,""))</f>
        <v/>
      </c>
      <c r="R66" s="32">
        <f>IF($H66="N/A",0,VLOOKUP($F66,'parm(hidden)'!$B$8:$C$10,2,FALSE))*1</f>
        <v>3</v>
      </c>
      <c r="S66" s="32">
        <f>IFERROR(VLOOKUP($F66,'parm(hidden)'!$B$8:$C$10,2,FALSE)*VLOOKUP(H66,'parm(hidden)'!$B$15:$C$19,2,FALSE),0)</f>
        <v>0</v>
      </c>
      <c r="T66" s="32">
        <f>IFERROR(VLOOKUP($F66,'parm(hidden)'!$B$8:$C$10,2,FALSE)*VLOOKUP($K66,$V$22:$W$27,2,FALSE),0)</f>
        <v>3</v>
      </c>
      <c r="U66" s="11">
        <f>IF($J66="N/A",0,VLOOKUP($F66,'parm(hidden)'!$B$8:$C$10,2,FALSE))*1</f>
        <v>3</v>
      </c>
      <c r="Y66" s="10"/>
    </row>
    <row r="67" spans="1:25" ht="12" customHeight="1">
      <c r="A67" s="170" t="str">
        <f>ChkList!A51</f>
        <v>보안 관리</v>
      </c>
      <c r="B67" s="172" t="str">
        <f>ChkList!B51</f>
        <v>W-47</v>
      </c>
      <c r="C67" s="300" t="str">
        <f>ChkList!C51</f>
        <v>화면 보호기 설정</v>
      </c>
      <c r="D67" s="301"/>
      <c r="E67" s="302"/>
      <c r="F67" s="170" t="str">
        <f>ChkList!D51</f>
        <v>L</v>
      </c>
      <c r="G67" s="170">
        <f>ChkList!E51</f>
        <v>1</v>
      </c>
      <c r="H67" s="29" t="s">
        <v>88</v>
      </c>
      <c r="I67" s="153" t="s">
        <v>25</v>
      </c>
      <c r="J67" s="29" t="s">
        <v>88</v>
      </c>
      <c r="K67" s="29" t="str">
        <f t="shared" si="3"/>
        <v>Y</v>
      </c>
      <c r="L67" s="300"/>
      <c r="M67" s="301"/>
      <c r="N67" s="301"/>
      <c r="O67" s="301"/>
      <c r="P67" s="302"/>
      <c r="Q67" s="21" t="str">
        <f>IF($J67="",IF(OR(#REF!="N",#REF!="인터뷰"),ChkList!#REF!,""),IF(OR($J67="N",$J67="인터뷰"),ChkList!#REF!,""))</f>
        <v/>
      </c>
      <c r="R67" s="32">
        <f>IF($H67="N/A",0,VLOOKUP($F67,'parm(hidden)'!$B$8:$C$10,2,FALSE))*1</f>
        <v>1</v>
      </c>
      <c r="S67" s="32">
        <f>IFERROR(VLOOKUP($F67,'parm(hidden)'!$B$8:$C$10,2,FALSE)*VLOOKUP(H67,'parm(hidden)'!$B$15:$C$19,2,FALSE),0)</f>
        <v>1</v>
      </c>
      <c r="T67" s="32">
        <f>IFERROR(VLOOKUP($F67,'parm(hidden)'!$B$8:$C$10,2,FALSE)*VLOOKUP($K67,$V$22:$W$27,2,FALSE),0)</f>
        <v>1</v>
      </c>
      <c r="U67" s="11">
        <f>IF($J67="N/A",0,VLOOKUP($F67,'parm(hidden)'!$B$8:$C$10,2,FALSE))*1</f>
        <v>1</v>
      </c>
      <c r="Y67" s="10"/>
    </row>
    <row r="68" spans="1:25" ht="12" customHeight="1">
      <c r="A68" s="170" t="str">
        <f>ChkList!A52</f>
        <v>보안 관리</v>
      </c>
      <c r="B68" s="172" t="str">
        <f>ChkList!B52</f>
        <v>W-48</v>
      </c>
      <c r="C68" s="300" t="str">
        <f>ChkList!C52</f>
        <v>로그온하지 않고 시스템 종료 허용</v>
      </c>
      <c r="D68" s="301"/>
      <c r="E68" s="302"/>
      <c r="F68" s="170" t="str">
        <f>ChkList!D52</f>
        <v>H</v>
      </c>
      <c r="G68" s="170">
        <f>ChkList!E52</f>
        <v>3</v>
      </c>
      <c r="H68" s="154" t="s">
        <v>100</v>
      </c>
      <c r="I68" s="153" t="s">
        <v>175</v>
      </c>
      <c r="J68" s="29" t="s">
        <v>88</v>
      </c>
      <c r="K68" s="29" t="str">
        <f t="shared" si="3"/>
        <v>조치</v>
      </c>
      <c r="L68" s="300"/>
      <c r="M68" s="301"/>
      <c r="N68" s="301"/>
      <c r="O68" s="301"/>
      <c r="P68" s="302"/>
      <c r="Q68" s="21" t="str">
        <f>IF($J68="",IF(OR(#REF!="N",#REF!="인터뷰"),ChkList!#REF!,""),IF(OR($J68="N",$J68="인터뷰"),ChkList!#REF!,""))</f>
        <v/>
      </c>
      <c r="R68" s="32">
        <f>IF($H68="N/A",0,VLOOKUP($F68,'parm(hidden)'!$B$8:$C$10,2,FALSE))*1</f>
        <v>3</v>
      </c>
      <c r="S68" s="32">
        <f>IFERROR(VLOOKUP($F68,'parm(hidden)'!$B$8:$C$10,2,FALSE)*VLOOKUP(H68,'parm(hidden)'!$B$15:$C$19,2,FALSE),0)</f>
        <v>0</v>
      </c>
      <c r="T68" s="32">
        <f>IFERROR(VLOOKUP($F68,'parm(hidden)'!$B$8:$C$10,2,FALSE)*VLOOKUP($K68,$V$22:$W$27,2,FALSE),0)</f>
        <v>3</v>
      </c>
      <c r="U68" s="11">
        <f>IF($J68="N/A",0,VLOOKUP($F68,'parm(hidden)'!$B$8:$C$10,2,FALSE))*1</f>
        <v>3</v>
      </c>
      <c r="Y68" s="10"/>
    </row>
    <row r="69" spans="1:25" ht="12" customHeight="1">
      <c r="A69" s="170" t="str">
        <f>ChkList!A53</f>
        <v>보안 관리</v>
      </c>
      <c r="B69" s="172" t="str">
        <f>ChkList!B53</f>
        <v>W-49</v>
      </c>
      <c r="C69" s="300" t="str">
        <f>ChkList!C53</f>
        <v>원격 시스템에서 강제로 시스템 종료</v>
      </c>
      <c r="D69" s="301"/>
      <c r="E69" s="302"/>
      <c r="F69" s="170" t="str">
        <f>ChkList!D53</f>
        <v>H</v>
      </c>
      <c r="G69" s="170">
        <f>ChkList!E53</f>
        <v>3</v>
      </c>
      <c r="H69" s="154" t="s">
        <v>100</v>
      </c>
      <c r="I69" s="153" t="s">
        <v>149</v>
      </c>
      <c r="J69" s="29" t="s">
        <v>88</v>
      </c>
      <c r="K69" s="29" t="str">
        <f t="shared" si="3"/>
        <v>조치</v>
      </c>
      <c r="L69" s="300"/>
      <c r="M69" s="301"/>
      <c r="N69" s="301"/>
      <c r="O69" s="301"/>
      <c r="P69" s="302"/>
      <c r="Q69" s="21" t="str">
        <f>IF($J69="",IF(OR(#REF!="N",#REF!="인터뷰"),ChkList!#REF!,""),IF(OR($J69="N",$J69="인터뷰"),ChkList!#REF!,""))</f>
        <v/>
      </c>
      <c r="R69" s="32">
        <f>IF($H69="N/A",0,VLOOKUP($F69,'parm(hidden)'!$B$8:$C$10,2,FALSE))*1</f>
        <v>3</v>
      </c>
      <c r="S69" s="32">
        <f>IFERROR(VLOOKUP($F69,'parm(hidden)'!$B$8:$C$10,2,FALSE)*VLOOKUP(H69,'parm(hidden)'!$B$15:$C$19,2,FALSE),0)</f>
        <v>0</v>
      </c>
      <c r="T69" s="32">
        <f>IFERROR(VLOOKUP($F69,'parm(hidden)'!$B$8:$C$10,2,FALSE)*VLOOKUP($K69,$V$22:$W$27,2,FALSE),0)</f>
        <v>3</v>
      </c>
      <c r="U69" s="11">
        <f>IF($J69="N/A",0,VLOOKUP($F69,'parm(hidden)'!$B$8:$C$10,2,FALSE))*1</f>
        <v>3</v>
      </c>
      <c r="Y69" s="10"/>
    </row>
    <row r="70" spans="1:25" ht="12" customHeight="1">
      <c r="A70" s="170" t="str">
        <f>ChkList!A54</f>
        <v>보안 관리</v>
      </c>
      <c r="B70" s="172" t="str">
        <f>ChkList!B54</f>
        <v>W-50</v>
      </c>
      <c r="C70" s="300" t="str">
        <f>ChkList!C54</f>
        <v>보안 감사를 로그 할 수 없는 경우 즉시 시스템 종료</v>
      </c>
      <c r="D70" s="301"/>
      <c r="E70" s="302"/>
      <c r="F70" s="170" t="str">
        <f>ChkList!D54</f>
        <v>H</v>
      </c>
      <c r="G70" s="170">
        <f>ChkList!E54</f>
        <v>3</v>
      </c>
      <c r="H70" s="154" t="s">
        <v>100</v>
      </c>
      <c r="I70" s="153" t="s">
        <v>151</v>
      </c>
      <c r="J70" s="29" t="s">
        <v>88</v>
      </c>
      <c r="K70" s="29" t="str">
        <f t="shared" si="3"/>
        <v>조치</v>
      </c>
      <c r="L70" s="300"/>
      <c r="M70" s="301"/>
      <c r="N70" s="301"/>
      <c r="O70" s="301"/>
      <c r="P70" s="302"/>
      <c r="Q70" s="21" t="str">
        <f>IF($J70="",IF(OR(#REF!="N",#REF!="인터뷰"),ChkList!#REF!,""),IF(OR($J70="N",$J70="인터뷰"),ChkList!#REF!,""))</f>
        <v/>
      </c>
      <c r="R70" s="32">
        <f>IF($H70="N/A",0,VLOOKUP($F70,'parm(hidden)'!$B$8:$C$10,2,FALSE))*1</f>
        <v>3</v>
      </c>
      <c r="S70" s="32">
        <f>IFERROR(VLOOKUP($F70,'parm(hidden)'!$B$8:$C$10,2,FALSE)*VLOOKUP(H70,'parm(hidden)'!$B$15:$C$19,2,FALSE),0)</f>
        <v>0</v>
      </c>
      <c r="T70" s="32">
        <f>IFERROR(VLOOKUP($F70,'parm(hidden)'!$B$8:$C$10,2,FALSE)*VLOOKUP($K70,$V$22:$W$27,2,FALSE),0)</f>
        <v>3</v>
      </c>
      <c r="U70" s="11">
        <f>IF($J70="N/A",0,VLOOKUP($F70,'parm(hidden)'!$B$8:$C$10,2,FALSE))*1</f>
        <v>3</v>
      </c>
      <c r="Y70" s="10"/>
    </row>
    <row r="71" spans="1:25" ht="12" customHeight="1">
      <c r="A71" s="170" t="str">
        <f>ChkList!A55</f>
        <v>보안 관리</v>
      </c>
      <c r="B71" s="172" t="str">
        <f>ChkList!B55</f>
        <v>W-51</v>
      </c>
      <c r="C71" s="300" t="str">
        <f>ChkList!C55</f>
        <v>SAM 계정과 공유의 익명 열거 허용 안 함</v>
      </c>
      <c r="D71" s="301"/>
      <c r="E71" s="302"/>
      <c r="F71" s="170" t="str">
        <f>ChkList!D55</f>
        <v>H</v>
      </c>
      <c r="G71" s="170">
        <f>ChkList!E55</f>
        <v>3</v>
      </c>
      <c r="H71" s="154" t="s">
        <v>100</v>
      </c>
      <c r="I71" s="153" t="s">
        <v>2</v>
      </c>
      <c r="J71" s="29" t="s">
        <v>88</v>
      </c>
      <c r="K71" s="29" t="str">
        <f t="shared" si="3"/>
        <v>조치</v>
      </c>
      <c r="L71" s="300"/>
      <c r="M71" s="301"/>
      <c r="N71" s="301"/>
      <c r="O71" s="301"/>
      <c r="P71" s="302"/>
      <c r="Q71" s="21" t="str">
        <f>IF($J71="",IF(OR(#REF!="N",#REF!="인터뷰"),ChkList!#REF!,""),IF(OR($J71="N",$J71="인터뷰"),ChkList!#REF!,""))</f>
        <v/>
      </c>
      <c r="R71" s="32">
        <f>IF($H71="N/A",0,VLOOKUP($F71,'parm(hidden)'!$B$8:$C$10,2,FALSE))*1</f>
        <v>3</v>
      </c>
      <c r="S71" s="32">
        <f>IFERROR(VLOOKUP($F71,'parm(hidden)'!$B$8:$C$10,2,FALSE)*VLOOKUP(H71,'parm(hidden)'!$B$15:$C$19,2,FALSE),0)</f>
        <v>0</v>
      </c>
      <c r="T71" s="32">
        <f>IFERROR(VLOOKUP($F71,'parm(hidden)'!$B$8:$C$10,2,FALSE)*VLOOKUP($K71,$V$22:$W$27,2,FALSE),0)</f>
        <v>3</v>
      </c>
      <c r="U71" s="11">
        <f>IF($J71="N/A",0,VLOOKUP($F71,'parm(hidden)'!$B$8:$C$10,2,FALSE))*1</f>
        <v>3</v>
      </c>
      <c r="Y71" s="10"/>
    </row>
    <row r="72" spans="1:25" ht="12" customHeight="1">
      <c r="A72" s="170" t="str">
        <f>ChkList!A56</f>
        <v>보안 관리</v>
      </c>
      <c r="B72" s="172" t="str">
        <f>ChkList!B56</f>
        <v>W-52</v>
      </c>
      <c r="C72" s="300" t="str">
        <f>ChkList!C56</f>
        <v>Autologon 기능 제어</v>
      </c>
      <c r="D72" s="301"/>
      <c r="E72" s="302"/>
      <c r="F72" s="170" t="str">
        <f>ChkList!D56</f>
        <v>H</v>
      </c>
      <c r="G72" s="170">
        <f>ChkList!E56</f>
        <v>3</v>
      </c>
      <c r="H72" s="29" t="s">
        <v>88</v>
      </c>
      <c r="I72" s="153" t="s">
        <v>147</v>
      </c>
      <c r="J72" s="29" t="s">
        <v>88</v>
      </c>
      <c r="K72" s="29" t="str">
        <f t="shared" si="3"/>
        <v>Y</v>
      </c>
      <c r="L72" s="300"/>
      <c r="M72" s="301"/>
      <c r="N72" s="301"/>
      <c r="O72" s="301"/>
      <c r="P72" s="302"/>
      <c r="Q72" s="21" t="str">
        <f>IF($J72="",IF(OR(#REF!="N",#REF!="인터뷰"),ChkList!#REF!,""),IF(OR($J72="N",$J72="인터뷰"),ChkList!#REF!,""))</f>
        <v/>
      </c>
      <c r="R72" s="32">
        <f>IF($H72="N/A",0,VLOOKUP($F72,'parm(hidden)'!$B$8:$C$10,2,FALSE))*1</f>
        <v>3</v>
      </c>
      <c r="S72" s="32">
        <f>IFERROR(VLOOKUP($F72,'parm(hidden)'!$B$8:$C$10,2,FALSE)*VLOOKUP(H72,'parm(hidden)'!$B$15:$C$19,2,FALSE),0)</f>
        <v>3</v>
      </c>
      <c r="T72" s="32">
        <f>IFERROR(VLOOKUP($F72,'parm(hidden)'!$B$8:$C$10,2,FALSE)*VLOOKUP($K72,$V$22:$W$27,2,FALSE),0)</f>
        <v>3</v>
      </c>
      <c r="U72" s="11">
        <f>IF($J72="N/A",0,VLOOKUP($F72,'parm(hidden)'!$B$8:$C$10,2,FALSE))*1</f>
        <v>3</v>
      </c>
      <c r="Y72" s="10"/>
    </row>
    <row r="73" spans="1:25" ht="12" customHeight="1">
      <c r="A73" s="170" t="str">
        <f>ChkList!A57</f>
        <v>보안 관리</v>
      </c>
      <c r="B73" s="172" t="str">
        <f>ChkList!B57</f>
        <v>W-53</v>
      </c>
      <c r="C73" s="300" t="str">
        <f>ChkList!C57</f>
        <v>이동식 미디어 포맷 및 꺼내기 허용</v>
      </c>
      <c r="D73" s="301"/>
      <c r="E73" s="302"/>
      <c r="F73" s="170" t="str">
        <f>ChkList!D57</f>
        <v>H</v>
      </c>
      <c r="G73" s="170">
        <f>ChkList!E57</f>
        <v>3</v>
      </c>
      <c r="H73" s="155" t="s">
        <v>100</v>
      </c>
      <c r="I73" s="152" t="s">
        <v>24</v>
      </c>
      <c r="J73" s="29" t="s">
        <v>88</v>
      </c>
      <c r="K73" s="29" t="str">
        <f t="shared" si="3"/>
        <v>조치</v>
      </c>
      <c r="L73" s="300"/>
      <c r="M73" s="301"/>
      <c r="N73" s="301"/>
      <c r="O73" s="301"/>
      <c r="P73" s="302"/>
      <c r="Q73" s="21" t="str">
        <f>IF($J73="",IF(OR(#REF!="N",#REF!="인터뷰"),ChkList!#REF!,""),IF(OR($J73="N",$J73="인터뷰"),ChkList!#REF!,""))</f>
        <v/>
      </c>
      <c r="R73" s="32">
        <f>IF($H73="N/A",0,VLOOKUP($F73,'parm(hidden)'!$B$8:$C$10,2,FALSE))*1</f>
        <v>3</v>
      </c>
      <c r="S73" s="32">
        <f>IFERROR(VLOOKUP($F73,'parm(hidden)'!$B$8:$C$10,2,FALSE)*VLOOKUP(H73,'parm(hidden)'!$B$15:$C$19,2,FALSE),0)</f>
        <v>0</v>
      </c>
      <c r="T73" s="32">
        <f>IFERROR(VLOOKUP($F73,'parm(hidden)'!$B$8:$C$10,2,FALSE)*VLOOKUP($K73,$V$22:$W$27,2,FALSE),0)</f>
        <v>3</v>
      </c>
      <c r="U73" s="11">
        <f>IF($J73="N/A",0,VLOOKUP($F73,'parm(hidden)'!$B$8:$C$10,2,FALSE))*1</f>
        <v>3</v>
      </c>
      <c r="Y73" s="10"/>
    </row>
    <row r="74" spans="1:25" ht="12" customHeight="1">
      <c r="A74" s="170" t="str">
        <f>ChkList!A58</f>
        <v>보안 관리</v>
      </c>
      <c r="B74" s="172" t="str">
        <f>ChkList!B58</f>
        <v>W-54</v>
      </c>
      <c r="C74" s="300" t="str">
        <f>ChkList!C58</f>
        <v>Dos 공격 방어 레지스트리 설정</v>
      </c>
      <c r="D74" s="301"/>
      <c r="E74" s="302"/>
      <c r="F74" s="170" t="str">
        <f>ChkList!D58</f>
        <v>M</v>
      </c>
      <c r="G74" s="170">
        <f>ChkList!E58</f>
        <v>2</v>
      </c>
      <c r="H74" s="29" t="s">
        <v>88</v>
      </c>
      <c r="I74" s="153" t="s">
        <v>148</v>
      </c>
      <c r="J74" s="29" t="s">
        <v>88</v>
      </c>
      <c r="K74" s="29" t="str">
        <f t="shared" si="3"/>
        <v>Y</v>
      </c>
      <c r="L74" s="300"/>
      <c r="M74" s="301"/>
      <c r="N74" s="301"/>
      <c r="O74" s="301"/>
      <c r="P74" s="302"/>
      <c r="Q74" s="21" t="str">
        <f>IF($J74="",IF(OR(#REF!="N",#REF!="인터뷰"),ChkList!#REF!,""),IF(OR($J74="N",$J74="인터뷰"),ChkList!#REF!,""))</f>
        <v/>
      </c>
      <c r="R74" s="32">
        <f>IF($H74="N/A",0,VLOOKUP($F74,'parm(hidden)'!$B$8:$C$10,2,FALSE))*1</f>
        <v>2</v>
      </c>
      <c r="S74" s="32">
        <f>IFERROR(VLOOKUP($F74,'parm(hidden)'!$B$8:$C$10,2,FALSE)*VLOOKUP(H74,'parm(hidden)'!$B$15:$C$19,2,FALSE),0)</f>
        <v>2</v>
      </c>
      <c r="T74" s="32">
        <f>IFERROR(VLOOKUP($F74,'parm(hidden)'!$B$8:$C$10,2,FALSE)*VLOOKUP($K74,$V$22:$W$27,2,FALSE),0)</f>
        <v>2</v>
      </c>
      <c r="U74" s="11">
        <f>IF($J74="N/A",0,VLOOKUP($F74,'parm(hidden)'!$B$8:$C$10,2,FALSE))*1</f>
        <v>2</v>
      </c>
      <c r="Y74" s="10"/>
    </row>
    <row r="75" spans="1:25" ht="12" customHeight="1">
      <c r="A75" s="170" t="str">
        <f>ChkList!A59</f>
        <v>보안 관리</v>
      </c>
      <c r="B75" s="172" t="str">
        <f>ChkList!B59</f>
        <v>W-55</v>
      </c>
      <c r="C75" s="300" t="str">
        <f>ChkList!C59</f>
        <v>사용자가 프린터 드라이버를 설치할 수 없게 함</v>
      </c>
      <c r="D75" s="301"/>
      <c r="E75" s="302"/>
      <c r="F75" s="170" t="str">
        <f>ChkList!D59</f>
        <v>M</v>
      </c>
      <c r="G75" s="170">
        <f>ChkList!E59</f>
        <v>2</v>
      </c>
      <c r="H75" s="155" t="s">
        <v>100</v>
      </c>
      <c r="I75" s="153" t="s">
        <v>150</v>
      </c>
      <c r="J75" s="29" t="s">
        <v>88</v>
      </c>
      <c r="K75" s="29" t="str">
        <f t="shared" si="3"/>
        <v>조치</v>
      </c>
      <c r="L75" s="300"/>
      <c r="M75" s="301"/>
      <c r="N75" s="301"/>
      <c r="O75" s="301"/>
      <c r="P75" s="302"/>
      <c r="Q75" s="21" t="str">
        <f>IF($J75="",IF(OR(#REF!="N",#REF!="인터뷰"),ChkList!#REF!,""),IF(OR($J75="N",$J75="인터뷰"),ChkList!#REF!,""))</f>
        <v/>
      </c>
      <c r="R75" s="32">
        <f>IF($H75="N/A",0,VLOOKUP($F75,'parm(hidden)'!$B$8:$C$10,2,FALSE))*1</f>
        <v>2</v>
      </c>
      <c r="S75" s="32">
        <f>IFERROR(VLOOKUP($F75,'parm(hidden)'!$B$8:$C$10,2,FALSE)*VLOOKUP(H75,'parm(hidden)'!$B$15:$C$19,2,FALSE),0)</f>
        <v>0</v>
      </c>
      <c r="T75" s="32">
        <f>IFERROR(VLOOKUP($F75,'parm(hidden)'!$B$8:$C$10,2,FALSE)*VLOOKUP($K75,$V$22:$W$27,2,FALSE),0)</f>
        <v>2</v>
      </c>
      <c r="U75" s="11">
        <f>IF($J75="N/A",0,VLOOKUP($F75,'parm(hidden)'!$B$8:$C$10,2,FALSE))*1</f>
        <v>2</v>
      </c>
      <c r="Y75" s="10"/>
    </row>
    <row r="76" spans="1:25" ht="12" customHeight="1">
      <c r="A76" s="170" t="str">
        <f>ChkList!A60</f>
        <v>보안 관리</v>
      </c>
      <c r="B76" s="172" t="str">
        <f>ChkList!B60</f>
        <v>W-56</v>
      </c>
      <c r="C76" s="300" t="str">
        <f>ChkList!C60</f>
        <v>SMB 세션 중단 관리 설정</v>
      </c>
      <c r="D76" s="301"/>
      <c r="E76" s="302"/>
      <c r="F76" s="170" t="str">
        <f>ChkList!D60</f>
        <v>M</v>
      </c>
      <c r="G76" s="170">
        <f>ChkList!E60</f>
        <v>2</v>
      </c>
      <c r="H76" s="155" t="s">
        <v>100</v>
      </c>
      <c r="I76" s="152" t="s">
        <v>31</v>
      </c>
      <c r="J76" s="29" t="s">
        <v>88</v>
      </c>
      <c r="K76" s="29" t="str">
        <f t="shared" si="3"/>
        <v>조치</v>
      </c>
      <c r="L76" s="300"/>
      <c r="M76" s="301"/>
      <c r="N76" s="301"/>
      <c r="O76" s="301"/>
      <c r="P76" s="302"/>
      <c r="Q76" s="21" t="str">
        <f>IF($J76="",IF(OR(#REF!="N",#REF!="인터뷰"),ChkList!#REF!,""),IF(OR($J76="N",$J76="인터뷰"),ChkList!#REF!,""))</f>
        <v/>
      </c>
      <c r="R76" s="32">
        <f>IF($H76="N/A",0,VLOOKUP($F76,'parm(hidden)'!$B$8:$C$10,2,FALSE))*1</f>
        <v>2</v>
      </c>
      <c r="S76" s="32">
        <f>IFERROR(VLOOKUP($F76,'parm(hidden)'!$B$8:$C$10,2,FALSE)*VLOOKUP(H76,'parm(hidden)'!$B$15:$C$19,2,FALSE),0)</f>
        <v>0</v>
      </c>
      <c r="T76" s="32">
        <f>IFERROR(VLOOKUP($F76,'parm(hidden)'!$B$8:$C$10,2,FALSE)*VLOOKUP($K76,$V$22:$W$27,2,FALSE),0)</f>
        <v>2</v>
      </c>
      <c r="U76" s="11">
        <f>IF($J76="N/A",0,VLOOKUP($F76,'parm(hidden)'!$B$8:$C$10,2,FALSE))*1</f>
        <v>2</v>
      </c>
      <c r="Y76" s="10"/>
    </row>
    <row r="77" spans="1:25" ht="12" customHeight="1">
      <c r="A77" s="170" t="str">
        <f>ChkList!A61</f>
        <v>보안 관리</v>
      </c>
      <c r="B77" s="172" t="str">
        <f>ChkList!B61</f>
        <v>W-57</v>
      </c>
      <c r="C77" s="300" t="str">
        <f>ChkList!C61</f>
        <v>로그온 시 경고 메시지 설정</v>
      </c>
      <c r="D77" s="301"/>
      <c r="E77" s="302"/>
      <c r="F77" s="170" t="str">
        <f>ChkList!D61</f>
        <v>L</v>
      </c>
      <c r="G77" s="170">
        <f>ChkList!E61</f>
        <v>1</v>
      </c>
      <c r="H77" s="155" t="s">
        <v>100</v>
      </c>
      <c r="I77" s="153" t="s">
        <v>19</v>
      </c>
      <c r="J77" s="29" t="s">
        <v>88</v>
      </c>
      <c r="K77" s="29" t="str">
        <f t="shared" si="3"/>
        <v>조치</v>
      </c>
      <c r="L77" s="300"/>
      <c r="M77" s="301"/>
      <c r="N77" s="301"/>
      <c r="O77" s="301"/>
      <c r="P77" s="302"/>
      <c r="Q77" s="21" t="str">
        <f>IF($J77="",IF(OR(#REF!="N",#REF!="인터뷰"),ChkList!#REF!,""),IF(OR($J77="N",$J77="인터뷰"),ChkList!#REF!,""))</f>
        <v/>
      </c>
      <c r="R77" s="32">
        <f>IF($H77="N/A",0,VLOOKUP($F77,'parm(hidden)'!$B$8:$C$10,2,FALSE))*1</f>
        <v>1</v>
      </c>
      <c r="S77" s="32">
        <f>IFERROR(VLOOKUP($F77,'parm(hidden)'!$B$8:$C$10,2,FALSE)*VLOOKUP(H77,'parm(hidden)'!$B$15:$C$19,2,FALSE),0)</f>
        <v>0</v>
      </c>
      <c r="T77" s="32">
        <f>IFERROR(VLOOKUP($F77,'parm(hidden)'!$B$8:$C$10,2,FALSE)*VLOOKUP($K77,$V$22:$W$27,2,FALSE),0)</f>
        <v>1</v>
      </c>
      <c r="U77" s="11">
        <f>IF($J77="N/A",0,VLOOKUP($F77,'parm(hidden)'!$B$8:$C$10,2,FALSE))*1</f>
        <v>1</v>
      </c>
      <c r="Y77" s="10"/>
    </row>
    <row r="78" spans="1:25" ht="12" customHeight="1">
      <c r="A78" s="170" t="str">
        <f>ChkList!A62</f>
        <v>보안 관리</v>
      </c>
      <c r="B78" s="172" t="str">
        <f>ChkList!B62</f>
        <v>W-58</v>
      </c>
      <c r="C78" s="300" t="str">
        <f>ChkList!C62</f>
        <v>사용자별 홈 디렉터리 권한 설정</v>
      </c>
      <c r="D78" s="301"/>
      <c r="E78" s="302"/>
      <c r="F78" s="170" t="str">
        <f>ChkList!D62</f>
        <v>M</v>
      </c>
      <c r="G78" s="170">
        <f>ChkList!E62</f>
        <v>2</v>
      </c>
      <c r="H78" s="154" t="s">
        <v>100</v>
      </c>
      <c r="I78" s="152" t="s">
        <v>153</v>
      </c>
      <c r="J78" s="29" t="s">
        <v>78</v>
      </c>
      <c r="K78" s="29" t="str">
        <f t="shared" si="3"/>
        <v>N/A</v>
      </c>
      <c r="L78" s="300"/>
      <c r="M78" s="301"/>
      <c r="N78" s="301"/>
      <c r="O78" s="301"/>
      <c r="P78" s="302"/>
      <c r="Q78" s="21" t="str">
        <f>IF($J78="",IF(OR(#REF!="N",#REF!="인터뷰"),ChkList!#REF!,""),IF(OR($J78="N",$J78="인터뷰"),ChkList!#REF!,""))</f>
        <v/>
      </c>
      <c r="R78" s="32">
        <f>IF($H78="N/A",0,VLOOKUP($F78,'parm(hidden)'!$B$8:$C$10,2,FALSE))*1</f>
        <v>2</v>
      </c>
      <c r="S78" s="32">
        <f>IFERROR(VLOOKUP($F78,'parm(hidden)'!$B$8:$C$10,2,FALSE)*VLOOKUP(H78,'parm(hidden)'!$B$15:$C$19,2,FALSE),0)</f>
        <v>0</v>
      </c>
      <c r="T78" s="32">
        <f>IFERROR(VLOOKUP($F78,'parm(hidden)'!$B$8:$C$10,2,FALSE)*VLOOKUP($K78,$V$22:$W$27,2,FALSE),0)</f>
        <v>0</v>
      </c>
      <c r="U78" s="11">
        <f>IF($J78="N/A",0,VLOOKUP($F78,'parm(hidden)'!$B$8:$C$10,2,FALSE))*1</f>
        <v>0</v>
      </c>
      <c r="Y78" s="10"/>
    </row>
    <row r="79" spans="1:25" ht="12" customHeight="1">
      <c r="A79" s="170" t="str">
        <f>ChkList!A63</f>
        <v>보안 관리</v>
      </c>
      <c r="B79" s="172" t="str">
        <f>ChkList!B63</f>
        <v>W-59</v>
      </c>
      <c r="C79" s="300" t="str">
        <f>ChkList!C63</f>
        <v>LAN Manager 인증 수준</v>
      </c>
      <c r="D79" s="301"/>
      <c r="E79" s="302"/>
      <c r="F79" s="170" t="str">
        <f>ChkList!D63</f>
        <v>M</v>
      </c>
      <c r="G79" s="170">
        <f>ChkList!E63</f>
        <v>2</v>
      </c>
      <c r="H79" s="154" t="s">
        <v>100</v>
      </c>
      <c r="I79" s="152" t="s">
        <v>164</v>
      </c>
      <c r="J79" s="29" t="s">
        <v>88</v>
      </c>
      <c r="K79" s="29" t="str">
        <f t="shared" si="3"/>
        <v>조치</v>
      </c>
      <c r="L79" s="300"/>
      <c r="M79" s="301"/>
      <c r="N79" s="301"/>
      <c r="O79" s="301"/>
      <c r="P79" s="302"/>
      <c r="Q79" s="21" t="str">
        <f>IF($J79="",IF(OR(#REF!="N",#REF!="인터뷰"),ChkList!#REF!,""),IF(OR($J79="N",$J79="인터뷰"),ChkList!#REF!,""))</f>
        <v/>
      </c>
      <c r="R79" s="32">
        <f>IF($H79="N/A",0,VLOOKUP($F79,'parm(hidden)'!$B$8:$C$10,2,FALSE))*1</f>
        <v>2</v>
      </c>
      <c r="S79" s="32">
        <f>IFERROR(VLOOKUP($F79,'parm(hidden)'!$B$8:$C$10,2,FALSE)*VLOOKUP(H79,'parm(hidden)'!$B$15:$C$19,2,FALSE),0)</f>
        <v>0</v>
      </c>
      <c r="T79" s="32">
        <f>IFERROR(VLOOKUP($F79,'parm(hidden)'!$B$8:$C$10,2,FALSE)*VLOOKUP($K79,$V$22:$W$27,2,FALSE),0)</f>
        <v>2</v>
      </c>
      <c r="U79" s="11">
        <f>IF($J79="N/A",0,VLOOKUP($F79,'parm(hidden)'!$B$8:$C$10,2,FALSE))*1</f>
        <v>2</v>
      </c>
      <c r="Y79" s="10"/>
    </row>
    <row r="80" spans="1:25" ht="12" customHeight="1">
      <c r="A80" s="170" t="str">
        <f>ChkList!A64</f>
        <v>보안 관리</v>
      </c>
      <c r="B80" s="172" t="str">
        <f>ChkList!B64</f>
        <v>W-60</v>
      </c>
      <c r="C80" s="300" t="str">
        <f>ChkList!C64</f>
        <v>보안 채널 데이터 디지털 암호화 또는 서명</v>
      </c>
      <c r="D80" s="301"/>
      <c r="E80" s="302"/>
      <c r="F80" s="170" t="str">
        <f>ChkList!D64</f>
        <v>M</v>
      </c>
      <c r="G80" s="170">
        <f>ChkList!E64</f>
        <v>2</v>
      </c>
      <c r="H80" s="29" t="s">
        <v>88</v>
      </c>
      <c r="I80" s="153" t="s">
        <v>66</v>
      </c>
      <c r="J80" s="29" t="s">
        <v>88</v>
      </c>
      <c r="K80" s="29" t="str">
        <f t="shared" si="3"/>
        <v>Y</v>
      </c>
      <c r="L80" s="300"/>
      <c r="M80" s="301"/>
      <c r="N80" s="301"/>
      <c r="O80" s="301"/>
      <c r="P80" s="302"/>
      <c r="Q80" s="21" t="str">
        <f>IF($J80="",IF(OR(#REF!="N",#REF!="인터뷰"),ChkList!#REF!,""),IF(OR($J80="N",$J80="인터뷰"),ChkList!#REF!,""))</f>
        <v/>
      </c>
      <c r="R80" s="32">
        <f>IF($H80="N/A",0,VLOOKUP($F80,'parm(hidden)'!$B$8:$C$10,2,FALSE))*1</f>
        <v>2</v>
      </c>
      <c r="S80" s="32">
        <f>IFERROR(VLOOKUP($F80,'parm(hidden)'!$B$8:$C$10,2,FALSE)*VLOOKUP(H80,'parm(hidden)'!$B$15:$C$19,2,FALSE),0)</f>
        <v>2</v>
      </c>
      <c r="T80" s="32">
        <f>IFERROR(VLOOKUP($F80,'parm(hidden)'!$B$8:$C$10,2,FALSE)*VLOOKUP($K80,$V$22:$W$27,2,FALSE),0)</f>
        <v>2</v>
      </c>
      <c r="U80" s="11">
        <f>IF($J80="N/A",0,VLOOKUP($F80,'parm(hidden)'!$B$8:$C$10,2,FALSE))*1</f>
        <v>2</v>
      </c>
      <c r="Y80" s="10"/>
    </row>
    <row r="81" spans="1:25" ht="12" customHeight="1">
      <c r="A81" s="170" t="str">
        <f>ChkList!A65</f>
        <v>보안 관리</v>
      </c>
      <c r="B81" s="172" t="str">
        <f>ChkList!B65</f>
        <v>W-61</v>
      </c>
      <c r="C81" s="300" t="str">
        <f>ChkList!C65</f>
        <v>파일 및 디렉토리 보호</v>
      </c>
      <c r="D81" s="301"/>
      <c r="E81" s="302"/>
      <c r="F81" s="170" t="str">
        <f>ChkList!D65</f>
        <v>M</v>
      </c>
      <c r="G81" s="170">
        <f>ChkList!E65</f>
        <v>2</v>
      </c>
      <c r="H81" s="157" t="s">
        <v>88</v>
      </c>
      <c r="I81" s="153" t="s">
        <v>168</v>
      </c>
      <c r="J81" s="29" t="s">
        <v>88</v>
      </c>
      <c r="K81" s="29" t="str">
        <f t="shared" si="3"/>
        <v>Y</v>
      </c>
      <c r="L81" s="300"/>
      <c r="M81" s="301"/>
      <c r="N81" s="301"/>
      <c r="O81" s="301"/>
      <c r="P81" s="302"/>
      <c r="Q81" s="21" t="str">
        <f>IF($J81="",IF(OR(#REF!="N",#REF!="인터뷰"),ChkList!#REF!,""),IF(OR($J81="N",$J81="인터뷰"),ChkList!#REF!,""))</f>
        <v/>
      </c>
      <c r="R81" s="32">
        <f>IF($H81="N/A",0,VLOOKUP($F81,'parm(hidden)'!$B$8:$C$10,2,FALSE))*1</f>
        <v>2</v>
      </c>
      <c r="S81" s="32">
        <f>IFERROR(VLOOKUP($F81,'parm(hidden)'!$B$8:$C$10,2,FALSE)*VLOOKUP(H81,'parm(hidden)'!$B$15:$C$19,2,FALSE),0)</f>
        <v>2</v>
      </c>
      <c r="T81" s="32">
        <f>IFERROR(VLOOKUP($F81,'parm(hidden)'!$B$8:$C$10,2,FALSE)*VLOOKUP($K81,$V$22:$W$27,2,FALSE),0)</f>
        <v>2</v>
      </c>
      <c r="U81" s="11">
        <f>IF($J81="N/A",0,VLOOKUP($F81,'parm(hidden)'!$B$8:$C$10,2,FALSE))*1</f>
        <v>2</v>
      </c>
      <c r="Y81" s="10"/>
    </row>
    <row r="82" spans="1:25" ht="12" customHeight="1">
      <c r="A82" s="170" t="str">
        <f>ChkList!A66</f>
        <v>보안 관리</v>
      </c>
      <c r="B82" s="172" t="str">
        <f>ChkList!B66</f>
        <v>W-62</v>
      </c>
      <c r="C82" s="300" t="str">
        <f>ChkList!C66</f>
        <v>시작 프로그램 목록 분석</v>
      </c>
      <c r="D82" s="301"/>
      <c r="E82" s="302"/>
      <c r="F82" s="170" t="str">
        <f>ChkList!D66</f>
        <v>M</v>
      </c>
      <c r="G82" s="170">
        <f>ChkList!E66</f>
        <v>2</v>
      </c>
      <c r="H82" s="156" t="s">
        <v>100</v>
      </c>
      <c r="I82" s="152" t="s">
        <v>31</v>
      </c>
      <c r="J82" s="29" t="s">
        <v>88</v>
      </c>
      <c r="K82" s="29" t="str">
        <f t="shared" si="3"/>
        <v>조치</v>
      </c>
      <c r="L82" s="300"/>
      <c r="M82" s="301"/>
      <c r="N82" s="301"/>
      <c r="O82" s="301"/>
      <c r="P82" s="302"/>
      <c r="Q82" s="21" t="str">
        <f>IF($J82="",IF(OR(#REF!="N",#REF!="인터뷰"),ChkList!#REF!,""),IF(OR($J82="N",$J82="인터뷰"),ChkList!#REF!,""))</f>
        <v/>
      </c>
      <c r="R82" s="32">
        <f>IF($H82="N/A",0,VLOOKUP($F82,'parm(hidden)'!$B$8:$C$10,2,FALSE))*1</f>
        <v>2</v>
      </c>
      <c r="S82" s="32">
        <f>IFERROR(VLOOKUP($F82,'parm(hidden)'!$B$8:$C$10,2,FALSE)*VLOOKUP(H82,'parm(hidden)'!$B$15:$C$19,2,FALSE),0)</f>
        <v>0</v>
      </c>
      <c r="T82" s="32">
        <f>IFERROR(VLOOKUP($F82,'parm(hidden)'!$B$8:$C$10,2,FALSE)*VLOOKUP($K82,$V$22:$W$27,2,FALSE),0)</f>
        <v>2</v>
      </c>
      <c r="U82" s="11">
        <f>IF($J82="N/A",0,VLOOKUP($F82,'parm(hidden)'!$B$8:$C$10,2,FALSE))*1</f>
        <v>2</v>
      </c>
      <c r="Y82" s="10"/>
    </row>
    <row r="83" spans="1:25" ht="12" customHeight="1">
      <c r="A83" s="170" t="str">
        <f>ChkList!A67</f>
        <v>보안 관리</v>
      </c>
      <c r="B83" s="172" t="str">
        <f>ChkList!B67</f>
        <v>W-63</v>
      </c>
      <c r="C83" s="300" t="str">
        <f>ChkList!C67</f>
        <v>도메인 컨트롤러-사용자의 시간 동기화</v>
      </c>
      <c r="D83" s="301"/>
      <c r="E83" s="302"/>
      <c r="F83" s="170" t="str">
        <f>ChkList!D67</f>
        <v>M</v>
      </c>
      <c r="G83" s="170">
        <f>ChkList!E67</f>
        <v>2</v>
      </c>
      <c r="H83" s="29" t="s">
        <v>88</v>
      </c>
      <c r="I83" s="153" t="s">
        <v>22</v>
      </c>
      <c r="J83" s="29" t="s">
        <v>88</v>
      </c>
      <c r="K83" s="29" t="str">
        <f t="shared" si="3"/>
        <v>Y</v>
      </c>
      <c r="L83" s="300"/>
      <c r="M83" s="301"/>
      <c r="N83" s="301"/>
      <c r="O83" s="301"/>
      <c r="P83" s="302"/>
      <c r="Q83" s="21" t="str">
        <f>IF($J83="",IF(OR(#REF!="N",#REF!="인터뷰"),ChkList!#REF!,""),IF(OR($J83="N",$J83="인터뷰"),ChkList!#REF!,""))</f>
        <v/>
      </c>
      <c r="R83" s="32">
        <f>IF($H83="N/A",0,VLOOKUP($F83,'parm(hidden)'!$B$8:$C$10,2,FALSE))*1</f>
        <v>2</v>
      </c>
      <c r="S83" s="32">
        <f>IFERROR(VLOOKUP($F83,'parm(hidden)'!$B$8:$C$10,2,FALSE)*VLOOKUP(H83,'parm(hidden)'!$B$15:$C$19,2,FALSE),0)</f>
        <v>2</v>
      </c>
      <c r="T83" s="32">
        <f>IFERROR(VLOOKUP($F83,'parm(hidden)'!$B$8:$C$10,2,FALSE)*VLOOKUP($K83,$V$22:$W$27,2,FALSE),0)</f>
        <v>2</v>
      </c>
      <c r="U83" s="11">
        <f>IF($J83="N/A",0,VLOOKUP($F83,'parm(hidden)'!$B$8:$C$10,2,FALSE))*1</f>
        <v>2</v>
      </c>
      <c r="Y83" s="10"/>
    </row>
    <row r="84" spans="1:25" ht="12" customHeight="1">
      <c r="A84" s="170" t="str">
        <f>ChkList!A68</f>
        <v>보안 관리</v>
      </c>
      <c r="B84" s="172" t="str">
        <f>ChkList!B68</f>
        <v>W-64</v>
      </c>
      <c r="C84" s="300" t="str">
        <f>ChkList!C68</f>
        <v>윈도우 방화벽 설정</v>
      </c>
      <c r="D84" s="301"/>
      <c r="E84" s="302"/>
      <c r="F84" s="170" t="str">
        <f>ChkList!D68</f>
        <v>M</v>
      </c>
      <c r="G84" s="170">
        <f>ChkList!E68</f>
        <v>2</v>
      </c>
      <c r="H84" s="156" t="s">
        <v>100</v>
      </c>
      <c r="I84" s="152" t="s">
        <v>64</v>
      </c>
      <c r="J84" s="29" t="s">
        <v>88</v>
      </c>
      <c r="K84" s="29" t="str">
        <f t="shared" si="3"/>
        <v>조치</v>
      </c>
      <c r="L84" s="300"/>
      <c r="M84" s="301"/>
      <c r="N84" s="301"/>
      <c r="O84" s="301"/>
      <c r="P84" s="302"/>
      <c r="Q84" s="21" t="str">
        <f>IF($J84="",IF(OR(#REF!="N",#REF!="인터뷰"),ChkList!#REF!,""),IF(OR($J84="N",$J84="인터뷰"),ChkList!#REF!,""))</f>
        <v/>
      </c>
      <c r="R84" s="32">
        <f>IF($H84="N/A",0,VLOOKUP($F84,'parm(hidden)'!$B$8:$C$10,2,FALSE))*1</f>
        <v>2</v>
      </c>
      <c r="S84" s="32">
        <f>IFERROR(VLOOKUP($F84,'parm(hidden)'!$B$8:$C$10,2,FALSE)*VLOOKUP(H84,'parm(hidden)'!$B$15:$C$19,2,FALSE),0)</f>
        <v>0</v>
      </c>
      <c r="T84" s="32">
        <f>IFERROR(VLOOKUP($F84,'parm(hidden)'!$B$8:$C$10,2,FALSE)*VLOOKUP($K84,$V$22:$W$27,2,FALSE),0)</f>
        <v>2</v>
      </c>
      <c r="U84" s="11">
        <f>IF($J84="N/A",0,VLOOKUP($F84,'parm(hidden)'!$B$8:$C$10,2,FALSE))*1</f>
        <v>2</v>
      </c>
      <c r="Y84" s="10"/>
    </row>
  </sheetData>
  <mergeCells count="164">
    <mergeCell ref="C83:E83"/>
    <mergeCell ref="L83:P83"/>
    <mergeCell ref="C84:E84"/>
    <mergeCell ref="L84:P84"/>
    <mergeCell ref="C78:E78"/>
    <mergeCell ref="L78:P78"/>
    <mergeCell ref="C79:E79"/>
    <mergeCell ref="L79:P79"/>
    <mergeCell ref="C80:E80"/>
    <mergeCell ref="L80:P80"/>
    <mergeCell ref="C81:E81"/>
    <mergeCell ref="L81:P81"/>
    <mergeCell ref="C82:E82"/>
    <mergeCell ref="L82:P82"/>
    <mergeCell ref="C73:E73"/>
    <mergeCell ref="L73:P73"/>
    <mergeCell ref="C74:E74"/>
    <mergeCell ref="L74:P74"/>
    <mergeCell ref="C75:E75"/>
    <mergeCell ref="L75:P75"/>
    <mergeCell ref="C76:E76"/>
    <mergeCell ref="L76:P76"/>
    <mergeCell ref="C77:E77"/>
    <mergeCell ref="L77:P77"/>
    <mergeCell ref="C68:E68"/>
    <mergeCell ref="L68:P68"/>
    <mergeCell ref="C69:E69"/>
    <mergeCell ref="L69:P69"/>
    <mergeCell ref="C70:E70"/>
    <mergeCell ref="L70:P70"/>
    <mergeCell ref="C71:E71"/>
    <mergeCell ref="L71:P71"/>
    <mergeCell ref="C72:E72"/>
    <mergeCell ref="L72:P72"/>
    <mergeCell ref="C63:E63"/>
    <mergeCell ref="L63:P63"/>
    <mergeCell ref="C64:E64"/>
    <mergeCell ref="L64:P64"/>
    <mergeCell ref="C65:E65"/>
    <mergeCell ref="L65:P65"/>
    <mergeCell ref="C66:E66"/>
    <mergeCell ref="L66:P66"/>
    <mergeCell ref="C67:E67"/>
    <mergeCell ref="L67:P67"/>
    <mergeCell ref="C58:E58"/>
    <mergeCell ref="L58:P58"/>
    <mergeCell ref="C59:E59"/>
    <mergeCell ref="L59:P59"/>
    <mergeCell ref="C60:E60"/>
    <mergeCell ref="L60:P60"/>
    <mergeCell ref="C61:E61"/>
    <mergeCell ref="L61:P61"/>
    <mergeCell ref="C62:E62"/>
    <mergeCell ref="L62:P62"/>
    <mergeCell ref="C53:E53"/>
    <mergeCell ref="L53:P53"/>
    <mergeCell ref="C54:E54"/>
    <mergeCell ref="L54:P54"/>
    <mergeCell ref="C55:E55"/>
    <mergeCell ref="L55:P55"/>
    <mergeCell ref="C56:E56"/>
    <mergeCell ref="L56:P56"/>
    <mergeCell ref="C57:E57"/>
    <mergeCell ref="L57:P57"/>
    <mergeCell ref="C48:E48"/>
    <mergeCell ref="L48:P48"/>
    <mergeCell ref="C49:E49"/>
    <mergeCell ref="L49:P49"/>
    <mergeCell ref="C50:E50"/>
    <mergeCell ref="L50:P50"/>
    <mergeCell ref="C51:E51"/>
    <mergeCell ref="L51:P51"/>
    <mergeCell ref="C52:E52"/>
    <mergeCell ref="L52:P52"/>
    <mergeCell ref="C43:E43"/>
    <mergeCell ref="L43:P43"/>
    <mergeCell ref="C44:E44"/>
    <mergeCell ref="L44:P44"/>
    <mergeCell ref="C45:E45"/>
    <mergeCell ref="L45:P45"/>
    <mergeCell ref="C46:E46"/>
    <mergeCell ref="L46:P46"/>
    <mergeCell ref="C47:E47"/>
    <mergeCell ref="L47:P47"/>
    <mergeCell ref="C38:E38"/>
    <mergeCell ref="L38:P38"/>
    <mergeCell ref="C39:E39"/>
    <mergeCell ref="L39:P39"/>
    <mergeCell ref="C40:E40"/>
    <mergeCell ref="L40:P40"/>
    <mergeCell ref="C41:E41"/>
    <mergeCell ref="L41:P41"/>
    <mergeCell ref="C42:E42"/>
    <mergeCell ref="L42:P42"/>
    <mergeCell ref="C33:E33"/>
    <mergeCell ref="L33:P33"/>
    <mergeCell ref="C34:E34"/>
    <mergeCell ref="L34:P34"/>
    <mergeCell ref="C35:E35"/>
    <mergeCell ref="L35:P35"/>
    <mergeCell ref="C36:E36"/>
    <mergeCell ref="L36:P36"/>
    <mergeCell ref="C37:E37"/>
    <mergeCell ref="L37:P37"/>
    <mergeCell ref="C28:E28"/>
    <mergeCell ref="L28:P28"/>
    <mergeCell ref="C29:E29"/>
    <mergeCell ref="L29:P29"/>
    <mergeCell ref="C30:E30"/>
    <mergeCell ref="L30:P30"/>
    <mergeCell ref="C31:E31"/>
    <mergeCell ref="L31:P31"/>
    <mergeCell ref="C32:E32"/>
    <mergeCell ref="L32:P32"/>
    <mergeCell ref="C23:E23"/>
    <mergeCell ref="L23:P23"/>
    <mergeCell ref="C24:E24"/>
    <mergeCell ref="L24:P24"/>
    <mergeCell ref="C25:E25"/>
    <mergeCell ref="L25:P25"/>
    <mergeCell ref="C26:E26"/>
    <mergeCell ref="L26:P26"/>
    <mergeCell ref="C27:E27"/>
    <mergeCell ref="L27:P27"/>
    <mergeCell ref="A20:B20"/>
    <mergeCell ref="C20:E20"/>
    <mergeCell ref="F20:G20"/>
    <mergeCell ref="L20:P20"/>
    <mergeCell ref="V20:W20"/>
    <mergeCell ref="C21:E21"/>
    <mergeCell ref="L21:P21"/>
    <mergeCell ref="C22:E22"/>
    <mergeCell ref="L22:P22"/>
    <mergeCell ref="A10:C11"/>
    <mergeCell ref="D10:H10"/>
    <mergeCell ref="I10:I11"/>
    <mergeCell ref="J10:O10"/>
    <mergeCell ref="R10:U10"/>
    <mergeCell ref="V10:Y10"/>
    <mergeCell ref="V11:W11"/>
    <mergeCell ref="A12:C12"/>
    <mergeCell ref="I12:I17"/>
    <mergeCell ref="V12:W12"/>
    <mergeCell ref="A13:C13"/>
    <mergeCell ref="V13:W13"/>
    <mergeCell ref="A14:C14"/>
    <mergeCell ref="V14:W14"/>
    <mergeCell ref="A15:C15"/>
    <mergeCell ref="V15:W15"/>
    <mergeCell ref="A16:C16"/>
    <mergeCell ref="V16:W16"/>
    <mergeCell ref="A17:C17"/>
    <mergeCell ref="V17:W17"/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  <mergeCell ref="F6:G6"/>
  </mergeCells>
  <phoneticPr fontId="27" type="noConversion"/>
  <conditionalFormatting sqref="H21:H66">
    <cfRule type="cellIs" dxfId="34" priority="3" operator="equal">
      <formula>"취약"</formula>
    </cfRule>
    <cfRule type="cellIs" priority="4" operator="equal">
      <formula>"양호"</formula>
    </cfRule>
  </conditionalFormatting>
  <conditionalFormatting sqref="H68:H71">
    <cfRule type="cellIs" dxfId="33" priority="228" operator="equal">
      <formula>"취약"</formula>
    </cfRule>
    <cfRule type="cellIs" priority="229" operator="equal">
      <formula>"양호"</formula>
    </cfRule>
  </conditionalFormatting>
  <conditionalFormatting sqref="H78:H79">
    <cfRule type="cellIs" dxfId="32" priority="224" operator="equal">
      <formula>"취약"</formula>
    </cfRule>
    <cfRule type="cellIs" priority="225" operator="equal">
      <formula>"양호"</formula>
    </cfRule>
  </conditionalFormatting>
  <conditionalFormatting sqref="H81">
    <cfRule type="cellIs" dxfId="31" priority="222" operator="equal">
      <formula>"취약"</formula>
    </cfRule>
    <cfRule type="cellIs" priority="223" operator="equal">
      <formula>"양호"</formula>
    </cfRule>
  </conditionalFormatting>
  <conditionalFormatting sqref="J21:L21 J22:K58 J59:L84">
    <cfRule type="cellIs" dxfId="28" priority="273" stopIfTrue="1" operator="equal">
      <formula>"인터뷰"</formula>
    </cfRule>
    <cfRule type="cellIs" dxfId="27" priority="274" stopIfTrue="1" operator="equal">
      <formula>"R/A"</formula>
    </cfRule>
    <cfRule type="cellIs" dxfId="26" priority="275" stopIfTrue="1" operator="equal">
      <formula>"N/A"</formula>
    </cfRule>
    <cfRule type="cellIs" dxfId="25" priority="276" stopIfTrue="1" operator="equal">
      <formula>"N"</formula>
    </cfRule>
    <cfRule type="expression" dxfId="24" priority="277">
      <formula>OR(IF(J21=0,1,0),IF(J21="-",1,0))</formula>
    </cfRule>
  </conditionalFormatting>
  <conditionalFormatting sqref="K21:K84">
    <cfRule type="cellIs" dxfId="23" priority="270" operator="equal">
      <formula>"위험수용"</formula>
    </cfRule>
    <cfRule type="cellIs" dxfId="22" priority="271" operator="equal">
      <formula>"미조치"</formula>
    </cfRule>
    <cfRule type="cellIs" dxfId="21" priority="272" operator="equal">
      <formula>"조치"</formula>
    </cfRule>
  </conditionalFormatting>
  <conditionalFormatting sqref="L22:L58">
    <cfRule type="cellIs" dxfId="20" priority="33" stopIfTrue="1" operator="equal">
      <formula>"인터뷰"</formula>
    </cfRule>
    <cfRule type="cellIs" dxfId="19" priority="34" stopIfTrue="1" operator="equal">
      <formula>"R/A"</formula>
    </cfRule>
    <cfRule type="cellIs" dxfId="18" priority="35" stopIfTrue="1" operator="equal">
      <formula>"N/A"</formula>
    </cfRule>
    <cfRule type="cellIs" dxfId="17" priority="36" stopIfTrue="1" operator="equal">
      <formula>"N"</formula>
    </cfRule>
    <cfRule type="expression" dxfId="16" priority="37">
      <formula>OR(IF(L22=0,1,0),IF(L22="-",1,0))</formula>
    </cfRule>
  </conditionalFormatting>
  <conditionalFormatting sqref="V28:W60">
    <cfRule type="cellIs" dxfId="15" priority="9" operator="equal">
      <formula>"신규 취약점(즉시조치)"</formula>
    </cfRule>
    <cfRule type="cellIs" dxfId="14" priority="10" operator="equal">
      <formula>"기존 취약점(즉시조치)"</formula>
    </cfRule>
    <cfRule type="cellIs" dxfId="13" priority="11" operator="equal">
      <formula>"기존 취약점"</formula>
    </cfRule>
    <cfRule type="cellIs" dxfId="12" priority="12" operator="equal">
      <formula>"신규 취약점"</formula>
    </cfRule>
    <cfRule type="cellIs" dxfId="11" priority="13" operator="equal">
      <formula>"확인필요"</formula>
    </cfRule>
    <cfRule type="cellIs" dxfId="10" priority="14" operator="equal">
      <formula>"확인필요"</formula>
    </cfRule>
    <cfRule type="cellIs" dxfId="9" priority="15" operator="equal">
      <formula>"신규취약점"</formula>
    </cfRule>
    <cfRule type="cellIs" dxfId="8" priority="16" operator="equal">
      <formula>"조치완료"</formula>
    </cfRule>
  </conditionalFormatting>
  <conditionalFormatting sqref="Y21:Y84">
    <cfRule type="cellIs" dxfId="7" priority="571" operator="equal">
      <formula>"신규 취약점(즉시조치)"</formula>
    </cfRule>
    <cfRule type="cellIs" dxfId="6" priority="572" operator="equal">
      <formula>"기존 취약점(즉시조치)"</formula>
    </cfRule>
    <cfRule type="cellIs" dxfId="5" priority="573" operator="equal">
      <formula>"기존 취약점"</formula>
    </cfRule>
    <cfRule type="cellIs" dxfId="4" priority="574" operator="equal">
      <formula>"신규 취약점"</formula>
    </cfRule>
    <cfRule type="cellIs" dxfId="3" priority="575" operator="equal">
      <formula>"확인필요"</formula>
    </cfRule>
    <cfRule type="cellIs" dxfId="2" priority="576" operator="equal">
      <formula>"확인필요"</formula>
    </cfRule>
    <cfRule type="cellIs" dxfId="1" priority="577" operator="equal">
      <formula>"신규취약점"</formula>
    </cfRule>
    <cfRule type="cellIs" dxfId="0" priority="578" operator="equal">
      <formula>"조치완료"</formula>
    </cfRule>
  </conditionalFormatting>
  <dataValidations count="4">
    <dataValidation allowBlank="1" showInputMessage="1" showErrorMessage="1" errorTitle="오류!" error="Y, N, N/A 중에 선택" sqref="L21:L84"/>
    <dataValidation type="list" errorStyle="warning" showInputMessage="1" showErrorMessage="1" errorTitle="오류!" error="Y, N, N/A 중에 선택" sqref="J21:J84">
      <formula1>"Y,N,N/A,인터뷰,Y(즉시조치)"</formula1>
    </dataValidation>
    <dataValidation errorStyle="warning" allowBlank="1" showInputMessage="1" showErrorMessage="1" sqref="K21:K84"/>
    <dataValidation type="list" errorStyle="warning" allowBlank="1" showInputMessage="1" showErrorMessage="1" errorTitle="오류!" error="Y, N, N/A 중에 선택" sqref="H21:H84">
      <formula1>"Y,N,N/A,인터뷰,Y(즉시조치)"</formula1>
    </dataValidation>
  </dataValidations>
  <printOptions horizontalCentered="1"/>
  <pageMargins left="0.39347222447395325" right="0.39347222447395325" top="0.59041666984558105" bottom="0.59041666984558105" header="0.39347222447395325" footer="0.39347222447395325"/>
  <pageSetup paperSize="9" scale="29" fitToHeight="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1494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12</vt:i4>
      </vt:variant>
      <vt:variant>
        <vt:lpstr>이름이 지정된 범위</vt:lpstr>
      </vt:variant>
      <vt:variant>
        <vt:i4>13</vt:i4>
      </vt:variant>
    </vt:vector>
  </HeadingPairs>
  <TitlesOfParts>
    <vt:vector size="25" baseType="lpstr">
      <vt:lpstr>표지</vt:lpstr>
      <vt:lpstr>자산목록</vt:lpstr>
      <vt:lpstr>parm(hidden)</vt:lpstr>
      <vt:lpstr>ChkList</vt:lpstr>
      <vt:lpstr>취약점 진단 통계</vt:lpstr>
      <vt:lpstr>취약점 진단 통계 (이행)</vt:lpstr>
      <vt:lpstr>취약점 진단 항목별 통계</vt:lpstr>
      <vt:lpstr>취약점 진단 항목별 통계 (이행)</vt:lpstr>
      <vt:lpstr>DHCP_HQ_Win</vt:lpstr>
      <vt:lpstr>DNS_HQ_Win</vt:lpstr>
      <vt:lpstr>DHCP_BR_Win</vt:lpstr>
      <vt:lpstr>DNS_BR_Win</vt:lpstr>
      <vt:lpstr>ChkList!Print_Area</vt:lpstr>
      <vt:lpstr>DHCP_BR_Win!Print_Area</vt:lpstr>
      <vt:lpstr>DHCP_HQ_Win!Print_Area</vt:lpstr>
      <vt:lpstr>DNS_BR_Win!Print_Area</vt:lpstr>
      <vt:lpstr>DNS_HQ_Win!Print_Area</vt:lpstr>
      <vt:lpstr>자산목록!Print_Area</vt:lpstr>
      <vt:lpstr>'취약점 진단 통계'!Print_Area</vt:lpstr>
      <vt:lpstr>'취약점 진단 통계 (이행)'!Print_Area</vt:lpstr>
      <vt:lpstr>'취약점 진단 항목별 통계'!Print_Area</vt:lpstr>
      <vt:lpstr>'취약점 진단 항목별 통계 (이행)'!Print_Area</vt:lpstr>
      <vt:lpstr>표지!Print_Area</vt:lpstr>
      <vt:lpstr>'취약점 진단 항목별 통계'!Print_Titles</vt:lpstr>
      <vt:lpstr>'취약점 진단 항목별 통계 (이행)'!Print_Titles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사용자</cp:lastModifiedBy>
  <cp:revision>43</cp:revision>
  <dcterms:created xsi:type="dcterms:W3CDTF">2005-07-28T00:20:00Z</dcterms:created>
  <dcterms:modified xsi:type="dcterms:W3CDTF">2026-06-29T09:35:18Z</dcterms:modified>
  <cp:version>1300.0100.01</cp:version>
</cp:coreProperties>
</file>
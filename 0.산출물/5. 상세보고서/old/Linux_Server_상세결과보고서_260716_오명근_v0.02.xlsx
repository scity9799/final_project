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omments6.xml" ContentType="application/vnd.openxmlformats-officedocument.spreadsheetml.comments+xml"/>
  <Override PartName="/xl/charts/chart8.xml" ContentType="application/vnd.openxmlformats-officedocument.drawingml.chart+xml"/>
  <Override PartName="/xl/drawings/drawing11.xml" ContentType="application/vnd.openxmlformats-officedocument.drawing+xml"/>
  <Override PartName="/xl/comments7.xml" ContentType="application/vnd.openxmlformats-officedocument.spreadsheetml.comments+xml"/>
  <Override PartName="/xl/charts/chart9.xml" ContentType="application/vnd.openxmlformats-officedocument.drawingml.chart+xml"/>
  <Override PartName="/xl/drawings/drawing12.xml" ContentType="application/vnd.openxmlformats-officedocument.drawing+xml"/>
  <Override PartName="/xl/comments8.xml" ContentType="application/vnd.openxmlformats-officedocument.spreadsheetml.comments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omments9.xml" ContentType="application/vnd.openxmlformats-officedocument.spreadsheetml.comments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omments10.xml" ContentType="application/vnd.openxmlformats-officedocument.spreadsheetml.comments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secure_0900\final_project\final_project\0.산출물\5. 상세보고서\"/>
    </mc:Choice>
  </mc:AlternateContent>
  <bookViews>
    <workbookView xWindow="-105" yWindow="-105" windowWidth="25815" windowHeight="15495" tabRatio="852" firstSheet="7" activeTab="13"/>
  </bookViews>
  <sheets>
    <sheet name="표지" sheetId="1" r:id="rId1"/>
    <sheet name="자산목록" sheetId="2" r:id="rId2"/>
    <sheet name="parm(hidden)" sheetId="3" r:id="rId3"/>
    <sheet name="ChkList" sheetId="4" r:id="rId4"/>
    <sheet name="취약점 진단 통계" sheetId="5" r:id="rId5"/>
    <sheet name="취약점 진단 통계 (이행)" sheetId="6" r:id="rId6"/>
    <sheet name="취약점 진단 항목별 통계" sheetId="7" r:id="rId7"/>
    <sheet name="취약점 진단 항목별 통계 (이행)" sheetId="8" r:id="rId8"/>
    <sheet name="WEB-HQ-Ubuntu" sheetId="9" r:id="rId9"/>
    <sheet name="LOG_HQ_Rocky" sheetId="11" r:id="rId10"/>
    <sheet name="DB_HQ_Rocky" sheetId="12" r:id="rId11"/>
    <sheet name="BDB_HQ_Rocky" sheetId="13" r:id="rId12"/>
    <sheet name="BLOG_HQ_Rocky" sheetId="18" r:id="rId13"/>
    <sheet name="PHP_BR_Rocky" sheetId="19" r:id="rId14"/>
    <sheet name="LOG_BR_Rocky" sheetId="20" r:id="rId15"/>
    <sheet name="DB_BR_Rocky" sheetId="14" r:id="rId16"/>
    <sheet name="BDB_BR_Rocky" sheetId="22" r:id="rId17"/>
    <sheet name="BLOG_BR_Rocky" sheetId="21" r:id="rId18"/>
  </sheets>
  <externalReferences>
    <externalReference r:id="rId19"/>
  </externalReferences>
  <definedNames>
    <definedName name="_10월_변동내역_메모_확인">#REF!</definedName>
    <definedName name="_xlnm._FilterDatabase" localSheetId="3" hidden="1">ChkList!$A$4:$F$4</definedName>
    <definedName name="_Order1">255</definedName>
    <definedName name="_Order2">255</definedName>
    <definedName name="asd">#REF!</definedName>
    <definedName name="HTML_CodePage">949</definedName>
    <definedName name="HTML_Control">{"'손익현황'!$A$1:$J$29"}</definedName>
    <definedName name="HTML_Description">""</definedName>
    <definedName name="HTML_Email">""</definedName>
    <definedName name="HTML_Header">"손익현황"</definedName>
    <definedName name="HTML_LastUpdate">"99-04-13"</definedName>
    <definedName name="HTML_LineAfter">FALSE</definedName>
    <definedName name="HTML_LineBefore">FALSE</definedName>
    <definedName name="HTML_Name">"윤찬영"</definedName>
    <definedName name="HTML_OBDlg2">TRUE</definedName>
    <definedName name="HTML_OBDlg4">TRUE</definedName>
    <definedName name="HTML_OS">0</definedName>
    <definedName name="HTML_PathFile">"C:\d7100\MyHTML.htm"</definedName>
    <definedName name="HTML_Title">"결산요약보고3월"</definedName>
    <definedName name="MPLS">#REF!</definedName>
    <definedName name="MPLS2">#REF!</definedName>
    <definedName name="MPLSLine">#REF!</definedName>
    <definedName name="N_A">#REF!</definedName>
    <definedName name="O">#REF!</definedName>
    <definedName name="P">#REF!</definedName>
    <definedName name="PC">[1]목록!$T$7:$T$9</definedName>
    <definedName name="_xlnm.Print_Area" localSheetId="16">BDB_BR_Rocky!$A$1:$Q$87</definedName>
    <definedName name="_xlnm.Print_Area" localSheetId="11">BDB_HQ_Rocky!$A$1:$Q$87</definedName>
    <definedName name="_xlnm.Print_Area" localSheetId="17">BLOG_BR_Rocky!$A$1:$Q$87</definedName>
    <definedName name="_xlnm.Print_Area" localSheetId="12">BLOG_HQ_Rocky!$A$1:$Q$87</definedName>
    <definedName name="_xlnm.Print_Area" localSheetId="3">ChkList!$A$1:$E$71</definedName>
    <definedName name="_xlnm.Print_Area" localSheetId="15">DB_BR_Rocky!$A$1:$Q$87</definedName>
    <definedName name="_xlnm.Print_Area" localSheetId="10">DB_HQ_Rocky!$A$1:$Q$87</definedName>
    <definedName name="_xlnm.Print_Area" localSheetId="14">LOG_BR_Rocky!$A$1:$Q$87</definedName>
    <definedName name="_xlnm.Print_Area" localSheetId="9">LOG_HQ_Rocky!$A$1:$Q$87</definedName>
    <definedName name="_xlnm.Print_Area" localSheetId="13">PHP_BR_Rocky!$A$1:$Q$87</definedName>
    <definedName name="_xlnm.Print_Area" localSheetId="8">'WEB-HQ-Ubuntu'!$A$1:$Q$87</definedName>
    <definedName name="_xlnm.Print_Area" localSheetId="1">자산목록!$A$1:$Q$14</definedName>
    <definedName name="_xlnm.Print_Area" localSheetId="4">'취약점 진단 통계'!$A$1:$L$52</definedName>
    <definedName name="_xlnm.Print_Area" localSheetId="5">'취약점 진단 통계 (이행)'!$A$1:$U$52</definedName>
    <definedName name="_xlnm.Print_Area" localSheetId="6">'취약점 진단 항목별 통계'!$A$1:$Q$72</definedName>
    <definedName name="_xlnm.Print_Area" localSheetId="7">'취약점 진단 항목별 통계 (이행)'!$A$1:$W$72</definedName>
    <definedName name="_xlnm.Print_Area" localSheetId="0">표지!$A$1:$K$14</definedName>
    <definedName name="_xlnm.Print_Titles" localSheetId="6">'취약점 진단 항목별 통계'!$A:$L</definedName>
    <definedName name="_xlnm.Print_Titles" localSheetId="7">'취약점 진단 항목별 통계 (이행)'!$A:$Q</definedName>
    <definedName name="X">#REF!</definedName>
    <definedName name="건물">{"'손익현황'!$A$1:$J$29"}</definedName>
    <definedName name="건물임.">{"'손익현황'!$A$1:$J$29"}</definedName>
    <definedName name="공">{"'손익현황'!$A$1:$J$29"}</definedName>
    <definedName name="공구">{"'손익현황'!$A$1:$J$29"}</definedName>
    <definedName name="공구기구">{"'손익현황'!$A$1:$J$29"}</definedName>
    <definedName name="구">{"'손익현황'!$A$1:$J$29"}</definedName>
    <definedName name="구축물">{"'손익현황'!$A$1:$J$29"}</definedName>
    <definedName name="구축물임">{"'손익현황'!$A$1:$J$29"}</definedName>
    <definedName name="기계장치">{"'손익현황'!$A$1:$J$29"}</definedName>
    <definedName name="기술2팀">#REF!</definedName>
    <definedName name="기준반영">#REF!</definedName>
    <definedName name="네트워크">[1]목록!$R$7:$R$9</definedName>
    <definedName name="담당자">[1]목록!$A$36:$A$66</definedName>
    <definedName name="동의여부">#REF!</definedName>
    <definedName name="보안시스템">[1]목록!$S$7:$S$10</definedName>
    <definedName name="ㅅㅅㅅ">{"'손익현황'!$A$1:$J$29"}</definedName>
    <definedName name="서버">[1]목록!$Q$7:$Q$8</definedName>
    <definedName name="적정성">#REF!</definedName>
    <definedName name="종류">[1]목록!$P$7:$P$10</definedName>
    <definedName name="차량운반구">{"'손익현황'!$A$1:$J$29"}</definedName>
    <definedName name="훈">255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8" l="1"/>
  <c r="B6" i="8"/>
  <c r="C6" i="8"/>
  <c r="D6" i="8"/>
  <c r="E6" i="8"/>
  <c r="A7" i="8"/>
  <c r="B7" i="8"/>
  <c r="C7" i="8"/>
  <c r="D7" i="8"/>
  <c r="E7" i="8"/>
  <c r="A8" i="8"/>
  <c r="B8" i="8"/>
  <c r="C8" i="8"/>
  <c r="D8" i="8"/>
  <c r="E8" i="8"/>
  <c r="A9" i="8"/>
  <c r="B9" i="8"/>
  <c r="C9" i="8"/>
  <c r="D9" i="8"/>
  <c r="E9" i="8"/>
  <c r="A10" i="8"/>
  <c r="B10" i="8"/>
  <c r="C10" i="8"/>
  <c r="D10" i="8"/>
  <c r="E10" i="8"/>
  <c r="A11" i="8"/>
  <c r="B11" i="8"/>
  <c r="C11" i="8"/>
  <c r="D11" i="8"/>
  <c r="E11" i="8"/>
  <c r="A12" i="8"/>
  <c r="B12" i="8"/>
  <c r="C12" i="8"/>
  <c r="D12" i="8"/>
  <c r="E12" i="8"/>
  <c r="A13" i="8"/>
  <c r="B13" i="8"/>
  <c r="C13" i="8"/>
  <c r="D13" i="8"/>
  <c r="E13" i="8"/>
  <c r="A14" i="8"/>
  <c r="B14" i="8"/>
  <c r="C14" i="8"/>
  <c r="D14" i="8"/>
  <c r="E14" i="8"/>
  <c r="A15" i="8"/>
  <c r="B15" i="8"/>
  <c r="C15" i="8"/>
  <c r="D15" i="8"/>
  <c r="E15" i="8"/>
  <c r="A16" i="8"/>
  <c r="B16" i="8"/>
  <c r="C16" i="8"/>
  <c r="D16" i="8"/>
  <c r="E16" i="8"/>
  <c r="A17" i="8"/>
  <c r="B17" i="8"/>
  <c r="C17" i="8"/>
  <c r="D17" i="8"/>
  <c r="E17" i="8"/>
  <c r="A18" i="8"/>
  <c r="B18" i="8"/>
  <c r="C18" i="8"/>
  <c r="D18" i="8"/>
  <c r="E18" i="8"/>
  <c r="A19" i="8"/>
  <c r="B19" i="8"/>
  <c r="C19" i="8"/>
  <c r="D19" i="8"/>
  <c r="E19" i="8"/>
  <c r="A20" i="8"/>
  <c r="B20" i="8"/>
  <c r="C20" i="8"/>
  <c r="D20" i="8"/>
  <c r="E20" i="8"/>
  <c r="A21" i="8"/>
  <c r="B21" i="8"/>
  <c r="C21" i="8"/>
  <c r="D21" i="8"/>
  <c r="E21" i="8"/>
  <c r="A22" i="8"/>
  <c r="B22" i="8"/>
  <c r="C22" i="8"/>
  <c r="D22" i="8"/>
  <c r="E22" i="8"/>
  <c r="A23" i="8"/>
  <c r="B23" i="8"/>
  <c r="C23" i="8"/>
  <c r="D23" i="8"/>
  <c r="E23" i="8"/>
  <c r="A24" i="8"/>
  <c r="B24" i="8"/>
  <c r="C24" i="8"/>
  <c r="D24" i="8"/>
  <c r="E24" i="8"/>
  <c r="A25" i="8"/>
  <c r="B25" i="8"/>
  <c r="C25" i="8"/>
  <c r="D25" i="8"/>
  <c r="E25" i="8"/>
  <c r="A26" i="8"/>
  <c r="B26" i="8"/>
  <c r="C26" i="8"/>
  <c r="D26" i="8"/>
  <c r="E26" i="8"/>
  <c r="A27" i="8"/>
  <c r="B27" i="8"/>
  <c r="C27" i="8"/>
  <c r="D27" i="8"/>
  <c r="E27" i="8"/>
  <c r="A28" i="8"/>
  <c r="B28" i="8"/>
  <c r="C28" i="8"/>
  <c r="D28" i="8"/>
  <c r="E28" i="8"/>
  <c r="A29" i="8"/>
  <c r="B29" i="8"/>
  <c r="C29" i="8"/>
  <c r="D29" i="8"/>
  <c r="E29" i="8"/>
  <c r="A30" i="8"/>
  <c r="B30" i="8"/>
  <c r="C30" i="8"/>
  <c r="D30" i="8"/>
  <c r="E30" i="8"/>
  <c r="A31" i="8"/>
  <c r="B31" i="8"/>
  <c r="C31" i="8"/>
  <c r="D31" i="8"/>
  <c r="E31" i="8"/>
  <c r="A32" i="8"/>
  <c r="B32" i="8"/>
  <c r="C32" i="8"/>
  <c r="D32" i="8"/>
  <c r="E32" i="8"/>
  <c r="A33" i="8"/>
  <c r="B33" i="8"/>
  <c r="C33" i="8"/>
  <c r="D33" i="8"/>
  <c r="E33" i="8"/>
  <c r="A34" i="8"/>
  <c r="B34" i="8"/>
  <c r="C34" i="8"/>
  <c r="D34" i="8"/>
  <c r="E34" i="8"/>
  <c r="A35" i="8"/>
  <c r="B35" i="8"/>
  <c r="C35" i="8"/>
  <c r="D35" i="8"/>
  <c r="E35" i="8"/>
  <c r="A36" i="8"/>
  <c r="B36" i="8"/>
  <c r="C36" i="8"/>
  <c r="D36" i="8"/>
  <c r="E36" i="8"/>
  <c r="A37" i="8"/>
  <c r="B37" i="8"/>
  <c r="C37" i="8"/>
  <c r="D37" i="8"/>
  <c r="E37" i="8"/>
  <c r="A38" i="8"/>
  <c r="B38" i="8"/>
  <c r="C38" i="8"/>
  <c r="D38" i="8"/>
  <c r="E38" i="8"/>
  <c r="A39" i="8"/>
  <c r="B39" i="8"/>
  <c r="C39" i="8"/>
  <c r="D39" i="8"/>
  <c r="E39" i="8"/>
  <c r="A40" i="8"/>
  <c r="B40" i="8"/>
  <c r="C40" i="8"/>
  <c r="D40" i="8"/>
  <c r="E40" i="8"/>
  <c r="A41" i="8"/>
  <c r="B41" i="8"/>
  <c r="C41" i="8"/>
  <c r="D41" i="8"/>
  <c r="E41" i="8"/>
  <c r="A42" i="8"/>
  <c r="B42" i="8"/>
  <c r="C42" i="8"/>
  <c r="D42" i="8"/>
  <c r="E42" i="8"/>
  <c r="A43" i="8"/>
  <c r="B43" i="8"/>
  <c r="C43" i="8"/>
  <c r="D43" i="8"/>
  <c r="E43" i="8"/>
  <c r="A44" i="8"/>
  <c r="B44" i="8"/>
  <c r="C44" i="8"/>
  <c r="D44" i="8"/>
  <c r="E44" i="8"/>
  <c r="A45" i="8"/>
  <c r="B45" i="8"/>
  <c r="C45" i="8"/>
  <c r="D45" i="8"/>
  <c r="E45" i="8"/>
  <c r="A46" i="8"/>
  <c r="B46" i="8"/>
  <c r="C46" i="8"/>
  <c r="D46" i="8"/>
  <c r="E46" i="8"/>
  <c r="A47" i="8"/>
  <c r="B47" i="8"/>
  <c r="C47" i="8"/>
  <c r="D47" i="8"/>
  <c r="E47" i="8"/>
  <c r="A48" i="8"/>
  <c r="B48" i="8"/>
  <c r="C48" i="8"/>
  <c r="D48" i="8"/>
  <c r="E48" i="8"/>
  <c r="A49" i="8"/>
  <c r="B49" i="8"/>
  <c r="C49" i="8"/>
  <c r="D49" i="8"/>
  <c r="E49" i="8"/>
  <c r="A50" i="8"/>
  <c r="B50" i="8"/>
  <c r="C50" i="8"/>
  <c r="D50" i="8"/>
  <c r="E50" i="8"/>
  <c r="A51" i="8"/>
  <c r="B51" i="8"/>
  <c r="C51" i="8"/>
  <c r="D51" i="8"/>
  <c r="E51" i="8"/>
  <c r="A52" i="8"/>
  <c r="B52" i="8"/>
  <c r="C52" i="8"/>
  <c r="D52" i="8"/>
  <c r="E52" i="8"/>
  <c r="A53" i="8"/>
  <c r="B53" i="8"/>
  <c r="C53" i="8"/>
  <c r="D53" i="8"/>
  <c r="E53" i="8"/>
  <c r="A54" i="8"/>
  <c r="B54" i="8"/>
  <c r="C54" i="8"/>
  <c r="D54" i="8"/>
  <c r="E54" i="8"/>
  <c r="A55" i="8"/>
  <c r="B55" i="8"/>
  <c r="C55" i="8"/>
  <c r="D55" i="8"/>
  <c r="E55" i="8"/>
  <c r="A56" i="8"/>
  <c r="B56" i="8"/>
  <c r="C56" i="8"/>
  <c r="D56" i="8"/>
  <c r="E56" i="8"/>
  <c r="A57" i="8"/>
  <c r="B57" i="8"/>
  <c r="C57" i="8"/>
  <c r="D57" i="8"/>
  <c r="E57" i="8"/>
  <c r="A58" i="8"/>
  <c r="B58" i="8"/>
  <c r="C58" i="8"/>
  <c r="D58" i="8"/>
  <c r="E58" i="8"/>
  <c r="A59" i="8"/>
  <c r="B59" i="8"/>
  <c r="C59" i="8"/>
  <c r="D59" i="8"/>
  <c r="E59" i="8"/>
  <c r="A60" i="8"/>
  <c r="B60" i="8"/>
  <c r="C60" i="8"/>
  <c r="D60" i="8"/>
  <c r="E60" i="8"/>
  <c r="A61" i="8"/>
  <c r="B61" i="8"/>
  <c r="C61" i="8"/>
  <c r="D61" i="8"/>
  <c r="E61" i="8"/>
  <c r="A62" i="8"/>
  <c r="B62" i="8"/>
  <c r="C62" i="8"/>
  <c r="D62" i="8"/>
  <c r="E62" i="8"/>
  <c r="A63" i="8"/>
  <c r="B63" i="8"/>
  <c r="C63" i="8"/>
  <c r="D63" i="8"/>
  <c r="E63" i="8"/>
  <c r="A64" i="8"/>
  <c r="B64" i="8"/>
  <c r="C64" i="8"/>
  <c r="D64" i="8"/>
  <c r="E64" i="8"/>
  <c r="A65" i="8"/>
  <c r="B65" i="8"/>
  <c r="C65" i="8"/>
  <c r="D65" i="8"/>
  <c r="E65" i="8"/>
  <c r="A66" i="8"/>
  <c r="B66" i="8"/>
  <c r="C66" i="8"/>
  <c r="D66" i="8"/>
  <c r="E66" i="8"/>
  <c r="A67" i="8"/>
  <c r="B67" i="8"/>
  <c r="C67" i="8"/>
  <c r="D67" i="8"/>
  <c r="E67" i="8"/>
  <c r="A68" i="8"/>
  <c r="B68" i="8"/>
  <c r="C68" i="8"/>
  <c r="D68" i="8"/>
  <c r="E68" i="8"/>
  <c r="A69" i="8"/>
  <c r="B69" i="8"/>
  <c r="C69" i="8"/>
  <c r="D69" i="8"/>
  <c r="E69" i="8"/>
  <c r="A70" i="8"/>
  <c r="B70" i="8"/>
  <c r="C70" i="8"/>
  <c r="D70" i="8"/>
  <c r="E70" i="8"/>
  <c r="A71" i="8"/>
  <c r="B71" i="8"/>
  <c r="C71" i="8"/>
  <c r="D71" i="8"/>
  <c r="E71" i="8"/>
  <c r="E5" i="8"/>
  <c r="D5" i="8"/>
  <c r="C5" i="8"/>
  <c r="B5" i="8"/>
  <c r="A5" i="8"/>
  <c r="G87" i="12"/>
  <c r="F87" i="12"/>
  <c r="C87" i="12"/>
  <c r="B87" i="12"/>
  <c r="A87" i="12"/>
  <c r="G86" i="12"/>
  <c r="F86" i="12"/>
  <c r="C86" i="12"/>
  <c r="B86" i="12"/>
  <c r="A86" i="12"/>
  <c r="G85" i="12"/>
  <c r="F85" i="12"/>
  <c r="C85" i="12"/>
  <c r="B85" i="12"/>
  <c r="A85" i="12"/>
  <c r="G84" i="12"/>
  <c r="F84" i="12"/>
  <c r="C84" i="12"/>
  <c r="B84" i="12"/>
  <c r="A84" i="12"/>
  <c r="G83" i="12"/>
  <c r="F83" i="12"/>
  <c r="C83" i="12"/>
  <c r="B83" i="12"/>
  <c r="A83" i="12"/>
  <c r="G82" i="12"/>
  <c r="F82" i="12"/>
  <c r="C82" i="12"/>
  <c r="B82" i="12"/>
  <c r="A82" i="12"/>
  <c r="G81" i="12"/>
  <c r="F81" i="12"/>
  <c r="C81" i="12"/>
  <c r="B81" i="12"/>
  <c r="A81" i="12"/>
  <c r="G80" i="12"/>
  <c r="F80" i="12"/>
  <c r="C80" i="12"/>
  <c r="B80" i="12"/>
  <c r="A80" i="12"/>
  <c r="G79" i="12"/>
  <c r="F79" i="12"/>
  <c r="C79" i="12"/>
  <c r="B79" i="12"/>
  <c r="A79" i="12"/>
  <c r="G78" i="12"/>
  <c r="F78" i="12"/>
  <c r="C78" i="12"/>
  <c r="B78" i="12"/>
  <c r="A78" i="12"/>
  <c r="G77" i="12"/>
  <c r="F77" i="12"/>
  <c r="C77" i="12"/>
  <c r="B77" i="12"/>
  <c r="A77" i="12"/>
  <c r="G76" i="12"/>
  <c r="F76" i="12"/>
  <c r="C76" i="12"/>
  <c r="B76" i="12"/>
  <c r="A76" i="12"/>
  <c r="G75" i="12"/>
  <c r="F75" i="12"/>
  <c r="C75" i="12"/>
  <c r="B75" i="12"/>
  <c r="A75" i="12"/>
  <c r="G74" i="12"/>
  <c r="F74" i="12"/>
  <c r="C74" i="12"/>
  <c r="B74" i="12"/>
  <c r="A74" i="12"/>
  <c r="G73" i="12"/>
  <c r="F73" i="12"/>
  <c r="C73" i="12"/>
  <c r="B73" i="12"/>
  <c r="A73" i="12"/>
  <c r="G72" i="12"/>
  <c r="F72" i="12"/>
  <c r="C72" i="12"/>
  <c r="B72" i="12"/>
  <c r="A72" i="12"/>
  <c r="G71" i="12"/>
  <c r="F71" i="12"/>
  <c r="C71" i="12"/>
  <c r="B71" i="12"/>
  <c r="A71" i="12"/>
  <c r="G70" i="12"/>
  <c r="F70" i="12"/>
  <c r="C70" i="12"/>
  <c r="B70" i="12"/>
  <c r="A70" i="12"/>
  <c r="G69" i="12"/>
  <c r="F69" i="12"/>
  <c r="C69" i="12"/>
  <c r="B69" i="12"/>
  <c r="A69" i="12"/>
  <c r="G68" i="12"/>
  <c r="F68" i="12"/>
  <c r="C68" i="12"/>
  <c r="B68" i="12"/>
  <c r="A68" i="12"/>
  <c r="G67" i="12"/>
  <c r="F67" i="12"/>
  <c r="C67" i="12"/>
  <c r="B67" i="12"/>
  <c r="A67" i="12"/>
  <c r="G66" i="12"/>
  <c r="F66" i="12"/>
  <c r="C66" i="12"/>
  <c r="B66" i="12"/>
  <c r="A66" i="12"/>
  <c r="G65" i="12"/>
  <c r="F65" i="12"/>
  <c r="C65" i="12"/>
  <c r="B65" i="12"/>
  <c r="A65" i="12"/>
  <c r="G64" i="12"/>
  <c r="F64" i="12"/>
  <c r="C64" i="12"/>
  <c r="B64" i="12"/>
  <c r="A64" i="12"/>
  <c r="G63" i="12"/>
  <c r="F63" i="12"/>
  <c r="C63" i="12"/>
  <c r="B63" i="12"/>
  <c r="A63" i="12"/>
  <c r="G62" i="12"/>
  <c r="F62" i="12"/>
  <c r="C62" i="12"/>
  <c r="B62" i="12"/>
  <c r="A62" i="12"/>
  <c r="G61" i="12"/>
  <c r="F61" i="12"/>
  <c r="C61" i="12"/>
  <c r="B61" i="12"/>
  <c r="A61" i="12"/>
  <c r="G60" i="12"/>
  <c r="F60" i="12"/>
  <c r="C60" i="12"/>
  <c r="B60" i="12"/>
  <c r="A60" i="12"/>
  <c r="G59" i="12"/>
  <c r="F59" i="12"/>
  <c r="C59" i="12"/>
  <c r="B59" i="12"/>
  <c r="A59" i="12"/>
  <c r="G58" i="12"/>
  <c r="F58" i="12"/>
  <c r="C58" i="12"/>
  <c r="B58" i="12"/>
  <c r="A58" i="12"/>
  <c r="G57" i="12"/>
  <c r="F57" i="12"/>
  <c r="C57" i="12"/>
  <c r="B57" i="12"/>
  <c r="A57" i="12"/>
  <c r="G56" i="12"/>
  <c r="F56" i="12"/>
  <c r="C56" i="12"/>
  <c r="B56" i="12"/>
  <c r="A56" i="12"/>
  <c r="G55" i="12"/>
  <c r="F55" i="12"/>
  <c r="C55" i="12"/>
  <c r="B55" i="12"/>
  <c r="A55" i="12"/>
  <c r="G54" i="12"/>
  <c r="F54" i="12"/>
  <c r="C54" i="12"/>
  <c r="B54" i="12"/>
  <c r="A54" i="12"/>
  <c r="G53" i="12"/>
  <c r="F53" i="12"/>
  <c r="C53" i="12"/>
  <c r="B53" i="12"/>
  <c r="A53" i="12"/>
  <c r="G52" i="12"/>
  <c r="F52" i="12"/>
  <c r="C52" i="12"/>
  <c r="B52" i="12"/>
  <c r="A52" i="12"/>
  <c r="G51" i="12"/>
  <c r="F51" i="12"/>
  <c r="C51" i="12"/>
  <c r="B51" i="12"/>
  <c r="A51" i="12"/>
  <c r="G50" i="12"/>
  <c r="F50" i="12"/>
  <c r="C50" i="12"/>
  <c r="B50" i="12"/>
  <c r="A50" i="12"/>
  <c r="G49" i="12"/>
  <c r="F49" i="12"/>
  <c r="C49" i="12"/>
  <c r="B49" i="12"/>
  <c r="A49" i="12"/>
  <c r="G48" i="12"/>
  <c r="F48" i="12"/>
  <c r="C48" i="12"/>
  <c r="B48" i="12"/>
  <c r="A48" i="12"/>
  <c r="G47" i="12"/>
  <c r="F47" i="12"/>
  <c r="C47" i="12"/>
  <c r="B47" i="12"/>
  <c r="A47" i="12"/>
  <c r="G46" i="12"/>
  <c r="F46" i="12"/>
  <c r="C46" i="12"/>
  <c r="B46" i="12"/>
  <c r="A46" i="12"/>
  <c r="G45" i="12"/>
  <c r="F45" i="12"/>
  <c r="C45" i="12"/>
  <c r="B45" i="12"/>
  <c r="A45" i="12"/>
  <c r="G44" i="12"/>
  <c r="F44" i="12"/>
  <c r="C44" i="12"/>
  <c r="B44" i="12"/>
  <c r="A44" i="12"/>
  <c r="G43" i="12"/>
  <c r="F43" i="12"/>
  <c r="C43" i="12"/>
  <c r="B43" i="12"/>
  <c r="A43" i="12"/>
  <c r="G42" i="12"/>
  <c r="F42" i="12"/>
  <c r="C42" i="12"/>
  <c r="B42" i="12"/>
  <c r="A42" i="12"/>
  <c r="G41" i="12"/>
  <c r="F41" i="12"/>
  <c r="C41" i="12"/>
  <c r="B41" i="12"/>
  <c r="A41" i="12"/>
  <c r="G40" i="12"/>
  <c r="F40" i="12"/>
  <c r="C40" i="12"/>
  <c r="B40" i="12"/>
  <c r="A40" i="12"/>
  <c r="G39" i="12"/>
  <c r="F39" i="12"/>
  <c r="C39" i="12"/>
  <c r="B39" i="12"/>
  <c r="A39" i="12"/>
  <c r="G38" i="12"/>
  <c r="F38" i="12"/>
  <c r="C38" i="12"/>
  <c r="B38" i="12"/>
  <c r="A38" i="12"/>
  <c r="G37" i="12"/>
  <c r="F37" i="12"/>
  <c r="C37" i="12"/>
  <c r="B37" i="12"/>
  <c r="A37" i="12"/>
  <c r="G36" i="12"/>
  <c r="F36" i="12"/>
  <c r="C36" i="12"/>
  <c r="B36" i="12"/>
  <c r="A36" i="12"/>
  <c r="G35" i="12"/>
  <c r="F35" i="12"/>
  <c r="C35" i="12"/>
  <c r="B35" i="12"/>
  <c r="A35" i="12"/>
  <c r="G34" i="12"/>
  <c r="F34" i="12"/>
  <c r="C34" i="12"/>
  <c r="B34" i="12"/>
  <c r="A34" i="12"/>
  <c r="G33" i="12"/>
  <c r="F33" i="12"/>
  <c r="C33" i="12"/>
  <c r="B33" i="12"/>
  <c r="A33" i="12"/>
  <c r="G32" i="12"/>
  <c r="F32" i="12"/>
  <c r="C32" i="12"/>
  <c r="B32" i="12"/>
  <c r="A32" i="12"/>
  <c r="G31" i="12"/>
  <c r="F31" i="12"/>
  <c r="C31" i="12"/>
  <c r="B31" i="12"/>
  <c r="A31" i="12"/>
  <c r="G30" i="12"/>
  <c r="F30" i="12"/>
  <c r="C30" i="12"/>
  <c r="B30" i="12"/>
  <c r="A30" i="12"/>
  <c r="G29" i="12"/>
  <c r="F29" i="12"/>
  <c r="C29" i="12"/>
  <c r="B29" i="12"/>
  <c r="A29" i="12"/>
  <c r="G28" i="12"/>
  <c r="F28" i="12"/>
  <c r="C28" i="12"/>
  <c r="B28" i="12"/>
  <c r="A28" i="12"/>
  <c r="G27" i="12"/>
  <c r="F27" i="12"/>
  <c r="C27" i="12"/>
  <c r="B27" i="12"/>
  <c r="A27" i="12"/>
  <c r="G26" i="12"/>
  <c r="F26" i="12"/>
  <c r="C26" i="12"/>
  <c r="B26" i="12"/>
  <c r="A26" i="12"/>
  <c r="G25" i="12"/>
  <c r="F25" i="12"/>
  <c r="C25" i="12"/>
  <c r="B25" i="12"/>
  <c r="A25" i="12"/>
  <c r="G24" i="12"/>
  <c r="F24" i="12"/>
  <c r="C24" i="12"/>
  <c r="B24" i="12"/>
  <c r="A24" i="12"/>
  <c r="G23" i="12"/>
  <c r="F23" i="12"/>
  <c r="C23" i="12"/>
  <c r="B23" i="12"/>
  <c r="A23" i="12"/>
  <c r="G22" i="12"/>
  <c r="F22" i="12"/>
  <c r="C22" i="12"/>
  <c r="B22" i="12"/>
  <c r="A22" i="12"/>
  <c r="G21" i="12"/>
  <c r="F21" i="12"/>
  <c r="C21" i="12"/>
  <c r="B21" i="12"/>
  <c r="A21" i="12"/>
  <c r="G87" i="13"/>
  <c r="F87" i="13"/>
  <c r="C87" i="13"/>
  <c r="B87" i="13"/>
  <c r="A87" i="13"/>
  <c r="G86" i="13"/>
  <c r="F86" i="13"/>
  <c r="C86" i="13"/>
  <c r="B86" i="13"/>
  <c r="A86" i="13"/>
  <c r="G85" i="13"/>
  <c r="F85" i="13"/>
  <c r="C85" i="13"/>
  <c r="B85" i="13"/>
  <c r="A85" i="13"/>
  <c r="G84" i="13"/>
  <c r="F84" i="13"/>
  <c r="C84" i="13"/>
  <c r="B84" i="13"/>
  <c r="A84" i="13"/>
  <c r="G83" i="13"/>
  <c r="F83" i="13"/>
  <c r="C83" i="13"/>
  <c r="B83" i="13"/>
  <c r="A83" i="13"/>
  <c r="G82" i="13"/>
  <c r="F82" i="13"/>
  <c r="C82" i="13"/>
  <c r="B82" i="13"/>
  <c r="A82" i="13"/>
  <c r="G81" i="13"/>
  <c r="F81" i="13"/>
  <c r="C81" i="13"/>
  <c r="B81" i="13"/>
  <c r="A81" i="13"/>
  <c r="G80" i="13"/>
  <c r="F80" i="13"/>
  <c r="C80" i="13"/>
  <c r="B80" i="13"/>
  <c r="A80" i="13"/>
  <c r="G79" i="13"/>
  <c r="F79" i="13"/>
  <c r="C79" i="13"/>
  <c r="B79" i="13"/>
  <c r="A79" i="13"/>
  <c r="G78" i="13"/>
  <c r="F78" i="13"/>
  <c r="C78" i="13"/>
  <c r="B78" i="13"/>
  <c r="A78" i="13"/>
  <c r="G77" i="13"/>
  <c r="F77" i="13"/>
  <c r="C77" i="13"/>
  <c r="B77" i="13"/>
  <c r="A77" i="13"/>
  <c r="G76" i="13"/>
  <c r="F76" i="13"/>
  <c r="C76" i="13"/>
  <c r="B76" i="13"/>
  <c r="A76" i="13"/>
  <c r="G75" i="13"/>
  <c r="F75" i="13"/>
  <c r="C75" i="13"/>
  <c r="B75" i="13"/>
  <c r="A75" i="13"/>
  <c r="G74" i="13"/>
  <c r="F74" i="13"/>
  <c r="C74" i="13"/>
  <c r="B74" i="13"/>
  <c r="A74" i="13"/>
  <c r="G73" i="13"/>
  <c r="F73" i="13"/>
  <c r="C73" i="13"/>
  <c r="B73" i="13"/>
  <c r="A73" i="13"/>
  <c r="G72" i="13"/>
  <c r="F72" i="13"/>
  <c r="C72" i="13"/>
  <c r="B72" i="13"/>
  <c r="A72" i="13"/>
  <c r="G71" i="13"/>
  <c r="F71" i="13"/>
  <c r="C71" i="13"/>
  <c r="B71" i="13"/>
  <c r="A71" i="13"/>
  <c r="G70" i="13"/>
  <c r="F70" i="13"/>
  <c r="C70" i="13"/>
  <c r="B70" i="13"/>
  <c r="A70" i="13"/>
  <c r="G69" i="13"/>
  <c r="F69" i="13"/>
  <c r="C69" i="13"/>
  <c r="B69" i="13"/>
  <c r="A69" i="13"/>
  <c r="G68" i="13"/>
  <c r="F68" i="13"/>
  <c r="C68" i="13"/>
  <c r="B68" i="13"/>
  <c r="A68" i="13"/>
  <c r="G67" i="13"/>
  <c r="F67" i="13"/>
  <c r="C67" i="13"/>
  <c r="B67" i="13"/>
  <c r="A67" i="13"/>
  <c r="G66" i="13"/>
  <c r="F66" i="13"/>
  <c r="C66" i="13"/>
  <c r="B66" i="13"/>
  <c r="A66" i="13"/>
  <c r="G65" i="13"/>
  <c r="F65" i="13"/>
  <c r="C65" i="13"/>
  <c r="B65" i="13"/>
  <c r="A65" i="13"/>
  <c r="G64" i="13"/>
  <c r="F64" i="13"/>
  <c r="C64" i="13"/>
  <c r="B64" i="13"/>
  <c r="A64" i="13"/>
  <c r="G63" i="13"/>
  <c r="F63" i="13"/>
  <c r="C63" i="13"/>
  <c r="B63" i="13"/>
  <c r="A63" i="13"/>
  <c r="G62" i="13"/>
  <c r="F62" i="13"/>
  <c r="C62" i="13"/>
  <c r="B62" i="13"/>
  <c r="A62" i="13"/>
  <c r="G61" i="13"/>
  <c r="F61" i="13"/>
  <c r="C61" i="13"/>
  <c r="B61" i="13"/>
  <c r="A61" i="13"/>
  <c r="G60" i="13"/>
  <c r="F60" i="13"/>
  <c r="C60" i="13"/>
  <c r="B60" i="13"/>
  <c r="A60" i="13"/>
  <c r="G59" i="13"/>
  <c r="F59" i="13"/>
  <c r="C59" i="13"/>
  <c r="B59" i="13"/>
  <c r="A59" i="13"/>
  <c r="G58" i="13"/>
  <c r="F58" i="13"/>
  <c r="C58" i="13"/>
  <c r="B58" i="13"/>
  <c r="A58" i="13"/>
  <c r="G57" i="13"/>
  <c r="F57" i="13"/>
  <c r="C57" i="13"/>
  <c r="B57" i="13"/>
  <c r="A57" i="13"/>
  <c r="G56" i="13"/>
  <c r="F56" i="13"/>
  <c r="C56" i="13"/>
  <c r="B56" i="13"/>
  <c r="A56" i="13"/>
  <c r="G55" i="13"/>
  <c r="F55" i="13"/>
  <c r="C55" i="13"/>
  <c r="B55" i="13"/>
  <c r="A55" i="13"/>
  <c r="G54" i="13"/>
  <c r="F54" i="13"/>
  <c r="C54" i="13"/>
  <c r="B54" i="13"/>
  <c r="A54" i="13"/>
  <c r="G53" i="13"/>
  <c r="F53" i="13"/>
  <c r="C53" i="13"/>
  <c r="B53" i="13"/>
  <c r="A53" i="13"/>
  <c r="G52" i="13"/>
  <c r="F52" i="13"/>
  <c r="C52" i="13"/>
  <c r="B52" i="13"/>
  <c r="A52" i="13"/>
  <c r="G51" i="13"/>
  <c r="F51" i="13"/>
  <c r="C51" i="13"/>
  <c r="B51" i="13"/>
  <c r="A51" i="13"/>
  <c r="G50" i="13"/>
  <c r="F50" i="13"/>
  <c r="C50" i="13"/>
  <c r="B50" i="13"/>
  <c r="A50" i="13"/>
  <c r="G49" i="13"/>
  <c r="F49" i="13"/>
  <c r="C49" i="13"/>
  <c r="B49" i="13"/>
  <c r="A49" i="13"/>
  <c r="G48" i="13"/>
  <c r="F48" i="13"/>
  <c r="C48" i="13"/>
  <c r="B48" i="13"/>
  <c r="A48" i="13"/>
  <c r="G47" i="13"/>
  <c r="F47" i="13"/>
  <c r="C47" i="13"/>
  <c r="B47" i="13"/>
  <c r="A47" i="13"/>
  <c r="G46" i="13"/>
  <c r="F46" i="13"/>
  <c r="C46" i="13"/>
  <c r="B46" i="13"/>
  <c r="A46" i="13"/>
  <c r="G45" i="13"/>
  <c r="F45" i="13"/>
  <c r="C45" i="13"/>
  <c r="B45" i="13"/>
  <c r="A45" i="13"/>
  <c r="G44" i="13"/>
  <c r="F44" i="13"/>
  <c r="C44" i="13"/>
  <c r="B44" i="13"/>
  <c r="A44" i="13"/>
  <c r="G43" i="13"/>
  <c r="F43" i="13"/>
  <c r="C43" i="13"/>
  <c r="B43" i="13"/>
  <c r="A43" i="13"/>
  <c r="G42" i="13"/>
  <c r="F42" i="13"/>
  <c r="C42" i="13"/>
  <c r="B42" i="13"/>
  <c r="A42" i="13"/>
  <c r="G41" i="13"/>
  <c r="F41" i="13"/>
  <c r="C41" i="13"/>
  <c r="B41" i="13"/>
  <c r="A41" i="13"/>
  <c r="G40" i="13"/>
  <c r="F40" i="13"/>
  <c r="C40" i="13"/>
  <c r="B40" i="13"/>
  <c r="A40" i="13"/>
  <c r="G39" i="13"/>
  <c r="F39" i="13"/>
  <c r="C39" i="13"/>
  <c r="B39" i="13"/>
  <c r="A39" i="13"/>
  <c r="G38" i="13"/>
  <c r="F38" i="13"/>
  <c r="C38" i="13"/>
  <c r="B38" i="13"/>
  <c r="A38" i="13"/>
  <c r="G37" i="13"/>
  <c r="F37" i="13"/>
  <c r="C37" i="13"/>
  <c r="B37" i="13"/>
  <c r="A37" i="13"/>
  <c r="G36" i="13"/>
  <c r="F36" i="13"/>
  <c r="C36" i="13"/>
  <c r="B36" i="13"/>
  <c r="A36" i="13"/>
  <c r="G35" i="13"/>
  <c r="F35" i="13"/>
  <c r="C35" i="13"/>
  <c r="B35" i="13"/>
  <c r="A35" i="13"/>
  <c r="G34" i="13"/>
  <c r="F34" i="13"/>
  <c r="C34" i="13"/>
  <c r="B34" i="13"/>
  <c r="A34" i="13"/>
  <c r="G33" i="13"/>
  <c r="F33" i="13"/>
  <c r="C33" i="13"/>
  <c r="B33" i="13"/>
  <c r="A33" i="13"/>
  <c r="G32" i="13"/>
  <c r="F32" i="13"/>
  <c r="C32" i="13"/>
  <c r="B32" i="13"/>
  <c r="A32" i="13"/>
  <c r="G31" i="13"/>
  <c r="F31" i="13"/>
  <c r="C31" i="13"/>
  <c r="B31" i="13"/>
  <c r="A31" i="13"/>
  <c r="G30" i="13"/>
  <c r="F30" i="13"/>
  <c r="C30" i="13"/>
  <c r="B30" i="13"/>
  <c r="A30" i="13"/>
  <c r="G29" i="13"/>
  <c r="F29" i="13"/>
  <c r="C29" i="13"/>
  <c r="B29" i="13"/>
  <c r="A29" i="13"/>
  <c r="G28" i="13"/>
  <c r="F28" i="13"/>
  <c r="C28" i="13"/>
  <c r="B28" i="13"/>
  <c r="A28" i="13"/>
  <c r="G27" i="13"/>
  <c r="F27" i="13"/>
  <c r="C27" i="13"/>
  <c r="B27" i="13"/>
  <c r="A27" i="13"/>
  <c r="G26" i="13"/>
  <c r="F26" i="13"/>
  <c r="C26" i="13"/>
  <c r="B26" i="13"/>
  <c r="A26" i="13"/>
  <c r="G25" i="13"/>
  <c r="F25" i="13"/>
  <c r="C25" i="13"/>
  <c r="B25" i="13"/>
  <c r="A25" i="13"/>
  <c r="G24" i="13"/>
  <c r="F24" i="13"/>
  <c r="C24" i="13"/>
  <c r="B24" i="13"/>
  <c r="A24" i="13"/>
  <c r="G23" i="13"/>
  <c r="F23" i="13"/>
  <c r="C23" i="13"/>
  <c r="B23" i="13"/>
  <c r="A23" i="13"/>
  <c r="G22" i="13"/>
  <c r="F22" i="13"/>
  <c r="C22" i="13"/>
  <c r="B22" i="13"/>
  <c r="A22" i="13"/>
  <c r="G21" i="13"/>
  <c r="F21" i="13"/>
  <c r="C21" i="13"/>
  <c r="B21" i="13"/>
  <c r="A21" i="13"/>
  <c r="G87" i="18"/>
  <c r="F87" i="18"/>
  <c r="C87" i="18"/>
  <c r="B87" i="18"/>
  <c r="A87" i="18"/>
  <c r="G86" i="18"/>
  <c r="F86" i="18"/>
  <c r="C86" i="18"/>
  <c r="B86" i="18"/>
  <c r="A86" i="18"/>
  <c r="G85" i="18"/>
  <c r="F85" i="18"/>
  <c r="C85" i="18"/>
  <c r="B85" i="18"/>
  <c r="A85" i="18"/>
  <c r="G84" i="18"/>
  <c r="F84" i="18"/>
  <c r="C84" i="18"/>
  <c r="B84" i="18"/>
  <c r="A84" i="18"/>
  <c r="G83" i="18"/>
  <c r="F83" i="18"/>
  <c r="C83" i="18"/>
  <c r="B83" i="18"/>
  <c r="A83" i="18"/>
  <c r="G82" i="18"/>
  <c r="F82" i="18"/>
  <c r="C82" i="18"/>
  <c r="B82" i="18"/>
  <c r="A82" i="18"/>
  <c r="G81" i="18"/>
  <c r="F81" i="18"/>
  <c r="C81" i="18"/>
  <c r="B81" i="18"/>
  <c r="A81" i="18"/>
  <c r="G80" i="18"/>
  <c r="F80" i="18"/>
  <c r="C80" i="18"/>
  <c r="B80" i="18"/>
  <c r="A80" i="18"/>
  <c r="G79" i="18"/>
  <c r="F79" i="18"/>
  <c r="C79" i="18"/>
  <c r="B79" i="18"/>
  <c r="A79" i="18"/>
  <c r="G78" i="18"/>
  <c r="F78" i="18"/>
  <c r="C78" i="18"/>
  <c r="B78" i="18"/>
  <c r="A78" i="18"/>
  <c r="G77" i="18"/>
  <c r="F77" i="18"/>
  <c r="C77" i="18"/>
  <c r="B77" i="18"/>
  <c r="A77" i="18"/>
  <c r="G76" i="18"/>
  <c r="F76" i="18"/>
  <c r="C76" i="18"/>
  <c r="B76" i="18"/>
  <c r="A76" i="18"/>
  <c r="G75" i="18"/>
  <c r="F75" i="18"/>
  <c r="C75" i="18"/>
  <c r="B75" i="18"/>
  <c r="A75" i="18"/>
  <c r="G74" i="18"/>
  <c r="F74" i="18"/>
  <c r="C74" i="18"/>
  <c r="B74" i="18"/>
  <c r="A74" i="18"/>
  <c r="G73" i="18"/>
  <c r="F73" i="18"/>
  <c r="C73" i="18"/>
  <c r="B73" i="18"/>
  <c r="A73" i="18"/>
  <c r="G72" i="18"/>
  <c r="F72" i="18"/>
  <c r="C72" i="18"/>
  <c r="B72" i="18"/>
  <c r="A72" i="18"/>
  <c r="G71" i="18"/>
  <c r="F71" i="18"/>
  <c r="C71" i="18"/>
  <c r="B71" i="18"/>
  <c r="A71" i="18"/>
  <c r="G70" i="18"/>
  <c r="F70" i="18"/>
  <c r="C70" i="18"/>
  <c r="B70" i="18"/>
  <c r="A70" i="18"/>
  <c r="G69" i="18"/>
  <c r="F69" i="18"/>
  <c r="C69" i="18"/>
  <c r="B69" i="18"/>
  <c r="A69" i="18"/>
  <c r="G68" i="18"/>
  <c r="F68" i="18"/>
  <c r="C68" i="18"/>
  <c r="B68" i="18"/>
  <c r="A68" i="18"/>
  <c r="G67" i="18"/>
  <c r="F67" i="18"/>
  <c r="C67" i="18"/>
  <c r="B67" i="18"/>
  <c r="A67" i="18"/>
  <c r="G66" i="18"/>
  <c r="F66" i="18"/>
  <c r="C66" i="18"/>
  <c r="B66" i="18"/>
  <c r="A66" i="18"/>
  <c r="G65" i="18"/>
  <c r="F65" i="18"/>
  <c r="C65" i="18"/>
  <c r="B65" i="18"/>
  <c r="A65" i="18"/>
  <c r="G64" i="18"/>
  <c r="F64" i="18"/>
  <c r="C64" i="18"/>
  <c r="B64" i="18"/>
  <c r="A64" i="18"/>
  <c r="G63" i="18"/>
  <c r="F63" i="18"/>
  <c r="C63" i="18"/>
  <c r="B63" i="18"/>
  <c r="A63" i="18"/>
  <c r="G62" i="18"/>
  <c r="F62" i="18"/>
  <c r="C62" i="18"/>
  <c r="B62" i="18"/>
  <c r="A62" i="18"/>
  <c r="G61" i="18"/>
  <c r="F61" i="18"/>
  <c r="C61" i="18"/>
  <c r="B61" i="18"/>
  <c r="A61" i="18"/>
  <c r="G60" i="18"/>
  <c r="F60" i="18"/>
  <c r="C60" i="18"/>
  <c r="B60" i="18"/>
  <c r="A60" i="18"/>
  <c r="G59" i="18"/>
  <c r="F59" i="18"/>
  <c r="C59" i="18"/>
  <c r="B59" i="18"/>
  <c r="A59" i="18"/>
  <c r="G58" i="18"/>
  <c r="F58" i="18"/>
  <c r="C58" i="18"/>
  <c r="B58" i="18"/>
  <c r="A58" i="18"/>
  <c r="G57" i="18"/>
  <c r="F57" i="18"/>
  <c r="C57" i="18"/>
  <c r="B57" i="18"/>
  <c r="A57" i="18"/>
  <c r="G56" i="18"/>
  <c r="F56" i="18"/>
  <c r="C56" i="18"/>
  <c r="B56" i="18"/>
  <c r="A56" i="18"/>
  <c r="G55" i="18"/>
  <c r="F55" i="18"/>
  <c r="C55" i="18"/>
  <c r="B55" i="18"/>
  <c r="A55" i="18"/>
  <c r="G54" i="18"/>
  <c r="F54" i="18"/>
  <c r="C54" i="18"/>
  <c r="B54" i="18"/>
  <c r="A54" i="18"/>
  <c r="G53" i="18"/>
  <c r="F53" i="18"/>
  <c r="C53" i="18"/>
  <c r="B53" i="18"/>
  <c r="A53" i="18"/>
  <c r="G52" i="18"/>
  <c r="F52" i="18"/>
  <c r="C52" i="18"/>
  <c r="B52" i="18"/>
  <c r="A52" i="18"/>
  <c r="G51" i="18"/>
  <c r="F51" i="18"/>
  <c r="C51" i="18"/>
  <c r="B51" i="18"/>
  <c r="A51" i="18"/>
  <c r="G50" i="18"/>
  <c r="F50" i="18"/>
  <c r="C50" i="18"/>
  <c r="B50" i="18"/>
  <c r="A50" i="18"/>
  <c r="G49" i="18"/>
  <c r="F49" i="18"/>
  <c r="C49" i="18"/>
  <c r="B49" i="18"/>
  <c r="A49" i="18"/>
  <c r="G48" i="18"/>
  <c r="F48" i="18"/>
  <c r="C48" i="18"/>
  <c r="B48" i="18"/>
  <c r="A48" i="18"/>
  <c r="G47" i="18"/>
  <c r="F47" i="18"/>
  <c r="C47" i="18"/>
  <c r="B47" i="18"/>
  <c r="A47" i="18"/>
  <c r="G46" i="18"/>
  <c r="F46" i="18"/>
  <c r="C46" i="18"/>
  <c r="B46" i="18"/>
  <c r="A46" i="18"/>
  <c r="G45" i="18"/>
  <c r="F45" i="18"/>
  <c r="C45" i="18"/>
  <c r="B45" i="18"/>
  <c r="A45" i="18"/>
  <c r="G44" i="18"/>
  <c r="F44" i="18"/>
  <c r="C44" i="18"/>
  <c r="B44" i="18"/>
  <c r="A44" i="18"/>
  <c r="G43" i="18"/>
  <c r="F43" i="18"/>
  <c r="C43" i="18"/>
  <c r="B43" i="18"/>
  <c r="A43" i="18"/>
  <c r="G42" i="18"/>
  <c r="F42" i="18"/>
  <c r="C42" i="18"/>
  <c r="B42" i="18"/>
  <c r="A42" i="18"/>
  <c r="G41" i="18"/>
  <c r="F41" i="18"/>
  <c r="C41" i="18"/>
  <c r="B41" i="18"/>
  <c r="A41" i="18"/>
  <c r="G40" i="18"/>
  <c r="F40" i="18"/>
  <c r="C40" i="18"/>
  <c r="B40" i="18"/>
  <c r="A40" i="18"/>
  <c r="G39" i="18"/>
  <c r="F39" i="18"/>
  <c r="C39" i="18"/>
  <c r="B39" i="18"/>
  <c r="A39" i="18"/>
  <c r="G38" i="18"/>
  <c r="F38" i="18"/>
  <c r="C38" i="18"/>
  <c r="B38" i="18"/>
  <c r="A38" i="18"/>
  <c r="G37" i="18"/>
  <c r="F37" i="18"/>
  <c r="C37" i="18"/>
  <c r="B37" i="18"/>
  <c r="A37" i="18"/>
  <c r="G36" i="18"/>
  <c r="F36" i="18"/>
  <c r="C36" i="18"/>
  <c r="B36" i="18"/>
  <c r="A36" i="18"/>
  <c r="G35" i="18"/>
  <c r="F35" i="18"/>
  <c r="C35" i="18"/>
  <c r="B35" i="18"/>
  <c r="A35" i="18"/>
  <c r="G34" i="18"/>
  <c r="F34" i="18"/>
  <c r="C34" i="18"/>
  <c r="B34" i="18"/>
  <c r="A34" i="18"/>
  <c r="G33" i="18"/>
  <c r="F33" i="18"/>
  <c r="C33" i="18"/>
  <c r="B33" i="18"/>
  <c r="A33" i="18"/>
  <c r="G32" i="18"/>
  <c r="F32" i="18"/>
  <c r="C32" i="18"/>
  <c r="B32" i="18"/>
  <c r="A32" i="18"/>
  <c r="G31" i="18"/>
  <c r="F31" i="18"/>
  <c r="C31" i="18"/>
  <c r="B31" i="18"/>
  <c r="A31" i="18"/>
  <c r="G30" i="18"/>
  <c r="F30" i="18"/>
  <c r="C30" i="18"/>
  <c r="B30" i="18"/>
  <c r="A30" i="18"/>
  <c r="G29" i="18"/>
  <c r="F29" i="18"/>
  <c r="C29" i="18"/>
  <c r="B29" i="18"/>
  <c r="A29" i="18"/>
  <c r="G28" i="18"/>
  <c r="F28" i="18"/>
  <c r="C28" i="18"/>
  <c r="B28" i="18"/>
  <c r="A28" i="18"/>
  <c r="G27" i="18"/>
  <c r="F27" i="18"/>
  <c r="C27" i="18"/>
  <c r="B27" i="18"/>
  <c r="A27" i="18"/>
  <c r="G26" i="18"/>
  <c r="F26" i="18"/>
  <c r="C26" i="18"/>
  <c r="B26" i="18"/>
  <c r="A26" i="18"/>
  <c r="G25" i="18"/>
  <c r="F25" i="18"/>
  <c r="C25" i="18"/>
  <c r="B25" i="18"/>
  <c r="A25" i="18"/>
  <c r="G24" i="18"/>
  <c r="F24" i="18"/>
  <c r="C24" i="18"/>
  <c r="B24" i="18"/>
  <c r="A24" i="18"/>
  <c r="G23" i="18"/>
  <c r="F23" i="18"/>
  <c r="C23" i="18"/>
  <c r="B23" i="18"/>
  <c r="A23" i="18"/>
  <c r="G22" i="18"/>
  <c r="F22" i="18"/>
  <c r="C22" i="18"/>
  <c r="B22" i="18"/>
  <c r="A22" i="18"/>
  <c r="G21" i="18"/>
  <c r="F21" i="18"/>
  <c r="C21" i="18"/>
  <c r="B21" i="18"/>
  <c r="A21" i="18"/>
  <c r="G87" i="19"/>
  <c r="F87" i="19"/>
  <c r="C87" i="19"/>
  <c r="B87" i="19"/>
  <c r="A87" i="19"/>
  <c r="G86" i="19"/>
  <c r="F86" i="19"/>
  <c r="C86" i="19"/>
  <c r="B86" i="19"/>
  <c r="A86" i="19"/>
  <c r="G85" i="19"/>
  <c r="F85" i="19"/>
  <c r="C85" i="19"/>
  <c r="B85" i="19"/>
  <c r="A85" i="19"/>
  <c r="G84" i="19"/>
  <c r="F84" i="19"/>
  <c r="C84" i="19"/>
  <c r="B84" i="19"/>
  <c r="A84" i="19"/>
  <c r="G83" i="19"/>
  <c r="F83" i="19"/>
  <c r="C83" i="19"/>
  <c r="B83" i="19"/>
  <c r="A83" i="19"/>
  <c r="G82" i="19"/>
  <c r="F82" i="19"/>
  <c r="C82" i="19"/>
  <c r="B82" i="19"/>
  <c r="A82" i="19"/>
  <c r="G81" i="19"/>
  <c r="F81" i="19"/>
  <c r="C81" i="19"/>
  <c r="B81" i="19"/>
  <c r="A81" i="19"/>
  <c r="G80" i="19"/>
  <c r="F80" i="19"/>
  <c r="C80" i="19"/>
  <c r="B80" i="19"/>
  <c r="A80" i="19"/>
  <c r="G79" i="19"/>
  <c r="F79" i="19"/>
  <c r="C79" i="19"/>
  <c r="B79" i="19"/>
  <c r="A79" i="19"/>
  <c r="G78" i="19"/>
  <c r="F78" i="19"/>
  <c r="C78" i="19"/>
  <c r="B78" i="19"/>
  <c r="A78" i="19"/>
  <c r="G77" i="19"/>
  <c r="F77" i="19"/>
  <c r="C77" i="19"/>
  <c r="B77" i="19"/>
  <c r="A77" i="19"/>
  <c r="G76" i="19"/>
  <c r="F76" i="19"/>
  <c r="C76" i="19"/>
  <c r="B76" i="19"/>
  <c r="A76" i="19"/>
  <c r="G75" i="19"/>
  <c r="F75" i="19"/>
  <c r="C75" i="19"/>
  <c r="B75" i="19"/>
  <c r="A75" i="19"/>
  <c r="G74" i="19"/>
  <c r="F74" i="19"/>
  <c r="C74" i="19"/>
  <c r="B74" i="19"/>
  <c r="A74" i="19"/>
  <c r="G73" i="19"/>
  <c r="F73" i="19"/>
  <c r="C73" i="19"/>
  <c r="B73" i="19"/>
  <c r="A73" i="19"/>
  <c r="G72" i="19"/>
  <c r="F72" i="19"/>
  <c r="C72" i="19"/>
  <c r="B72" i="19"/>
  <c r="A72" i="19"/>
  <c r="G71" i="19"/>
  <c r="F71" i="19"/>
  <c r="C71" i="19"/>
  <c r="B71" i="19"/>
  <c r="A71" i="19"/>
  <c r="G70" i="19"/>
  <c r="F70" i="19"/>
  <c r="C70" i="19"/>
  <c r="B70" i="19"/>
  <c r="A70" i="19"/>
  <c r="G69" i="19"/>
  <c r="F69" i="19"/>
  <c r="C69" i="19"/>
  <c r="B69" i="19"/>
  <c r="A69" i="19"/>
  <c r="G68" i="19"/>
  <c r="F68" i="19"/>
  <c r="C68" i="19"/>
  <c r="B68" i="19"/>
  <c r="A68" i="19"/>
  <c r="G67" i="19"/>
  <c r="F67" i="19"/>
  <c r="C67" i="19"/>
  <c r="B67" i="19"/>
  <c r="A67" i="19"/>
  <c r="G66" i="19"/>
  <c r="F66" i="19"/>
  <c r="C66" i="19"/>
  <c r="B66" i="19"/>
  <c r="A66" i="19"/>
  <c r="G65" i="19"/>
  <c r="F65" i="19"/>
  <c r="C65" i="19"/>
  <c r="B65" i="19"/>
  <c r="A65" i="19"/>
  <c r="G64" i="19"/>
  <c r="F64" i="19"/>
  <c r="C64" i="19"/>
  <c r="B64" i="19"/>
  <c r="A64" i="19"/>
  <c r="G63" i="19"/>
  <c r="F63" i="19"/>
  <c r="C63" i="19"/>
  <c r="B63" i="19"/>
  <c r="A63" i="19"/>
  <c r="G62" i="19"/>
  <c r="F62" i="19"/>
  <c r="C62" i="19"/>
  <c r="B62" i="19"/>
  <c r="A62" i="19"/>
  <c r="G61" i="19"/>
  <c r="F61" i="19"/>
  <c r="C61" i="19"/>
  <c r="B61" i="19"/>
  <c r="A61" i="19"/>
  <c r="G60" i="19"/>
  <c r="F60" i="19"/>
  <c r="C60" i="19"/>
  <c r="B60" i="19"/>
  <c r="A60" i="19"/>
  <c r="G59" i="19"/>
  <c r="F59" i="19"/>
  <c r="C59" i="19"/>
  <c r="B59" i="19"/>
  <c r="A59" i="19"/>
  <c r="G58" i="19"/>
  <c r="F58" i="19"/>
  <c r="C58" i="19"/>
  <c r="B58" i="19"/>
  <c r="A58" i="19"/>
  <c r="G57" i="19"/>
  <c r="F57" i="19"/>
  <c r="C57" i="19"/>
  <c r="B57" i="19"/>
  <c r="A57" i="19"/>
  <c r="G56" i="19"/>
  <c r="F56" i="19"/>
  <c r="C56" i="19"/>
  <c r="B56" i="19"/>
  <c r="A56" i="19"/>
  <c r="G55" i="19"/>
  <c r="F55" i="19"/>
  <c r="C55" i="19"/>
  <c r="B55" i="19"/>
  <c r="A55" i="19"/>
  <c r="G54" i="19"/>
  <c r="F54" i="19"/>
  <c r="C54" i="19"/>
  <c r="B54" i="19"/>
  <c r="A54" i="19"/>
  <c r="G53" i="19"/>
  <c r="F53" i="19"/>
  <c r="C53" i="19"/>
  <c r="B53" i="19"/>
  <c r="A53" i="19"/>
  <c r="G52" i="19"/>
  <c r="F52" i="19"/>
  <c r="C52" i="19"/>
  <c r="B52" i="19"/>
  <c r="A52" i="19"/>
  <c r="G51" i="19"/>
  <c r="F51" i="19"/>
  <c r="C51" i="19"/>
  <c r="B51" i="19"/>
  <c r="A51" i="19"/>
  <c r="G50" i="19"/>
  <c r="F50" i="19"/>
  <c r="C50" i="19"/>
  <c r="B50" i="19"/>
  <c r="A50" i="19"/>
  <c r="G49" i="19"/>
  <c r="F49" i="19"/>
  <c r="C49" i="19"/>
  <c r="B49" i="19"/>
  <c r="A49" i="19"/>
  <c r="G48" i="19"/>
  <c r="F48" i="19"/>
  <c r="C48" i="19"/>
  <c r="B48" i="19"/>
  <c r="A48" i="19"/>
  <c r="G47" i="19"/>
  <c r="F47" i="19"/>
  <c r="C47" i="19"/>
  <c r="B47" i="19"/>
  <c r="A47" i="19"/>
  <c r="G46" i="19"/>
  <c r="F46" i="19"/>
  <c r="C46" i="19"/>
  <c r="B46" i="19"/>
  <c r="A46" i="19"/>
  <c r="G45" i="19"/>
  <c r="F45" i="19"/>
  <c r="C45" i="19"/>
  <c r="B45" i="19"/>
  <c r="A45" i="19"/>
  <c r="G44" i="19"/>
  <c r="F44" i="19"/>
  <c r="C44" i="19"/>
  <c r="B44" i="19"/>
  <c r="A44" i="19"/>
  <c r="G43" i="19"/>
  <c r="F43" i="19"/>
  <c r="C43" i="19"/>
  <c r="B43" i="19"/>
  <c r="A43" i="19"/>
  <c r="G42" i="19"/>
  <c r="F42" i="19"/>
  <c r="C42" i="19"/>
  <c r="B42" i="19"/>
  <c r="A42" i="19"/>
  <c r="G41" i="19"/>
  <c r="F41" i="19"/>
  <c r="C41" i="19"/>
  <c r="B41" i="19"/>
  <c r="A41" i="19"/>
  <c r="G40" i="19"/>
  <c r="F40" i="19"/>
  <c r="C40" i="19"/>
  <c r="B40" i="19"/>
  <c r="A40" i="19"/>
  <c r="G39" i="19"/>
  <c r="F39" i="19"/>
  <c r="C39" i="19"/>
  <c r="B39" i="19"/>
  <c r="A39" i="19"/>
  <c r="G38" i="19"/>
  <c r="F38" i="19"/>
  <c r="C38" i="19"/>
  <c r="B38" i="19"/>
  <c r="A38" i="19"/>
  <c r="G37" i="19"/>
  <c r="F37" i="19"/>
  <c r="C37" i="19"/>
  <c r="B37" i="19"/>
  <c r="A37" i="19"/>
  <c r="G36" i="19"/>
  <c r="F36" i="19"/>
  <c r="C36" i="19"/>
  <c r="B36" i="19"/>
  <c r="A36" i="19"/>
  <c r="G35" i="19"/>
  <c r="F35" i="19"/>
  <c r="C35" i="19"/>
  <c r="B35" i="19"/>
  <c r="A35" i="19"/>
  <c r="G34" i="19"/>
  <c r="F34" i="19"/>
  <c r="C34" i="19"/>
  <c r="B34" i="19"/>
  <c r="A34" i="19"/>
  <c r="G33" i="19"/>
  <c r="F33" i="19"/>
  <c r="C33" i="19"/>
  <c r="B33" i="19"/>
  <c r="A33" i="19"/>
  <c r="G32" i="19"/>
  <c r="F32" i="19"/>
  <c r="C32" i="19"/>
  <c r="B32" i="19"/>
  <c r="A32" i="19"/>
  <c r="G31" i="19"/>
  <c r="F31" i="19"/>
  <c r="C31" i="19"/>
  <c r="B31" i="19"/>
  <c r="A31" i="19"/>
  <c r="G30" i="19"/>
  <c r="F30" i="19"/>
  <c r="C30" i="19"/>
  <c r="B30" i="19"/>
  <c r="A30" i="19"/>
  <c r="G29" i="19"/>
  <c r="F29" i="19"/>
  <c r="C29" i="19"/>
  <c r="B29" i="19"/>
  <c r="A29" i="19"/>
  <c r="G28" i="19"/>
  <c r="F28" i="19"/>
  <c r="C28" i="19"/>
  <c r="B28" i="19"/>
  <c r="A28" i="19"/>
  <c r="G27" i="19"/>
  <c r="F27" i="19"/>
  <c r="C27" i="19"/>
  <c r="B27" i="19"/>
  <c r="A27" i="19"/>
  <c r="G26" i="19"/>
  <c r="F26" i="19"/>
  <c r="C26" i="19"/>
  <c r="B26" i="19"/>
  <c r="A26" i="19"/>
  <c r="G25" i="19"/>
  <c r="F25" i="19"/>
  <c r="C25" i="19"/>
  <c r="B25" i="19"/>
  <c r="A25" i="19"/>
  <c r="G24" i="19"/>
  <c r="F24" i="19"/>
  <c r="C24" i="19"/>
  <c r="B24" i="19"/>
  <c r="A24" i="19"/>
  <c r="G23" i="19"/>
  <c r="F23" i="19"/>
  <c r="C23" i="19"/>
  <c r="B23" i="19"/>
  <c r="A23" i="19"/>
  <c r="G22" i="19"/>
  <c r="F22" i="19"/>
  <c r="C22" i="19"/>
  <c r="B22" i="19"/>
  <c r="A22" i="19"/>
  <c r="G21" i="19"/>
  <c r="F21" i="19"/>
  <c r="C21" i="19"/>
  <c r="B21" i="19"/>
  <c r="A21" i="19"/>
  <c r="G87" i="20"/>
  <c r="F87" i="20"/>
  <c r="C87" i="20"/>
  <c r="B87" i="20"/>
  <c r="A87" i="20"/>
  <c r="G86" i="20"/>
  <c r="F86" i="20"/>
  <c r="C86" i="20"/>
  <c r="B86" i="20"/>
  <c r="A86" i="20"/>
  <c r="G85" i="20"/>
  <c r="F85" i="20"/>
  <c r="C85" i="20"/>
  <c r="B85" i="20"/>
  <c r="A85" i="20"/>
  <c r="G84" i="20"/>
  <c r="F84" i="20"/>
  <c r="C84" i="20"/>
  <c r="B84" i="20"/>
  <c r="A84" i="20"/>
  <c r="G83" i="20"/>
  <c r="F83" i="20"/>
  <c r="C83" i="20"/>
  <c r="B83" i="20"/>
  <c r="A83" i="20"/>
  <c r="G82" i="20"/>
  <c r="F82" i="20"/>
  <c r="C82" i="20"/>
  <c r="B82" i="20"/>
  <c r="A82" i="20"/>
  <c r="G81" i="20"/>
  <c r="F81" i="20"/>
  <c r="C81" i="20"/>
  <c r="B81" i="20"/>
  <c r="A81" i="20"/>
  <c r="G80" i="20"/>
  <c r="F80" i="20"/>
  <c r="C80" i="20"/>
  <c r="B80" i="20"/>
  <c r="A80" i="20"/>
  <c r="G79" i="20"/>
  <c r="F79" i="20"/>
  <c r="C79" i="20"/>
  <c r="B79" i="20"/>
  <c r="A79" i="20"/>
  <c r="G78" i="20"/>
  <c r="F78" i="20"/>
  <c r="C78" i="20"/>
  <c r="B78" i="20"/>
  <c r="A78" i="20"/>
  <c r="G77" i="20"/>
  <c r="F77" i="20"/>
  <c r="C77" i="20"/>
  <c r="B77" i="20"/>
  <c r="A77" i="20"/>
  <c r="G76" i="20"/>
  <c r="F76" i="20"/>
  <c r="C76" i="20"/>
  <c r="B76" i="20"/>
  <c r="A76" i="20"/>
  <c r="G75" i="20"/>
  <c r="F75" i="20"/>
  <c r="C75" i="20"/>
  <c r="B75" i="20"/>
  <c r="A75" i="20"/>
  <c r="G74" i="20"/>
  <c r="F74" i="20"/>
  <c r="C74" i="20"/>
  <c r="B74" i="20"/>
  <c r="A74" i="20"/>
  <c r="G73" i="20"/>
  <c r="F73" i="20"/>
  <c r="C73" i="20"/>
  <c r="B73" i="20"/>
  <c r="A73" i="20"/>
  <c r="G72" i="20"/>
  <c r="F72" i="20"/>
  <c r="C72" i="20"/>
  <c r="B72" i="20"/>
  <c r="A72" i="20"/>
  <c r="G71" i="20"/>
  <c r="F71" i="20"/>
  <c r="C71" i="20"/>
  <c r="B71" i="20"/>
  <c r="A71" i="20"/>
  <c r="G70" i="20"/>
  <c r="F70" i="20"/>
  <c r="C70" i="20"/>
  <c r="B70" i="20"/>
  <c r="A70" i="20"/>
  <c r="G69" i="20"/>
  <c r="F69" i="20"/>
  <c r="C69" i="20"/>
  <c r="B69" i="20"/>
  <c r="A69" i="20"/>
  <c r="G68" i="20"/>
  <c r="F68" i="20"/>
  <c r="C68" i="20"/>
  <c r="B68" i="20"/>
  <c r="A68" i="20"/>
  <c r="G67" i="20"/>
  <c r="F67" i="20"/>
  <c r="C67" i="20"/>
  <c r="B67" i="20"/>
  <c r="A67" i="20"/>
  <c r="G66" i="20"/>
  <c r="F66" i="20"/>
  <c r="C66" i="20"/>
  <c r="B66" i="20"/>
  <c r="A66" i="20"/>
  <c r="G65" i="20"/>
  <c r="F65" i="20"/>
  <c r="C65" i="20"/>
  <c r="B65" i="20"/>
  <c r="A65" i="20"/>
  <c r="G64" i="20"/>
  <c r="F64" i="20"/>
  <c r="C64" i="20"/>
  <c r="B64" i="20"/>
  <c r="A64" i="20"/>
  <c r="G63" i="20"/>
  <c r="F63" i="20"/>
  <c r="C63" i="20"/>
  <c r="B63" i="20"/>
  <c r="A63" i="20"/>
  <c r="G62" i="20"/>
  <c r="F62" i="20"/>
  <c r="C62" i="20"/>
  <c r="B62" i="20"/>
  <c r="A62" i="20"/>
  <c r="G61" i="20"/>
  <c r="F61" i="20"/>
  <c r="C61" i="20"/>
  <c r="B61" i="20"/>
  <c r="A61" i="20"/>
  <c r="G60" i="20"/>
  <c r="F60" i="20"/>
  <c r="C60" i="20"/>
  <c r="B60" i="20"/>
  <c r="A60" i="20"/>
  <c r="G59" i="20"/>
  <c r="F59" i="20"/>
  <c r="C59" i="20"/>
  <c r="B59" i="20"/>
  <c r="A59" i="20"/>
  <c r="G58" i="20"/>
  <c r="F58" i="20"/>
  <c r="C58" i="20"/>
  <c r="B58" i="20"/>
  <c r="A58" i="20"/>
  <c r="G57" i="20"/>
  <c r="F57" i="20"/>
  <c r="C57" i="20"/>
  <c r="B57" i="20"/>
  <c r="A57" i="20"/>
  <c r="G56" i="20"/>
  <c r="F56" i="20"/>
  <c r="C56" i="20"/>
  <c r="B56" i="20"/>
  <c r="A56" i="20"/>
  <c r="G55" i="20"/>
  <c r="F55" i="20"/>
  <c r="C55" i="20"/>
  <c r="B55" i="20"/>
  <c r="A55" i="20"/>
  <c r="G54" i="20"/>
  <c r="F54" i="20"/>
  <c r="C54" i="20"/>
  <c r="B54" i="20"/>
  <c r="A54" i="20"/>
  <c r="G53" i="20"/>
  <c r="F53" i="20"/>
  <c r="C53" i="20"/>
  <c r="B53" i="20"/>
  <c r="A53" i="20"/>
  <c r="G52" i="20"/>
  <c r="F52" i="20"/>
  <c r="C52" i="20"/>
  <c r="B52" i="20"/>
  <c r="A52" i="20"/>
  <c r="G51" i="20"/>
  <c r="F51" i="20"/>
  <c r="C51" i="20"/>
  <c r="B51" i="20"/>
  <c r="A51" i="20"/>
  <c r="G50" i="20"/>
  <c r="F50" i="20"/>
  <c r="C50" i="20"/>
  <c r="B50" i="20"/>
  <c r="A50" i="20"/>
  <c r="G49" i="20"/>
  <c r="F49" i="20"/>
  <c r="C49" i="20"/>
  <c r="B49" i="20"/>
  <c r="A49" i="20"/>
  <c r="G48" i="20"/>
  <c r="F48" i="20"/>
  <c r="C48" i="20"/>
  <c r="B48" i="20"/>
  <c r="A48" i="20"/>
  <c r="G47" i="20"/>
  <c r="F47" i="20"/>
  <c r="C47" i="20"/>
  <c r="B47" i="20"/>
  <c r="A47" i="20"/>
  <c r="G46" i="20"/>
  <c r="F46" i="20"/>
  <c r="C46" i="20"/>
  <c r="B46" i="20"/>
  <c r="A46" i="20"/>
  <c r="G45" i="20"/>
  <c r="F45" i="20"/>
  <c r="C45" i="20"/>
  <c r="B45" i="20"/>
  <c r="A45" i="20"/>
  <c r="G44" i="20"/>
  <c r="F44" i="20"/>
  <c r="C44" i="20"/>
  <c r="B44" i="20"/>
  <c r="A44" i="20"/>
  <c r="G43" i="20"/>
  <c r="F43" i="20"/>
  <c r="C43" i="20"/>
  <c r="B43" i="20"/>
  <c r="A43" i="20"/>
  <c r="G42" i="20"/>
  <c r="F42" i="20"/>
  <c r="C42" i="20"/>
  <c r="B42" i="20"/>
  <c r="A42" i="20"/>
  <c r="G41" i="20"/>
  <c r="F41" i="20"/>
  <c r="C41" i="20"/>
  <c r="B41" i="20"/>
  <c r="A41" i="20"/>
  <c r="G40" i="20"/>
  <c r="F40" i="20"/>
  <c r="C40" i="20"/>
  <c r="B40" i="20"/>
  <c r="A40" i="20"/>
  <c r="G39" i="20"/>
  <c r="F39" i="20"/>
  <c r="C39" i="20"/>
  <c r="B39" i="20"/>
  <c r="A39" i="20"/>
  <c r="G38" i="20"/>
  <c r="F38" i="20"/>
  <c r="C38" i="20"/>
  <c r="B38" i="20"/>
  <c r="A38" i="20"/>
  <c r="G37" i="20"/>
  <c r="F37" i="20"/>
  <c r="C37" i="20"/>
  <c r="B37" i="20"/>
  <c r="A37" i="20"/>
  <c r="G36" i="20"/>
  <c r="F36" i="20"/>
  <c r="C36" i="20"/>
  <c r="B36" i="20"/>
  <c r="A36" i="20"/>
  <c r="G35" i="20"/>
  <c r="F35" i="20"/>
  <c r="C35" i="20"/>
  <c r="B35" i="20"/>
  <c r="A35" i="20"/>
  <c r="G34" i="20"/>
  <c r="F34" i="20"/>
  <c r="C34" i="20"/>
  <c r="B34" i="20"/>
  <c r="A34" i="20"/>
  <c r="G33" i="20"/>
  <c r="F33" i="20"/>
  <c r="C33" i="20"/>
  <c r="B33" i="20"/>
  <c r="A33" i="20"/>
  <c r="G32" i="20"/>
  <c r="F32" i="20"/>
  <c r="C32" i="20"/>
  <c r="B32" i="20"/>
  <c r="A32" i="20"/>
  <c r="G31" i="20"/>
  <c r="F31" i="20"/>
  <c r="C31" i="20"/>
  <c r="B31" i="20"/>
  <c r="A31" i="20"/>
  <c r="G30" i="20"/>
  <c r="F30" i="20"/>
  <c r="C30" i="20"/>
  <c r="B30" i="20"/>
  <c r="A30" i="20"/>
  <c r="G29" i="20"/>
  <c r="F29" i="20"/>
  <c r="C29" i="20"/>
  <c r="B29" i="20"/>
  <c r="A29" i="20"/>
  <c r="G28" i="20"/>
  <c r="F28" i="20"/>
  <c r="C28" i="20"/>
  <c r="B28" i="20"/>
  <c r="A28" i="20"/>
  <c r="G27" i="20"/>
  <c r="F27" i="20"/>
  <c r="C27" i="20"/>
  <c r="B27" i="20"/>
  <c r="A27" i="20"/>
  <c r="G26" i="20"/>
  <c r="F26" i="20"/>
  <c r="C26" i="20"/>
  <c r="B26" i="20"/>
  <c r="A26" i="20"/>
  <c r="G25" i="20"/>
  <c r="F25" i="20"/>
  <c r="C25" i="20"/>
  <c r="B25" i="20"/>
  <c r="A25" i="20"/>
  <c r="G24" i="20"/>
  <c r="F24" i="20"/>
  <c r="C24" i="20"/>
  <c r="B24" i="20"/>
  <c r="A24" i="20"/>
  <c r="G23" i="20"/>
  <c r="F23" i="20"/>
  <c r="C23" i="20"/>
  <c r="B23" i="20"/>
  <c r="A23" i="20"/>
  <c r="G22" i="20"/>
  <c r="F22" i="20"/>
  <c r="C22" i="20"/>
  <c r="B22" i="20"/>
  <c r="A22" i="20"/>
  <c r="G21" i="20"/>
  <c r="F21" i="20"/>
  <c r="C21" i="20"/>
  <c r="B21" i="20"/>
  <c r="A21" i="20"/>
  <c r="G87" i="14"/>
  <c r="F87" i="14"/>
  <c r="C87" i="14"/>
  <c r="B87" i="14"/>
  <c r="A87" i="14"/>
  <c r="G86" i="14"/>
  <c r="F86" i="14"/>
  <c r="C86" i="14"/>
  <c r="B86" i="14"/>
  <c r="A86" i="14"/>
  <c r="G85" i="14"/>
  <c r="F85" i="14"/>
  <c r="C85" i="14"/>
  <c r="B85" i="14"/>
  <c r="A85" i="14"/>
  <c r="G84" i="14"/>
  <c r="F84" i="14"/>
  <c r="C84" i="14"/>
  <c r="B84" i="14"/>
  <c r="A84" i="14"/>
  <c r="G83" i="14"/>
  <c r="F83" i="14"/>
  <c r="C83" i="14"/>
  <c r="B83" i="14"/>
  <c r="A83" i="14"/>
  <c r="G82" i="14"/>
  <c r="F82" i="14"/>
  <c r="C82" i="14"/>
  <c r="B82" i="14"/>
  <c r="A82" i="14"/>
  <c r="G81" i="14"/>
  <c r="F81" i="14"/>
  <c r="C81" i="14"/>
  <c r="B81" i="14"/>
  <c r="A81" i="14"/>
  <c r="G80" i="14"/>
  <c r="F80" i="14"/>
  <c r="C80" i="14"/>
  <c r="B80" i="14"/>
  <c r="A80" i="14"/>
  <c r="G79" i="14"/>
  <c r="F79" i="14"/>
  <c r="C79" i="14"/>
  <c r="B79" i="14"/>
  <c r="A79" i="14"/>
  <c r="G78" i="14"/>
  <c r="F78" i="14"/>
  <c r="C78" i="14"/>
  <c r="B78" i="14"/>
  <c r="A78" i="14"/>
  <c r="G77" i="14"/>
  <c r="F77" i="14"/>
  <c r="C77" i="14"/>
  <c r="B77" i="14"/>
  <c r="A77" i="14"/>
  <c r="G76" i="14"/>
  <c r="F76" i="14"/>
  <c r="C76" i="14"/>
  <c r="B76" i="14"/>
  <c r="A76" i="14"/>
  <c r="G75" i="14"/>
  <c r="F75" i="14"/>
  <c r="C75" i="14"/>
  <c r="B75" i="14"/>
  <c r="A75" i="14"/>
  <c r="G74" i="14"/>
  <c r="F74" i="14"/>
  <c r="C74" i="14"/>
  <c r="B74" i="14"/>
  <c r="A74" i="14"/>
  <c r="G73" i="14"/>
  <c r="F73" i="14"/>
  <c r="C73" i="14"/>
  <c r="B73" i="14"/>
  <c r="A73" i="14"/>
  <c r="G72" i="14"/>
  <c r="F72" i="14"/>
  <c r="C72" i="14"/>
  <c r="B72" i="14"/>
  <c r="A72" i="14"/>
  <c r="G71" i="14"/>
  <c r="F71" i="14"/>
  <c r="C71" i="14"/>
  <c r="B71" i="14"/>
  <c r="A71" i="14"/>
  <c r="G70" i="14"/>
  <c r="F70" i="14"/>
  <c r="C70" i="14"/>
  <c r="B70" i="14"/>
  <c r="A70" i="14"/>
  <c r="G69" i="14"/>
  <c r="F69" i="14"/>
  <c r="C69" i="14"/>
  <c r="B69" i="14"/>
  <c r="A69" i="14"/>
  <c r="G68" i="14"/>
  <c r="F68" i="14"/>
  <c r="C68" i="14"/>
  <c r="B68" i="14"/>
  <c r="A68" i="14"/>
  <c r="G67" i="14"/>
  <c r="F67" i="14"/>
  <c r="C67" i="14"/>
  <c r="B67" i="14"/>
  <c r="A67" i="14"/>
  <c r="G66" i="14"/>
  <c r="F66" i="14"/>
  <c r="C66" i="14"/>
  <c r="B66" i="14"/>
  <c r="A66" i="14"/>
  <c r="G65" i="14"/>
  <c r="F65" i="14"/>
  <c r="C65" i="14"/>
  <c r="B65" i="14"/>
  <c r="A65" i="14"/>
  <c r="G64" i="14"/>
  <c r="F64" i="14"/>
  <c r="C64" i="14"/>
  <c r="B64" i="14"/>
  <c r="A64" i="14"/>
  <c r="G63" i="14"/>
  <c r="F63" i="14"/>
  <c r="C63" i="14"/>
  <c r="B63" i="14"/>
  <c r="A63" i="14"/>
  <c r="G62" i="14"/>
  <c r="F62" i="14"/>
  <c r="C62" i="14"/>
  <c r="B62" i="14"/>
  <c r="A62" i="14"/>
  <c r="G61" i="14"/>
  <c r="F61" i="14"/>
  <c r="C61" i="14"/>
  <c r="B61" i="14"/>
  <c r="A61" i="14"/>
  <c r="G60" i="14"/>
  <c r="F60" i="14"/>
  <c r="C60" i="14"/>
  <c r="B60" i="14"/>
  <c r="A60" i="14"/>
  <c r="G59" i="14"/>
  <c r="F59" i="14"/>
  <c r="C59" i="14"/>
  <c r="B59" i="14"/>
  <c r="A59" i="14"/>
  <c r="G58" i="14"/>
  <c r="F58" i="14"/>
  <c r="C58" i="14"/>
  <c r="B58" i="14"/>
  <c r="A58" i="14"/>
  <c r="G57" i="14"/>
  <c r="F57" i="14"/>
  <c r="C57" i="14"/>
  <c r="B57" i="14"/>
  <c r="A57" i="14"/>
  <c r="G56" i="14"/>
  <c r="F56" i="14"/>
  <c r="C56" i="14"/>
  <c r="B56" i="14"/>
  <c r="A56" i="14"/>
  <c r="G55" i="14"/>
  <c r="F55" i="14"/>
  <c r="C55" i="14"/>
  <c r="B55" i="14"/>
  <c r="A55" i="14"/>
  <c r="G54" i="14"/>
  <c r="F54" i="14"/>
  <c r="C54" i="14"/>
  <c r="B54" i="14"/>
  <c r="A54" i="14"/>
  <c r="G53" i="14"/>
  <c r="F53" i="14"/>
  <c r="C53" i="14"/>
  <c r="B53" i="14"/>
  <c r="A53" i="14"/>
  <c r="G52" i="14"/>
  <c r="F52" i="14"/>
  <c r="C52" i="14"/>
  <c r="B52" i="14"/>
  <c r="A52" i="14"/>
  <c r="G51" i="14"/>
  <c r="F51" i="14"/>
  <c r="C51" i="14"/>
  <c r="B51" i="14"/>
  <c r="A51" i="14"/>
  <c r="G50" i="14"/>
  <c r="F50" i="14"/>
  <c r="C50" i="14"/>
  <c r="B50" i="14"/>
  <c r="A50" i="14"/>
  <c r="G49" i="14"/>
  <c r="F49" i="14"/>
  <c r="C49" i="14"/>
  <c r="B49" i="14"/>
  <c r="A49" i="14"/>
  <c r="G48" i="14"/>
  <c r="F48" i="14"/>
  <c r="C48" i="14"/>
  <c r="B48" i="14"/>
  <c r="A48" i="14"/>
  <c r="G47" i="14"/>
  <c r="F47" i="14"/>
  <c r="C47" i="14"/>
  <c r="B47" i="14"/>
  <c r="A47" i="14"/>
  <c r="G46" i="14"/>
  <c r="F46" i="14"/>
  <c r="C46" i="14"/>
  <c r="B46" i="14"/>
  <c r="A46" i="14"/>
  <c r="G45" i="14"/>
  <c r="F45" i="14"/>
  <c r="C45" i="14"/>
  <c r="B45" i="14"/>
  <c r="A45" i="14"/>
  <c r="G44" i="14"/>
  <c r="F44" i="14"/>
  <c r="C44" i="14"/>
  <c r="B44" i="14"/>
  <c r="A44" i="14"/>
  <c r="G43" i="14"/>
  <c r="F43" i="14"/>
  <c r="C43" i="14"/>
  <c r="B43" i="14"/>
  <c r="A43" i="14"/>
  <c r="G42" i="14"/>
  <c r="F42" i="14"/>
  <c r="C42" i="14"/>
  <c r="B42" i="14"/>
  <c r="A42" i="14"/>
  <c r="G41" i="14"/>
  <c r="F41" i="14"/>
  <c r="C41" i="14"/>
  <c r="B41" i="14"/>
  <c r="A41" i="14"/>
  <c r="G40" i="14"/>
  <c r="F40" i="14"/>
  <c r="C40" i="14"/>
  <c r="B40" i="14"/>
  <c r="A40" i="14"/>
  <c r="G39" i="14"/>
  <c r="F39" i="14"/>
  <c r="C39" i="14"/>
  <c r="B39" i="14"/>
  <c r="A39" i="14"/>
  <c r="G38" i="14"/>
  <c r="F38" i="14"/>
  <c r="C38" i="14"/>
  <c r="B38" i="14"/>
  <c r="A38" i="14"/>
  <c r="G37" i="14"/>
  <c r="F37" i="14"/>
  <c r="C37" i="14"/>
  <c r="B37" i="14"/>
  <c r="A37" i="14"/>
  <c r="G36" i="14"/>
  <c r="F36" i="14"/>
  <c r="C36" i="14"/>
  <c r="B36" i="14"/>
  <c r="A36" i="14"/>
  <c r="G35" i="14"/>
  <c r="F35" i="14"/>
  <c r="C35" i="14"/>
  <c r="B35" i="14"/>
  <c r="A35" i="14"/>
  <c r="G34" i="14"/>
  <c r="F34" i="14"/>
  <c r="C34" i="14"/>
  <c r="B34" i="14"/>
  <c r="A34" i="14"/>
  <c r="G33" i="14"/>
  <c r="F33" i="14"/>
  <c r="C33" i="14"/>
  <c r="B33" i="14"/>
  <c r="A33" i="14"/>
  <c r="G32" i="14"/>
  <c r="F32" i="14"/>
  <c r="C32" i="14"/>
  <c r="B32" i="14"/>
  <c r="A32" i="14"/>
  <c r="G31" i="14"/>
  <c r="F31" i="14"/>
  <c r="C31" i="14"/>
  <c r="B31" i="14"/>
  <c r="A31" i="14"/>
  <c r="G30" i="14"/>
  <c r="F30" i="14"/>
  <c r="C30" i="14"/>
  <c r="B30" i="14"/>
  <c r="A30" i="14"/>
  <c r="G29" i="14"/>
  <c r="F29" i="14"/>
  <c r="C29" i="14"/>
  <c r="B29" i="14"/>
  <c r="A29" i="14"/>
  <c r="G28" i="14"/>
  <c r="F28" i="14"/>
  <c r="C28" i="14"/>
  <c r="B28" i="14"/>
  <c r="A28" i="14"/>
  <c r="G27" i="14"/>
  <c r="F27" i="14"/>
  <c r="C27" i="14"/>
  <c r="B27" i="14"/>
  <c r="A27" i="14"/>
  <c r="G26" i="14"/>
  <c r="F26" i="14"/>
  <c r="C26" i="14"/>
  <c r="B26" i="14"/>
  <c r="A26" i="14"/>
  <c r="G25" i="14"/>
  <c r="F25" i="14"/>
  <c r="C25" i="14"/>
  <c r="B25" i="14"/>
  <c r="A25" i="14"/>
  <c r="G24" i="14"/>
  <c r="F24" i="14"/>
  <c r="C24" i="14"/>
  <c r="B24" i="14"/>
  <c r="A24" i="14"/>
  <c r="G23" i="14"/>
  <c r="F23" i="14"/>
  <c r="C23" i="14"/>
  <c r="B23" i="14"/>
  <c r="A23" i="14"/>
  <c r="G22" i="14"/>
  <c r="F22" i="14"/>
  <c r="C22" i="14"/>
  <c r="B22" i="14"/>
  <c r="A22" i="14"/>
  <c r="G21" i="14"/>
  <c r="F21" i="14"/>
  <c r="C21" i="14"/>
  <c r="B21" i="14"/>
  <c r="A21" i="14"/>
  <c r="G87" i="22"/>
  <c r="F87" i="22"/>
  <c r="C87" i="22"/>
  <c r="B87" i="22"/>
  <c r="A87" i="22"/>
  <c r="G86" i="22"/>
  <c r="F86" i="22"/>
  <c r="C86" i="22"/>
  <c r="B86" i="22"/>
  <c r="A86" i="22"/>
  <c r="G85" i="22"/>
  <c r="F85" i="22"/>
  <c r="C85" i="22"/>
  <c r="B85" i="22"/>
  <c r="A85" i="22"/>
  <c r="G84" i="22"/>
  <c r="F84" i="22"/>
  <c r="C84" i="22"/>
  <c r="B84" i="22"/>
  <c r="A84" i="22"/>
  <c r="G83" i="22"/>
  <c r="F83" i="22"/>
  <c r="C83" i="22"/>
  <c r="B83" i="22"/>
  <c r="A83" i="22"/>
  <c r="G82" i="22"/>
  <c r="F82" i="22"/>
  <c r="C82" i="22"/>
  <c r="B82" i="22"/>
  <c r="A82" i="22"/>
  <c r="G81" i="22"/>
  <c r="F81" i="22"/>
  <c r="C81" i="22"/>
  <c r="B81" i="22"/>
  <c r="A81" i="22"/>
  <c r="G80" i="22"/>
  <c r="F80" i="22"/>
  <c r="C80" i="22"/>
  <c r="B80" i="22"/>
  <c r="A80" i="22"/>
  <c r="G79" i="22"/>
  <c r="F79" i="22"/>
  <c r="C79" i="22"/>
  <c r="B79" i="22"/>
  <c r="A79" i="22"/>
  <c r="G78" i="22"/>
  <c r="F78" i="22"/>
  <c r="C78" i="22"/>
  <c r="B78" i="22"/>
  <c r="A78" i="22"/>
  <c r="G77" i="22"/>
  <c r="F77" i="22"/>
  <c r="C77" i="22"/>
  <c r="B77" i="22"/>
  <c r="A77" i="22"/>
  <c r="G76" i="22"/>
  <c r="F76" i="22"/>
  <c r="C76" i="22"/>
  <c r="B76" i="22"/>
  <c r="A76" i="22"/>
  <c r="G75" i="22"/>
  <c r="F75" i="22"/>
  <c r="C75" i="22"/>
  <c r="B75" i="22"/>
  <c r="A75" i="22"/>
  <c r="G74" i="22"/>
  <c r="F74" i="22"/>
  <c r="C74" i="22"/>
  <c r="B74" i="22"/>
  <c r="A74" i="22"/>
  <c r="G73" i="22"/>
  <c r="F73" i="22"/>
  <c r="C73" i="22"/>
  <c r="B73" i="22"/>
  <c r="A73" i="22"/>
  <c r="G72" i="22"/>
  <c r="F72" i="22"/>
  <c r="C72" i="22"/>
  <c r="B72" i="22"/>
  <c r="A72" i="22"/>
  <c r="G71" i="22"/>
  <c r="F71" i="22"/>
  <c r="C71" i="22"/>
  <c r="B71" i="22"/>
  <c r="A71" i="22"/>
  <c r="G70" i="22"/>
  <c r="F70" i="22"/>
  <c r="C70" i="22"/>
  <c r="B70" i="22"/>
  <c r="A70" i="22"/>
  <c r="G69" i="22"/>
  <c r="F69" i="22"/>
  <c r="C69" i="22"/>
  <c r="B69" i="22"/>
  <c r="A69" i="22"/>
  <c r="G68" i="22"/>
  <c r="F68" i="22"/>
  <c r="C68" i="22"/>
  <c r="B68" i="22"/>
  <c r="A68" i="22"/>
  <c r="G67" i="22"/>
  <c r="F67" i="22"/>
  <c r="C67" i="22"/>
  <c r="B67" i="22"/>
  <c r="A67" i="22"/>
  <c r="G66" i="22"/>
  <c r="F66" i="22"/>
  <c r="C66" i="22"/>
  <c r="B66" i="22"/>
  <c r="A66" i="22"/>
  <c r="G65" i="22"/>
  <c r="F65" i="22"/>
  <c r="C65" i="22"/>
  <c r="B65" i="22"/>
  <c r="A65" i="22"/>
  <c r="G64" i="22"/>
  <c r="F64" i="22"/>
  <c r="C64" i="22"/>
  <c r="B64" i="22"/>
  <c r="A64" i="22"/>
  <c r="G63" i="22"/>
  <c r="F63" i="22"/>
  <c r="C63" i="22"/>
  <c r="B63" i="22"/>
  <c r="A63" i="22"/>
  <c r="G62" i="22"/>
  <c r="F62" i="22"/>
  <c r="C62" i="22"/>
  <c r="B62" i="22"/>
  <c r="A62" i="22"/>
  <c r="G61" i="22"/>
  <c r="F61" i="22"/>
  <c r="C61" i="22"/>
  <c r="B61" i="22"/>
  <c r="A61" i="22"/>
  <c r="G60" i="22"/>
  <c r="F60" i="22"/>
  <c r="C60" i="22"/>
  <c r="B60" i="22"/>
  <c r="A60" i="22"/>
  <c r="G59" i="22"/>
  <c r="F59" i="22"/>
  <c r="C59" i="22"/>
  <c r="B59" i="22"/>
  <c r="A59" i="22"/>
  <c r="G58" i="22"/>
  <c r="F58" i="22"/>
  <c r="C58" i="22"/>
  <c r="B58" i="22"/>
  <c r="A58" i="22"/>
  <c r="G57" i="22"/>
  <c r="F57" i="22"/>
  <c r="C57" i="22"/>
  <c r="B57" i="22"/>
  <c r="A57" i="22"/>
  <c r="G56" i="22"/>
  <c r="F56" i="22"/>
  <c r="C56" i="22"/>
  <c r="B56" i="22"/>
  <c r="A56" i="22"/>
  <c r="G55" i="22"/>
  <c r="F55" i="22"/>
  <c r="C55" i="22"/>
  <c r="B55" i="22"/>
  <c r="A55" i="22"/>
  <c r="G54" i="22"/>
  <c r="F54" i="22"/>
  <c r="C54" i="22"/>
  <c r="B54" i="22"/>
  <c r="A54" i="22"/>
  <c r="G53" i="22"/>
  <c r="F53" i="22"/>
  <c r="C53" i="22"/>
  <c r="B53" i="22"/>
  <c r="A53" i="22"/>
  <c r="G52" i="22"/>
  <c r="F52" i="22"/>
  <c r="C52" i="22"/>
  <c r="B52" i="22"/>
  <c r="A52" i="22"/>
  <c r="G51" i="22"/>
  <c r="F51" i="22"/>
  <c r="C51" i="22"/>
  <c r="B51" i="22"/>
  <c r="A51" i="22"/>
  <c r="G50" i="22"/>
  <c r="F50" i="22"/>
  <c r="C50" i="22"/>
  <c r="B50" i="22"/>
  <c r="A50" i="22"/>
  <c r="G49" i="22"/>
  <c r="F49" i="22"/>
  <c r="C49" i="22"/>
  <c r="B49" i="22"/>
  <c r="A49" i="22"/>
  <c r="G48" i="22"/>
  <c r="F48" i="22"/>
  <c r="C48" i="22"/>
  <c r="B48" i="22"/>
  <c r="A48" i="22"/>
  <c r="G47" i="22"/>
  <c r="F47" i="22"/>
  <c r="C47" i="22"/>
  <c r="B47" i="22"/>
  <c r="A47" i="22"/>
  <c r="G46" i="22"/>
  <c r="F46" i="22"/>
  <c r="C46" i="22"/>
  <c r="B46" i="22"/>
  <c r="A46" i="22"/>
  <c r="G45" i="22"/>
  <c r="F45" i="22"/>
  <c r="C45" i="22"/>
  <c r="B45" i="22"/>
  <c r="A45" i="22"/>
  <c r="G44" i="22"/>
  <c r="F44" i="22"/>
  <c r="C44" i="22"/>
  <c r="B44" i="22"/>
  <c r="A44" i="22"/>
  <c r="G43" i="22"/>
  <c r="F43" i="22"/>
  <c r="C43" i="22"/>
  <c r="B43" i="22"/>
  <c r="A43" i="22"/>
  <c r="G42" i="22"/>
  <c r="F42" i="22"/>
  <c r="C42" i="22"/>
  <c r="B42" i="22"/>
  <c r="A42" i="22"/>
  <c r="G41" i="22"/>
  <c r="F41" i="22"/>
  <c r="C41" i="22"/>
  <c r="B41" i="22"/>
  <c r="A41" i="22"/>
  <c r="G40" i="22"/>
  <c r="F40" i="22"/>
  <c r="C40" i="22"/>
  <c r="B40" i="22"/>
  <c r="A40" i="22"/>
  <c r="G39" i="22"/>
  <c r="F39" i="22"/>
  <c r="C39" i="22"/>
  <c r="B39" i="22"/>
  <c r="A39" i="22"/>
  <c r="G38" i="22"/>
  <c r="F38" i="22"/>
  <c r="C38" i="22"/>
  <c r="B38" i="22"/>
  <c r="A38" i="22"/>
  <c r="G37" i="22"/>
  <c r="F37" i="22"/>
  <c r="C37" i="22"/>
  <c r="B37" i="22"/>
  <c r="A37" i="22"/>
  <c r="G36" i="22"/>
  <c r="F36" i="22"/>
  <c r="C36" i="22"/>
  <c r="B36" i="22"/>
  <c r="A36" i="22"/>
  <c r="G35" i="22"/>
  <c r="F35" i="22"/>
  <c r="C35" i="22"/>
  <c r="B35" i="22"/>
  <c r="A35" i="22"/>
  <c r="G34" i="22"/>
  <c r="F34" i="22"/>
  <c r="C34" i="22"/>
  <c r="B34" i="22"/>
  <c r="A34" i="22"/>
  <c r="G33" i="22"/>
  <c r="F33" i="22"/>
  <c r="C33" i="22"/>
  <c r="B33" i="22"/>
  <c r="A33" i="22"/>
  <c r="G32" i="22"/>
  <c r="F32" i="22"/>
  <c r="C32" i="22"/>
  <c r="B32" i="22"/>
  <c r="A32" i="22"/>
  <c r="G31" i="22"/>
  <c r="F31" i="22"/>
  <c r="C31" i="22"/>
  <c r="B31" i="22"/>
  <c r="A31" i="22"/>
  <c r="G30" i="22"/>
  <c r="F30" i="22"/>
  <c r="C30" i="22"/>
  <c r="B30" i="22"/>
  <c r="A30" i="22"/>
  <c r="G29" i="22"/>
  <c r="F29" i="22"/>
  <c r="C29" i="22"/>
  <c r="B29" i="22"/>
  <c r="A29" i="22"/>
  <c r="G28" i="22"/>
  <c r="F28" i="22"/>
  <c r="C28" i="22"/>
  <c r="B28" i="22"/>
  <c r="A28" i="22"/>
  <c r="G27" i="22"/>
  <c r="F27" i="22"/>
  <c r="C27" i="22"/>
  <c r="B27" i="22"/>
  <c r="A27" i="22"/>
  <c r="G26" i="22"/>
  <c r="F26" i="22"/>
  <c r="C26" i="22"/>
  <c r="B26" i="22"/>
  <c r="A26" i="22"/>
  <c r="G25" i="22"/>
  <c r="F25" i="22"/>
  <c r="C25" i="22"/>
  <c r="B25" i="22"/>
  <c r="A25" i="22"/>
  <c r="G24" i="22"/>
  <c r="F24" i="22"/>
  <c r="C24" i="22"/>
  <c r="B24" i="22"/>
  <c r="A24" i="22"/>
  <c r="G23" i="22"/>
  <c r="F23" i="22"/>
  <c r="C23" i="22"/>
  <c r="B23" i="22"/>
  <c r="A23" i="22"/>
  <c r="G22" i="22"/>
  <c r="F22" i="22"/>
  <c r="C22" i="22"/>
  <c r="B22" i="22"/>
  <c r="A22" i="22"/>
  <c r="G21" i="22"/>
  <c r="F21" i="22"/>
  <c r="C21" i="22"/>
  <c r="B21" i="22"/>
  <c r="A21" i="22"/>
  <c r="G87" i="21"/>
  <c r="F87" i="21"/>
  <c r="C87" i="21"/>
  <c r="B87" i="21"/>
  <c r="A87" i="21"/>
  <c r="G86" i="21"/>
  <c r="F86" i="21"/>
  <c r="C86" i="21"/>
  <c r="B86" i="21"/>
  <c r="A86" i="21"/>
  <c r="G85" i="21"/>
  <c r="F85" i="21"/>
  <c r="C85" i="21"/>
  <c r="B85" i="21"/>
  <c r="A85" i="21"/>
  <c r="G84" i="21"/>
  <c r="F84" i="21"/>
  <c r="C84" i="21"/>
  <c r="B84" i="21"/>
  <c r="A84" i="21"/>
  <c r="G83" i="21"/>
  <c r="F83" i="21"/>
  <c r="C83" i="21"/>
  <c r="B83" i="21"/>
  <c r="A83" i="21"/>
  <c r="G82" i="21"/>
  <c r="F82" i="21"/>
  <c r="C82" i="21"/>
  <c r="B82" i="21"/>
  <c r="A82" i="21"/>
  <c r="G81" i="21"/>
  <c r="F81" i="21"/>
  <c r="C81" i="21"/>
  <c r="B81" i="21"/>
  <c r="A81" i="21"/>
  <c r="G80" i="21"/>
  <c r="F80" i="21"/>
  <c r="C80" i="21"/>
  <c r="B80" i="21"/>
  <c r="A80" i="21"/>
  <c r="G79" i="21"/>
  <c r="F79" i="21"/>
  <c r="C79" i="21"/>
  <c r="B79" i="21"/>
  <c r="A79" i="21"/>
  <c r="G78" i="21"/>
  <c r="F78" i="21"/>
  <c r="C78" i="21"/>
  <c r="B78" i="21"/>
  <c r="A78" i="21"/>
  <c r="G77" i="21"/>
  <c r="F77" i="21"/>
  <c r="C77" i="21"/>
  <c r="B77" i="21"/>
  <c r="A77" i="21"/>
  <c r="G76" i="21"/>
  <c r="F76" i="21"/>
  <c r="C76" i="21"/>
  <c r="B76" i="21"/>
  <c r="A76" i="21"/>
  <c r="G75" i="21"/>
  <c r="F75" i="21"/>
  <c r="C75" i="21"/>
  <c r="B75" i="21"/>
  <c r="A75" i="21"/>
  <c r="G74" i="21"/>
  <c r="F74" i="21"/>
  <c r="C74" i="21"/>
  <c r="B74" i="21"/>
  <c r="A74" i="21"/>
  <c r="G73" i="21"/>
  <c r="F73" i="21"/>
  <c r="C73" i="21"/>
  <c r="B73" i="21"/>
  <c r="A73" i="21"/>
  <c r="G72" i="21"/>
  <c r="F72" i="21"/>
  <c r="C72" i="21"/>
  <c r="B72" i="21"/>
  <c r="A72" i="21"/>
  <c r="G71" i="21"/>
  <c r="F71" i="21"/>
  <c r="C71" i="21"/>
  <c r="B71" i="21"/>
  <c r="A71" i="21"/>
  <c r="G70" i="21"/>
  <c r="F70" i="21"/>
  <c r="C70" i="21"/>
  <c r="B70" i="21"/>
  <c r="A70" i="21"/>
  <c r="G69" i="21"/>
  <c r="F69" i="21"/>
  <c r="C69" i="21"/>
  <c r="B69" i="21"/>
  <c r="A69" i="21"/>
  <c r="G68" i="21"/>
  <c r="F68" i="21"/>
  <c r="C68" i="21"/>
  <c r="B68" i="21"/>
  <c r="A68" i="21"/>
  <c r="G67" i="21"/>
  <c r="F67" i="21"/>
  <c r="C67" i="21"/>
  <c r="B67" i="21"/>
  <c r="A67" i="21"/>
  <c r="G66" i="21"/>
  <c r="F66" i="21"/>
  <c r="C66" i="21"/>
  <c r="B66" i="21"/>
  <c r="A66" i="21"/>
  <c r="G65" i="21"/>
  <c r="F65" i="21"/>
  <c r="C65" i="21"/>
  <c r="B65" i="21"/>
  <c r="A65" i="21"/>
  <c r="G64" i="21"/>
  <c r="F64" i="21"/>
  <c r="C64" i="21"/>
  <c r="B64" i="21"/>
  <c r="A64" i="21"/>
  <c r="G63" i="21"/>
  <c r="F63" i="21"/>
  <c r="C63" i="21"/>
  <c r="B63" i="21"/>
  <c r="A63" i="21"/>
  <c r="G62" i="21"/>
  <c r="F62" i="21"/>
  <c r="C62" i="21"/>
  <c r="B62" i="21"/>
  <c r="A62" i="21"/>
  <c r="G61" i="21"/>
  <c r="F61" i="21"/>
  <c r="C61" i="21"/>
  <c r="B61" i="21"/>
  <c r="A61" i="21"/>
  <c r="G60" i="21"/>
  <c r="F60" i="21"/>
  <c r="C60" i="21"/>
  <c r="B60" i="21"/>
  <c r="A60" i="21"/>
  <c r="G59" i="21"/>
  <c r="F59" i="21"/>
  <c r="C59" i="21"/>
  <c r="B59" i="21"/>
  <c r="A59" i="21"/>
  <c r="G58" i="21"/>
  <c r="F58" i="21"/>
  <c r="C58" i="21"/>
  <c r="B58" i="21"/>
  <c r="A58" i="21"/>
  <c r="G57" i="21"/>
  <c r="F57" i="21"/>
  <c r="C57" i="21"/>
  <c r="B57" i="21"/>
  <c r="A57" i="21"/>
  <c r="G56" i="21"/>
  <c r="F56" i="21"/>
  <c r="C56" i="21"/>
  <c r="B56" i="21"/>
  <c r="A56" i="21"/>
  <c r="G55" i="21"/>
  <c r="F55" i="21"/>
  <c r="C55" i="21"/>
  <c r="B55" i="21"/>
  <c r="A55" i="21"/>
  <c r="G54" i="21"/>
  <c r="F54" i="21"/>
  <c r="C54" i="21"/>
  <c r="B54" i="21"/>
  <c r="A54" i="21"/>
  <c r="G53" i="21"/>
  <c r="F53" i="21"/>
  <c r="C53" i="21"/>
  <c r="B53" i="21"/>
  <c r="A53" i="21"/>
  <c r="G52" i="21"/>
  <c r="F52" i="21"/>
  <c r="C52" i="21"/>
  <c r="B52" i="21"/>
  <c r="A52" i="21"/>
  <c r="G51" i="21"/>
  <c r="F51" i="21"/>
  <c r="C51" i="21"/>
  <c r="B51" i="21"/>
  <c r="A51" i="21"/>
  <c r="G50" i="21"/>
  <c r="F50" i="21"/>
  <c r="C50" i="21"/>
  <c r="B50" i="21"/>
  <c r="A50" i="21"/>
  <c r="G49" i="21"/>
  <c r="F49" i="21"/>
  <c r="C49" i="21"/>
  <c r="B49" i="21"/>
  <c r="A49" i="21"/>
  <c r="G48" i="21"/>
  <c r="F48" i="21"/>
  <c r="C48" i="21"/>
  <c r="B48" i="21"/>
  <c r="A48" i="21"/>
  <c r="G47" i="21"/>
  <c r="F47" i="21"/>
  <c r="C47" i="21"/>
  <c r="B47" i="21"/>
  <c r="A47" i="21"/>
  <c r="G46" i="21"/>
  <c r="F46" i="21"/>
  <c r="C46" i="21"/>
  <c r="B46" i="21"/>
  <c r="A46" i="21"/>
  <c r="G45" i="21"/>
  <c r="F45" i="21"/>
  <c r="C45" i="21"/>
  <c r="B45" i="21"/>
  <c r="A45" i="21"/>
  <c r="G44" i="21"/>
  <c r="F44" i="21"/>
  <c r="C44" i="21"/>
  <c r="B44" i="21"/>
  <c r="A44" i="21"/>
  <c r="G43" i="21"/>
  <c r="F43" i="21"/>
  <c r="C43" i="21"/>
  <c r="B43" i="21"/>
  <c r="A43" i="21"/>
  <c r="G42" i="21"/>
  <c r="F42" i="21"/>
  <c r="C42" i="21"/>
  <c r="B42" i="21"/>
  <c r="A42" i="21"/>
  <c r="G41" i="21"/>
  <c r="F41" i="21"/>
  <c r="C41" i="21"/>
  <c r="B41" i="21"/>
  <c r="A41" i="21"/>
  <c r="G40" i="21"/>
  <c r="F40" i="21"/>
  <c r="C40" i="21"/>
  <c r="B40" i="21"/>
  <c r="A40" i="21"/>
  <c r="G39" i="21"/>
  <c r="F39" i="21"/>
  <c r="C39" i="21"/>
  <c r="B39" i="21"/>
  <c r="A39" i="21"/>
  <c r="G38" i="21"/>
  <c r="F38" i="21"/>
  <c r="C38" i="21"/>
  <c r="B38" i="21"/>
  <c r="A38" i="21"/>
  <c r="G37" i="21"/>
  <c r="F37" i="21"/>
  <c r="C37" i="21"/>
  <c r="B37" i="21"/>
  <c r="A37" i="21"/>
  <c r="G36" i="21"/>
  <c r="F36" i="21"/>
  <c r="C36" i="21"/>
  <c r="B36" i="21"/>
  <c r="A36" i="21"/>
  <c r="G35" i="21"/>
  <c r="F35" i="21"/>
  <c r="C35" i="21"/>
  <c r="B35" i="21"/>
  <c r="A35" i="21"/>
  <c r="G34" i="21"/>
  <c r="F34" i="21"/>
  <c r="C34" i="21"/>
  <c r="B34" i="21"/>
  <c r="A34" i="21"/>
  <c r="G33" i="21"/>
  <c r="F33" i="21"/>
  <c r="C33" i="21"/>
  <c r="B33" i="21"/>
  <c r="A33" i="21"/>
  <c r="G32" i="21"/>
  <c r="F32" i="21"/>
  <c r="C32" i="21"/>
  <c r="B32" i="21"/>
  <c r="A32" i="21"/>
  <c r="G31" i="21"/>
  <c r="F31" i="21"/>
  <c r="C31" i="21"/>
  <c r="B31" i="21"/>
  <c r="A31" i="21"/>
  <c r="G30" i="21"/>
  <c r="F30" i="21"/>
  <c r="C30" i="21"/>
  <c r="B30" i="21"/>
  <c r="A30" i="21"/>
  <c r="G29" i="21"/>
  <c r="F29" i="21"/>
  <c r="C29" i="21"/>
  <c r="B29" i="21"/>
  <c r="A29" i="21"/>
  <c r="G28" i="21"/>
  <c r="F28" i="21"/>
  <c r="C28" i="21"/>
  <c r="B28" i="21"/>
  <c r="A28" i="21"/>
  <c r="G27" i="21"/>
  <c r="F27" i="21"/>
  <c r="C27" i="21"/>
  <c r="B27" i="21"/>
  <c r="A27" i="21"/>
  <c r="G26" i="21"/>
  <c r="F26" i="21"/>
  <c r="C26" i="21"/>
  <c r="B26" i="21"/>
  <c r="A26" i="21"/>
  <c r="G25" i="21"/>
  <c r="F25" i="21"/>
  <c r="C25" i="21"/>
  <c r="B25" i="21"/>
  <c r="A25" i="21"/>
  <c r="G24" i="21"/>
  <c r="F24" i="21"/>
  <c r="C24" i="21"/>
  <c r="B24" i="21"/>
  <c r="A24" i="21"/>
  <c r="G23" i="21"/>
  <c r="F23" i="21"/>
  <c r="C23" i="21"/>
  <c r="B23" i="21"/>
  <c r="A23" i="21"/>
  <c r="G22" i="21"/>
  <c r="F22" i="21"/>
  <c r="C22" i="21"/>
  <c r="B22" i="21"/>
  <c r="A22" i="21"/>
  <c r="G21" i="21"/>
  <c r="F21" i="21"/>
  <c r="C21" i="21"/>
  <c r="B21" i="21"/>
  <c r="A21" i="21"/>
  <c r="G87" i="11"/>
  <c r="F87" i="11"/>
  <c r="C87" i="11"/>
  <c r="B87" i="11"/>
  <c r="A87" i="11"/>
  <c r="G86" i="11"/>
  <c r="F86" i="11"/>
  <c r="C86" i="11"/>
  <c r="B86" i="11"/>
  <c r="A86" i="11"/>
  <c r="G85" i="11"/>
  <c r="F85" i="11"/>
  <c r="C85" i="11"/>
  <c r="B85" i="11"/>
  <c r="A85" i="11"/>
  <c r="G84" i="11"/>
  <c r="F84" i="11"/>
  <c r="C84" i="11"/>
  <c r="B84" i="11"/>
  <c r="A84" i="11"/>
  <c r="G83" i="11"/>
  <c r="F83" i="11"/>
  <c r="C83" i="11"/>
  <c r="B83" i="11"/>
  <c r="A83" i="11"/>
  <c r="G82" i="11"/>
  <c r="F82" i="11"/>
  <c r="C82" i="11"/>
  <c r="B82" i="11"/>
  <c r="A82" i="11"/>
  <c r="G81" i="11"/>
  <c r="F81" i="11"/>
  <c r="C81" i="11"/>
  <c r="B81" i="11"/>
  <c r="A81" i="11"/>
  <c r="G80" i="11"/>
  <c r="F80" i="11"/>
  <c r="C80" i="11"/>
  <c r="B80" i="11"/>
  <c r="A80" i="11"/>
  <c r="G79" i="11"/>
  <c r="F79" i="11"/>
  <c r="C79" i="11"/>
  <c r="B79" i="11"/>
  <c r="A79" i="11"/>
  <c r="G78" i="11"/>
  <c r="F78" i="11"/>
  <c r="C78" i="11"/>
  <c r="B78" i="11"/>
  <c r="A78" i="11"/>
  <c r="G77" i="11"/>
  <c r="F77" i="11"/>
  <c r="C77" i="11"/>
  <c r="B77" i="11"/>
  <c r="A77" i="11"/>
  <c r="G76" i="11"/>
  <c r="F76" i="11"/>
  <c r="C76" i="11"/>
  <c r="B76" i="11"/>
  <c r="A76" i="11"/>
  <c r="G75" i="11"/>
  <c r="F75" i="11"/>
  <c r="C75" i="11"/>
  <c r="B75" i="11"/>
  <c r="A75" i="11"/>
  <c r="G74" i="11"/>
  <c r="F74" i="11"/>
  <c r="C74" i="11"/>
  <c r="B74" i="11"/>
  <c r="A74" i="11"/>
  <c r="G73" i="11"/>
  <c r="F73" i="11"/>
  <c r="C73" i="11"/>
  <c r="B73" i="11"/>
  <c r="A73" i="11"/>
  <c r="G72" i="11"/>
  <c r="F72" i="11"/>
  <c r="C72" i="11"/>
  <c r="B72" i="11"/>
  <c r="A72" i="11"/>
  <c r="G71" i="11"/>
  <c r="F71" i="11"/>
  <c r="C71" i="11"/>
  <c r="B71" i="11"/>
  <c r="A71" i="11"/>
  <c r="G70" i="11"/>
  <c r="F70" i="11"/>
  <c r="C70" i="11"/>
  <c r="B70" i="11"/>
  <c r="A70" i="11"/>
  <c r="G69" i="11"/>
  <c r="F69" i="11"/>
  <c r="C69" i="11"/>
  <c r="B69" i="11"/>
  <c r="A69" i="11"/>
  <c r="G68" i="11"/>
  <c r="F68" i="11"/>
  <c r="C68" i="11"/>
  <c r="B68" i="11"/>
  <c r="A68" i="11"/>
  <c r="G67" i="11"/>
  <c r="F67" i="11"/>
  <c r="C67" i="11"/>
  <c r="B67" i="11"/>
  <c r="A67" i="11"/>
  <c r="G66" i="11"/>
  <c r="F66" i="11"/>
  <c r="C66" i="11"/>
  <c r="B66" i="11"/>
  <c r="A66" i="11"/>
  <c r="G65" i="11"/>
  <c r="F65" i="11"/>
  <c r="C65" i="11"/>
  <c r="B65" i="11"/>
  <c r="A65" i="11"/>
  <c r="G64" i="11"/>
  <c r="F64" i="11"/>
  <c r="C64" i="11"/>
  <c r="B64" i="11"/>
  <c r="A64" i="11"/>
  <c r="G63" i="11"/>
  <c r="F63" i="11"/>
  <c r="C63" i="11"/>
  <c r="B63" i="11"/>
  <c r="A63" i="11"/>
  <c r="G62" i="11"/>
  <c r="F62" i="11"/>
  <c r="C62" i="11"/>
  <c r="B62" i="11"/>
  <c r="A62" i="11"/>
  <c r="G61" i="11"/>
  <c r="F61" i="11"/>
  <c r="C61" i="11"/>
  <c r="B61" i="11"/>
  <c r="A61" i="11"/>
  <c r="G60" i="11"/>
  <c r="F60" i="11"/>
  <c r="C60" i="11"/>
  <c r="B60" i="11"/>
  <c r="A60" i="11"/>
  <c r="G59" i="11"/>
  <c r="F59" i="11"/>
  <c r="C59" i="11"/>
  <c r="B59" i="11"/>
  <c r="A59" i="11"/>
  <c r="G58" i="11"/>
  <c r="F58" i="11"/>
  <c r="C58" i="11"/>
  <c r="B58" i="11"/>
  <c r="A58" i="11"/>
  <c r="G57" i="11"/>
  <c r="F57" i="11"/>
  <c r="C57" i="11"/>
  <c r="B57" i="11"/>
  <c r="A57" i="11"/>
  <c r="G56" i="11"/>
  <c r="F56" i="11"/>
  <c r="C56" i="11"/>
  <c r="B56" i="11"/>
  <c r="A56" i="11"/>
  <c r="G55" i="11"/>
  <c r="F55" i="11"/>
  <c r="C55" i="11"/>
  <c r="B55" i="11"/>
  <c r="A55" i="11"/>
  <c r="G54" i="11"/>
  <c r="F54" i="11"/>
  <c r="C54" i="11"/>
  <c r="B54" i="11"/>
  <c r="A54" i="11"/>
  <c r="G53" i="11"/>
  <c r="F53" i="11"/>
  <c r="C53" i="11"/>
  <c r="B53" i="11"/>
  <c r="A53" i="11"/>
  <c r="G52" i="11"/>
  <c r="F52" i="11"/>
  <c r="C52" i="11"/>
  <c r="B52" i="11"/>
  <c r="A52" i="11"/>
  <c r="G51" i="11"/>
  <c r="F51" i="11"/>
  <c r="C51" i="11"/>
  <c r="B51" i="11"/>
  <c r="A51" i="11"/>
  <c r="G50" i="11"/>
  <c r="F50" i="11"/>
  <c r="C50" i="11"/>
  <c r="B50" i="11"/>
  <c r="A50" i="11"/>
  <c r="G49" i="11"/>
  <c r="F49" i="11"/>
  <c r="C49" i="11"/>
  <c r="B49" i="11"/>
  <c r="A49" i="11"/>
  <c r="G48" i="11"/>
  <c r="F48" i="11"/>
  <c r="C48" i="11"/>
  <c r="B48" i="11"/>
  <c r="A48" i="11"/>
  <c r="G47" i="11"/>
  <c r="F47" i="11"/>
  <c r="C47" i="11"/>
  <c r="B47" i="11"/>
  <c r="A47" i="11"/>
  <c r="G46" i="11"/>
  <c r="F46" i="11"/>
  <c r="C46" i="11"/>
  <c r="B46" i="11"/>
  <c r="A46" i="11"/>
  <c r="G45" i="11"/>
  <c r="F45" i="11"/>
  <c r="C45" i="11"/>
  <c r="B45" i="11"/>
  <c r="A45" i="11"/>
  <c r="G44" i="11"/>
  <c r="F44" i="11"/>
  <c r="C44" i="11"/>
  <c r="B44" i="11"/>
  <c r="A44" i="11"/>
  <c r="G43" i="11"/>
  <c r="F43" i="11"/>
  <c r="C43" i="11"/>
  <c r="B43" i="11"/>
  <c r="A43" i="11"/>
  <c r="G42" i="11"/>
  <c r="F42" i="11"/>
  <c r="C42" i="11"/>
  <c r="B42" i="11"/>
  <c r="A42" i="11"/>
  <c r="G41" i="11"/>
  <c r="F41" i="11"/>
  <c r="C41" i="11"/>
  <c r="B41" i="11"/>
  <c r="A41" i="11"/>
  <c r="G40" i="11"/>
  <c r="F40" i="11"/>
  <c r="C40" i="11"/>
  <c r="B40" i="11"/>
  <c r="A40" i="11"/>
  <c r="G39" i="11"/>
  <c r="F39" i="11"/>
  <c r="C39" i="11"/>
  <c r="B39" i="11"/>
  <c r="A39" i="11"/>
  <c r="G38" i="11"/>
  <c r="F38" i="11"/>
  <c r="C38" i="11"/>
  <c r="B38" i="11"/>
  <c r="A38" i="11"/>
  <c r="G37" i="11"/>
  <c r="F37" i="11"/>
  <c r="C37" i="11"/>
  <c r="B37" i="11"/>
  <c r="A37" i="11"/>
  <c r="G36" i="11"/>
  <c r="F36" i="11"/>
  <c r="C36" i="11"/>
  <c r="B36" i="11"/>
  <c r="A36" i="11"/>
  <c r="G35" i="11"/>
  <c r="F35" i="11"/>
  <c r="C35" i="11"/>
  <c r="B35" i="11"/>
  <c r="A35" i="11"/>
  <c r="G34" i="11"/>
  <c r="F34" i="11"/>
  <c r="C34" i="11"/>
  <c r="B34" i="11"/>
  <c r="A34" i="11"/>
  <c r="G33" i="11"/>
  <c r="F33" i="11"/>
  <c r="C33" i="11"/>
  <c r="B33" i="11"/>
  <c r="A33" i="11"/>
  <c r="G32" i="11"/>
  <c r="F32" i="11"/>
  <c r="C32" i="11"/>
  <c r="B32" i="11"/>
  <c r="A32" i="11"/>
  <c r="G31" i="11"/>
  <c r="F31" i="11"/>
  <c r="C31" i="11"/>
  <c r="B31" i="11"/>
  <c r="A31" i="11"/>
  <c r="G30" i="11"/>
  <c r="F30" i="11"/>
  <c r="C30" i="11"/>
  <c r="B30" i="11"/>
  <c r="A30" i="11"/>
  <c r="G29" i="11"/>
  <c r="F29" i="11"/>
  <c r="C29" i="11"/>
  <c r="B29" i="11"/>
  <c r="A29" i="11"/>
  <c r="G28" i="11"/>
  <c r="F28" i="11"/>
  <c r="C28" i="11"/>
  <c r="B28" i="11"/>
  <c r="A28" i="11"/>
  <c r="G27" i="11"/>
  <c r="F27" i="11"/>
  <c r="C27" i="11"/>
  <c r="B27" i="11"/>
  <c r="A27" i="11"/>
  <c r="G26" i="11"/>
  <c r="F26" i="11"/>
  <c r="C26" i="11"/>
  <c r="B26" i="11"/>
  <c r="A26" i="11"/>
  <c r="G25" i="11"/>
  <c r="F25" i="11"/>
  <c r="C25" i="11"/>
  <c r="B25" i="11"/>
  <c r="A25" i="11"/>
  <c r="G24" i="11"/>
  <c r="F24" i="11"/>
  <c r="C24" i="11"/>
  <c r="B24" i="11"/>
  <c r="A24" i="11"/>
  <c r="G23" i="11"/>
  <c r="F23" i="11"/>
  <c r="C23" i="11"/>
  <c r="B23" i="11"/>
  <c r="A23" i="11"/>
  <c r="G22" i="11"/>
  <c r="F22" i="11"/>
  <c r="C22" i="11"/>
  <c r="B22" i="11"/>
  <c r="A22" i="11"/>
  <c r="G21" i="11"/>
  <c r="F21" i="11"/>
  <c r="C21" i="11"/>
  <c r="B21" i="11"/>
  <c r="A21" i="11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G21" i="9"/>
  <c r="F21" i="9"/>
  <c r="C21" i="9"/>
  <c r="B21" i="9"/>
  <c r="A21" i="9"/>
  <c r="A6" i="7"/>
  <c r="B6" i="7"/>
  <c r="C6" i="7"/>
  <c r="D6" i="7"/>
  <c r="E6" i="7"/>
  <c r="A7" i="7"/>
  <c r="B7" i="7"/>
  <c r="C7" i="7"/>
  <c r="D7" i="7"/>
  <c r="E7" i="7"/>
  <c r="A8" i="7"/>
  <c r="B8" i="7"/>
  <c r="C8" i="7"/>
  <c r="D8" i="7"/>
  <c r="E8" i="7"/>
  <c r="A9" i="7"/>
  <c r="B9" i="7"/>
  <c r="C9" i="7"/>
  <c r="D9" i="7"/>
  <c r="E9" i="7"/>
  <c r="A10" i="7"/>
  <c r="B10" i="7"/>
  <c r="C10" i="7"/>
  <c r="D10" i="7"/>
  <c r="E10" i="7"/>
  <c r="A11" i="7"/>
  <c r="B11" i="7"/>
  <c r="C11" i="7"/>
  <c r="D11" i="7"/>
  <c r="E11" i="7"/>
  <c r="A12" i="7"/>
  <c r="B12" i="7"/>
  <c r="C12" i="7"/>
  <c r="D12" i="7"/>
  <c r="E12" i="7"/>
  <c r="A13" i="7"/>
  <c r="B13" i="7"/>
  <c r="C13" i="7"/>
  <c r="D13" i="7"/>
  <c r="E13" i="7"/>
  <c r="A14" i="7"/>
  <c r="B14" i="7"/>
  <c r="C14" i="7"/>
  <c r="D14" i="7"/>
  <c r="E14" i="7"/>
  <c r="A15" i="7"/>
  <c r="B15" i="7"/>
  <c r="C15" i="7"/>
  <c r="D15" i="7"/>
  <c r="E15" i="7"/>
  <c r="A16" i="7"/>
  <c r="B16" i="7"/>
  <c r="C16" i="7"/>
  <c r="D16" i="7"/>
  <c r="E16" i="7"/>
  <c r="A17" i="7"/>
  <c r="B17" i="7"/>
  <c r="C17" i="7"/>
  <c r="D17" i="7"/>
  <c r="E17" i="7"/>
  <c r="A18" i="7"/>
  <c r="B18" i="7"/>
  <c r="C18" i="7"/>
  <c r="D18" i="7"/>
  <c r="E18" i="7"/>
  <c r="A19" i="7"/>
  <c r="B19" i="7"/>
  <c r="C19" i="7"/>
  <c r="D19" i="7"/>
  <c r="E19" i="7"/>
  <c r="A20" i="7"/>
  <c r="B20" i="7"/>
  <c r="C20" i="7"/>
  <c r="D20" i="7"/>
  <c r="E20" i="7"/>
  <c r="A21" i="7"/>
  <c r="B21" i="7"/>
  <c r="C21" i="7"/>
  <c r="D21" i="7"/>
  <c r="E21" i="7"/>
  <c r="A22" i="7"/>
  <c r="B22" i="7"/>
  <c r="C22" i="7"/>
  <c r="D22" i="7"/>
  <c r="E22" i="7"/>
  <c r="A23" i="7"/>
  <c r="B23" i="7"/>
  <c r="C23" i="7"/>
  <c r="D23" i="7"/>
  <c r="E23" i="7"/>
  <c r="A24" i="7"/>
  <c r="B24" i="7"/>
  <c r="C24" i="7"/>
  <c r="D24" i="7"/>
  <c r="E24" i="7"/>
  <c r="A25" i="7"/>
  <c r="B25" i="7"/>
  <c r="C25" i="7"/>
  <c r="D25" i="7"/>
  <c r="E25" i="7"/>
  <c r="A26" i="7"/>
  <c r="B26" i="7"/>
  <c r="C26" i="7"/>
  <c r="D26" i="7"/>
  <c r="E26" i="7"/>
  <c r="A27" i="7"/>
  <c r="B27" i="7"/>
  <c r="C27" i="7"/>
  <c r="D27" i="7"/>
  <c r="E27" i="7"/>
  <c r="A28" i="7"/>
  <c r="B28" i="7"/>
  <c r="C28" i="7"/>
  <c r="D28" i="7"/>
  <c r="E28" i="7"/>
  <c r="A29" i="7"/>
  <c r="B29" i="7"/>
  <c r="C29" i="7"/>
  <c r="D29" i="7"/>
  <c r="E29" i="7"/>
  <c r="A30" i="7"/>
  <c r="B30" i="7"/>
  <c r="C30" i="7"/>
  <c r="D30" i="7"/>
  <c r="E30" i="7"/>
  <c r="A31" i="7"/>
  <c r="B31" i="7"/>
  <c r="C31" i="7"/>
  <c r="D31" i="7"/>
  <c r="E31" i="7"/>
  <c r="A32" i="7"/>
  <c r="B32" i="7"/>
  <c r="C32" i="7"/>
  <c r="D32" i="7"/>
  <c r="E32" i="7"/>
  <c r="A33" i="7"/>
  <c r="B33" i="7"/>
  <c r="C33" i="7"/>
  <c r="D33" i="7"/>
  <c r="E33" i="7"/>
  <c r="A34" i="7"/>
  <c r="B34" i="7"/>
  <c r="C34" i="7"/>
  <c r="D34" i="7"/>
  <c r="E34" i="7"/>
  <c r="A35" i="7"/>
  <c r="B35" i="7"/>
  <c r="C35" i="7"/>
  <c r="D35" i="7"/>
  <c r="E35" i="7"/>
  <c r="A36" i="7"/>
  <c r="B36" i="7"/>
  <c r="C36" i="7"/>
  <c r="D36" i="7"/>
  <c r="E36" i="7"/>
  <c r="A37" i="7"/>
  <c r="B37" i="7"/>
  <c r="C37" i="7"/>
  <c r="D37" i="7"/>
  <c r="E37" i="7"/>
  <c r="A38" i="7"/>
  <c r="B38" i="7"/>
  <c r="C38" i="7"/>
  <c r="D38" i="7"/>
  <c r="E38" i="7"/>
  <c r="A39" i="7"/>
  <c r="B39" i="7"/>
  <c r="C39" i="7"/>
  <c r="D39" i="7"/>
  <c r="E39" i="7"/>
  <c r="A40" i="7"/>
  <c r="B40" i="7"/>
  <c r="C40" i="7"/>
  <c r="D40" i="7"/>
  <c r="E40" i="7"/>
  <c r="A41" i="7"/>
  <c r="B41" i="7"/>
  <c r="C41" i="7"/>
  <c r="D41" i="7"/>
  <c r="E41" i="7"/>
  <c r="A42" i="7"/>
  <c r="B42" i="7"/>
  <c r="C42" i="7"/>
  <c r="D42" i="7"/>
  <c r="E42" i="7"/>
  <c r="A43" i="7"/>
  <c r="B43" i="7"/>
  <c r="C43" i="7"/>
  <c r="D43" i="7"/>
  <c r="E43" i="7"/>
  <c r="A44" i="7"/>
  <c r="B44" i="7"/>
  <c r="C44" i="7"/>
  <c r="D44" i="7"/>
  <c r="E44" i="7"/>
  <c r="A45" i="7"/>
  <c r="B45" i="7"/>
  <c r="C45" i="7"/>
  <c r="D45" i="7"/>
  <c r="E45" i="7"/>
  <c r="A46" i="7"/>
  <c r="B46" i="7"/>
  <c r="C46" i="7"/>
  <c r="D46" i="7"/>
  <c r="E46" i="7"/>
  <c r="A47" i="7"/>
  <c r="B47" i="7"/>
  <c r="C47" i="7"/>
  <c r="D47" i="7"/>
  <c r="E47" i="7"/>
  <c r="A48" i="7"/>
  <c r="B48" i="7"/>
  <c r="C48" i="7"/>
  <c r="D48" i="7"/>
  <c r="E48" i="7"/>
  <c r="A49" i="7"/>
  <c r="B49" i="7"/>
  <c r="C49" i="7"/>
  <c r="D49" i="7"/>
  <c r="E49" i="7"/>
  <c r="A50" i="7"/>
  <c r="B50" i="7"/>
  <c r="C50" i="7"/>
  <c r="D50" i="7"/>
  <c r="E50" i="7"/>
  <c r="A51" i="7"/>
  <c r="B51" i="7"/>
  <c r="C51" i="7"/>
  <c r="D51" i="7"/>
  <c r="E51" i="7"/>
  <c r="A52" i="7"/>
  <c r="B52" i="7"/>
  <c r="C52" i="7"/>
  <c r="D52" i="7"/>
  <c r="E52" i="7"/>
  <c r="A53" i="7"/>
  <c r="B53" i="7"/>
  <c r="C53" i="7"/>
  <c r="D53" i="7"/>
  <c r="E53" i="7"/>
  <c r="A54" i="7"/>
  <c r="B54" i="7"/>
  <c r="C54" i="7"/>
  <c r="D54" i="7"/>
  <c r="E54" i="7"/>
  <c r="A55" i="7"/>
  <c r="B55" i="7"/>
  <c r="C55" i="7"/>
  <c r="D55" i="7"/>
  <c r="E55" i="7"/>
  <c r="A56" i="7"/>
  <c r="B56" i="7"/>
  <c r="C56" i="7"/>
  <c r="D56" i="7"/>
  <c r="E56" i="7"/>
  <c r="A57" i="7"/>
  <c r="B57" i="7"/>
  <c r="C57" i="7"/>
  <c r="D57" i="7"/>
  <c r="E57" i="7"/>
  <c r="A58" i="7"/>
  <c r="B58" i="7"/>
  <c r="C58" i="7"/>
  <c r="D58" i="7"/>
  <c r="E58" i="7"/>
  <c r="A59" i="7"/>
  <c r="B59" i="7"/>
  <c r="C59" i="7"/>
  <c r="D59" i="7"/>
  <c r="E59" i="7"/>
  <c r="A60" i="7"/>
  <c r="B60" i="7"/>
  <c r="C60" i="7"/>
  <c r="D60" i="7"/>
  <c r="E60" i="7"/>
  <c r="A61" i="7"/>
  <c r="B61" i="7"/>
  <c r="C61" i="7"/>
  <c r="D61" i="7"/>
  <c r="E61" i="7"/>
  <c r="A62" i="7"/>
  <c r="B62" i="7"/>
  <c r="C62" i="7"/>
  <c r="D62" i="7"/>
  <c r="E62" i="7"/>
  <c r="A63" i="7"/>
  <c r="B63" i="7"/>
  <c r="C63" i="7"/>
  <c r="D63" i="7"/>
  <c r="E63" i="7"/>
  <c r="A64" i="7"/>
  <c r="B64" i="7"/>
  <c r="C64" i="7"/>
  <c r="D64" i="7"/>
  <c r="E64" i="7"/>
  <c r="A65" i="7"/>
  <c r="B65" i="7"/>
  <c r="C65" i="7"/>
  <c r="D65" i="7"/>
  <c r="E65" i="7"/>
  <c r="A66" i="7"/>
  <c r="B66" i="7"/>
  <c r="C66" i="7"/>
  <c r="D66" i="7"/>
  <c r="E66" i="7"/>
  <c r="A67" i="7"/>
  <c r="B67" i="7"/>
  <c r="C67" i="7"/>
  <c r="D67" i="7"/>
  <c r="E67" i="7"/>
  <c r="A68" i="7"/>
  <c r="B68" i="7"/>
  <c r="C68" i="7"/>
  <c r="D68" i="7"/>
  <c r="E68" i="7"/>
  <c r="A69" i="7"/>
  <c r="B69" i="7"/>
  <c r="C69" i="7"/>
  <c r="D69" i="7"/>
  <c r="E69" i="7"/>
  <c r="A70" i="7"/>
  <c r="B70" i="7"/>
  <c r="C70" i="7"/>
  <c r="D70" i="7"/>
  <c r="E70" i="7"/>
  <c r="A71" i="7"/>
  <c r="B71" i="7"/>
  <c r="C71" i="7"/>
  <c r="D71" i="7"/>
  <c r="E71" i="7"/>
  <c r="C5" i="7"/>
  <c r="D5" i="7"/>
  <c r="E5" i="7"/>
  <c r="B5" i="7"/>
  <c r="A5" i="7"/>
  <c r="Q54" i="9" l="1"/>
  <c r="Q87" i="9"/>
  <c r="Q86" i="9"/>
  <c r="Q85" i="9"/>
  <c r="Q84" i="9"/>
  <c r="Q83" i="9"/>
  <c r="Q82" i="9"/>
  <c r="Q81" i="9"/>
  <c r="Q80" i="9"/>
  <c r="Q79" i="9"/>
  <c r="Q78" i="9"/>
  <c r="Q77" i="9"/>
  <c r="Q76" i="9"/>
  <c r="Q75" i="9"/>
  <c r="Q74" i="9"/>
  <c r="Q73" i="9"/>
  <c r="Q72" i="9"/>
  <c r="Q71" i="9"/>
  <c r="Q70" i="9"/>
  <c r="Q69" i="9"/>
  <c r="Q68" i="9"/>
  <c r="Q67" i="9"/>
  <c r="Q66" i="9"/>
  <c r="Q65" i="9"/>
  <c r="Q64" i="9"/>
  <c r="Q63" i="9"/>
  <c r="Q62" i="9"/>
  <c r="Q61" i="9"/>
  <c r="Q60" i="9"/>
  <c r="Q59" i="9"/>
  <c r="Q58" i="9"/>
  <c r="Q57" i="9"/>
  <c r="Q56" i="9"/>
  <c r="Q55" i="9"/>
  <c r="Q53" i="9"/>
  <c r="Q52" i="9"/>
  <c r="Q51" i="9"/>
  <c r="Q50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87" i="21"/>
  <c r="Q86" i="21"/>
  <c r="Q85" i="21"/>
  <c r="Q84" i="21"/>
  <c r="Q83" i="21"/>
  <c r="Q82" i="21"/>
  <c r="Q81" i="21"/>
  <c r="Q80" i="21"/>
  <c r="Q79" i="21"/>
  <c r="Q78" i="21"/>
  <c r="Q77" i="21"/>
  <c r="Q76" i="21"/>
  <c r="Q75" i="21"/>
  <c r="Q74" i="21"/>
  <c r="Q73" i="21"/>
  <c r="Q72" i="21"/>
  <c r="Q71" i="21"/>
  <c r="Q70" i="21"/>
  <c r="Q69" i="21"/>
  <c r="Q68" i="21"/>
  <c r="Q67" i="21"/>
  <c r="Q66" i="21"/>
  <c r="Q65" i="21"/>
  <c r="Q64" i="21"/>
  <c r="Q63" i="21"/>
  <c r="Q62" i="21"/>
  <c r="Q61" i="21"/>
  <c r="Q60" i="21"/>
  <c r="Q59" i="21"/>
  <c r="Q58" i="21"/>
  <c r="Q57" i="21"/>
  <c r="Q56" i="21"/>
  <c r="Q55" i="21"/>
  <c r="Q54" i="21"/>
  <c r="Q53" i="21"/>
  <c r="Q52" i="21"/>
  <c r="Q51" i="21"/>
  <c r="Q50" i="21"/>
  <c r="Q49" i="21"/>
  <c r="Q48" i="21"/>
  <c r="Q47" i="21"/>
  <c r="Q46" i="21"/>
  <c r="Q45" i="21"/>
  <c r="Q44" i="21"/>
  <c r="Q43" i="21"/>
  <c r="Q42" i="21"/>
  <c r="Q41" i="21"/>
  <c r="Q40" i="21"/>
  <c r="Q39" i="21"/>
  <c r="Q38" i="21"/>
  <c r="Q37" i="21"/>
  <c r="Q36" i="21"/>
  <c r="Q35" i="21"/>
  <c r="Q34" i="21"/>
  <c r="Q33" i="21"/>
  <c r="Q32" i="21"/>
  <c r="Q31" i="21"/>
  <c r="Q30" i="21"/>
  <c r="Q29" i="21"/>
  <c r="Q28" i="21"/>
  <c r="Q27" i="21"/>
  <c r="Q26" i="21"/>
  <c r="Q25" i="21"/>
  <c r="Q24" i="21"/>
  <c r="Q23" i="21"/>
  <c r="Q21" i="21"/>
  <c r="Q87" i="22"/>
  <c r="Q86" i="22"/>
  <c r="Q85" i="22"/>
  <c r="Q84" i="22"/>
  <c r="Q83" i="22"/>
  <c r="Q82" i="22"/>
  <c r="Q81" i="22"/>
  <c r="Q80" i="22"/>
  <c r="Q79" i="22"/>
  <c r="Q78" i="22"/>
  <c r="Q77" i="22"/>
  <c r="Q76" i="22"/>
  <c r="Q75" i="22"/>
  <c r="Q74" i="22"/>
  <c r="Q73" i="22"/>
  <c r="Q72" i="22"/>
  <c r="Q71" i="22"/>
  <c r="Q70" i="22"/>
  <c r="Q69" i="22"/>
  <c r="Q68" i="22"/>
  <c r="Q67" i="22"/>
  <c r="Q66" i="22"/>
  <c r="Q65" i="22"/>
  <c r="Q64" i="22"/>
  <c r="Q63" i="22"/>
  <c r="Q62" i="22"/>
  <c r="Q61" i="22"/>
  <c r="Q60" i="22"/>
  <c r="Q59" i="22"/>
  <c r="Q58" i="22"/>
  <c r="Q57" i="22"/>
  <c r="Q56" i="22"/>
  <c r="Q55" i="22"/>
  <c r="Q54" i="22"/>
  <c r="Q53" i="22"/>
  <c r="Q52" i="22"/>
  <c r="Q51" i="22"/>
  <c r="Q50" i="22"/>
  <c r="Q49" i="22"/>
  <c r="Q48" i="22"/>
  <c r="Q47" i="22"/>
  <c r="Q46" i="22"/>
  <c r="Q45" i="22"/>
  <c r="Q44" i="22"/>
  <c r="Q43" i="22"/>
  <c r="Q42" i="22"/>
  <c r="Q41" i="22"/>
  <c r="Q40" i="22"/>
  <c r="Q39" i="22"/>
  <c r="Q38" i="22"/>
  <c r="Q37" i="22"/>
  <c r="Q36" i="22"/>
  <c r="Q35" i="22"/>
  <c r="Q34" i="22"/>
  <c r="Q33" i="22"/>
  <c r="Q32" i="22"/>
  <c r="Q31" i="22"/>
  <c r="Q30" i="22"/>
  <c r="Q29" i="22"/>
  <c r="Q28" i="22"/>
  <c r="Q27" i="22"/>
  <c r="Q26" i="22"/>
  <c r="Q25" i="22"/>
  <c r="Q24" i="22"/>
  <c r="Q23" i="22"/>
  <c r="Q21" i="22"/>
  <c r="Q87" i="14"/>
  <c r="K87" i="14"/>
  <c r="Q86" i="14"/>
  <c r="K86" i="14"/>
  <c r="Q85" i="14"/>
  <c r="K85" i="14"/>
  <c r="Q84" i="14"/>
  <c r="K84" i="14"/>
  <c r="Q83" i="14"/>
  <c r="K83" i="14"/>
  <c r="Q82" i="14"/>
  <c r="K82" i="14"/>
  <c r="Q81" i="14"/>
  <c r="K81" i="14"/>
  <c r="Q80" i="14"/>
  <c r="K80" i="14"/>
  <c r="Q79" i="14"/>
  <c r="K79" i="14"/>
  <c r="Q78" i="14"/>
  <c r="K78" i="14"/>
  <c r="Q77" i="14"/>
  <c r="K77" i="14"/>
  <c r="Q76" i="14"/>
  <c r="K76" i="14"/>
  <c r="Q75" i="14"/>
  <c r="K75" i="14"/>
  <c r="Q74" i="14"/>
  <c r="K74" i="14"/>
  <c r="Q73" i="14"/>
  <c r="K73" i="14"/>
  <c r="Q72" i="14"/>
  <c r="K72" i="14"/>
  <c r="Q71" i="14"/>
  <c r="K71" i="14"/>
  <c r="Q70" i="14"/>
  <c r="K70" i="14"/>
  <c r="Q69" i="14"/>
  <c r="K69" i="14"/>
  <c r="Q68" i="14"/>
  <c r="K68" i="14"/>
  <c r="Q67" i="14"/>
  <c r="K67" i="14"/>
  <c r="Q66" i="14"/>
  <c r="K66" i="14"/>
  <c r="Q65" i="14"/>
  <c r="Q64" i="14"/>
  <c r="K64" i="14"/>
  <c r="Q63" i="14"/>
  <c r="K63" i="14"/>
  <c r="Q62" i="14"/>
  <c r="K62" i="14"/>
  <c r="Q61" i="14"/>
  <c r="K61" i="14"/>
  <c r="Q60" i="14"/>
  <c r="K60" i="14"/>
  <c r="Q59" i="14"/>
  <c r="K59" i="14"/>
  <c r="Q58" i="14"/>
  <c r="K58" i="14"/>
  <c r="Q57" i="14"/>
  <c r="K57" i="14"/>
  <c r="Q56" i="14"/>
  <c r="K56" i="14"/>
  <c r="Q55" i="14"/>
  <c r="K55" i="14"/>
  <c r="Q54" i="14"/>
  <c r="Q53" i="14"/>
  <c r="K53" i="14"/>
  <c r="Q52" i="14"/>
  <c r="K52" i="14"/>
  <c r="Q51" i="14"/>
  <c r="K51" i="14"/>
  <c r="Q50" i="14"/>
  <c r="K50" i="14"/>
  <c r="Q49" i="14"/>
  <c r="K49" i="14"/>
  <c r="Q48" i="14"/>
  <c r="K48" i="14"/>
  <c r="Q47" i="14"/>
  <c r="K47" i="14"/>
  <c r="Q46" i="14"/>
  <c r="K46" i="14"/>
  <c r="Q45" i="14"/>
  <c r="K45" i="14"/>
  <c r="Q44" i="14"/>
  <c r="K44" i="14"/>
  <c r="Q43" i="14"/>
  <c r="K43" i="14"/>
  <c r="Q42" i="14"/>
  <c r="K42" i="14"/>
  <c r="Q41" i="14"/>
  <c r="K41" i="14"/>
  <c r="Q40" i="14"/>
  <c r="K40" i="14"/>
  <c r="Q39" i="14"/>
  <c r="K39" i="14"/>
  <c r="Q38" i="14"/>
  <c r="K38" i="14"/>
  <c r="Q37" i="14"/>
  <c r="K37" i="14"/>
  <c r="Q36" i="14"/>
  <c r="K36" i="14"/>
  <c r="Q35" i="14"/>
  <c r="K35" i="14"/>
  <c r="Q34" i="14"/>
  <c r="K34" i="14"/>
  <c r="Q33" i="14"/>
  <c r="K33" i="14"/>
  <c r="Q32" i="14"/>
  <c r="K32" i="14"/>
  <c r="Q31" i="14"/>
  <c r="K31" i="14"/>
  <c r="Q30" i="14"/>
  <c r="K30" i="14"/>
  <c r="Q29" i="14"/>
  <c r="K29" i="14"/>
  <c r="Q28" i="14"/>
  <c r="K28" i="14"/>
  <c r="Q27" i="14"/>
  <c r="K27" i="14"/>
  <c r="Q26" i="14"/>
  <c r="K26" i="14"/>
  <c r="Q25" i="14"/>
  <c r="K25" i="14"/>
  <c r="Q24" i="14"/>
  <c r="K24" i="14"/>
  <c r="Q23" i="14"/>
  <c r="K23" i="14"/>
  <c r="K22" i="14"/>
  <c r="Q21" i="14"/>
  <c r="K21" i="14"/>
  <c r="Q87" i="20"/>
  <c r="K87" i="20"/>
  <c r="Q86" i="20"/>
  <c r="K86" i="20"/>
  <c r="Q85" i="20"/>
  <c r="K85" i="20"/>
  <c r="Q84" i="20"/>
  <c r="K84" i="20"/>
  <c r="Q83" i="20"/>
  <c r="K83" i="20"/>
  <c r="Q82" i="20"/>
  <c r="K82" i="20"/>
  <c r="Q81" i="20"/>
  <c r="K81" i="20"/>
  <c r="Q80" i="20"/>
  <c r="K80" i="20"/>
  <c r="Q79" i="20"/>
  <c r="K79" i="20"/>
  <c r="Q78" i="20"/>
  <c r="K78" i="20"/>
  <c r="Q77" i="20"/>
  <c r="K77" i="20"/>
  <c r="Q76" i="20"/>
  <c r="K76" i="20"/>
  <c r="Q75" i="20"/>
  <c r="K75" i="20"/>
  <c r="Q74" i="20"/>
  <c r="K74" i="20"/>
  <c r="Q73" i="20"/>
  <c r="K73" i="20"/>
  <c r="Q72" i="20"/>
  <c r="K72" i="20"/>
  <c r="Q71" i="20"/>
  <c r="K71" i="20"/>
  <c r="Q70" i="20"/>
  <c r="K70" i="20"/>
  <c r="Q69" i="20"/>
  <c r="K69" i="20"/>
  <c r="Q68" i="20"/>
  <c r="K68" i="20"/>
  <c r="Q67" i="20"/>
  <c r="K67" i="20"/>
  <c r="Q66" i="20"/>
  <c r="K66" i="20"/>
  <c r="Q65" i="20"/>
  <c r="Q64" i="20"/>
  <c r="K64" i="20"/>
  <c r="Q63" i="20"/>
  <c r="K63" i="20"/>
  <c r="Q62" i="20"/>
  <c r="K62" i="20"/>
  <c r="Q61" i="20"/>
  <c r="K61" i="20"/>
  <c r="Q60" i="20"/>
  <c r="K60" i="20"/>
  <c r="Q59" i="20"/>
  <c r="K59" i="20"/>
  <c r="Q58" i="20"/>
  <c r="K58" i="20"/>
  <c r="Q57" i="20"/>
  <c r="K57" i="20"/>
  <c r="Q56" i="20"/>
  <c r="K56" i="20"/>
  <c r="Q55" i="20"/>
  <c r="K55" i="20"/>
  <c r="Q54" i="20"/>
  <c r="Q53" i="20"/>
  <c r="K53" i="20"/>
  <c r="Q52" i="20"/>
  <c r="K52" i="20"/>
  <c r="Q51" i="20"/>
  <c r="K51" i="20"/>
  <c r="Q50" i="20"/>
  <c r="K50" i="20"/>
  <c r="Q49" i="20"/>
  <c r="K49" i="20"/>
  <c r="Q48" i="20"/>
  <c r="K48" i="20"/>
  <c r="Q47" i="20"/>
  <c r="K47" i="20"/>
  <c r="Q46" i="20"/>
  <c r="K46" i="20"/>
  <c r="Q45" i="20"/>
  <c r="K45" i="20"/>
  <c r="Q44" i="20"/>
  <c r="K44" i="20"/>
  <c r="Q43" i="20"/>
  <c r="K43" i="20"/>
  <c r="Q42" i="20"/>
  <c r="K42" i="20"/>
  <c r="Q41" i="20"/>
  <c r="K41" i="20"/>
  <c r="Q40" i="20"/>
  <c r="K40" i="20"/>
  <c r="Q39" i="20"/>
  <c r="K39" i="20"/>
  <c r="Q38" i="20"/>
  <c r="K38" i="20"/>
  <c r="Q37" i="20"/>
  <c r="K37" i="20"/>
  <c r="Q36" i="20"/>
  <c r="K36" i="20"/>
  <c r="Q35" i="20"/>
  <c r="K35" i="20"/>
  <c r="Q34" i="20"/>
  <c r="K34" i="20"/>
  <c r="Q33" i="20"/>
  <c r="K33" i="20"/>
  <c r="Q32" i="20"/>
  <c r="K32" i="20"/>
  <c r="Q31" i="20"/>
  <c r="K31" i="20"/>
  <c r="Q30" i="20"/>
  <c r="K30" i="20"/>
  <c r="Q29" i="20"/>
  <c r="K29" i="20"/>
  <c r="Q28" i="20"/>
  <c r="K28" i="20"/>
  <c r="Q27" i="20"/>
  <c r="K27" i="20"/>
  <c r="Q26" i="20"/>
  <c r="K26" i="20"/>
  <c r="Q25" i="20"/>
  <c r="K25" i="20"/>
  <c r="Q24" i="20"/>
  <c r="K24" i="20"/>
  <c r="Q23" i="20"/>
  <c r="K23" i="20"/>
  <c r="K22" i="20"/>
  <c r="Q21" i="20"/>
  <c r="K21" i="20"/>
  <c r="Q87" i="19"/>
  <c r="K87" i="19"/>
  <c r="Q86" i="19"/>
  <c r="K86" i="19"/>
  <c r="Q85" i="19"/>
  <c r="K85" i="19"/>
  <c r="Q84" i="19"/>
  <c r="K84" i="19"/>
  <c r="Q83" i="19"/>
  <c r="K83" i="19"/>
  <c r="Q82" i="19"/>
  <c r="K82" i="19"/>
  <c r="Q81" i="19"/>
  <c r="K81" i="19"/>
  <c r="Q80" i="19"/>
  <c r="K80" i="19"/>
  <c r="Q79" i="19"/>
  <c r="K79" i="19"/>
  <c r="Q78" i="19"/>
  <c r="K78" i="19"/>
  <c r="Q77" i="19"/>
  <c r="K77" i="19"/>
  <c r="Q76" i="19"/>
  <c r="K76" i="19"/>
  <c r="Q75" i="19"/>
  <c r="K75" i="19"/>
  <c r="Q74" i="19"/>
  <c r="K74" i="19"/>
  <c r="Q73" i="19"/>
  <c r="K73" i="19"/>
  <c r="Q72" i="19"/>
  <c r="K72" i="19"/>
  <c r="Q71" i="19"/>
  <c r="K71" i="19"/>
  <c r="Q70" i="19"/>
  <c r="K70" i="19"/>
  <c r="Q69" i="19"/>
  <c r="K69" i="19"/>
  <c r="Q68" i="19"/>
  <c r="K68" i="19"/>
  <c r="Q67" i="19"/>
  <c r="K67" i="19"/>
  <c r="Q66" i="19"/>
  <c r="K66" i="19"/>
  <c r="Q65" i="19"/>
  <c r="Q64" i="19"/>
  <c r="K64" i="19"/>
  <c r="Q63" i="19"/>
  <c r="K63" i="19"/>
  <c r="Q62" i="19"/>
  <c r="K62" i="19"/>
  <c r="Q61" i="19"/>
  <c r="K61" i="19"/>
  <c r="Q60" i="19"/>
  <c r="K60" i="19"/>
  <c r="Q59" i="19"/>
  <c r="K59" i="19"/>
  <c r="Q58" i="19"/>
  <c r="K58" i="19"/>
  <c r="Q57" i="19"/>
  <c r="K57" i="19"/>
  <c r="Q56" i="19"/>
  <c r="K56" i="19"/>
  <c r="Q55" i="19"/>
  <c r="K55" i="19"/>
  <c r="Q54" i="19"/>
  <c r="Q53" i="19"/>
  <c r="K53" i="19"/>
  <c r="Q52" i="19"/>
  <c r="K52" i="19"/>
  <c r="Q51" i="19"/>
  <c r="K51" i="19"/>
  <c r="Q50" i="19"/>
  <c r="K50" i="19"/>
  <c r="Q49" i="19"/>
  <c r="K49" i="19"/>
  <c r="Q48" i="19"/>
  <c r="K48" i="19"/>
  <c r="Q47" i="19"/>
  <c r="K47" i="19"/>
  <c r="Q46" i="19"/>
  <c r="K46" i="19"/>
  <c r="Q45" i="19"/>
  <c r="K45" i="19"/>
  <c r="Q44" i="19"/>
  <c r="K44" i="19"/>
  <c r="Q43" i="19"/>
  <c r="K43" i="19"/>
  <c r="Q42" i="19"/>
  <c r="K42" i="19"/>
  <c r="Q41" i="19"/>
  <c r="K41" i="19"/>
  <c r="Q40" i="19"/>
  <c r="K40" i="19"/>
  <c r="Q39" i="19"/>
  <c r="K39" i="19"/>
  <c r="Q38" i="19"/>
  <c r="K38" i="19"/>
  <c r="Q37" i="19"/>
  <c r="K37" i="19"/>
  <c r="Q36" i="19"/>
  <c r="K36" i="19"/>
  <c r="Q35" i="19"/>
  <c r="K35" i="19"/>
  <c r="Q34" i="19"/>
  <c r="K34" i="19"/>
  <c r="Q33" i="19"/>
  <c r="K33" i="19"/>
  <c r="Q32" i="19"/>
  <c r="K32" i="19"/>
  <c r="Q31" i="19"/>
  <c r="K31" i="19"/>
  <c r="Q30" i="19"/>
  <c r="K30" i="19"/>
  <c r="Q29" i="19"/>
  <c r="K29" i="19"/>
  <c r="Q28" i="19"/>
  <c r="K28" i="19"/>
  <c r="Q27" i="19"/>
  <c r="K27" i="19"/>
  <c r="Q26" i="19"/>
  <c r="K26" i="19"/>
  <c r="Q25" i="19"/>
  <c r="K25" i="19"/>
  <c r="Q24" i="19"/>
  <c r="K24" i="19"/>
  <c r="Q23" i="19"/>
  <c r="K23" i="19"/>
  <c r="K22" i="19"/>
  <c r="Q21" i="19"/>
  <c r="K21" i="19"/>
  <c r="K87" i="21"/>
  <c r="K86" i="21"/>
  <c r="K85" i="21"/>
  <c r="K84" i="21"/>
  <c r="K83" i="21"/>
  <c r="K82" i="21"/>
  <c r="K81" i="21"/>
  <c r="K80" i="21"/>
  <c r="K79" i="21"/>
  <c r="K78" i="21"/>
  <c r="K77" i="21"/>
  <c r="K76" i="21"/>
  <c r="K75" i="21"/>
  <c r="K74" i="21"/>
  <c r="K73" i="21"/>
  <c r="K72" i="21"/>
  <c r="K71" i="21"/>
  <c r="K70" i="21"/>
  <c r="K69" i="21"/>
  <c r="K68" i="21"/>
  <c r="K67" i="21"/>
  <c r="K66" i="21"/>
  <c r="K64" i="21"/>
  <c r="K63" i="21"/>
  <c r="K62" i="21"/>
  <c r="K61" i="21"/>
  <c r="K60" i="21"/>
  <c r="K59" i="21"/>
  <c r="K58" i="21"/>
  <c r="K57" i="21"/>
  <c r="K56" i="21"/>
  <c r="K55" i="21"/>
  <c r="K53" i="21"/>
  <c r="K52" i="21"/>
  <c r="K51" i="21"/>
  <c r="K50" i="21"/>
  <c r="K49" i="21"/>
  <c r="K48" i="21"/>
  <c r="K47" i="21"/>
  <c r="K46" i="21"/>
  <c r="K45" i="21"/>
  <c r="K44" i="21"/>
  <c r="K43" i="21"/>
  <c r="K42" i="21"/>
  <c r="K41" i="21"/>
  <c r="K40" i="21"/>
  <c r="K39" i="21"/>
  <c r="K38" i="21"/>
  <c r="K37" i="21"/>
  <c r="K36" i="21"/>
  <c r="K35" i="21"/>
  <c r="K34" i="21"/>
  <c r="K33" i="21"/>
  <c r="K32" i="21"/>
  <c r="K31" i="21"/>
  <c r="K30" i="21"/>
  <c r="K29" i="21"/>
  <c r="K28" i="21"/>
  <c r="K27" i="21"/>
  <c r="K26" i="21"/>
  <c r="K25" i="21"/>
  <c r="K24" i="21"/>
  <c r="K23" i="21"/>
  <c r="K22" i="21"/>
  <c r="K21" i="21"/>
  <c r="K87" i="22"/>
  <c r="K86" i="22"/>
  <c r="K85" i="22"/>
  <c r="K84" i="22"/>
  <c r="K83" i="22"/>
  <c r="K82" i="22"/>
  <c r="K81" i="22"/>
  <c r="K80" i="22"/>
  <c r="K79" i="22"/>
  <c r="K78" i="22"/>
  <c r="K77" i="22"/>
  <c r="K76" i="22"/>
  <c r="K75" i="22"/>
  <c r="K74" i="22"/>
  <c r="K73" i="22"/>
  <c r="K72" i="22"/>
  <c r="K71" i="22"/>
  <c r="K70" i="22"/>
  <c r="K69" i="22"/>
  <c r="K68" i="22"/>
  <c r="K67" i="22"/>
  <c r="K66" i="22"/>
  <c r="K64" i="22"/>
  <c r="K63" i="22"/>
  <c r="K62" i="22"/>
  <c r="K61" i="22"/>
  <c r="K60" i="22"/>
  <c r="K59" i="22"/>
  <c r="K58" i="22"/>
  <c r="K57" i="22"/>
  <c r="K56" i="22"/>
  <c r="K55" i="22"/>
  <c r="K53" i="22"/>
  <c r="K52" i="22"/>
  <c r="K51" i="22"/>
  <c r="K50" i="22"/>
  <c r="K49" i="22"/>
  <c r="K48" i="22"/>
  <c r="K47" i="22"/>
  <c r="K46" i="22"/>
  <c r="K45" i="22"/>
  <c r="K44" i="22"/>
  <c r="K43" i="22"/>
  <c r="K42" i="22"/>
  <c r="K41" i="22"/>
  <c r="K40" i="22"/>
  <c r="K39" i="22"/>
  <c r="K38" i="22"/>
  <c r="K37" i="22"/>
  <c r="K36" i="22"/>
  <c r="K35" i="22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K21" i="22"/>
  <c r="K87" i="18"/>
  <c r="K86" i="18"/>
  <c r="K85" i="18"/>
  <c r="K84" i="18"/>
  <c r="K83" i="18"/>
  <c r="K82" i="18"/>
  <c r="K81" i="18"/>
  <c r="K80" i="18"/>
  <c r="K79" i="18"/>
  <c r="K78" i="18"/>
  <c r="K77" i="18"/>
  <c r="K76" i="18"/>
  <c r="K75" i="18"/>
  <c r="K74" i="18"/>
  <c r="K73" i="18"/>
  <c r="K72" i="18"/>
  <c r="K71" i="18"/>
  <c r="K70" i="18"/>
  <c r="K69" i="18"/>
  <c r="K68" i="18"/>
  <c r="K67" i="18"/>
  <c r="K66" i="18"/>
  <c r="K64" i="18"/>
  <c r="K63" i="18"/>
  <c r="K62" i="18"/>
  <c r="K61" i="18"/>
  <c r="K60" i="18"/>
  <c r="K59" i="18"/>
  <c r="K58" i="18"/>
  <c r="K57" i="18"/>
  <c r="K56" i="18"/>
  <c r="K55" i="18"/>
  <c r="K53" i="18"/>
  <c r="K52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K38" i="18"/>
  <c r="K37" i="18"/>
  <c r="K36" i="18"/>
  <c r="K35" i="18"/>
  <c r="K34" i="18"/>
  <c r="K33" i="18"/>
  <c r="K32" i="18"/>
  <c r="K31" i="18"/>
  <c r="K30" i="18"/>
  <c r="K29" i="18"/>
  <c r="K28" i="18"/>
  <c r="K27" i="18"/>
  <c r="K26" i="18"/>
  <c r="K25" i="18"/>
  <c r="K24" i="18"/>
  <c r="K23" i="18"/>
  <c r="K22" i="18"/>
  <c r="K21" i="18"/>
  <c r="K71" i="13"/>
  <c r="K72" i="13"/>
  <c r="K73" i="13"/>
  <c r="K74" i="13"/>
  <c r="K75" i="13"/>
  <c r="K76" i="13"/>
  <c r="K77" i="13"/>
  <c r="K87" i="12"/>
  <c r="K86" i="12"/>
  <c r="K85" i="12"/>
  <c r="K84" i="12"/>
  <c r="K83" i="12"/>
  <c r="K82" i="12"/>
  <c r="K81" i="12"/>
  <c r="K80" i="12"/>
  <c r="K79" i="12"/>
  <c r="K78" i="12"/>
  <c r="K77" i="12"/>
  <c r="K76" i="12"/>
  <c r="K75" i="12"/>
  <c r="K74" i="12"/>
  <c r="K73" i="12"/>
  <c r="K72" i="12"/>
  <c r="K71" i="12"/>
  <c r="K70" i="12"/>
  <c r="K69" i="12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87" i="11"/>
  <c r="K86" i="11"/>
  <c r="K85" i="11"/>
  <c r="K84" i="11"/>
  <c r="K83" i="11"/>
  <c r="K82" i="11"/>
  <c r="K81" i="11"/>
  <c r="K80" i="11"/>
  <c r="K79" i="11"/>
  <c r="K78" i="11"/>
  <c r="K77" i="11"/>
  <c r="K76" i="1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87" i="9"/>
  <c r="K86" i="9"/>
  <c r="K85" i="9"/>
  <c r="K84" i="9"/>
  <c r="K83" i="9"/>
  <c r="K82" i="9"/>
  <c r="K81" i="9"/>
  <c r="K70" i="9"/>
  <c r="K69" i="9"/>
  <c r="K68" i="9"/>
  <c r="K67" i="9"/>
  <c r="K66" i="9"/>
  <c r="K65" i="9"/>
  <c r="K64" i="9"/>
  <c r="K63" i="9"/>
  <c r="K62" i="9"/>
  <c r="K61" i="9"/>
  <c r="K34" i="9"/>
  <c r="K33" i="9"/>
  <c r="K32" i="9"/>
  <c r="A47" i="6"/>
  <c r="A48" i="6"/>
  <c r="A50" i="6"/>
  <c r="A49" i="6"/>
  <c r="A46" i="5"/>
  <c r="A48" i="5"/>
  <c r="A51" i="5"/>
  <c r="A43" i="5"/>
  <c r="A44" i="6"/>
  <c r="A49" i="5"/>
  <c r="A44" i="5"/>
  <c r="A50" i="5"/>
  <c r="A45" i="6"/>
  <c r="A45" i="5"/>
  <c r="A47" i="5"/>
  <c r="A46" i="6"/>
  <c r="A43" i="6"/>
  <c r="C50" i="6" l="1"/>
  <c r="C49" i="6"/>
  <c r="C48" i="6"/>
  <c r="C47" i="6"/>
  <c r="C46" i="6"/>
  <c r="C45" i="6"/>
  <c r="C44" i="6"/>
  <c r="C43" i="6"/>
  <c r="C50" i="5"/>
  <c r="C48" i="5"/>
  <c r="C47" i="5"/>
  <c r="C49" i="5"/>
  <c r="C45" i="5"/>
  <c r="C46" i="5"/>
  <c r="C44" i="5"/>
  <c r="C43" i="5"/>
  <c r="C51" i="5"/>
  <c r="K87" i="13"/>
  <c r="K86" i="13"/>
  <c r="K85" i="13"/>
  <c r="K84" i="13"/>
  <c r="K83" i="13"/>
  <c r="K82" i="13"/>
  <c r="K81" i="13"/>
  <c r="K80" i="13"/>
  <c r="K79" i="13"/>
  <c r="K78" i="13"/>
  <c r="K70" i="13"/>
  <c r="K69" i="13"/>
  <c r="K68" i="13"/>
  <c r="K67" i="13"/>
  <c r="K66" i="13"/>
  <c r="K65" i="13"/>
  <c r="K64" i="13"/>
  <c r="K63" i="13"/>
  <c r="K62" i="13"/>
  <c r="K61" i="13"/>
  <c r="K60" i="13"/>
  <c r="K59" i="13"/>
  <c r="K58" i="13"/>
  <c r="K57" i="13"/>
  <c r="K56" i="13"/>
  <c r="K55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U54" i="22"/>
  <c r="V16" i="22"/>
  <c r="A16" i="22"/>
  <c r="V15" i="22"/>
  <c r="A15" i="22"/>
  <c r="V14" i="22"/>
  <c r="A14" i="22"/>
  <c r="V13" i="22"/>
  <c r="A13" i="22"/>
  <c r="V12" i="22"/>
  <c r="A12" i="22"/>
  <c r="B4" i="22"/>
  <c r="U54" i="21"/>
  <c r="V16" i="21"/>
  <c r="A16" i="21"/>
  <c r="V15" i="21"/>
  <c r="A15" i="21"/>
  <c r="V14" i="21"/>
  <c r="A14" i="21"/>
  <c r="V13" i="21"/>
  <c r="A13" i="21"/>
  <c r="V12" i="21"/>
  <c r="A12" i="21"/>
  <c r="B4" i="21"/>
  <c r="U54" i="20"/>
  <c r="V16" i="20"/>
  <c r="A16" i="20"/>
  <c r="V15" i="20"/>
  <c r="A15" i="20"/>
  <c r="V14" i="20"/>
  <c r="A14" i="20"/>
  <c r="V13" i="20"/>
  <c r="A13" i="20"/>
  <c r="V12" i="20"/>
  <c r="A12" i="20"/>
  <c r="B4" i="20"/>
  <c r="U54" i="19"/>
  <c r="V16" i="19"/>
  <c r="A16" i="19"/>
  <c r="V15" i="19"/>
  <c r="A15" i="19"/>
  <c r="V14" i="19"/>
  <c r="A14" i="19"/>
  <c r="V13" i="19"/>
  <c r="A13" i="19"/>
  <c r="V12" i="19"/>
  <c r="A12" i="19"/>
  <c r="B4" i="19"/>
  <c r="Q54" i="18"/>
  <c r="U54" i="18"/>
  <c r="Q23" i="18"/>
  <c r="V16" i="18"/>
  <c r="A16" i="18"/>
  <c r="V15" i="18"/>
  <c r="A15" i="18"/>
  <c r="V14" i="18"/>
  <c r="A14" i="18"/>
  <c r="V13" i="18"/>
  <c r="A13" i="18"/>
  <c r="V12" i="18"/>
  <c r="A12" i="18"/>
  <c r="B4" i="18"/>
  <c r="R10" i="2"/>
  <c r="Q10" i="2" s="1"/>
  <c r="R11" i="2"/>
  <c r="Q11" i="2" s="1"/>
  <c r="R12" i="2"/>
  <c r="Q12" i="2" s="1"/>
  <c r="R13" i="2"/>
  <c r="Q13" i="2" s="1"/>
  <c r="R14" i="2"/>
  <c r="Q14" i="2" s="1"/>
  <c r="S6" i="22" l="1"/>
  <c r="F6" i="22"/>
  <c r="B6" i="22"/>
  <c r="S5" i="22"/>
  <c r="F5" i="22"/>
  <c r="B5" i="22"/>
  <c r="U4" i="22"/>
  <c r="S4" i="22"/>
  <c r="F4" i="22"/>
  <c r="D12" i="22"/>
  <c r="S21" i="22"/>
  <c r="R21" i="22"/>
  <c r="U21" i="22"/>
  <c r="S22" i="22"/>
  <c r="R22" i="22"/>
  <c r="U22" i="22"/>
  <c r="T22" i="22"/>
  <c r="S23" i="22"/>
  <c r="R23" i="22"/>
  <c r="U23" i="22"/>
  <c r="T23" i="22"/>
  <c r="S24" i="22"/>
  <c r="R24" i="22"/>
  <c r="U24" i="22"/>
  <c r="T24" i="22"/>
  <c r="S25" i="22"/>
  <c r="R25" i="22"/>
  <c r="U25" i="22"/>
  <c r="T25" i="22"/>
  <c r="S26" i="22"/>
  <c r="R26" i="22"/>
  <c r="U26" i="22"/>
  <c r="T26" i="22"/>
  <c r="S27" i="22"/>
  <c r="R27" i="22"/>
  <c r="U27" i="22"/>
  <c r="T27" i="22"/>
  <c r="S28" i="22"/>
  <c r="R28" i="22"/>
  <c r="U28" i="22"/>
  <c r="T28" i="22"/>
  <c r="S29" i="22"/>
  <c r="R29" i="22"/>
  <c r="U29" i="22"/>
  <c r="T29" i="22"/>
  <c r="S30" i="22"/>
  <c r="R30" i="22"/>
  <c r="U30" i="22"/>
  <c r="T30" i="22"/>
  <c r="S31" i="22"/>
  <c r="R31" i="22"/>
  <c r="U31" i="22"/>
  <c r="T31" i="22"/>
  <c r="S32" i="22"/>
  <c r="R32" i="22"/>
  <c r="U32" i="22"/>
  <c r="T32" i="22"/>
  <c r="S33" i="22"/>
  <c r="R33" i="22"/>
  <c r="U33" i="22"/>
  <c r="T33" i="22"/>
  <c r="S34" i="22"/>
  <c r="R34" i="22"/>
  <c r="U34" i="22"/>
  <c r="T34" i="22"/>
  <c r="S35" i="22"/>
  <c r="R35" i="22"/>
  <c r="U35" i="22"/>
  <c r="T35" i="22"/>
  <c r="S36" i="22"/>
  <c r="R36" i="22"/>
  <c r="U36" i="22"/>
  <c r="S37" i="22"/>
  <c r="R37" i="22"/>
  <c r="U37" i="22"/>
  <c r="T37" i="22"/>
  <c r="S38" i="22"/>
  <c r="R38" i="22"/>
  <c r="U38" i="22"/>
  <c r="T38" i="22"/>
  <c r="S39" i="22"/>
  <c r="R39" i="22"/>
  <c r="U39" i="22"/>
  <c r="T39" i="22"/>
  <c r="S40" i="22"/>
  <c r="R40" i="22"/>
  <c r="U40" i="22"/>
  <c r="T40" i="22"/>
  <c r="S41" i="22"/>
  <c r="R41" i="22"/>
  <c r="U41" i="22"/>
  <c r="T41" i="22"/>
  <c r="S42" i="22"/>
  <c r="R42" i="22"/>
  <c r="U42" i="22"/>
  <c r="T42" i="22"/>
  <c r="S43" i="22"/>
  <c r="R43" i="22"/>
  <c r="U43" i="22"/>
  <c r="T43" i="22"/>
  <c r="S44" i="22"/>
  <c r="R44" i="22"/>
  <c r="U44" i="22"/>
  <c r="T44" i="22"/>
  <c r="S45" i="22"/>
  <c r="R45" i="22"/>
  <c r="U45" i="22"/>
  <c r="T45" i="22"/>
  <c r="S46" i="22"/>
  <c r="R46" i="22"/>
  <c r="U46" i="22"/>
  <c r="T46" i="22"/>
  <c r="S47" i="22"/>
  <c r="R47" i="22"/>
  <c r="U47" i="22"/>
  <c r="T47" i="22"/>
  <c r="S48" i="22"/>
  <c r="R48" i="22"/>
  <c r="U48" i="22"/>
  <c r="T48" i="22"/>
  <c r="S49" i="22"/>
  <c r="R49" i="22"/>
  <c r="U49" i="22"/>
  <c r="T49" i="22"/>
  <c r="S50" i="22"/>
  <c r="R50" i="22"/>
  <c r="U50" i="22"/>
  <c r="T50" i="22"/>
  <c r="S51" i="22"/>
  <c r="R51" i="22"/>
  <c r="U51" i="22"/>
  <c r="T51" i="22"/>
  <c r="S52" i="22"/>
  <c r="R52" i="22"/>
  <c r="U52" i="22"/>
  <c r="T52" i="22"/>
  <c r="S53" i="22"/>
  <c r="R53" i="22"/>
  <c r="U53" i="22"/>
  <c r="T53" i="22"/>
  <c r="T54" i="22"/>
  <c r="S54" i="22"/>
  <c r="R54" i="22"/>
  <c r="S55" i="22"/>
  <c r="R55" i="22"/>
  <c r="U55" i="22"/>
  <c r="S56" i="22"/>
  <c r="R56" i="22"/>
  <c r="U56" i="22"/>
  <c r="T56" i="22"/>
  <c r="S57" i="22"/>
  <c r="R57" i="22"/>
  <c r="U57" i="22"/>
  <c r="T57" i="22"/>
  <c r="S58" i="22"/>
  <c r="R58" i="22"/>
  <c r="U58" i="22"/>
  <c r="T58" i="22"/>
  <c r="S59" i="22"/>
  <c r="R59" i="22"/>
  <c r="U59" i="22"/>
  <c r="T59" i="22"/>
  <c r="S60" i="22"/>
  <c r="R60" i="22"/>
  <c r="U60" i="22"/>
  <c r="T60" i="22"/>
  <c r="S61" i="22"/>
  <c r="R61" i="22"/>
  <c r="U61" i="22"/>
  <c r="T61" i="22"/>
  <c r="S62" i="22"/>
  <c r="R62" i="22"/>
  <c r="U62" i="22"/>
  <c r="T62" i="22"/>
  <c r="S63" i="22"/>
  <c r="R63" i="22"/>
  <c r="U63" i="22"/>
  <c r="T63" i="22"/>
  <c r="S64" i="22"/>
  <c r="R64" i="22"/>
  <c r="U64" i="22"/>
  <c r="T64" i="22"/>
  <c r="S65" i="22"/>
  <c r="R65" i="22"/>
  <c r="U65" i="22"/>
  <c r="T65" i="22"/>
  <c r="S66" i="22"/>
  <c r="R66" i="22"/>
  <c r="U66" i="22"/>
  <c r="T66" i="22"/>
  <c r="S67" i="22"/>
  <c r="R67" i="22"/>
  <c r="U67" i="22"/>
  <c r="T67" i="22"/>
  <c r="S68" i="22"/>
  <c r="R68" i="22"/>
  <c r="U68" i="22"/>
  <c r="T68" i="22"/>
  <c r="S69" i="22"/>
  <c r="R69" i="22"/>
  <c r="U69" i="22"/>
  <c r="T69" i="22"/>
  <c r="S70" i="22"/>
  <c r="R70" i="22"/>
  <c r="U70" i="22"/>
  <c r="T70" i="22"/>
  <c r="S71" i="22"/>
  <c r="R71" i="22"/>
  <c r="U71" i="22"/>
  <c r="T71" i="22"/>
  <c r="S72" i="22"/>
  <c r="R72" i="22"/>
  <c r="U72" i="22"/>
  <c r="T72" i="22"/>
  <c r="S73" i="22"/>
  <c r="R73" i="22"/>
  <c r="U73" i="22"/>
  <c r="T73" i="22"/>
  <c r="S74" i="22"/>
  <c r="R74" i="22"/>
  <c r="U74" i="22"/>
  <c r="T74" i="22"/>
  <c r="S75" i="22"/>
  <c r="R75" i="22"/>
  <c r="U75" i="22"/>
  <c r="T75" i="22"/>
  <c r="S76" i="22"/>
  <c r="R76" i="22"/>
  <c r="U76" i="22"/>
  <c r="T76" i="22"/>
  <c r="S77" i="22"/>
  <c r="R77" i="22"/>
  <c r="U77" i="22"/>
  <c r="T77" i="22"/>
  <c r="S78" i="22"/>
  <c r="R78" i="22"/>
  <c r="U78" i="22"/>
  <c r="T78" i="22"/>
  <c r="S79" i="22"/>
  <c r="R79" i="22"/>
  <c r="U79" i="22"/>
  <c r="T79" i="22"/>
  <c r="S80" i="22"/>
  <c r="R80" i="22"/>
  <c r="U80" i="22"/>
  <c r="T80" i="22"/>
  <c r="S81" i="22"/>
  <c r="R81" i="22"/>
  <c r="U81" i="22"/>
  <c r="T81" i="22"/>
  <c r="S82" i="22"/>
  <c r="R82" i="22"/>
  <c r="U82" i="22"/>
  <c r="T82" i="22"/>
  <c r="S83" i="22"/>
  <c r="R83" i="22"/>
  <c r="U83" i="22"/>
  <c r="T83" i="22"/>
  <c r="S84" i="22"/>
  <c r="R84" i="22"/>
  <c r="U84" i="22"/>
  <c r="T84" i="22"/>
  <c r="S85" i="22"/>
  <c r="R85" i="22"/>
  <c r="U85" i="22"/>
  <c r="T85" i="22"/>
  <c r="S86" i="22"/>
  <c r="R86" i="22"/>
  <c r="U86" i="22"/>
  <c r="T86" i="22"/>
  <c r="S87" i="22"/>
  <c r="R87" i="22"/>
  <c r="U87" i="22"/>
  <c r="T87" i="22"/>
  <c r="S6" i="21"/>
  <c r="F6" i="21"/>
  <c r="B6" i="21"/>
  <c r="S5" i="21"/>
  <c r="F5" i="21"/>
  <c r="B5" i="21"/>
  <c r="U4" i="21"/>
  <c r="S4" i="21"/>
  <c r="F4" i="21"/>
  <c r="D12" i="21"/>
  <c r="S21" i="21"/>
  <c r="R21" i="21"/>
  <c r="U21" i="21"/>
  <c r="S22" i="21"/>
  <c r="R22" i="21"/>
  <c r="U22" i="21"/>
  <c r="T22" i="21"/>
  <c r="S23" i="21"/>
  <c r="R23" i="21"/>
  <c r="U23" i="21"/>
  <c r="T23" i="21"/>
  <c r="S24" i="21"/>
  <c r="R24" i="21"/>
  <c r="U24" i="21"/>
  <c r="T24" i="21"/>
  <c r="S25" i="21"/>
  <c r="R25" i="21"/>
  <c r="U25" i="21"/>
  <c r="T25" i="21"/>
  <c r="S26" i="21"/>
  <c r="R26" i="21"/>
  <c r="U26" i="21"/>
  <c r="T26" i="21"/>
  <c r="S27" i="21"/>
  <c r="R27" i="21"/>
  <c r="U27" i="21"/>
  <c r="T27" i="21"/>
  <c r="S28" i="21"/>
  <c r="R28" i="21"/>
  <c r="U28" i="21"/>
  <c r="T28" i="21"/>
  <c r="S29" i="21"/>
  <c r="R29" i="21"/>
  <c r="U29" i="21"/>
  <c r="T29" i="21"/>
  <c r="S30" i="21"/>
  <c r="R30" i="21"/>
  <c r="U30" i="21"/>
  <c r="T30" i="21"/>
  <c r="S31" i="21"/>
  <c r="R31" i="21"/>
  <c r="U31" i="21"/>
  <c r="T31" i="21"/>
  <c r="S32" i="21"/>
  <c r="R32" i="21"/>
  <c r="U32" i="21"/>
  <c r="T32" i="21"/>
  <c r="S33" i="21"/>
  <c r="R33" i="21"/>
  <c r="U33" i="21"/>
  <c r="T33" i="21"/>
  <c r="S34" i="21"/>
  <c r="R34" i="21"/>
  <c r="U34" i="21"/>
  <c r="T34" i="21"/>
  <c r="S35" i="21"/>
  <c r="R35" i="21"/>
  <c r="U35" i="21"/>
  <c r="T35" i="21"/>
  <c r="S36" i="21"/>
  <c r="R36" i="21"/>
  <c r="U36" i="21"/>
  <c r="S37" i="21"/>
  <c r="R37" i="21"/>
  <c r="U37" i="21"/>
  <c r="T37" i="21"/>
  <c r="S38" i="21"/>
  <c r="R38" i="21"/>
  <c r="U38" i="21"/>
  <c r="T38" i="21"/>
  <c r="S39" i="21"/>
  <c r="R39" i="21"/>
  <c r="U39" i="21"/>
  <c r="T39" i="21"/>
  <c r="S40" i="21"/>
  <c r="R40" i="21"/>
  <c r="U40" i="21"/>
  <c r="T40" i="21"/>
  <c r="S41" i="21"/>
  <c r="R41" i="21"/>
  <c r="U41" i="21"/>
  <c r="T41" i="21"/>
  <c r="S42" i="21"/>
  <c r="R42" i="21"/>
  <c r="U42" i="21"/>
  <c r="T42" i="21"/>
  <c r="S43" i="21"/>
  <c r="R43" i="21"/>
  <c r="U43" i="21"/>
  <c r="T43" i="21"/>
  <c r="S44" i="21"/>
  <c r="R44" i="21"/>
  <c r="U44" i="21"/>
  <c r="T44" i="21"/>
  <c r="S45" i="21"/>
  <c r="R45" i="21"/>
  <c r="U45" i="21"/>
  <c r="T45" i="21"/>
  <c r="S46" i="21"/>
  <c r="R46" i="21"/>
  <c r="U46" i="21"/>
  <c r="T46" i="21"/>
  <c r="S47" i="21"/>
  <c r="R47" i="21"/>
  <c r="U47" i="21"/>
  <c r="T47" i="21"/>
  <c r="S48" i="21"/>
  <c r="R48" i="21"/>
  <c r="U48" i="21"/>
  <c r="T48" i="21"/>
  <c r="S49" i="21"/>
  <c r="R49" i="21"/>
  <c r="U49" i="21"/>
  <c r="T49" i="21"/>
  <c r="S50" i="21"/>
  <c r="R50" i="21"/>
  <c r="U50" i="21"/>
  <c r="T50" i="21"/>
  <c r="S51" i="21"/>
  <c r="R51" i="21"/>
  <c r="U51" i="21"/>
  <c r="T51" i="21"/>
  <c r="S52" i="21"/>
  <c r="R52" i="21"/>
  <c r="U52" i="21"/>
  <c r="T52" i="21"/>
  <c r="S53" i="21"/>
  <c r="R53" i="21"/>
  <c r="U53" i="21"/>
  <c r="T53" i="21"/>
  <c r="T54" i="21"/>
  <c r="S54" i="21"/>
  <c r="R54" i="21"/>
  <c r="S55" i="21"/>
  <c r="R55" i="21"/>
  <c r="U55" i="21"/>
  <c r="S56" i="21"/>
  <c r="R56" i="21"/>
  <c r="U56" i="21"/>
  <c r="T56" i="21"/>
  <c r="S57" i="21"/>
  <c r="R57" i="21"/>
  <c r="U57" i="21"/>
  <c r="T57" i="21"/>
  <c r="S58" i="21"/>
  <c r="R58" i="21"/>
  <c r="U58" i="21"/>
  <c r="T58" i="21"/>
  <c r="S59" i="21"/>
  <c r="R59" i="21"/>
  <c r="U59" i="21"/>
  <c r="T59" i="21"/>
  <c r="S60" i="21"/>
  <c r="R60" i="21"/>
  <c r="U60" i="21"/>
  <c r="T60" i="21"/>
  <c r="S61" i="21"/>
  <c r="R61" i="21"/>
  <c r="U61" i="21"/>
  <c r="T61" i="21"/>
  <c r="S62" i="21"/>
  <c r="R62" i="21"/>
  <c r="U62" i="21"/>
  <c r="T62" i="21"/>
  <c r="S63" i="21"/>
  <c r="R63" i="21"/>
  <c r="U63" i="21"/>
  <c r="T63" i="21"/>
  <c r="S64" i="21"/>
  <c r="R64" i="21"/>
  <c r="U64" i="21"/>
  <c r="T64" i="21"/>
  <c r="S65" i="21"/>
  <c r="R65" i="21"/>
  <c r="U65" i="21"/>
  <c r="T65" i="21"/>
  <c r="S66" i="21"/>
  <c r="R66" i="21"/>
  <c r="U66" i="21"/>
  <c r="T66" i="21"/>
  <c r="S67" i="21"/>
  <c r="R67" i="21"/>
  <c r="U67" i="21"/>
  <c r="T67" i="21"/>
  <c r="S68" i="21"/>
  <c r="R68" i="21"/>
  <c r="U68" i="21"/>
  <c r="T68" i="21"/>
  <c r="S69" i="21"/>
  <c r="R69" i="21"/>
  <c r="U69" i="21"/>
  <c r="T69" i="21"/>
  <c r="S70" i="21"/>
  <c r="R70" i="21"/>
  <c r="U70" i="21"/>
  <c r="T70" i="21"/>
  <c r="S71" i="21"/>
  <c r="R71" i="21"/>
  <c r="U71" i="21"/>
  <c r="T71" i="21"/>
  <c r="S72" i="21"/>
  <c r="R72" i="21"/>
  <c r="U72" i="21"/>
  <c r="T72" i="21"/>
  <c r="S73" i="21"/>
  <c r="R73" i="21"/>
  <c r="U73" i="21"/>
  <c r="T73" i="21"/>
  <c r="S74" i="21"/>
  <c r="R74" i="21"/>
  <c r="U74" i="21"/>
  <c r="T74" i="21"/>
  <c r="S75" i="21"/>
  <c r="R75" i="21"/>
  <c r="U75" i="21"/>
  <c r="T75" i="21"/>
  <c r="S76" i="21"/>
  <c r="R76" i="21"/>
  <c r="U76" i="21"/>
  <c r="T76" i="21"/>
  <c r="S77" i="21"/>
  <c r="R77" i="21"/>
  <c r="U77" i="21"/>
  <c r="T77" i="21"/>
  <c r="S78" i="21"/>
  <c r="R78" i="21"/>
  <c r="U78" i="21"/>
  <c r="T78" i="21"/>
  <c r="S79" i="21"/>
  <c r="R79" i="21"/>
  <c r="U79" i="21"/>
  <c r="T79" i="21"/>
  <c r="S80" i="21"/>
  <c r="R80" i="21"/>
  <c r="U80" i="21"/>
  <c r="T80" i="21"/>
  <c r="S81" i="21"/>
  <c r="R81" i="21"/>
  <c r="U81" i="21"/>
  <c r="T81" i="21"/>
  <c r="S82" i="21"/>
  <c r="R82" i="21"/>
  <c r="U82" i="21"/>
  <c r="T82" i="21"/>
  <c r="S83" i="21"/>
  <c r="R83" i="21"/>
  <c r="U83" i="21"/>
  <c r="T83" i="21"/>
  <c r="S84" i="21"/>
  <c r="R84" i="21"/>
  <c r="U84" i="21"/>
  <c r="T84" i="21"/>
  <c r="S85" i="21"/>
  <c r="R85" i="21"/>
  <c r="U85" i="21"/>
  <c r="T85" i="21"/>
  <c r="S86" i="21"/>
  <c r="R86" i="21"/>
  <c r="U86" i="21"/>
  <c r="T86" i="21"/>
  <c r="S87" i="21"/>
  <c r="R87" i="21"/>
  <c r="U87" i="21"/>
  <c r="T87" i="21"/>
  <c r="S6" i="20"/>
  <c r="F6" i="20"/>
  <c r="B6" i="20"/>
  <c r="S5" i="20"/>
  <c r="F5" i="20"/>
  <c r="B5" i="20"/>
  <c r="U4" i="20"/>
  <c r="S4" i="20"/>
  <c r="F4" i="20"/>
  <c r="D12" i="20"/>
  <c r="S21" i="20"/>
  <c r="R21" i="20"/>
  <c r="U21" i="20"/>
  <c r="S22" i="20"/>
  <c r="R22" i="20"/>
  <c r="U22" i="20"/>
  <c r="T22" i="20"/>
  <c r="S23" i="20"/>
  <c r="R23" i="20"/>
  <c r="U23" i="20"/>
  <c r="T23" i="20"/>
  <c r="S24" i="20"/>
  <c r="R24" i="20"/>
  <c r="U24" i="20"/>
  <c r="T24" i="20"/>
  <c r="S25" i="20"/>
  <c r="R25" i="20"/>
  <c r="U25" i="20"/>
  <c r="T25" i="20"/>
  <c r="S26" i="20"/>
  <c r="R26" i="20"/>
  <c r="U26" i="20"/>
  <c r="T26" i="20"/>
  <c r="S27" i="20"/>
  <c r="R27" i="20"/>
  <c r="U27" i="20"/>
  <c r="T27" i="20"/>
  <c r="S28" i="20"/>
  <c r="R28" i="20"/>
  <c r="U28" i="20"/>
  <c r="T28" i="20"/>
  <c r="S29" i="20"/>
  <c r="R29" i="20"/>
  <c r="U29" i="20"/>
  <c r="T29" i="20"/>
  <c r="S30" i="20"/>
  <c r="R30" i="20"/>
  <c r="U30" i="20"/>
  <c r="T30" i="20"/>
  <c r="S31" i="20"/>
  <c r="R31" i="20"/>
  <c r="U31" i="20"/>
  <c r="T31" i="20"/>
  <c r="S32" i="20"/>
  <c r="R32" i="20"/>
  <c r="U32" i="20"/>
  <c r="T32" i="20"/>
  <c r="S33" i="20"/>
  <c r="R33" i="20"/>
  <c r="U33" i="20"/>
  <c r="T33" i="20"/>
  <c r="S34" i="20"/>
  <c r="R34" i="20"/>
  <c r="U34" i="20"/>
  <c r="T34" i="20"/>
  <c r="S35" i="20"/>
  <c r="R35" i="20"/>
  <c r="U35" i="20"/>
  <c r="T35" i="20"/>
  <c r="S36" i="20"/>
  <c r="R36" i="20"/>
  <c r="U36" i="20"/>
  <c r="S37" i="20"/>
  <c r="R37" i="20"/>
  <c r="U37" i="20"/>
  <c r="T37" i="20"/>
  <c r="S38" i="20"/>
  <c r="R38" i="20"/>
  <c r="U38" i="20"/>
  <c r="T38" i="20"/>
  <c r="S39" i="20"/>
  <c r="R39" i="20"/>
  <c r="U39" i="20"/>
  <c r="T39" i="20"/>
  <c r="S40" i="20"/>
  <c r="R40" i="20"/>
  <c r="U40" i="20"/>
  <c r="T40" i="20"/>
  <c r="S41" i="20"/>
  <c r="R41" i="20"/>
  <c r="U41" i="20"/>
  <c r="T41" i="20"/>
  <c r="S42" i="20"/>
  <c r="R42" i="20"/>
  <c r="U42" i="20"/>
  <c r="T42" i="20"/>
  <c r="S43" i="20"/>
  <c r="R43" i="20"/>
  <c r="U43" i="20"/>
  <c r="T43" i="20"/>
  <c r="S44" i="20"/>
  <c r="R44" i="20"/>
  <c r="U44" i="20"/>
  <c r="T44" i="20"/>
  <c r="S45" i="20"/>
  <c r="R45" i="20"/>
  <c r="U45" i="20"/>
  <c r="T45" i="20"/>
  <c r="S46" i="20"/>
  <c r="R46" i="20"/>
  <c r="U46" i="20"/>
  <c r="T46" i="20"/>
  <c r="S47" i="20"/>
  <c r="R47" i="20"/>
  <c r="U47" i="20"/>
  <c r="T47" i="20"/>
  <c r="S48" i="20"/>
  <c r="R48" i="20"/>
  <c r="U48" i="20"/>
  <c r="T48" i="20"/>
  <c r="S49" i="20"/>
  <c r="R49" i="20"/>
  <c r="U49" i="20"/>
  <c r="T49" i="20"/>
  <c r="S50" i="20"/>
  <c r="R50" i="20"/>
  <c r="U50" i="20"/>
  <c r="T50" i="20"/>
  <c r="S51" i="20"/>
  <c r="R51" i="20"/>
  <c r="U51" i="20"/>
  <c r="T51" i="20"/>
  <c r="S52" i="20"/>
  <c r="R52" i="20"/>
  <c r="U52" i="20"/>
  <c r="T52" i="20"/>
  <c r="S53" i="20"/>
  <c r="R53" i="20"/>
  <c r="U53" i="20"/>
  <c r="T53" i="20"/>
  <c r="T54" i="20"/>
  <c r="S54" i="20"/>
  <c r="R54" i="20"/>
  <c r="S55" i="20"/>
  <c r="R55" i="20"/>
  <c r="U55" i="20"/>
  <c r="S56" i="20"/>
  <c r="R56" i="20"/>
  <c r="U56" i="20"/>
  <c r="T56" i="20"/>
  <c r="S57" i="20"/>
  <c r="R57" i="20"/>
  <c r="U57" i="20"/>
  <c r="T57" i="20"/>
  <c r="S58" i="20"/>
  <c r="R58" i="20"/>
  <c r="U58" i="20"/>
  <c r="T58" i="20"/>
  <c r="S59" i="20"/>
  <c r="R59" i="20"/>
  <c r="U59" i="20"/>
  <c r="T59" i="20"/>
  <c r="S60" i="20"/>
  <c r="R60" i="20"/>
  <c r="U60" i="20"/>
  <c r="T60" i="20"/>
  <c r="S61" i="20"/>
  <c r="R61" i="20"/>
  <c r="U61" i="20"/>
  <c r="T61" i="20"/>
  <c r="S62" i="20"/>
  <c r="R62" i="20"/>
  <c r="U62" i="20"/>
  <c r="T62" i="20"/>
  <c r="S63" i="20"/>
  <c r="R63" i="20"/>
  <c r="U63" i="20"/>
  <c r="T63" i="20"/>
  <c r="S64" i="20"/>
  <c r="R64" i="20"/>
  <c r="U64" i="20"/>
  <c r="T64" i="20"/>
  <c r="S65" i="20"/>
  <c r="R65" i="20"/>
  <c r="U65" i="20"/>
  <c r="T65" i="20"/>
  <c r="S66" i="20"/>
  <c r="R66" i="20"/>
  <c r="U66" i="20"/>
  <c r="T66" i="20"/>
  <c r="S67" i="20"/>
  <c r="R67" i="20"/>
  <c r="U67" i="20"/>
  <c r="T67" i="20"/>
  <c r="S68" i="20"/>
  <c r="R68" i="20"/>
  <c r="U68" i="20"/>
  <c r="T68" i="20"/>
  <c r="S69" i="20"/>
  <c r="R69" i="20"/>
  <c r="U69" i="20"/>
  <c r="T69" i="20"/>
  <c r="S70" i="20"/>
  <c r="R70" i="20"/>
  <c r="U70" i="20"/>
  <c r="T70" i="20"/>
  <c r="S71" i="20"/>
  <c r="R71" i="20"/>
  <c r="U71" i="20"/>
  <c r="T71" i="20"/>
  <c r="S72" i="20"/>
  <c r="R72" i="20"/>
  <c r="U72" i="20"/>
  <c r="T72" i="20"/>
  <c r="S73" i="20"/>
  <c r="R73" i="20"/>
  <c r="U73" i="20"/>
  <c r="T73" i="20"/>
  <c r="S74" i="20"/>
  <c r="R74" i="20"/>
  <c r="U74" i="20"/>
  <c r="T74" i="20"/>
  <c r="S75" i="20"/>
  <c r="R75" i="20"/>
  <c r="U75" i="20"/>
  <c r="T75" i="20"/>
  <c r="S76" i="20"/>
  <c r="R76" i="20"/>
  <c r="U76" i="20"/>
  <c r="T76" i="20"/>
  <c r="S77" i="20"/>
  <c r="R77" i="20"/>
  <c r="U77" i="20"/>
  <c r="T77" i="20"/>
  <c r="S78" i="20"/>
  <c r="R78" i="20"/>
  <c r="U78" i="20"/>
  <c r="T78" i="20"/>
  <c r="S79" i="20"/>
  <c r="R79" i="20"/>
  <c r="U79" i="20"/>
  <c r="T79" i="20"/>
  <c r="S80" i="20"/>
  <c r="R80" i="20"/>
  <c r="U80" i="20"/>
  <c r="T80" i="20"/>
  <c r="S81" i="20"/>
  <c r="R81" i="20"/>
  <c r="U81" i="20"/>
  <c r="T81" i="20"/>
  <c r="S82" i="20"/>
  <c r="R82" i="20"/>
  <c r="U82" i="20"/>
  <c r="T82" i="20"/>
  <c r="S83" i="20"/>
  <c r="R83" i="20"/>
  <c r="U83" i="20"/>
  <c r="T83" i="20"/>
  <c r="S84" i="20"/>
  <c r="R84" i="20"/>
  <c r="U84" i="20"/>
  <c r="T84" i="20"/>
  <c r="S85" i="20"/>
  <c r="R85" i="20"/>
  <c r="U85" i="20"/>
  <c r="T85" i="20"/>
  <c r="S86" i="20"/>
  <c r="R86" i="20"/>
  <c r="U86" i="20"/>
  <c r="T86" i="20"/>
  <c r="S87" i="20"/>
  <c r="R87" i="20"/>
  <c r="U87" i="20"/>
  <c r="T87" i="20"/>
  <c r="S6" i="19"/>
  <c r="F6" i="19"/>
  <c r="B6" i="19"/>
  <c r="S5" i="19"/>
  <c r="F5" i="19"/>
  <c r="B5" i="19"/>
  <c r="U4" i="19"/>
  <c r="S4" i="19"/>
  <c r="F4" i="19"/>
  <c r="D12" i="19"/>
  <c r="S21" i="19"/>
  <c r="R21" i="19"/>
  <c r="U21" i="19"/>
  <c r="S22" i="19"/>
  <c r="R22" i="19"/>
  <c r="U22" i="19"/>
  <c r="T22" i="19"/>
  <c r="S23" i="19"/>
  <c r="R23" i="19"/>
  <c r="U23" i="19"/>
  <c r="T23" i="19"/>
  <c r="S24" i="19"/>
  <c r="R24" i="19"/>
  <c r="U24" i="19"/>
  <c r="T24" i="19"/>
  <c r="S25" i="19"/>
  <c r="R25" i="19"/>
  <c r="U25" i="19"/>
  <c r="T25" i="19"/>
  <c r="S26" i="19"/>
  <c r="R26" i="19"/>
  <c r="U26" i="19"/>
  <c r="T26" i="19"/>
  <c r="S27" i="19"/>
  <c r="R27" i="19"/>
  <c r="U27" i="19"/>
  <c r="T27" i="19"/>
  <c r="S28" i="19"/>
  <c r="R28" i="19"/>
  <c r="U28" i="19"/>
  <c r="T28" i="19"/>
  <c r="S29" i="19"/>
  <c r="R29" i="19"/>
  <c r="U29" i="19"/>
  <c r="T29" i="19"/>
  <c r="S30" i="19"/>
  <c r="R30" i="19"/>
  <c r="U30" i="19"/>
  <c r="T30" i="19"/>
  <c r="S31" i="19"/>
  <c r="R31" i="19"/>
  <c r="U31" i="19"/>
  <c r="T31" i="19"/>
  <c r="S32" i="19"/>
  <c r="R32" i="19"/>
  <c r="U32" i="19"/>
  <c r="T32" i="19"/>
  <c r="S33" i="19"/>
  <c r="R33" i="19"/>
  <c r="U33" i="19"/>
  <c r="T33" i="19"/>
  <c r="S34" i="19"/>
  <c r="R34" i="19"/>
  <c r="U34" i="19"/>
  <c r="T34" i="19"/>
  <c r="S35" i="19"/>
  <c r="R35" i="19"/>
  <c r="U35" i="19"/>
  <c r="T35" i="19"/>
  <c r="S36" i="19"/>
  <c r="R36" i="19"/>
  <c r="U36" i="19"/>
  <c r="S37" i="19"/>
  <c r="R37" i="19"/>
  <c r="U37" i="19"/>
  <c r="T37" i="19"/>
  <c r="S38" i="19"/>
  <c r="R38" i="19"/>
  <c r="U38" i="19"/>
  <c r="T38" i="19"/>
  <c r="S39" i="19"/>
  <c r="R39" i="19"/>
  <c r="U39" i="19"/>
  <c r="T39" i="19"/>
  <c r="S40" i="19"/>
  <c r="R40" i="19"/>
  <c r="U40" i="19"/>
  <c r="T40" i="19"/>
  <c r="S41" i="19"/>
  <c r="R41" i="19"/>
  <c r="U41" i="19"/>
  <c r="T41" i="19"/>
  <c r="S42" i="19"/>
  <c r="R42" i="19"/>
  <c r="U42" i="19"/>
  <c r="T42" i="19"/>
  <c r="S43" i="19"/>
  <c r="R43" i="19"/>
  <c r="U43" i="19"/>
  <c r="T43" i="19"/>
  <c r="S44" i="19"/>
  <c r="R44" i="19"/>
  <c r="U44" i="19"/>
  <c r="T44" i="19"/>
  <c r="S45" i="19"/>
  <c r="R45" i="19"/>
  <c r="U45" i="19"/>
  <c r="T45" i="19"/>
  <c r="S46" i="19"/>
  <c r="R46" i="19"/>
  <c r="U46" i="19"/>
  <c r="T46" i="19"/>
  <c r="S47" i="19"/>
  <c r="R47" i="19"/>
  <c r="U47" i="19"/>
  <c r="T47" i="19"/>
  <c r="S48" i="19"/>
  <c r="R48" i="19"/>
  <c r="U48" i="19"/>
  <c r="T48" i="19"/>
  <c r="S49" i="19"/>
  <c r="R49" i="19"/>
  <c r="U49" i="19"/>
  <c r="T49" i="19"/>
  <c r="S50" i="19"/>
  <c r="R50" i="19"/>
  <c r="U50" i="19"/>
  <c r="T50" i="19"/>
  <c r="S51" i="19"/>
  <c r="R51" i="19"/>
  <c r="U51" i="19"/>
  <c r="T51" i="19"/>
  <c r="S52" i="19"/>
  <c r="R52" i="19"/>
  <c r="U52" i="19"/>
  <c r="T52" i="19"/>
  <c r="S53" i="19"/>
  <c r="R53" i="19"/>
  <c r="U53" i="19"/>
  <c r="T53" i="19"/>
  <c r="T54" i="19"/>
  <c r="S54" i="19"/>
  <c r="R54" i="19"/>
  <c r="S55" i="19"/>
  <c r="R55" i="19"/>
  <c r="U55" i="19"/>
  <c r="S56" i="19"/>
  <c r="R56" i="19"/>
  <c r="U56" i="19"/>
  <c r="T56" i="19"/>
  <c r="S57" i="19"/>
  <c r="R57" i="19"/>
  <c r="U57" i="19"/>
  <c r="T57" i="19"/>
  <c r="S58" i="19"/>
  <c r="R58" i="19"/>
  <c r="U58" i="19"/>
  <c r="T58" i="19"/>
  <c r="S59" i="19"/>
  <c r="R59" i="19"/>
  <c r="U59" i="19"/>
  <c r="T59" i="19"/>
  <c r="S60" i="19"/>
  <c r="R60" i="19"/>
  <c r="U60" i="19"/>
  <c r="T60" i="19"/>
  <c r="S61" i="19"/>
  <c r="R61" i="19"/>
  <c r="U61" i="19"/>
  <c r="T61" i="19"/>
  <c r="S62" i="19"/>
  <c r="R62" i="19"/>
  <c r="U62" i="19"/>
  <c r="T62" i="19"/>
  <c r="S63" i="19"/>
  <c r="R63" i="19"/>
  <c r="U63" i="19"/>
  <c r="T63" i="19"/>
  <c r="S64" i="19"/>
  <c r="R64" i="19"/>
  <c r="U64" i="19"/>
  <c r="T64" i="19"/>
  <c r="S65" i="19"/>
  <c r="R65" i="19"/>
  <c r="U65" i="19"/>
  <c r="T65" i="19"/>
  <c r="S66" i="19"/>
  <c r="R66" i="19"/>
  <c r="U66" i="19"/>
  <c r="T66" i="19"/>
  <c r="S67" i="19"/>
  <c r="R67" i="19"/>
  <c r="U67" i="19"/>
  <c r="T67" i="19"/>
  <c r="S68" i="19"/>
  <c r="R68" i="19"/>
  <c r="U68" i="19"/>
  <c r="T68" i="19"/>
  <c r="S69" i="19"/>
  <c r="R69" i="19"/>
  <c r="U69" i="19"/>
  <c r="T69" i="19"/>
  <c r="S70" i="19"/>
  <c r="R70" i="19"/>
  <c r="U70" i="19"/>
  <c r="T70" i="19"/>
  <c r="S71" i="19"/>
  <c r="R71" i="19"/>
  <c r="U71" i="19"/>
  <c r="T71" i="19"/>
  <c r="S72" i="19"/>
  <c r="R72" i="19"/>
  <c r="U72" i="19"/>
  <c r="T72" i="19"/>
  <c r="S73" i="19"/>
  <c r="R73" i="19"/>
  <c r="U73" i="19"/>
  <c r="T73" i="19"/>
  <c r="S74" i="19"/>
  <c r="R74" i="19"/>
  <c r="U74" i="19"/>
  <c r="T74" i="19"/>
  <c r="S75" i="19"/>
  <c r="R75" i="19"/>
  <c r="U75" i="19"/>
  <c r="T75" i="19"/>
  <c r="S76" i="19"/>
  <c r="R76" i="19"/>
  <c r="U76" i="19"/>
  <c r="T76" i="19"/>
  <c r="S77" i="19"/>
  <c r="R77" i="19"/>
  <c r="U77" i="19"/>
  <c r="T77" i="19"/>
  <c r="S78" i="19"/>
  <c r="R78" i="19"/>
  <c r="U78" i="19"/>
  <c r="T78" i="19"/>
  <c r="S79" i="19"/>
  <c r="R79" i="19"/>
  <c r="U79" i="19"/>
  <c r="T79" i="19"/>
  <c r="S80" i="19"/>
  <c r="R80" i="19"/>
  <c r="U80" i="19"/>
  <c r="T80" i="19"/>
  <c r="S81" i="19"/>
  <c r="R81" i="19"/>
  <c r="U81" i="19"/>
  <c r="T81" i="19"/>
  <c r="S82" i="19"/>
  <c r="R82" i="19"/>
  <c r="U82" i="19"/>
  <c r="T82" i="19"/>
  <c r="S83" i="19"/>
  <c r="R83" i="19"/>
  <c r="U83" i="19"/>
  <c r="T83" i="19"/>
  <c r="S84" i="19"/>
  <c r="R84" i="19"/>
  <c r="U84" i="19"/>
  <c r="T84" i="19"/>
  <c r="S85" i="19"/>
  <c r="R85" i="19"/>
  <c r="U85" i="19"/>
  <c r="T85" i="19"/>
  <c r="S86" i="19"/>
  <c r="R86" i="19"/>
  <c r="U86" i="19"/>
  <c r="T86" i="19"/>
  <c r="S87" i="19"/>
  <c r="R87" i="19"/>
  <c r="U87" i="19"/>
  <c r="T87" i="19"/>
  <c r="S6" i="18"/>
  <c r="F6" i="18"/>
  <c r="B6" i="18"/>
  <c r="S5" i="18"/>
  <c r="F5" i="18"/>
  <c r="B5" i="18"/>
  <c r="S4" i="18"/>
  <c r="F4" i="18"/>
  <c r="D12" i="18"/>
  <c r="S21" i="18"/>
  <c r="R21" i="18"/>
  <c r="U21" i="18"/>
  <c r="Q21" i="18"/>
  <c r="S22" i="18"/>
  <c r="R22" i="18"/>
  <c r="U22" i="18"/>
  <c r="T22" i="18"/>
  <c r="S23" i="18"/>
  <c r="R23" i="18"/>
  <c r="U23" i="18"/>
  <c r="T23" i="18"/>
  <c r="S24" i="18"/>
  <c r="R24" i="18"/>
  <c r="U24" i="18"/>
  <c r="Q24" i="18"/>
  <c r="T24" i="18"/>
  <c r="S25" i="18"/>
  <c r="R25" i="18"/>
  <c r="U25" i="18"/>
  <c r="Q25" i="18"/>
  <c r="T25" i="18"/>
  <c r="S26" i="18"/>
  <c r="R26" i="18"/>
  <c r="U26" i="18"/>
  <c r="Q26" i="18"/>
  <c r="T26" i="18"/>
  <c r="S27" i="18"/>
  <c r="R27" i="18"/>
  <c r="U27" i="18"/>
  <c r="Q27" i="18"/>
  <c r="T27" i="18"/>
  <c r="S28" i="18"/>
  <c r="R28" i="18"/>
  <c r="U28" i="18"/>
  <c r="Q28" i="18"/>
  <c r="T28" i="18"/>
  <c r="S29" i="18"/>
  <c r="R29" i="18"/>
  <c r="U29" i="18"/>
  <c r="Q29" i="18"/>
  <c r="T29" i="18"/>
  <c r="S30" i="18"/>
  <c r="R30" i="18"/>
  <c r="U30" i="18"/>
  <c r="Q30" i="18"/>
  <c r="T30" i="18"/>
  <c r="S31" i="18"/>
  <c r="R31" i="18"/>
  <c r="U31" i="18"/>
  <c r="Q31" i="18"/>
  <c r="T31" i="18"/>
  <c r="S32" i="18"/>
  <c r="R32" i="18"/>
  <c r="U32" i="18"/>
  <c r="Q32" i="18"/>
  <c r="T32" i="18"/>
  <c r="S33" i="18"/>
  <c r="R33" i="18"/>
  <c r="U33" i="18"/>
  <c r="Q33" i="18"/>
  <c r="T33" i="18"/>
  <c r="S34" i="18"/>
  <c r="R34" i="18"/>
  <c r="U34" i="18"/>
  <c r="Q34" i="18"/>
  <c r="T34" i="18"/>
  <c r="S35" i="18"/>
  <c r="R35" i="18"/>
  <c r="U35" i="18"/>
  <c r="Q35" i="18"/>
  <c r="T35" i="18"/>
  <c r="S36" i="18"/>
  <c r="R36" i="18"/>
  <c r="U36" i="18"/>
  <c r="Q36" i="18"/>
  <c r="S37" i="18"/>
  <c r="R37" i="18"/>
  <c r="U37" i="18"/>
  <c r="Q37" i="18"/>
  <c r="T37" i="18"/>
  <c r="S38" i="18"/>
  <c r="R38" i="18"/>
  <c r="U38" i="18"/>
  <c r="Q38" i="18"/>
  <c r="T38" i="18"/>
  <c r="S39" i="18"/>
  <c r="R39" i="18"/>
  <c r="U39" i="18"/>
  <c r="Q39" i="18"/>
  <c r="T39" i="18"/>
  <c r="S40" i="18"/>
  <c r="R40" i="18"/>
  <c r="U40" i="18"/>
  <c r="Q40" i="18"/>
  <c r="T40" i="18"/>
  <c r="S41" i="18"/>
  <c r="R41" i="18"/>
  <c r="U41" i="18"/>
  <c r="Q41" i="18"/>
  <c r="T41" i="18"/>
  <c r="S42" i="18"/>
  <c r="R42" i="18"/>
  <c r="U42" i="18"/>
  <c r="Q42" i="18"/>
  <c r="T42" i="18"/>
  <c r="S43" i="18"/>
  <c r="R43" i="18"/>
  <c r="U43" i="18"/>
  <c r="Q43" i="18"/>
  <c r="T43" i="18"/>
  <c r="S44" i="18"/>
  <c r="R44" i="18"/>
  <c r="U44" i="18"/>
  <c r="Q44" i="18"/>
  <c r="T44" i="18"/>
  <c r="S45" i="18"/>
  <c r="R45" i="18"/>
  <c r="U45" i="18"/>
  <c r="Q45" i="18"/>
  <c r="T45" i="18"/>
  <c r="S46" i="18"/>
  <c r="R46" i="18"/>
  <c r="U46" i="18"/>
  <c r="Q46" i="18"/>
  <c r="T46" i="18"/>
  <c r="S47" i="18"/>
  <c r="R47" i="18"/>
  <c r="U47" i="18"/>
  <c r="Q47" i="18"/>
  <c r="T47" i="18"/>
  <c r="S48" i="18"/>
  <c r="R48" i="18"/>
  <c r="U48" i="18"/>
  <c r="Q48" i="18"/>
  <c r="T48" i="18"/>
  <c r="S49" i="18"/>
  <c r="R49" i="18"/>
  <c r="U49" i="18"/>
  <c r="Q49" i="18"/>
  <c r="T49" i="18"/>
  <c r="S50" i="18"/>
  <c r="R50" i="18"/>
  <c r="U50" i="18"/>
  <c r="Q50" i="18"/>
  <c r="T50" i="18"/>
  <c r="S51" i="18"/>
  <c r="R51" i="18"/>
  <c r="U51" i="18"/>
  <c r="Q51" i="18"/>
  <c r="T51" i="18"/>
  <c r="S52" i="18"/>
  <c r="R52" i="18"/>
  <c r="U52" i="18"/>
  <c r="Q52" i="18"/>
  <c r="T52" i="18"/>
  <c r="S53" i="18"/>
  <c r="R53" i="18"/>
  <c r="U53" i="18"/>
  <c r="Q53" i="18"/>
  <c r="T53" i="18"/>
  <c r="T54" i="18"/>
  <c r="S54" i="18"/>
  <c r="R54" i="18"/>
  <c r="S55" i="18"/>
  <c r="R55" i="18"/>
  <c r="U55" i="18"/>
  <c r="Q55" i="18"/>
  <c r="S56" i="18"/>
  <c r="R56" i="18"/>
  <c r="U56" i="18"/>
  <c r="Q56" i="18"/>
  <c r="T56" i="18"/>
  <c r="S57" i="18"/>
  <c r="R57" i="18"/>
  <c r="U57" i="18"/>
  <c r="Q57" i="18"/>
  <c r="T57" i="18"/>
  <c r="S58" i="18"/>
  <c r="R58" i="18"/>
  <c r="U58" i="18"/>
  <c r="Q58" i="18"/>
  <c r="T58" i="18"/>
  <c r="S59" i="18"/>
  <c r="R59" i="18"/>
  <c r="U59" i="18"/>
  <c r="Q59" i="18"/>
  <c r="T59" i="18"/>
  <c r="S60" i="18"/>
  <c r="R60" i="18"/>
  <c r="U60" i="18"/>
  <c r="Q60" i="18"/>
  <c r="T60" i="18"/>
  <c r="S61" i="18"/>
  <c r="R61" i="18"/>
  <c r="U61" i="18"/>
  <c r="Q61" i="18"/>
  <c r="T61" i="18"/>
  <c r="S62" i="18"/>
  <c r="R62" i="18"/>
  <c r="U62" i="18"/>
  <c r="Q62" i="18"/>
  <c r="T62" i="18"/>
  <c r="S63" i="18"/>
  <c r="R63" i="18"/>
  <c r="U63" i="18"/>
  <c r="Q63" i="18"/>
  <c r="T63" i="18"/>
  <c r="S64" i="18"/>
  <c r="R64" i="18"/>
  <c r="U64" i="18"/>
  <c r="Q64" i="18"/>
  <c r="T64" i="18"/>
  <c r="S65" i="18"/>
  <c r="R65" i="18"/>
  <c r="U65" i="18"/>
  <c r="Q65" i="18"/>
  <c r="T65" i="18"/>
  <c r="S66" i="18"/>
  <c r="R66" i="18"/>
  <c r="U66" i="18"/>
  <c r="Q66" i="18"/>
  <c r="T66" i="18"/>
  <c r="S67" i="18"/>
  <c r="R67" i="18"/>
  <c r="U67" i="18"/>
  <c r="Q67" i="18"/>
  <c r="T67" i="18"/>
  <c r="S68" i="18"/>
  <c r="R68" i="18"/>
  <c r="U68" i="18"/>
  <c r="Q68" i="18"/>
  <c r="T68" i="18"/>
  <c r="S69" i="18"/>
  <c r="R69" i="18"/>
  <c r="U69" i="18"/>
  <c r="Q69" i="18"/>
  <c r="T69" i="18"/>
  <c r="S70" i="18"/>
  <c r="R70" i="18"/>
  <c r="U70" i="18"/>
  <c r="Q70" i="18"/>
  <c r="T70" i="18"/>
  <c r="S71" i="18"/>
  <c r="R71" i="18"/>
  <c r="U71" i="18"/>
  <c r="Q71" i="18"/>
  <c r="T71" i="18"/>
  <c r="S72" i="18"/>
  <c r="R72" i="18"/>
  <c r="U72" i="18"/>
  <c r="Q72" i="18"/>
  <c r="T72" i="18"/>
  <c r="S73" i="18"/>
  <c r="R73" i="18"/>
  <c r="U73" i="18"/>
  <c r="Q73" i="18"/>
  <c r="T73" i="18"/>
  <c r="S74" i="18"/>
  <c r="R74" i="18"/>
  <c r="U74" i="18"/>
  <c r="Q74" i="18"/>
  <c r="T74" i="18"/>
  <c r="S75" i="18"/>
  <c r="R75" i="18"/>
  <c r="U75" i="18"/>
  <c r="Q75" i="18"/>
  <c r="T75" i="18"/>
  <c r="S76" i="18"/>
  <c r="R76" i="18"/>
  <c r="U76" i="18"/>
  <c r="Q76" i="18"/>
  <c r="T76" i="18"/>
  <c r="S77" i="18"/>
  <c r="R77" i="18"/>
  <c r="U77" i="18"/>
  <c r="Q77" i="18"/>
  <c r="T77" i="18"/>
  <c r="S78" i="18"/>
  <c r="R78" i="18"/>
  <c r="U78" i="18"/>
  <c r="Q78" i="18"/>
  <c r="T78" i="18"/>
  <c r="S79" i="18"/>
  <c r="R79" i="18"/>
  <c r="U79" i="18"/>
  <c r="Q79" i="18"/>
  <c r="T79" i="18"/>
  <c r="S80" i="18"/>
  <c r="R80" i="18"/>
  <c r="U80" i="18"/>
  <c r="Q80" i="18"/>
  <c r="T80" i="18"/>
  <c r="S81" i="18"/>
  <c r="R81" i="18"/>
  <c r="U81" i="18"/>
  <c r="Q81" i="18"/>
  <c r="T81" i="18"/>
  <c r="S82" i="18"/>
  <c r="R82" i="18"/>
  <c r="U82" i="18"/>
  <c r="Q82" i="18"/>
  <c r="T82" i="18"/>
  <c r="S83" i="18"/>
  <c r="R83" i="18"/>
  <c r="U83" i="18"/>
  <c r="Q83" i="18"/>
  <c r="T83" i="18"/>
  <c r="S84" i="18"/>
  <c r="R84" i="18"/>
  <c r="U84" i="18"/>
  <c r="Q84" i="18"/>
  <c r="T84" i="18"/>
  <c r="S85" i="18"/>
  <c r="R85" i="18"/>
  <c r="U85" i="18"/>
  <c r="Q85" i="18"/>
  <c r="T85" i="18"/>
  <c r="S86" i="18"/>
  <c r="R86" i="18"/>
  <c r="U86" i="18"/>
  <c r="Q86" i="18"/>
  <c r="T86" i="18"/>
  <c r="S87" i="18"/>
  <c r="R87" i="18"/>
  <c r="U87" i="18"/>
  <c r="Q87" i="18"/>
  <c r="T87" i="18"/>
  <c r="D13" i="21"/>
  <c r="G12" i="22"/>
  <c r="G16" i="21"/>
  <c r="E15" i="19"/>
  <c r="G13" i="22"/>
  <c r="D15" i="18"/>
  <c r="E13" i="22"/>
  <c r="F14" i="22"/>
  <c r="F16" i="22"/>
  <c r="F15" i="18"/>
  <c r="E15" i="22"/>
  <c r="G16" i="19"/>
  <c r="D14" i="20"/>
  <c r="F15" i="21"/>
  <c r="G14" i="20"/>
  <c r="F12" i="21"/>
  <c r="L15" i="21"/>
  <c r="D14" i="21"/>
  <c r="D16" i="18"/>
  <c r="G12" i="19"/>
  <c r="F12" i="20"/>
  <c r="E15" i="20"/>
  <c r="E13" i="21"/>
  <c r="G14" i="22"/>
  <c r="E14" i="22"/>
  <c r="E12" i="19"/>
  <c r="G15" i="20"/>
  <c r="D14" i="18"/>
  <c r="G16" i="22"/>
  <c r="F13" i="22"/>
  <c r="F16" i="18"/>
  <c r="E16" i="22"/>
  <c r="D15" i="20"/>
  <c r="G15" i="19"/>
  <c r="D15" i="19"/>
  <c r="E14" i="21"/>
  <c r="F12" i="18"/>
  <c r="F13" i="21"/>
  <c r="J15" i="22"/>
  <c r="M15" i="22"/>
  <c r="D13" i="20"/>
  <c r="G15" i="18"/>
  <c r="E13" i="20"/>
  <c r="K15" i="22"/>
  <c r="E13" i="19"/>
  <c r="J15" i="21"/>
  <c r="M15" i="20"/>
  <c r="G15" i="22"/>
  <c r="D16" i="20"/>
  <c r="E12" i="22"/>
  <c r="E16" i="21"/>
  <c r="E12" i="20"/>
  <c r="G14" i="19"/>
  <c r="D14" i="19"/>
  <c r="F15" i="19"/>
  <c r="G12" i="18"/>
  <c r="E15" i="21"/>
  <c r="D13" i="19"/>
  <c r="K15" i="19"/>
  <c r="D13" i="22"/>
  <c r="M15" i="21"/>
  <c r="D16" i="21"/>
  <c r="F16" i="19"/>
  <c r="E14" i="19"/>
  <c r="G13" i="20"/>
  <c r="G12" i="21"/>
  <c r="F12" i="22"/>
  <c r="D16" i="19"/>
  <c r="D16" i="22"/>
  <c r="D13" i="18"/>
  <c r="F15" i="22"/>
  <c r="F13" i="19"/>
  <c r="G13" i="19"/>
  <c r="G14" i="21"/>
  <c r="F14" i="18"/>
  <c r="J15" i="19"/>
  <c r="J15" i="18"/>
  <c r="E13" i="18"/>
  <c r="F13" i="18"/>
  <c r="E15" i="18"/>
  <c r="F16" i="20"/>
  <c r="G13" i="18"/>
  <c r="F14" i="21"/>
  <c r="G16" i="18"/>
  <c r="G16" i="20"/>
  <c r="E16" i="20"/>
  <c r="F13" i="20"/>
  <c r="E14" i="20"/>
  <c r="F14" i="19"/>
  <c r="D15" i="21"/>
  <c r="J15" i="20"/>
  <c r="E16" i="19"/>
  <c r="L15" i="20"/>
  <c r="L15" i="22"/>
  <c r="K15" i="20"/>
  <c r="D14" i="22"/>
  <c r="F15" i="20"/>
  <c r="E14" i="18"/>
  <c r="K15" i="18"/>
  <c r="G12" i="20"/>
  <c r="F12" i="19"/>
  <c r="K15" i="21"/>
  <c r="D15" i="22"/>
  <c r="M15" i="18"/>
  <c r="E12" i="18"/>
  <c r="E12" i="21"/>
  <c r="M15" i="19"/>
  <c r="G14" i="18"/>
  <c r="L15" i="19"/>
  <c r="G13" i="21"/>
  <c r="F16" i="21"/>
  <c r="E16" i="18"/>
  <c r="G15" i="21"/>
  <c r="L15" i="18"/>
  <c r="F14" i="20"/>
  <c r="S15" i="20" l="1"/>
  <c r="S15" i="22"/>
  <c r="S15" i="19"/>
  <c r="S15" i="18"/>
  <c r="S15" i="21"/>
  <c r="E17" i="22"/>
  <c r="F17" i="22"/>
  <c r="E17" i="19"/>
  <c r="F17" i="19"/>
  <c r="E17" i="20"/>
  <c r="F17" i="20"/>
  <c r="E17" i="21"/>
  <c r="F17" i="21"/>
  <c r="F17" i="18"/>
  <c r="E17" i="18"/>
  <c r="D17" i="19"/>
  <c r="D17" i="20"/>
  <c r="D17" i="21"/>
  <c r="D17" i="18"/>
  <c r="D17" i="22"/>
  <c r="U16" i="22"/>
  <c r="T16" i="22"/>
  <c r="R16" i="22"/>
  <c r="S16" i="22"/>
  <c r="U15" i="22"/>
  <c r="T15" i="22"/>
  <c r="R15" i="22"/>
  <c r="T55" i="22"/>
  <c r="U14" i="22"/>
  <c r="T14" i="22"/>
  <c r="R14" i="22"/>
  <c r="S14" i="22"/>
  <c r="T36" i="22"/>
  <c r="U13" i="22"/>
  <c r="T13" i="22"/>
  <c r="R13" i="22"/>
  <c r="S13" i="22"/>
  <c r="T21" i="22"/>
  <c r="U12" i="22"/>
  <c r="T12" i="22"/>
  <c r="R12" i="22"/>
  <c r="S12" i="22"/>
  <c r="G17" i="22"/>
  <c r="N15" i="22"/>
  <c r="U16" i="21"/>
  <c r="T16" i="21"/>
  <c r="R16" i="21"/>
  <c r="S16" i="21"/>
  <c r="U15" i="21"/>
  <c r="T15" i="21"/>
  <c r="R15" i="21"/>
  <c r="H15" i="21" s="1"/>
  <c r="X15" i="21" s="1"/>
  <c r="T55" i="21"/>
  <c r="U14" i="21"/>
  <c r="T14" i="21"/>
  <c r="R14" i="21"/>
  <c r="S14" i="21"/>
  <c r="T36" i="21"/>
  <c r="U13" i="21"/>
  <c r="T13" i="21"/>
  <c r="R13" i="21"/>
  <c r="S13" i="21"/>
  <c r="T21" i="21"/>
  <c r="U12" i="21"/>
  <c r="T12" i="21"/>
  <c r="R12" i="21"/>
  <c r="S12" i="21"/>
  <c r="G17" i="21"/>
  <c r="N15" i="21"/>
  <c r="U16" i="20"/>
  <c r="T16" i="20"/>
  <c r="R16" i="20"/>
  <c r="S16" i="20"/>
  <c r="U15" i="20"/>
  <c r="T15" i="20"/>
  <c r="R15" i="20"/>
  <c r="T55" i="20"/>
  <c r="U14" i="20"/>
  <c r="T14" i="20"/>
  <c r="R14" i="20"/>
  <c r="S14" i="20"/>
  <c r="T36" i="20"/>
  <c r="U13" i="20"/>
  <c r="T13" i="20"/>
  <c r="R13" i="20"/>
  <c r="S13" i="20"/>
  <c r="T21" i="20"/>
  <c r="U12" i="20"/>
  <c r="T12" i="20"/>
  <c r="R12" i="20"/>
  <c r="S12" i="20"/>
  <c r="G17" i="20"/>
  <c r="N15" i="20"/>
  <c r="U16" i="19"/>
  <c r="T16" i="19"/>
  <c r="R16" i="19"/>
  <c r="S16" i="19"/>
  <c r="U15" i="19"/>
  <c r="T15" i="19"/>
  <c r="R15" i="19"/>
  <c r="H15" i="19" s="1"/>
  <c r="X15" i="19" s="1"/>
  <c r="T55" i="19"/>
  <c r="U14" i="19"/>
  <c r="T14" i="19"/>
  <c r="R14" i="19"/>
  <c r="S14" i="19"/>
  <c r="T36" i="19"/>
  <c r="U13" i="19"/>
  <c r="T13" i="19"/>
  <c r="R13" i="19"/>
  <c r="S13" i="19"/>
  <c r="T21" i="19"/>
  <c r="U12" i="19"/>
  <c r="T12" i="19"/>
  <c r="R12" i="19"/>
  <c r="S12" i="19"/>
  <c r="G17" i="19"/>
  <c r="N15" i="19"/>
  <c r="U16" i="18"/>
  <c r="T16" i="18"/>
  <c r="R16" i="18"/>
  <c r="S16" i="18"/>
  <c r="U15" i="18"/>
  <c r="T15" i="18"/>
  <c r="R15" i="18"/>
  <c r="H15" i="18" s="1"/>
  <c r="X15" i="18" s="1"/>
  <c r="T55" i="18"/>
  <c r="U14" i="18"/>
  <c r="T14" i="18"/>
  <c r="R14" i="18"/>
  <c r="S14" i="18"/>
  <c r="T36" i="18"/>
  <c r="U13" i="18"/>
  <c r="T13" i="18"/>
  <c r="R13" i="18"/>
  <c r="S13" i="18"/>
  <c r="T21" i="18"/>
  <c r="U12" i="18"/>
  <c r="T12" i="18"/>
  <c r="R12" i="18"/>
  <c r="S12" i="18"/>
  <c r="G17" i="18"/>
  <c r="N15" i="18"/>
  <c r="R9" i="2"/>
  <c r="Q9" i="2" s="1"/>
  <c r="U4" i="18" s="1"/>
  <c r="G46" i="6"/>
  <c r="G47" i="6"/>
  <c r="L12" i="20"/>
  <c r="K14" i="21"/>
  <c r="M14" i="21"/>
  <c r="L12" i="19"/>
  <c r="J12" i="19"/>
  <c r="L14" i="19"/>
  <c r="J13" i="18"/>
  <c r="K12" i="22"/>
  <c r="K16" i="22"/>
  <c r="K12" i="18"/>
  <c r="G46" i="5"/>
  <c r="L16" i="22"/>
  <c r="M14" i="20"/>
  <c r="H46" i="5"/>
  <c r="E48" i="5"/>
  <c r="L16" i="20"/>
  <c r="K13" i="18"/>
  <c r="I48" i="6"/>
  <c r="M13" i="21"/>
  <c r="L16" i="18"/>
  <c r="J13" i="22"/>
  <c r="M12" i="18"/>
  <c r="G47" i="5"/>
  <c r="J12" i="22"/>
  <c r="J12" i="18"/>
  <c r="J16" i="21"/>
  <c r="L13" i="19"/>
  <c r="G48" i="5"/>
  <c r="K14" i="22"/>
  <c r="E46" i="6"/>
  <c r="K13" i="22"/>
  <c r="M13" i="19"/>
  <c r="J12" i="20"/>
  <c r="L14" i="22"/>
  <c r="G48" i="6"/>
  <c r="M14" i="19"/>
  <c r="K14" i="19"/>
  <c r="J16" i="22"/>
  <c r="K16" i="18"/>
  <c r="J14" i="21"/>
  <c r="H47" i="6"/>
  <c r="L13" i="18"/>
  <c r="E47" i="5"/>
  <c r="E46" i="5"/>
  <c r="J13" i="21"/>
  <c r="M16" i="20"/>
  <c r="K12" i="19"/>
  <c r="K12" i="21"/>
  <c r="K12" i="20"/>
  <c r="L16" i="19"/>
  <c r="L12" i="18"/>
  <c r="K13" i="21"/>
  <c r="J12" i="21"/>
  <c r="M12" i="22"/>
  <c r="L12" i="22"/>
  <c r="I48" i="5"/>
  <c r="J16" i="20"/>
  <c r="M16" i="19"/>
  <c r="K14" i="20"/>
  <c r="L12" i="21"/>
  <c r="L13" i="22"/>
  <c r="M13" i="22"/>
  <c r="H48" i="5"/>
  <c r="J14" i="19"/>
  <c r="E48" i="6"/>
  <c r="L14" i="21"/>
  <c r="J14" i="22"/>
  <c r="L13" i="21"/>
  <c r="M16" i="21"/>
  <c r="M16" i="18"/>
  <c r="L16" i="21"/>
  <c r="M13" i="20"/>
  <c r="L13" i="20"/>
  <c r="I47" i="5"/>
  <c r="K14" i="18"/>
  <c r="E47" i="6"/>
  <c r="L14" i="20"/>
  <c r="J16" i="19"/>
  <c r="K13" i="19"/>
  <c r="J14" i="18"/>
  <c r="L14" i="18"/>
  <c r="K16" i="20"/>
  <c r="J13" i="20"/>
  <c r="I46" i="5"/>
  <c r="K16" i="19"/>
  <c r="I47" i="6"/>
  <c r="M12" i="21"/>
  <c r="K13" i="20"/>
  <c r="M14" i="22"/>
  <c r="H46" i="6"/>
  <c r="M14" i="18"/>
  <c r="H48" i="6"/>
  <c r="M13" i="18"/>
  <c r="M16" i="22"/>
  <c r="J16" i="18"/>
  <c r="I46" i="6"/>
  <c r="K16" i="21"/>
  <c r="J14" i="20"/>
  <c r="J13" i="19"/>
  <c r="M12" i="20"/>
  <c r="H47" i="5"/>
  <c r="M12" i="19"/>
  <c r="O15" i="19" l="1"/>
  <c r="Y15" i="19" s="1"/>
  <c r="H15" i="20"/>
  <c r="X15" i="20" s="1"/>
  <c r="O15" i="20"/>
  <c r="Y15" i="20" s="1"/>
  <c r="H15" i="22"/>
  <c r="X15" i="22" s="1"/>
  <c r="H14" i="20"/>
  <c r="X14" i="20" s="1"/>
  <c r="S17" i="20"/>
  <c r="O15" i="21"/>
  <c r="Y15" i="21" s="1"/>
  <c r="H16" i="19"/>
  <c r="X16" i="19" s="1"/>
  <c r="H12" i="18"/>
  <c r="X12" i="18" s="1"/>
  <c r="H16" i="20"/>
  <c r="X16" i="20" s="1"/>
  <c r="S17" i="19"/>
  <c r="O15" i="18"/>
  <c r="Y15" i="18" s="1"/>
  <c r="T17" i="20"/>
  <c r="U17" i="20"/>
  <c r="H13" i="20"/>
  <c r="X13" i="20" s="1"/>
  <c r="H13" i="19"/>
  <c r="X13" i="19" s="1"/>
  <c r="F48" i="6"/>
  <c r="F47" i="6"/>
  <c r="F46" i="6"/>
  <c r="F47" i="5"/>
  <c r="F46" i="5"/>
  <c r="F48" i="5"/>
  <c r="H16" i="21"/>
  <c r="X16" i="21" s="1"/>
  <c r="H13" i="21"/>
  <c r="X13" i="21" s="1"/>
  <c r="R17" i="20"/>
  <c r="H13" i="22"/>
  <c r="X13" i="22" s="1"/>
  <c r="H14" i="21"/>
  <c r="X14" i="21" s="1"/>
  <c r="S17" i="21"/>
  <c r="U17" i="21"/>
  <c r="T17" i="21"/>
  <c r="H12" i="21"/>
  <c r="X12" i="21" s="1"/>
  <c r="U17" i="22"/>
  <c r="H12" i="22"/>
  <c r="X12" i="22" s="1"/>
  <c r="O15" i="22"/>
  <c r="Y15" i="22" s="1"/>
  <c r="T17" i="22"/>
  <c r="H14" i="22"/>
  <c r="X14" i="22" s="1"/>
  <c r="S17" i="22"/>
  <c r="H16" i="22"/>
  <c r="X16" i="22" s="1"/>
  <c r="H14" i="19"/>
  <c r="X14" i="19" s="1"/>
  <c r="T17" i="19"/>
  <c r="U17" i="19"/>
  <c r="H14" i="18"/>
  <c r="X14" i="18" s="1"/>
  <c r="H16" i="18"/>
  <c r="X16" i="18" s="1"/>
  <c r="H13" i="18"/>
  <c r="X13" i="18" s="1"/>
  <c r="S17" i="18"/>
  <c r="T17" i="18"/>
  <c r="U17" i="18"/>
  <c r="N16" i="18"/>
  <c r="O14" i="21"/>
  <c r="Y14" i="21" s="1"/>
  <c r="L17" i="22"/>
  <c r="N14" i="22"/>
  <c r="M17" i="22"/>
  <c r="O12" i="22"/>
  <c r="Y12" i="22" s="1"/>
  <c r="O16" i="18"/>
  <c r="Y16" i="18" s="1"/>
  <c r="N16" i="19"/>
  <c r="O14" i="22"/>
  <c r="Y14" i="22" s="1"/>
  <c r="N13" i="20"/>
  <c r="O13" i="20"/>
  <c r="Y13" i="20" s="1"/>
  <c r="N13" i="21"/>
  <c r="M17" i="18"/>
  <c r="O12" i="18"/>
  <c r="Y12" i="18" s="1"/>
  <c r="L17" i="18"/>
  <c r="K17" i="19"/>
  <c r="O16" i="19"/>
  <c r="Y16" i="19" s="1"/>
  <c r="N16" i="20"/>
  <c r="O14" i="18"/>
  <c r="Y14" i="18" s="1"/>
  <c r="L17" i="19"/>
  <c r="N14" i="19"/>
  <c r="O13" i="21"/>
  <c r="Y13" i="21" s="1"/>
  <c r="N13" i="22"/>
  <c r="K17" i="22"/>
  <c r="O13" i="19"/>
  <c r="Y13" i="19" s="1"/>
  <c r="N14" i="18"/>
  <c r="M17" i="19"/>
  <c r="O12" i="19"/>
  <c r="Y12" i="19" s="1"/>
  <c r="K17" i="20"/>
  <c r="O16" i="20"/>
  <c r="Y16" i="20" s="1"/>
  <c r="N16" i="21"/>
  <c r="O16" i="22"/>
  <c r="Y16" i="22" s="1"/>
  <c r="K17" i="18"/>
  <c r="O14" i="19"/>
  <c r="Y14" i="19" s="1"/>
  <c r="L17" i="20"/>
  <c r="N14" i="20"/>
  <c r="O13" i="22"/>
  <c r="Y13" i="22" s="1"/>
  <c r="N13" i="18"/>
  <c r="M17" i="20"/>
  <c r="O12" i="20"/>
  <c r="Y12" i="20" s="1"/>
  <c r="K17" i="21"/>
  <c r="O16" i="21"/>
  <c r="Y16" i="21" s="1"/>
  <c r="N16" i="22"/>
  <c r="O14" i="20"/>
  <c r="Y14" i="20" s="1"/>
  <c r="L17" i="21"/>
  <c r="N14" i="21"/>
  <c r="O13" i="18"/>
  <c r="Y13" i="18" s="1"/>
  <c r="N13" i="19"/>
  <c r="M17" i="21"/>
  <c r="O12" i="21"/>
  <c r="Y12" i="21" s="1"/>
  <c r="H12" i="20"/>
  <c r="X12" i="20" s="1"/>
  <c r="R17" i="21"/>
  <c r="R17" i="19"/>
  <c r="R17" i="22"/>
  <c r="H12" i="19"/>
  <c r="X12" i="19" s="1"/>
  <c r="R17" i="18"/>
  <c r="J17" i="22"/>
  <c r="N12" i="22"/>
  <c r="J17" i="21"/>
  <c r="N12" i="21"/>
  <c r="J17" i="20"/>
  <c r="N12" i="20"/>
  <c r="J17" i="19"/>
  <c r="N12" i="19"/>
  <c r="J17" i="18"/>
  <c r="N12" i="18"/>
  <c r="K77" i="9"/>
  <c r="J48" i="5"/>
  <c r="M48" i="6"/>
  <c r="P48" i="6"/>
  <c r="Q47" i="6"/>
  <c r="Q48" i="6"/>
  <c r="Q46" i="6"/>
  <c r="R48" i="6"/>
  <c r="K47" i="6"/>
  <c r="K48" i="6"/>
  <c r="M47" i="6"/>
  <c r="P47" i="6"/>
  <c r="O46" i="6"/>
  <c r="K46" i="5"/>
  <c r="P46" i="6"/>
  <c r="K48" i="5"/>
  <c r="L48" i="6"/>
  <c r="J47" i="5"/>
  <c r="K47" i="5"/>
  <c r="J46" i="5"/>
  <c r="O47" i="6"/>
  <c r="R47" i="6"/>
  <c r="J46" i="6"/>
  <c r="O48" i="6"/>
  <c r="M46" i="6"/>
  <c r="K46" i="6"/>
  <c r="L46" i="6"/>
  <c r="J48" i="6"/>
  <c r="R46" i="6"/>
  <c r="J47" i="6"/>
  <c r="L47" i="6"/>
  <c r="O17" i="20" l="1"/>
  <c r="H17" i="19"/>
  <c r="X17" i="19" s="1"/>
  <c r="H17" i="20"/>
  <c r="O17" i="21"/>
  <c r="O17" i="19"/>
  <c r="Y17" i="19" s="1"/>
  <c r="N46" i="6"/>
  <c r="N48" i="6"/>
  <c r="N47" i="6"/>
  <c r="H17" i="21"/>
  <c r="O17" i="22"/>
  <c r="H17" i="22"/>
  <c r="O17" i="18"/>
  <c r="H17" i="18"/>
  <c r="U47" i="6"/>
  <c r="L47" i="5"/>
  <c r="T46" i="6"/>
  <c r="U46" i="6"/>
  <c r="L48" i="5"/>
  <c r="U48" i="6"/>
  <c r="L46" i="5"/>
  <c r="T47" i="6"/>
  <c r="T48" i="6"/>
  <c r="N17" i="20" l="1"/>
  <c r="Y17" i="20"/>
  <c r="X17" i="20"/>
  <c r="N17" i="19"/>
  <c r="N17" i="21"/>
  <c r="Y17" i="21"/>
  <c r="Y17" i="18"/>
  <c r="Y17" i="22"/>
  <c r="X17" i="21"/>
  <c r="X17" i="18"/>
  <c r="X17" i="22"/>
  <c r="N17" i="22"/>
  <c r="N17" i="18"/>
  <c r="S48" i="6"/>
  <c r="A51" i="6"/>
  <c r="S47" i="6"/>
  <c r="S46" i="6"/>
  <c r="C51" i="6" l="1"/>
  <c r="K80" i="9"/>
  <c r="K79" i="9"/>
  <c r="K78" i="9"/>
  <c r="K76" i="9"/>
  <c r="K75" i="9"/>
  <c r="K74" i="9"/>
  <c r="K73" i="9"/>
  <c r="K72" i="9"/>
  <c r="K71" i="9"/>
  <c r="K60" i="9"/>
  <c r="K59" i="9"/>
  <c r="K58" i="9"/>
  <c r="K57" i="9"/>
  <c r="K56" i="9"/>
  <c r="K55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1" i="9"/>
  <c r="K30" i="9"/>
  <c r="K29" i="9"/>
  <c r="K28" i="9"/>
  <c r="K27" i="9"/>
  <c r="K26" i="9"/>
  <c r="K25" i="9"/>
  <c r="K24" i="9"/>
  <c r="K23" i="9"/>
  <c r="K22" i="9"/>
  <c r="K21" i="9"/>
  <c r="J51" i="6"/>
  <c r="O4" i="7"/>
  <c r="W4" i="8"/>
  <c r="P4" i="7"/>
  <c r="S51" i="6"/>
  <c r="Q4" i="7"/>
  <c r="K51" i="6"/>
  <c r="V4" i="8"/>
  <c r="M51" i="6"/>
  <c r="N4" i="7"/>
  <c r="L51" i="6"/>
  <c r="N51" i="6" l="1"/>
  <c r="R87" i="14"/>
  <c r="R85" i="14"/>
  <c r="S84" i="14"/>
  <c r="T83" i="14"/>
  <c r="T82" i="14"/>
  <c r="R81" i="14"/>
  <c r="T80" i="14"/>
  <c r="T79" i="14"/>
  <c r="S78" i="14"/>
  <c r="R77" i="14"/>
  <c r="U76" i="14"/>
  <c r="S74" i="14"/>
  <c r="U72" i="14"/>
  <c r="S71" i="14"/>
  <c r="S70" i="14"/>
  <c r="R69" i="14"/>
  <c r="U68" i="14"/>
  <c r="T67" i="14"/>
  <c r="S66" i="14"/>
  <c r="S64" i="14"/>
  <c r="U62" i="14"/>
  <c r="S60" i="14"/>
  <c r="T59" i="14"/>
  <c r="T58" i="14"/>
  <c r="R55" i="14"/>
  <c r="S54" i="14"/>
  <c r="S53" i="14"/>
  <c r="T52" i="14"/>
  <c r="R51" i="14"/>
  <c r="S49" i="14"/>
  <c r="T48" i="14"/>
  <c r="U47" i="14"/>
  <c r="R45" i="14"/>
  <c r="R44" i="14"/>
  <c r="T43" i="14"/>
  <c r="R42" i="14"/>
  <c r="S41" i="14"/>
  <c r="S40" i="14"/>
  <c r="S39" i="14"/>
  <c r="T38" i="14"/>
  <c r="S37" i="14"/>
  <c r="S36" i="14"/>
  <c r="S35" i="14"/>
  <c r="U34" i="14"/>
  <c r="R33" i="14"/>
  <c r="S31" i="14"/>
  <c r="U30" i="14"/>
  <c r="R29" i="14"/>
  <c r="S28" i="14"/>
  <c r="T26" i="14"/>
  <c r="S25" i="14"/>
  <c r="R23" i="14"/>
  <c r="S22" i="14"/>
  <c r="S21" i="14"/>
  <c r="V16" i="14"/>
  <c r="A16" i="14"/>
  <c r="V15" i="14"/>
  <c r="A15" i="14"/>
  <c r="V14" i="14"/>
  <c r="A14" i="14"/>
  <c r="V13" i="14"/>
  <c r="A13" i="14"/>
  <c r="V12" i="14"/>
  <c r="A12" i="14"/>
  <c r="B4" i="14"/>
  <c r="F6" i="14" s="1"/>
  <c r="U87" i="13"/>
  <c r="Q85" i="13"/>
  <c r="S85" i="13"/>
  <c r="Q84" i="13"/>
  <c r="U83" i="13"/>
  <c r="U82" i="13"/>
  <c r="Q81" i="13"/>
  <c r="S80" i="13"/>
  <c r="U77" i="13"/>
  <c r="Q77" i="13"/>
  <c r="S77" i="13"/>
  <c r="Q76" i="13"/>
  <c r="R75" i="13"/>
  <c r="S74" i="13"/>
  <c r="Q73" i="13"/>
  <c r="S73" i="13"/>
  <c r="S72" i="13"/>
  <c r="R71" i="13"/>
  <c r="Q69" i="13"/>
  <c r="S69" i="13"/>
  <c r="Q68" i="13"/>
  <c r="U68" i="13"/>
  <c r="R67" i="13"/>
  <c r="Q65" i="13"/>
  <c r="S65" i="13"/>
  <c r="Q64" i="13"/>
  <c r="S62" i="13"/>
  <c r="Q61" i="13"/>
  <c r="Q60" i="13"/>
  <c r="Q57" i="13"/>
  <c r="S57" i="13"/>
  <c r="Q56" i="13"/>
  <c r="R55" i="13"/>
  <c r="U54" i="13"/>
  <c r="Q53" i="13"/>
  <c r="S53" i="13"/>
  <c r="Q52" i="13"/>
  <c r="U52" i="13"/>
  <c r="R51" i="13"/>
  <c r="Q49" i="13"/>
  <c r="S49" i="13"/>
  <c r="Q48" i="13"/>
  <c r="S48" i="13"/>
  <c r="R47" i="13"/>
  <c r="S46" i="13"/>
  <c r="Q45" i="13"/>
  <c r="S45" i="13"/>
  <c r="Q44" i="13"/>
  <c r="U44" i="13"/>
  <c r="U43" i="13"/>
  <c r="S42" i="13"/>
  <c r="Q41" i="13"/>
  <c r="S41" i="13"/>
  <c r="Q40" i="13"/>
  <c r="S40" i="13"/>
  <c r="R39" i="13"/>
  <c r="R38" i="13"/>
  <c r="Q37" i="13"/>
  <c r="Q36" i="13"/>
  <c r="U36" i="13"/>
  <c r="U35" i="13"/>
  <c r="Q33" i="13"/>
  <c r="S33" i="13"/>
  <c r="Q32" i="13"/>
  <c r="U31" i="13"/>
  <c r="R30" i="13"/>
  <c r="Q29" i="13"/>
  <c r="S29" i="13"/>
  <c r="Q28" i="13"/>
  <c r="U28" i="13"/>
  <c r="U27" i="13"/>
  <c r="S26" i="13"/>
  <c r="Q25" i="13"/>
  <c r="S25" i="13"/>
  <c r="Q24" i="13"/>
  <c r="S24" i="13"/>
  <c r="R23" i="13"/>
  <c r="S22" i="13"/>
  <c r="Q21" i="13"/>
  <c r="S21" i="13"/>
  <c r="V16" i="13"/>
  <c r="A16" i="13"/>
  <c r="V15" i="13"/>
  <c r="A15" i="13"/>
  <c r="V14" i="13"/>
  <c r="A14" i="13"/>
  <c r="V13" i="13"/>
  <c r="A13" i="13"/>
  <c r="V12" i="13"/>
  <c r="A12" i="13"/>
  <c r="B4" i="13"/>
  <c r="Q87" i="12"/>
  <c r="Q85" i="12"/>
  <c r="R85" i="12"/>
  <c r="Q84" i="12"/>
  <c r="Q83" i="12"/>
  <c r="S83" i="12"/>
  <c r="R82" i="12"/>
  <c r="Q81" i="12"/>
  <c r="S81" i="12"/>
  <c r="Q79" i="12"/>
  <c r="R78" i="12"/>
  <c r="Q77" i="12"/>
  <c r="R76" i="12"/>
  <c r="Q75" i="12"/>
  <c r="Q73" i="12"/>
  <c r="S73" i="12"/>
  <c r="Q71" i="12"/>
  <c r="S71" i="12"/>
  <c r="Q69" i="12"/>
  <c r="Q68" i="12"/>
  <c r="R68" i="12"/>
  <c r="Q67" i="12"/>
  <c r="S66" i="12"/>
  <c r="Q65" i="12"/>
  <c r="S64" i="12"/>
  <c r="Q63" i="12"/>
  <c r="S63" i="12"/>
  <c r="S62" i="12"/>
  <c r="Q61" i="12"/>
  <c r="Q60" i="12"/>
  <c r="S60" i="12"/>
  <c r="Q59" i="12"/>
  <c r="S59" i="12"/>
  <c r="S58" i="12"/>
  <c r="Q57" i="12"/>
  <c r="U57" i="12"/>
  <c r="S56" i="12"/>
  <c r="Q55" i="12"/>
  <c r="S55" i="12"/>
  <c r="S54" i="12"/>
  <c r="Q53" i="12"/>
  <c r="U53" i="12"/>
  <c r="S52" i="12"/>
  <c r="Q51" i="12"/>
  <c r="R51" i="12"/>
  <c r="S50" i="12"/>
  <c r="Q49" i="12"/>
  <c r="S49" i="12"/>
  <c r="S48" i="12"/>
  <c r="Q47" i="12"/>
  <c r="S47" i="12"/>
  <c r="S46" i="12"/>
  <c r="Q45" i="12"/>
  <c r="S45" i="12"/>
  <c r="Q44" i="12"/>
  <c r="S44" i="12"/>
  <c r="Q43" i="12"/>
  <c r="S43" i="12"/>
  <c r="S42" i="12"/>
  <c r="Q41" i="12"/>
  <c r="S41" i="12"/>
  <c r="S40" i="12"/>
  <c r="Q39" i="12"/>
  <c r="S39" i="12"/>
  <c r="S38" i="12"/>
  <c r="Q37" i="12"/>
  <c r="S37" i="12"/>
  <c r="S36" i="12"/>
  <c r="Q35" i="12"/>
  <c r="R35" i="12"/>
  <c r="S34" i="12"/>
  <c r="Q33" i="12"/>
  <c r="S33" i="12"/>
  <c r="S32" i="12"/>
  <c r="Q31" i="12"/>
  <c r="Q29" i="12"/>
  <c r="R29" i="12"/>
  <c r="S28" i="12"/>
  <c r="Q27" i="12"/>
  <c r="S27" i="12"/>
  <c r="Q25" i="12"/>
  <c r="S25" i="12"/>
  <c r="Q23" i="12"/>
  <c r="Q21" i="12"/>
  <c r="S21" i="12"/>
  <c r="V16" i="12"/>
  <c r="A16" i="12"/>
  <c r="V15" i="12"/>
  <c r="A15" i="12"/>
  <c r="V14" i="12"/>
  <c r="A14" i="12"/>
  <c r="V13" i="12"/>
  <c r="A13" i="12"/>
  <c r="V12" i="12"/>
  <c r="A12" i="12"/>
  <c r="B4" i="12"/>
  <c r="S6" i="12" s="1"/>
  <c r="Q87" i="11"/>
  <c r="R87" i="11"/>
  <c r="Q85" i="11"/>
  <c r="Q84" i="11"/>
  <c r="R84" i="11"/>
  <c r="Q83" i="11"/>
  <c r="R82" i="11"/>
  <c r="Q81" i="11"/>
  <c r="S81" i="11"/>
  <c r="S80" i="11"/>
  <c r="Q79" i="11"/>
  <c r="R78" i="11"/>
  <c r="Q77" i="11"/>
  <c r="S77" i="11"/>
  <c r="S76" i="11"/>
  <c r="Q75" i="11"/>
  <c r="S75" i="11"/>
  <c r="R74" i="11"/>
  <c r="Q73" i="11"/>
  <c r="Q72" i="11"/>
  <c r="S72" i="11"/>
  <c r="Q71" i="11"/>
  <c r="Q69" i="11"/>
  <c r="S69" i="11"/>
  <c r="Q68" i="11"/>
  <c r="Q67" i="11"/>
  <c r="S67" i="11"/>
  <c r="Q65" i="11"/>
  <c r="S65" i="11"/>
  <c r="Q64" i="11"/>
  <c r="S64" i="11"/>
  <c r="Q63" i="11"/>
  <c r="S63" i="11"/>
  <c r="R62" i="11"/>
  <c r="Q61" i="11"/>
  <c r="S61" i="11"/>
  <c r="S60" i="11"/>
  <c r="Q59" i="11"/>
  <c r="S59" i="11"/>
  <c r="R58" i="11"/>
  <c r="Q57" i="11"/>
  <c r="Q55" i="11"/>
  <c r="S55" i="11"/>
  <c r="Q53" i="11"/>
  <c r="S53" i="11"/>
  <c r="S52" i="11"/>
  <c r="Q51" i="11"/>
  <c r="S51" i="11"/>
  <c r="R50" i="11"/>
  <c r="Q49" i="11"/>
  <c r="S49" i="11"/>
  <c r="Q48" i="11"/>
  <c r="S48" i="11"/>
  <c r="Q47" i="11"/>
  <c r="S47" i="11"/>
  <c r="U46" i="11"/>
  <c r="Q45" i="11"/>
  <c r="Q44" i="11"/>
  <c r="S44" i="11"/>
  <c r="Q43" i="11"/>
  <c r="R43" i="11"/>
  <c r="S42" i="11"/>
  <c r="Q41" i="11"/>
  <c r="S41" i="11"/>
  <c r="Q40" i="11"/>
  <c r="T40" i="11"/>
  <c r="Q39" i="11"/>
  <c r="S39" i="11"/>
  <c r="S38" i="11"/>
  <c r="Q37" i="11"/>
  <c r="S37" i="11"/>
  <c r="S36" i="11"/>
  <c r="Q35" i="11"/>
  <c r="S35" i="11"/>
  <c r="Q33" i="11"/>
  <c r="S33" i="11"/>
  <c r="S32" i="11"/>
  <c r="Q31" i="11"/>
  <c r="S31" i="11"/>
  <c r="U30" i="11"/>
  <c r="Q29" i="11"/>
  <c r="S29" i="11"/>
  <c r="S28" i="11"/>
  <c r="Q27" i="11"/>
  <c r="R27" i="11"/>
  <c r="Q26" i="11"/>
  <c r="R26" i="11"/>
  <c r="Q25" i="11"/>
  <c r="S25" i="11"/>
  <c r="R24" i="11"/>
  <c r="Q23" i="11"/>
  <c r="S23" i="11"/>
  <c r="Q22" i="11"/>
  <c r="Q21" i="11"/>
  <c r="S21" i="11"/>
  <c r="V16" i="11"/>
  <c r="A16" i="11"/>
  <c r="V15" i="11"/>
  <c r="A15" i="11"/>
  <c r="V14" i="11"/>
  <c r="A14" i="11"/>
  <c r="V13" i="11"/>
  <c r="A13" i="11"/>
  <c r="V12" i="11"/>
  <c r="A12" i="11"/>
  <c r="B4" i="11"/>
  <c r="S4" i="11" s="1"/>
  <c r="N64" i="7"/>
  <c r="V39" i="8"/>
  <c r="N15" i="7"/>
  <c r="W18" i="8"/>
  <c r="N27" i="7"/>
  <c r="Q66" i="7"/>
  <c r="Q59" i="7"/>
  <c r="O25" i="7"/>
  <c r="N19" i="7"/>
  <c r="P56" i="7"/>
  <c r="V58" i="8"/>
  <c r="Q52" i="7"/>
  <c r="O10" i="7"/>
  <c r="N16" i="7"/>
  <c r="N71" i="7"/>
  <c r="O54" i="7"/>
  <c r="V51" i="8"/>
  <c r="P41" i="7"/>
  <c r="P24" i="7"/>
  <c r="W10" i="8"/>
  <c r="P40" i="7"/>
  <c r="V15" i="8"/>
  <c r="O15" i="7"/>
  <c r="N29" i="7"/>
  <c r="P58" i="7"/>
  <c r="W33" i="8"/>
  <c r="Q61" i="7"/>
  <c r="O32" i="7"/>
  <c r="V52" i="8"/>
  <c r="W7" i="8"/>
  <c r="W42" i="8"/>
  <c r="W45" i="8"/>
  <c r="W16" i="8"/>
  <c r="O26" i="7"/>
  <c r="W8" i="8"/>
  <c r="W70" i="8"/>
  <c r="Q17" i="7"/>
  <c r="N5" i="7"/>
  <c r="P52" i="7"/>
  <c r="O60" i="7"/>
  <c r="V25" i="8"/>
  <c r="N39" i="7"/>
  <c r="P45" i="7"/>
  <c r="W19" i="8"/>
  <c r="N70" i="7"/>
  <c r="O30" i="7"/>
  <c r="V63" i="8"/>
  <c r="Q60" i="7"/>
  <c r="Q26" i="7"/>
  <c r="V11" i="8"/>
  <c r="V38" i="8"/>
  <c r="V56" i="8"/>
  <c r="W40" i="8"/>
  <c r="W29" i="8"/>
  <c r="V65" i="8"/>
  <c r="W11" i="8"/>
  <c r="O20" i="7"/>
  <c r="O47" i="7"/>
  <c r="P39" i="7"/>
  <c r="O13" i="7"/>
  <c r="P38" i="7"/>
  <c r="N66" i="7"/>
  <c r="V27" i="8"/>
  <c r="O58" i="7"/>
  <c r="P36" i="7"/>
  <c r="N48" i="7"/>
  <c r="Q71" i="7"/>
  <c r="W55" i="8"/>
  <c r="O64" i="7"/>
  <c r="V66" i="8"/>
  <c r="O16" i="7"/>
  <c r="W57" i="8"/>
  <c r="Q18" i="7"/>
  <c r="W60" i="8"/>
  <c r="N37" i="7"/>
  <c r="V61" i="8"/>
  <c r="Q35" i="7"/>
  <c r="O22" i="7"/>
  <c r="Q33" i="7"/>
  <c r="W56" i="8"/>
  <c r="N22" i="7"/>
  <c r="W30" i="8"/>
  <c r="Q43" i="7"/>
  <c r="O8" i="7"/>
  <c r="V59" i="8"/>
  <c r="O17" i="7"/>
  <c r="Q45" i="7"/>
  <c r="N36" i="7"/>
  <c r="N7" i="7"/>
  <c r="O27" i="7"/>
  <c r="W13" i="8"/>
  <c r="Q41" i="7"/>
  <c r="W43" i="8"/>
  <c r="V42" i="8"/>
  <c r="V45" i="8"/>
  <c r="V57" i="8"/>
  <c r="V29" i="8"/>
  <c r="N9" i="7"/>
  <c r="V71" i="8"/>
  <c r="N40" i="7"/>
  <c r="P30" i="7"/>
  <c r="Q39" i="7"/>
  <c r="W22" i="8"/>
  <c r="P20" i="7"/>
  <c r="O59" i="7"/>
  <c r="O69" i="7"/>
  <c r="N34" i="7"/>
  <c r="V26" i="8"/>
  <c r="N60" i="7"/>
  <c r="Q13" i="7"/>
  <c r="N46" i="7"/>
  <c r="N10" i="7"/>
  <c r="P23" i="7"/>
  <c r="O18" i="7"/>
  <c r="P16" i="7"/>
  <c r="O66" i="7"/>
  <c r="O65" i="7"/>
  <c r="N8" i="7"/>
  <c r="O38" i="7"/>
  <c r="V7" i="8"/>
  <c r="Q57" i="7"/>
  <c r="W41" i="8"/>
  <c r="N54" i="7"/>
  <c r="W9" i="8"/>
  <c r="O52" i="7"/>
  <c r="P32" i="7"/>
  <c r="N47" i="7"/>
  <c r="N26" i="7"/>
  <c r="P66" i="7"/>
  <c r="O61" i="7"/>
  <c r="W12" i="8"/>
  <c r="Q69" i="7"/>
  <c r="W26" i="8"/>
  <c r="V69" i="8"/>
  <c r="N53" i="7"/>
  <c r="O49" i="7"/>
  <c r="P47" i="7"/>
  <c r="Q49" i="7"/>
  <c r="W68" i="8"/>
  <c r="V49" i="8"/>
  <c r="O68" i="7"/>
  <c r="O7" i="7"/>
  <c r="P63" i="7"/>
  <c r="P50" i="7"/>
  <c r="P27" i="7"/>
  <c r="O39" i="7"/>
  <c r="V34" i="8"/>
  <c r="W39" i="8"/>
  <c r="O42" i="7"/>
  <c r="Q56" i="7"/>
  <c r="V32" i="8"/>
  <c r="O5" i="7"/>
  <c r="W5" i="8"/>
  <c r="P13" i="7"/>
  <c r="Q55" i="7"/>
  <c r="N63" i="7"/>
  <c r="W15" i="8"/>
  <c r="P34" i="7"/>
  <c r="O23" i="7"/>
  <c r="V12" i="8"/>
  <c r="V37" i="8"/>
  <c r="Q47" i="7"/>
  <c r="O46" i="7"/>
  <c r="W51" i="8"/>
  <c r="V41" i="8"/>
  <c r="O53" i="7"/>
  <c r="Q23" i="7"/>
  <c r="Q25" i="7"/>
  <c r="W25" i="8"/>
  <c r="P67" i="7"/>
  <c r="N50" i="7"/>
  <c r="N49" i="7"/>
  <c r="P9" i="7"/>
  <c r="N24" i="7"/>
  <c r="Q70" i="7"/>
  <c r="P8" i="7"/>
  <c r="W64" i="8"/>
  <c r="P55" i="7"/>
  <c r="V60" i="8"/>
  <c r="O62" i="7"/>
  <c r="N11" i="7"/>
  <c r="Q63" i="7"/>
  <c r="W35" i="8"/>
  <c r="W44" i="8"/>
  <c r="P62" i="7"/>
  <c r="W65" i="8"/>
  <c r="P29" i="7"/>
  <c r="Q34" i="7"/>
  <c r="Q40" i="7"/>
  <c r="P71" i="7"/>
  <c r="N45" i="7"/>
  <c r="P70" i="7"/>
  <c r="O48" i="7"/>
  <c r="P17" i="7"/>
  <c r="P68" i="7"/>
  <c r="N69" i="7"/>
  <c r="O34" i="7"/>
  <c r="V16" i="8"/>
  <c r="V70" i="8"/>
  <c r="P26" i="7"/>
  <c r="Q54" i="7"/>
  <c r="W66" i="8"/>
  <c r="V47" i="8"/>
  <c r="W48" i="8"/>
  <c r="V68" i="8"/>
  <c r="P6" i="7"/>
  <c r="Q15" i="7"/>
  <c r="P28" i="7"/>
  <c r="P61" i="7"/>
  <c r="N62" i="7"/>
  <c r="W47" i="8"/>
  <c r="Q21" i="7"/>
  <c r="O12" i="7"/>
  <c r="W20" i="8"/>
  <c r="V36" i="8"/>
  <c r="P5" i="7"/>
  <c r="Q9" i="7"/>
  <c r="Q12" i="7"/>
  <c r="P10" i="7"/>
  <c r="V31" i="8"/>
  <c r="P49" i="7"/>
  <c r="P57" i="7"/>
  <c r="N41" i="7"/>
  <c r="Q20" i="7"/>
  <c r="O45" i="7"/>
  <c r="O56" i="7"/>
  <c r="P53" i="7"/>
  <c r="W69" i="8"/>
  <c r="Q32" i="7"/>
  <c r="P33" i="7"/>
  <c r="W49" i="8"/>
  <c r="N18" i="7"/>
  <c r="O51" i="7"/>
  <c r="O9" i="7"/>
  <c r="P25" i="7"/>
  <c r="V55" i="8"/>
  <c r="V8" i="8"/>
  <c r="Q36" i="7"/>
  <c r="Q8" i="7"/>
  <c r="P65" i="7"/>
  <c r="Q22" i="7"/>
  <c r="P15" i="7"/>
  <c r="P64" i="7"/>
  <c r="P22" i="7"/>
  <c r="P48" i="7"/>
  <c r="O31" i="7"/>
  <c r="P54" i="7"/>
  <c r="O24" i="7"/>
  <c r="Q19" i="7"/>
  <c r="Q7" i="7"/>
  <c r="P43" i="7"/>
  <c r="N65" i="7"/>
  <c r="V20" i="8"/>
  <c r="Q24" i="7"/>
  <c r="Q65" i="7"/>
  <c r="V6" i="8"/>
  <c r="N6" i="7"/>
  <c r="N12" i="7"/>
  <c r="O71" i="7"/>
  <c r="N33" i="7"/>
  <c r="Q42" i="7"/>
  <c r="O29" i="7"/>
  <c r="O19" i="7"/>
  <c r="W36" i="8"/>
  <c r="V10" i="8"/>
  <c r="N42" i="7"/>
  <c r="W27" i="8"/>
  <c r="P19" i="7"/>
  <c r="P46" i="7"/>
  <c r="V62" i="8"/>
  <c r="W50" i="8"/>
  <c r="W63" i="8"/>
  <c r="W52" i="8"/>
  <c r="O70" i="7"/>
  <c r="N21" i="7"/>
  <c r="Q31" i="7"/>
  <c r="P60" i="7"/>
  <c r="P69" i="7"/>
  <c r="Q53" i="7"/>
  <c r="N31" i="7"/>
  <c r="Q27" i="7"/>
  <c r="V48" i="8"/>
  <c r="V46" i="8"/>
  <c r="Q38" i="7"/>
  <c r="W59" i="8"/>
  <c r="V44" i="8"/>
  <c r="O6" i="7"/>
  <c r="W31" i="8"/>
  <c r="Q6" i="7"/>
  <c r="V40" i="8"/>
  <c r="N28" i="7"/>
  <c r="V14" i="8"/>
  <c r="N30" i="7"/>
  <c r="N43" i="7"/>
  <c r="W23" i="8"/>
  <c r="Q5" i="7"/>
  <c r="N13" i="7"/>
  <c r="V28" i="8"/>
  <c r="N20" i="7"/>
  <c r="V23" i="8"/>
  <c r="O28" i="7"/>
  <c r="V17" i="8"/>
  <c r="V43" i="8"/>
  <c r="O41" i="7"/>
  <c r="Q67" i="7"/>
  <c r="Q48" i="7"/>
  <c r="O44" i="7"/>
  <c r="P7" i="7"/>
  <c r="P31" i="7"/>
  <c r="V30" i="8"/>
  <c r="W37" i="8"/>
  <c r="Q68" i="7"/>
  <c r="Q44" i="7"/>
  <c r="P37" i="7"/>
  <c r="V19" i="8"/>
  <c r="W17" i="8"/>
  <c r="N17" i="7"/>
  <c r="N25" i="7"/>
  <c r="O55" i="7"/>
  <c r="V33" i="8"/>
  <c r="N52" i="7"/>
  <c r="N44" i="7"/>
  <c r="N61" i="7"/>
  <c r="Q58" i="7"/>
  <c r="Q46" i="7"/>
  <c r="W32" i="8"/>
  <c r="Q11" i="7"/>
  <c r="W67" i="8"/>
  <c r="P35" i="7"/>
  <c r="W58" i="8"/>
  <c r="O33" i="7"/>
  <c r="Q30" i="7"/>
  <c r="N56" i="7"/>
  <c r="P18" i="7"/>
  <c r="W24" i="8"/>
  <c r="N67" i="7"/>
  <c r="N68" i="7"/>
  <c r="P51" i="7"/>
  <c r="N59" i="7"/>
  <c r="W61" i="8"/>
  <c r="W38" i="8"/>
  <c r="V18" i="8"/>
  <c r="W6" i="8"/>
  <c r="W71" i="8"/>
  <c r="W62" i="8"/>
  <c r="W53" i="8"/>
  <c r="P14" i="7"/>
  <c r="O57" i="7"/>
  <c r="Q29" i="7"/>
  <c r="P59" i="7"/>
  <c r="N58" i="7"/>
  <c r="N38" i="7"/>
  <c r="O14" i="7"/>
  <c r="N23" i="7"/>
  <c r="V67" i="8"/>
  <c r="W28" i="8"/>
  <c r="V64" i="8"/>
  <c r="N14" i="7"/>
  <c r="Q37" i="7"/>
  <c r="O11" i="7"/>
  <c r="Q64" i="7"/>
  <c r="N32" i="7"/>
  <c r="V13" i="8"/>
  <c r="O63" i="7"/>
  <c r="V9" i="8"/>
  <c r="Q14" i="7"/>
  <c r="P11" i="7"/>
  <c r="O21" i="7"/>
  <c r="N51" i="7"/>
  <c r="P42" i="7"/>
  <c r="V22" i="8"/>
  <c r="W34" i="8"/>
  <c r="P12" i="7"/>
  <c r="Q50" i="7"/>
  <c r="W14" i="8"/>
  <c r="O67" i="7"/>
  <c r="V54" i="8"/>
  <c r="Q10" i="7"/>
  <c r="N57" i="7"/>
  <c r="V50" i="8"/>
  <c r="V21" i="8"/>
  <c r="Q51" i="7"/>
  <c r="O43" i="7"/>
  <c r="P21" i="7"/>
  <c r="O40" i="7"/>
  <c r="O37" i="7"/>
  <c r="W21" i="8"/>
  <c r="N35" i="7"/>
  <c r="V35" i="8"/>
  <c r="N55" i="7"/>
  <c r="V53" i="8"/>
  <c r="V24" i="8"/>
  <c r="Q62" i="7"/>
  <c r="O50" i="7"/>
  <c r="Q16" i="7"/>
  <c r="O36" i="7"/>
  <c r="P44" i="7"/>
  <c r="Q28" i="7"/>
  <c r="W54" i="8"/>
  <c r="W46" i="8"/>
  <c r="O35" i="7"/>
  <c r="U54" i="12" l="1"/>
  <c r="S34" i="11"/>
  <c r="U34" i="11"/>
  <c r="S45" i="11"/>
  <c r="R45" i="11"/>
  <c r="U54" i="11"/>
  <c r="R54" i="11"/>
  <c r="S56" i="11"/>
  <c r="R56" i="11"/>
  <c r="U56" i="11"/>
  <c r="S57" i="11"/>
  <c r="R57" i="11"/>
  <c r="U66" i="11"/>
  <c r="R66" i="11"/>
  <c r="S68" i="11"/>
  <c r="R68" i="11"/>
  <c r="R70" i="11"/>
  <c r="U70" i="11"/>
  <c r="R71" i="11"/>
  <c r="S71" i="11"/>
  <c r="S73" i="11"/>
  <c r="R73" i="11"/>
  <c r="S79" i="11"/>
  <c r="R79" i="11"/>
  <c r="S83" i="11"/>
  <c r="R83" i="11"/>
  <c r="S85" i="11"/>
  <c r="R85" i="11"/>
  <c r="U86" i="11"/>
  <c r="R86" i="11"/>
  <c r="S22" i="12"/>
  <c r="U22" i="12"/>
  <c r="S23" i="12"/>
  <c r="R23" i="12"/>
  <c r="S24" i="12"/>
  <c r="R24" i="12"/>
  <c r="U24" i="12"/>
  <c r="R26" i="12"/>
  <c r="S26" i="12"/>
  <c r="U26" i="12"/>
  <c r="S30" i="12"/>
  <c r="R30" i="12"/>
  <c r="S31" i="12"/>
  <c r="R31" i="12"/>
  <c r="S61" i="12"/>
  <c r="R61" i="12"/>
  <c r="U65" i="12"/>
  <c r="S65" i="12"/>
  <c r="R65" i="12"/>
  <c r="S67" i="12"/>
  <c r="R67" i="12"/>
  <c r="S69" i="12"/>
  <c r="R69" i="12"/>
  <c r="R70" i="12"/>
  <c r="S70" i="12"/>
  <c r="U70" i="12"/>
  <c r="R72" i="12"/>
  <c r="S72" i="12"/>
  <c r="U72" i="12"/>
  <c r="R74" i="12"/>
  <c r="S74" i="12"/>
  <c r="U74" i="12"/>
  <c r="S75" i="12"/>
  <c r="R75" i="12"/>
  <c r="S77" i="12"/>
  <c r="R77" i="12"/>
  <c r="S79" i="12"/>
  <c r="R79" i="12"/>
  <c r="R80" i="12"/>
  <c r="S80" i="12"/>
  <c r="U80" i="12"/>
  <c r="S84" i="12"/>
  <c r="R84" i="12"/>
  <c r="R86" i="12"/>
  <c r="S86" i="12"/>
  <c r="U86" i="12"/>
  <c r="S87" i="12"/>
  <c r="R87" i="12"/>
  <c r="S32" i="13"/>
  <c r="U32" i="13"/>
  <c r="R32" i="13"/>
  <c r="S34" i="13"/>
  <c r="R34" i="13"/>
  <c r="U34" i="13"/>
  <c r="S37" i="13"/>
  <c r="R37" i="13"/>
  <c r="S50" i="13"/>
  <c r="R50" i="13"/>
  <c r="U50" i="13"/>
  <c r="S54" i="13"/>
  <c r="R54" i="13"/>
  <c r="U56" i="13"/>
  <c r="S56" i="13"/>
  <c r="R56" i="13"/>
  <c r="U58" i="13"/>
  <c r="S58" i="13"/>
  <c r="R58" i="13"/>
  <c r="U59" i="13"/>
  <c r="R59" i="13"/>
  <c r="S60" i="13"/>
  <c r="U60" i="13"/>
  <c r="R60" i="13"/>
  <c r="S61" i="13"/>
  <c r="R61" i="13"/>
  <c r="U63" i="13"/>
  <c r="R63" i="13"/>
  <c r="U64" i="13"/>
  <c r="S64" i="13"/>
  <c r="R64" i="13"/>
  <c r="U66" i="13"/>
  <c r="S66" i="13"/>
  <c r="R66" i="13"/>
  <c r="R70" i="13"/>
  <c r="S70" i="13"/>
  <c r="U76" i="13"/>
  <c r="R76" i="13"/>
  <c r="S78" i="13"/>
  <c r="R78" i="13"/>
  <c r="R79" i="13"/>
  <c r="U79" i="13"/>
  <c r="S81" i="13"/>
  <c r="R81" i="13"/>
  <c r="R84" i="13"/>
  <c r="U84" i="13"/>
  <c r="S84" i="13"/>
  <c r="U86" i="13"/>
  <c r="S86" i="13"/>
  <c r="T16" i="13"/>
  <c r="T24" i="14"/>
  <c r="S24" i="14"/>
  <c r="T27" i="14"/>
  <c r="U27" i="14"/>
  <c r="S27" i="14"/>
  <c r="R32" i="14"/>
  <c r="S32" i="14"/>
  <c r="R46" i="14"/>
  <c r="S46" i="14"/>
  <c r="S50" i="14"/>
  <c r="R50" i="14"/>
  <c r="T56" i="14"/>
  <c r="R56" i="14"/>
  <c r="U57" i="14"/>
  <c r="S57" i="14"/>
  <c r="R57" i="14"/>
  <c r="R61" i="14"/>
  <c r="U61" i="14"/>
  <c r="T63" i="14"/>
  <c r="U63" i="14"/>
  <c r="R63" i="14"/>
  <c r="R65" i="14"/>
  <c r="U65" i="14"/>
  <c r="U73" i="14"/>
  <c r="R73" i="14"/>
  <c r="S75" i="14"/>
  <c r="R75" i="14"/>
  <c r="S86" i="14"/>
  <c r="R86" i="14"/>
  <c r="T86" i="14"/>
  <c r="R23" i="11"/>
  <c r="R40" i="11"/>
  <c r="R52" i="11"/>
  <c r="U23" i="13"/>
  <c r="U62" i="13"/>
  <c r="U74" i="13"/>
  <c r="R85" i="13"/>
  <c r="R28" i="14"/>
  <c r="R84" i="14"/>
  <c r="U52" i="11"/>
  <c r="U40" i="11"/>
  <c r="R43" i="12"/>
  <c r="S68" i="12"/>
  <c r="R73" i="12"/>
  <c r="U78" i="12"/>
  <c r="R83" i="12"/>
  <c r="U39" i="13"/>
  <c r="R52" i="13"/>
  <c r="R62" i="13"/>
  <c r="R74" i="13"/>
  <c r="U85" i="13"/>
  <c r="U81" i="14"/>
  <c r="R55" i="11"/>
  <c r="R64" i="11"/>
  <c r="R69" i="11"/>
  <c r="R81" i="11"/>
  <c r="R33" i="12"/>
  <c r="R63" i="12"/>
  <c r="S78" i="12"/>
  <c r="S36" i="13"/>
  <c r="S52" i="13"/>
  <c r="R77" i="13"/>
  <c r="R52" i="14"/>
  <c r="U52" i="14"/>
  <c r="U50" i="11"/>
  <c r="U58" i="11"/>
  <c r="R67" i="11"/>
  <c r="R72" i="11"/>
  <c r="S87" i="11"/>
  <c r="R66" i="12"/>
  <c r="R71" i="12"/>
  <c r="U76" i="12"/>
  <c r="U55" i="13"/>
  <c r="R65" i="13"/>
  <c r="S68" i="13"/>
  <c r="U80" i="13"/>
  <c r="R59" i="14"/>
  <c r="R44" i="11"/>
  <c r="S76" i="12"/>
  <c r="R81" i="12"/>
  <c r="R80" i="13"/>
  <c r="S59" i="14"/>
  <c r="R64" i="14"/>
  <c r="R67" i="14"/>
  <c r="R86" i="13"/>
  <c r="T50" i="14"/>
  <c r="U59" i="14"/>
  <c r="S67" i="14"/>
  <c r="U67" i="14"/>
  <c r="U78" i="13"/>
  <c r="S44" i="14"/>
  <c r="S62" i="14"/>
  <c r="R27" i="14"/>
  <c r="U44" i="14"/>
  <c r="S82" i="12"/>
  <c r="R80" i="14"/>
  <c r="R87" i="13"/>
  <c r="R15" i="13" s="1"/>
  <c r="R60" i="14"/>
  <c r="R71" i="14"/>
  <c r="S80" i="14"/>
  <c r="U60" i="14"/>
  <c r="R68" i="14"/>
  <c r="R21" i="12"/>
  <c r="R22" i="12"/>
  <c r="U24" i="11"/>
  <c r="S24" i="11"/>
  <c r="R26" i="13"/>
  <c r="U26" i="13"/>
  <c r="R27" i="12"/>
  <c r="R27" i="13"/>
  <c r="R28" i="12"/>
  <c r="S28" i="13"/>
  <c r="R29" i="11"/>
  <c r="U29" i="11"/>
  <c r="S29" i="12"/>
  <c r="S29" i="14"/>
  <c r="U29" i="14"/>
  <c r="S30" i="13"/>
  <c r="R31" i="11"/>
  <c r="R32" i="11"/>
  <c r="T32" i="11"/>
  <c r="T34" i="14"/>
  <c r="R35" i="14"/>
  <c r="U37" i="13"/>
  <c r="R37" i="14"/>
  <c r="U38" i="13"/>
  <c r="S38" i="13"/>
  <c r="R38" i="11"/>
  <c r="R39" i="14"/>
  <c r="R39" i="11"/>
  <c r="S40" i="11"/>
  <c r="R40" i="13"/>
  <c r="U40" i="13"/>
  <c r="U42" i="11"/>
  <c r="S43" i="11"/>
  <c r="R53" i="11"/>
  <c r="S51" i="12"/>
  <c r="U51" i="13"/>
  <c r="R51" i="11"/>
  <c r="R53" i="12"/>
  <c r="S53" i="12"/>
  <c r="R53" i="14"/>
  <c r="U53" i="14"/>
  <c r="U53" i="13"/>
  <c r="R82" i="13"/>
  <c r="S82" i="13"/>
  <c r="R82" i="14"/>
  <c r="U82" i="11"/>
  <c r="S82" i="14"/>
  <c r="U82" i="12"/>
  <c r="R83" i="13"/>
  <c r="U84" i="11"/>
  <c r="S84" i="11"/>
  <c r="U84" i="12"/>
  <c r="R26" i="14"/>
  <c r="T46" i="14"/>
  <c r="T28" i="11"/>
  <c r="U80" i="11"/>
  <c r="U42" i="12"/>
  <c r="U44" i="12"/>
  <c r="U50" i="12"/>
  <c r="U52" i="12"/>
  <c r="U22" i="13"/>
  <c r="U75" i="13"/>
  <c r="R28" i="11"/>
  <c r="R63" i="11"/>
  <c r="R65" i="11"/>
  <c r="U78" i="11"/>
  <c r="R80" i="11"/>
  <c r="U40" i="12"/>
  <c r="R42" i="12"/>
  <c r="U46" i="12"/>
  <c r="U48" i="12"/>
  <c r="R50" i="12"/>
  <c r="R52" i="12"/>
  <c r="U56" i="12"/>
  <c r="R22" i="13"/>
  <c r="U46" i="13"/>
  <c r="R73" i="13"/>
  <c r="T22" i="14"/>
  <c r="R31" i="14"/>
  <c r="T78" i="14"/>
  <c r="R37" i="11"/>
  <c r="R48" i="11"/>
  <c r="T76" i="11"/>
  <c r="U36" i="12"/>
  <c r="U38" i="12"/>
  <c r="R40" i="12"/>
  <c r="R44" i="12"/>
  <c r="R46" i="12"/>
  <c r="R48" i="12"/>
  <c r="R54" i="12"/>
  <c r="R56" i="12"/>
  <c r="U58" i="12"/>
  <c r="U60" i="12"/>
  <c r="R33" i="13"/>
  <c r="R44" i="13"/>
  <c r="R46" i="13"/>
  <c r="U71" i="13"/>
  <c r="U73" i="13"/>
  <c r="R22" i="14"/>
  <c r="R38" i="14"/>
  <c r="R40" i="14"/>
  <c r="R78" i="14"/>
  <c r="R35" i="11"/>
  <c r="R59" i="11"/>
  <c r="R61" i="11"/>
  <c r="U74" i="11"/>
  <c r="R76" i="11"/>
  <c r="U32" i="12"/>
  <c r="U34" i="12"/>
  <c r="R36" i="12"/>
  <c r="R38" i="12"/>
  <c r="R58" i="12"/>
  <c r="U62" i="12"/>
  <c r="U64" i="12"/>
  <c r="R29" i="13"/>
  <c r="U42" i="13"/>
  <c r="S44" i="13"/>
  <c r="U67" i="13"/>
  <c r="S38" i="14"/>
  <c r="T66" i="14"/>
  <c r="T70" i="14"/>
  <c r="R72" i="14"/>
  <c r="R74" i="14"/>
  <c r="R76" i="14"/>
  <c r="U28" i="12"/>
  <c r="U30" i="12"/>
  <c r="R32" i="12"/>
  <c r="R34" i="12"/>
  <c r="R60" i="12"/>
  <c r="R62" i="12"/>
  <c r="R64" i="12"/>
  <c r="U66" i="12"/>
  <c r="U68" i="12"/>
  <c r="U29" i="13"/>
  <c r="R42" i="13"/>
  <c r="R69" i="13"/>
  <c r="R62" i="14"/>
  <c r="R66" i="14"/>
  <c r="R70" i="14"/>
  <c r="T74" i="14"/>
  <c r="S76" i="14"/>
  <c r="U74" i="14"/>
  <c r="U85" i="14"/>
  <c r="R33" i="11"/>
  <c r="R42" i="11"/>
  <c r="R53" i="13"/>
  <c r="R57" i="13"/>
  <c r="U61" i="13"/>
  <c r="R34" i="14"/>
  <c r="U45" i="14"/>
  <c r="R47" i="14"/>
  <c r="R58" i="14"/>
  <c r="R83" i="14"/>
  <c r="R25" i="14"/>
  <c r="R43" i="14"/>
  <c r="S47" i="14"/>
  <c r="U83" i="14"/>
  <c r="S43" i="14"/>
  <c r="S56" i="14"/>
  <c r="T36" i="11"/>
  <c r="U62" i="11"/>
  <c r="U47" i="13"/>
  <c r="R72" i="13"/>
  <c r="S76" i="13"/>
  <c r="T54" i="14"/>
  <c r="R79" i="14"/>
  <c r="R36" i="11"/>
  <c r="R47" i="11"/>
  <c r="T60" i="11"/>
  <c r="R45" i="12"/>
  <c r="R47" i="12"/>
  <c r="R55" i="12"/>
  <c r="R57" i="12"/>
  <c r="U30" i="13"/>
  <c r="U70" i="13"/>
  <c r="R21" i="14"/>
  <c r="R41" i="14"/>
  <c r="R54" i="14"/>
  <c r="R60" i="11"/>
  <c r="R75" i="11"/>
  <c r="R77" i="11"/>
  <c r="R37" i="12"/>
  <c r="R39" i="12"/>
  <c r="S57" i="12"/>
  <c r="R59" i="12"/>
  <c r="R45" i="13"/>
  <c r="R68" i="13"/>
  <c r="Q72" i="7"/>
  <c r="P72" i="7"/>
  <c r="N72" i="7"/>
  <c r="O72" i="7"/>
  <c r="U64" i="14"/>
  <c r="U78" i="14"/>
  <c r="T23" i="14"/>
  <c r="T40" i="14"/>
  <c r="U41" i="14"/>
  <c r="T47" i="14"/>
  <c r="U50" i="14"/>
  <c r="U80" i="14"/>
  <c r="U21" i="14"/>
  <c r="T42" i="14"/>
  <c r="T44" i="14"/>
  <c r="T49" i="14"/>
  <c r="T51" i="14"/>
  <c r="U77" i="14"/>
  <c r="U84" i="14"/>
  <c r="U23" i="14"/>
  <c r="U40" i="14"/>
  <c r="U49" i="14"/>
  <c r="T62" i="14"/>
  <c r="U70" i="14"/>
  <c r="U33" i="14"/>
  <c r="U56" i="14"/>
  <c r="U58" i="14"/>
  <c r="T87" i="14"/>
  <c r="T55" i="14"/>
  <c r="U37" i="14"/>
  <c r="U51" i="14"/>
  <c r="U69" i="14"/>
  <c r="U87" i="14"/>
  <c r="U55" i="14"/>
  <c r="T68" i="14"/>
  <c r="U24" i="14"/>
  <c r="U26" i="14"/>
  <c r="T45" i="14"/>
  <c r="T84" i="14"/>
  <c r="T32" i="13"/>
  <c r="U45" i="13"/>
  <c r="Q72" i="13"/>
  <c r="U24" i="13"/>
  <c r="T52" i="13"/>
  <c r="T84" i="13"/>
  <c r="U48" i="13"/>
  <c r="U57" i="13"/>
  <c r="U72" i="13"/>
  <c r="T80" i="13"/>
  <c r="Q80" i="13"/>
  <c r="T56" i="13"/>
  <c r="U65" i="13"/>
  <c r="T64" i="13"/>
  <c r="T60" i="13"/>
  <c r="U69" i="13"/>
  <c r="T68" i="13"/>
  <c r="T72" i="13"/>
  <c r="T40" i="13"/>
  <c r="T44" i="13"/>
  <c r="U25" i="13"/>
  <c r="T76" i="13"/>
  <c r="U21" i="13"/>
  <c r="U33" i="13"/>
  <c r="U41" i="13"/>
  <c r="U49" i="13"/>
  <c r="U81" i="13"/>
  <c r="U85" i="12"/>
  <c r="U21" i="12"/>
  <c r="U25" i="12"/>
  <c r="U41" i="12"/>
  <c r="U29" i="12"/>
  <c r="U37" i="12"/>
  <c r="U49" i="12"/>
  <c r="Q24" i="12"/>
  <c r="Q28" i="12"/>
  <c r="Q36" i="12"/>
  <c r="U44" i="11"/>
  <c r="U48" i="11"/>
  <c r="T84" i="11"/>
  <c r="U57" i="11"/>
  <c r="U61" i="11"/>
  <c r="T24" i="11"/>
  <c r="Q24" i="11"/>
  <c r="U37" i="11"/>
  <c r="T48" i="11"/>
  <c r="Q52" i="11"/>
  <c r="U60" i="11"/>
  <c r="U33" i="11"/>
  <c r="U73" i="12"/>
  <c r="U21" i="11"/>
  <c r="Q28" i="11"/>
  <c r="Q32" i="11"/>
  <c r="Q36" i="11"/>
  <c r="T44" i="11"/>
  <c r="U25" i="11"/>
  <c r="U28" i="11"/>
  <c r="U32" i="11"/>
  <c r="U36" i="11"/>
  <c r="T52" i="11"/>
  <c r="U45" i="11"/>
  <c r="U49" i="11"/>
  <c r="U41" i="11"/>
  <c r="U53" i="11"/>
  <c r="U45" i="12"/>
  <c r="Q32" i="12"/>
  <c r="Q40" i="12"/>
  <c r="Q48" i="12"/>
  <c r="Q52" i="12"/>
  <c r="U33" i="12"/>
  <c r="Q56" i="12"/>
  <c r="U69" i="12"/>
  <c r="Q64" i="12"/>
  <c r="U77" i="12"/>
  <c r="U81" i="12"/>
  <c r="Q72" i="12"/>
  <c r="Q76" i="12"/>
  <c r="Q80" i="12"/>
  <c r="U61" i="12"/>
  <c r="U73" i="11"/>
  <c r="Q76" i="11"/>
  <c r="Q60" i="11"/>
  <c r="U76" i="11"/>
  <c r="U68" i="11"/>
  <c r="U85" i="11"/>
  <c r="T80" i="11"/>
  <c r="U72" i="11"/>
  <c r="Q80" i="11"/>
  <c r="T56" i="11"/>
  <c r="U65" i="11"/>
  <c r="Q56" i="11"/>
  <c r="U69" i="11"/>
  <c r="T64" i="11"/>
  <c r="T68" i="11"/>
  <c r="U77" i="11"/>
  <c r="U64" i="11"/>
  <c r="T72" i="11"/>
  <c r="U81" i="11"/>
  <c r="B5" i="13"/>
  <c r="B6" i="13"/>
  <c r="B5" i="14"/>
  <c r="S6" i="14"/>
  <c r="T27" i="13"/>
  <c r="T39" i="13"/>
  <c r="T85" i="14"/>
  <c r="S5" i="13"/>
  <c r="R24" i="13"/>
  <c r="R28" i="13"/>
  <c r="R36" i="13"/>
  <c r="R48" i="13"/>
  <c r="D12" i="14"/>
  <c r="T33" i="14"/>
  <c r="S34" i="14"/>
  <c r="T36" i="14"/>
  <c r="T39" i="14"/>
  <c r="U43" i="14"/>
  <c r="U46" i="14"/>
  <c r="S63" i="14"/>
  <c r="U66" i="14"/>
  <c r="T76" i="14"/>
  <c r="F6" i="13"/>
  <c r="T24" i="13"/>
  <c r="T28" i="13"/>
  <c r="T36" i="13"/>
  <c r="T48" i="13"/>
  <c r="T59" i="13"/>
  <c r="T63" i="13"/>
  <c r="T67" i="13"/>
  <c r="T71" i="13"/>
  <c r="T75" i="13"/>
  <c r="T79" i="13"/>
  <c r="T83" i="13"/>
  <c r="T87" i="13"/>
  <c r="T21" i="14"/>
  <c r="U28" i="14"/>
  <c r="U31" i="14"/>
  <c r="R48" i="14"/>
  <c r="S73" i="14"/>
  <c r="S6" i="13"/>
  <c r="Q23" i="13"/>
  <c r="Q27" i="13"/>
  <c r="Q31" i="13"/>
  <c r="Q35" i="13"/>
  <c r="Q39" i="13"/>
  <c r="Q43" i="13"/>
  <c r="Q47" i="13"/>
  <c r="Q51" i="13"/>
  <c r="Q55" i="13"/>
  <c r="Q59" i="13"/>
  <c r="Q63" i="13"/>
  <c r="Q67" i="13"/>
  <c r="Q71" i="13"/>
  <c r="Q75" i="13"/>
  <c r="Q79" i="13"/>
  <c r="Q83" i="13"/>
  <c r="Q87" i="13"/>
  <c r="U25" i="14"/>
  <c r="S48" i="14"/>
  <c r="S51" i="14"/>
  <c r="S68" i="14"/>
  <c r="U71" i="14"/>
  <c r="T81" i="14"/>
  <c r="S81" i="14"/>
  <c r="R31" i="13"/>
  <c r="R35" i="13"/>
  <c r="R43" i="13"/>
  <c r="U22" i="14"/>
  <c r="R36" i="14"/>
  <c r="T41" i="14"/>
  <c r="S42" i="14"/>
  <c r="S45" i="14"/>
  <c r="U48" i="14"/>
  <c r="U54" i="14"/>
  <c r="T73" i="14"/>
  <c r="S79" i="14"/>
  <c r="U82" i="14"/>
  <c r="S31" i="13"/>
  <c r="S39" i="13"/>
  <c r="S51" i="13"/>
  <c r="S55" i="13"/>
  <c r="S59" i="13"/>
  <c r="S63" i="13"/>
  <c r="S67" i="13"/>
  <c r="S71" i="13"/>
  <c r="S75" i="13"/>
  <c r="S79" i="13"/>
  <c r="S83" i="13"/>
  <c r="S87" i="13"/>
  <c r="R30" i="14"/>
  <c r="T64" i="14"/>
  <c r="U79" i="14"/>
  <c r="D12" i="13"/>
  <c r="S23" i="13"/>
  <c r="S27" i="13"/>
  <c r="S35" i="13"/>
  <c r="S43" i="13"/>
  <c r="S47" i="13"/>
  <c r="T62" i="13"/>
  <c r="T66" i="13"/>
  <c r="T70" i="13"/>
  <c r="T74" i="13"/>
  <c r="T78" i="13"/>
  <c r="T82" i="13"/>
  <c r="T86" i="13"/>
  <c r="F4" i="14"/>
  <c r="R24" i="14"/>
  <c r="T29" i="14"/>
  <c r="S30" i="14"/>
  <c r="T32" i="14"/>
  <c r="S33" i="14"/>
  <c r="T35" i="14"/>
  <c r="U36" i="14"/>
  <c r="U39" i="14"/>
  <c r="U42" i="14"/>
  <c r="S61" i="14"/>
  <c r="T75" i="14"/>
  <c r="S87" i="14"/>
  <c r="Q22" i="13"/>
  <c r="Q26" i="13"/>
  <c r="Q30" i="13"/>
  <c r="Q34" i="13"/>
  <c r="Q38" i="13"/>
  <c r="Q42" i="13"/>
  <c r="Q46" i="13"/>
  <c r="Q50" i="13"/>
  <c r="Q54" i="13"/>
  <c r="Q58" i="13"/>
  <c r="Q62" i="13"/>
  <c r="Q66" i="13"/>
  <c r="Q70" i="13"/>
  <c r="Q74" i="13"/>
  <c r="Q78" i="13"/>
  <c r="Q82" i="13"/>
  <c r="Q86" i="13"/>
  <c r="S4" i="14"/>
  <c r="T30" i="14"/>
  <c r="T72" i="14"/>
  <c r="T69" i="14"/>
  <c r="S69" i="14"/>
  <c r="T65" i="14"/>
  <c r="S65" i="14"/>
  <c r="T61" i="14"/>
  <c r="T61" i="13"/>
  <c r="T65" i="13"/>
  <c r="T69" i="13"/>
  <c r="T73" i="13"/>
  <c r="T77" i="13"/>
  <c r="T81" i="13"/>
  <c r="T85" i="13"/>
  <c r="F5" i="14"/>
  <c r="T37" i="14"/>
  <c r="T77" i="14"/>
  <c r="S77" i="14"/>
  <c r="S5" i="14"/>
  <c r="S4" i="13"/>
  <c r="R21" i="13"/>
  <c r="R25" i="13"/>
  <c r="R41" i="13"/>
  <c r="R49" i="13"/>
  <c r="B6" i="14"/>
  <c r="T25" i="14"/>
  <c r="S26" i="14"/>
  <c r="T28" i="14"/>
  <c r="T31" i="14"/>
  <c r="U32" i="14"/>
  <c r="U35" i="14"/>
  <c r="U38" i="14"/>
  <c r="T57" i="14"/>
  <c r="S58" i="14"/>
  <c r="T60" i="14"/>
  <c r="S72" i="14"/>
  <c r="U75" i="14"/>
  <c r="S85" i="14"/>
  <c r="F4" i="13"/>
  <c r="S23" i="14"/>
  <c r="R49" i="14"/>
  <c r="S52" i="14"/>
  <c r="S55" i="14"/>
  <c r="T71" i="14"/>
  <c r="S83" i="14"/>
  <c r="U86" i="14"/>
  <c r="F5" i="12"/>
  <c r="S5" i="12"/>
  <c r="B6" i="12"/>
  <c r="D12" i="12"/>
  <c r="S35" i="12"/>
  <c r="T22" i="12"/>
  <c r="T26" i="12"/>
  <c r="T30" i="12"/>
  <c r="T34" i="12"/>
  <c r="T38" i="12"/>
  <c r="T42" i="12"/>
  <c r="T46" i="12"/>
  <c r="T50" i="12"/>
  <c r="T54" i="12"/>
  <c r="T58" i="12"/>
  <c r="T62" i="12"/>
  <c r="T66" i="12"/>
  <c r="T70" i="12"/>
  <c r="T74" i="12"/>
  <c r="T78" i="12"/>
  <c r="T82" i="12"/>
  <c r="T86" i="12"/>
  <c r="Q22" i="12"/>
  <c r="U23" i="12"/>
  <c r="Q26" i="12"/>
  <c r="U27" i="12"/>
  <c r="Q30" i="12"/>
  <c r="U31" i="12"/>
  <c r="Q34" i="12"/>
  <c r="U35" i="12"/>
  <c r="Q38" i="12"/>
  <c r="U39" i="12"/>
  <c r="Q42" i="12"/>
  <c r="U43" i="12"/>
  <c r="Q46" i="12"/>
  <c r="U47" i="12"/>
  <c r="Q50" i="12"/>
  <c r="U51" i="12"/>
  <c r="Q54" i="12"/>
  <c r="U55" i="12"/>
  <c r="Q58" i="12"/>
  <c r="U59" i="12"/>
  <c r="Q62" i="12"/>
  <c r="U63" i="12"/>
  <c r="Q66" i="12"/>
  <c r="U67" i="12"/>
  <c r="Q70" i="12"/>
  <c r="U71" i="12"/>
  <c r="Q74" i="12"/>
  <c r="U75" i="12"/>
  <c r="Q78" i="12"/>
  <c r="U79" i="12"/>
  <c r="Q82" i="12"/>
  <c r="U83" i="12"/>
  <c r="Q86" i="12"/>
  <c r="U87" i="12"/>
  <c r="T21" i="12"/>
  <c r="T25" i="12"/>
  <c r="T29" i="12"/>
  <c r="T33" i="12"/>
  <c r="T37" i="12"/>
  <c r="T41" i="12"/>
  <c r="T45" i="12"/>
  <c r="T49" i="12"/>
  <c r="T53" i="12"/>
  <c r="T57" i="12"/>
  <c r="T61" i="12"/>
  <c r="T65" i="12"/>
  <c r="T69" i="12"/>
  <c r="T73" i="12"/>
  <c r="T77" i="12"/>
  <c r="T81" i="12"/>
  <c r="T85" i="12"/>
  <c r="F4" i="12"/>
  <c r="S4" i="12"/>
  <c r="R25" i="12"/>
  <c r="R41" i="12"/>
  <c r="R49" i="12"/>
  <c r="S85" i="12"/>
  <c r="B5" i="12"/>
  <c r="T24" i="12"/>
  <c r="T28" i="12"/>
  <c r="T32" i="12"/>
  <c r="T36" i="12"/>
  <c r="T40" i="12"/>
  <c r="T44" i="12"/>
  <c r="T48" i="12"/>
  <c r="T52" i="12"/>
  <c r="T56" i="12"/>
  <c r="T60" i="12"/>
  <c r="T64" i="12"/>
  <c r="T68" i="12"/>
  <c r="T72" i="12"/>
  <c r="T76" i="12"/>
  <c r="T80" i="12"/>
  <c r="T84" i="12"/>
  <c r="F6" i="12"/>
  <c r="T23" i="12"/>
  <c r="T27" i="12"/>
  <c r="T31" i="12"/>
  <c r="T35" i="12"/>
  <c r="T39" i="12"/>
  <c r="T43" i="12"/>
  <c r="T47" i="12"/>
  <c r="T51" i="12"/>
  <c r="T55" i="12"/>
  <c r="T59" i="12"/>
  <c r="T63" i="12"/>
  <c r="T67" i="12"/>
  <c r="T71" i="12"/>
  <c r="T75" i="12"/>
  <c r="T79" i="12"/>
  <c r="T83" i="12"/>
  <c r="T87" i="12"/>
  <c r="B5" i="11"/>
  <c r="F5" i="11"/>
  <c r="S5" i="11"/>
  <c r="B6" i="11"/>
  <c r="F6" i="11"/>
  <c r="S6" i="11"/>
  <c r="T30" i="11"/>
  <c r="T42" i="11"/>
  <c r="T46" i="11"/>
  <c r="T50" i="11"/>
  <c r="T54" i="11"/>
  <c r="T58" i="11"/>
  <c r="T62" i="11"/>
  <c r="T66" i="11"/>
  <c r="T70" i="11"/>
  <c r="T74" i="11"/>
  <c r="T78" i="11"/>
  <c r="T82" i="11"/>
  <c r="T86" i="11"/>
  <c r="Q38" i="11"/>
  <c r="Q42" i="11"/>
  <c r="Q46" i="11"/>
  <c r="Q50" i="11"/>
  <c r="U55" i="11"/>
  <c r="Q62" i="11"/>
  <c r="U71" i="11"/>
  <c r="U75" i="11"/>
  <c r="R22" i="11"/>
  <c r="S27" i="11"/>
  <c r="T26" i="11"/>
  <c r="R30" i="11"/>
  <c r="R46" i="11"/>
  <c r="S22" i="11"/>
  <c r="S26" i="11"/>
  <c r="S30" i="11"/>
  <c r="S46" i="11"/>
  <c r="S50" i="11"/>
  <c r="S54" i="11"/>
  <c r="S58" i="11"/>
  <c r="S62" i="11"/>
  <c r="S66" i="11"/>
  <c r="S70" i="11"/>
  <c r="S74" i="11"/>
  <c r="S78" i="11"/>
  <c r="S82" i="11"/>
  <c r="S86" i="11"/>
  <c r="D12" i="11"/>
  <c r="U47" i="11"/>
  <c r="Q54" i="11"/>
  <c r="Q58" i="11"/>
  <c r="U63" i="11"/>
  <c r="Q74" i="11"/>
  <c r="Q78" i="11"/>
  <c r="Q82" i="11"/>
  <c r="Q86" i="11"/>
  <c r="T21" i="11"/>
  <c r="T25" i="11"/>
  <c r="T29" i="11"/>
  <c r="T33" i="11"/>
  <c r="T34" i="11"/>
  <c r="T37" i="11"/>
  <c r="T38" i="11"/>
  <c r="T41" i="11"/>
  <c r="T45" i="11"/>
  <c r="T49" i="11"/>
  <c r="T53" i="11"/>
  <c r="T57" i="11"/>
  <c r="T61" i="11"/>
  <c r="T65" i="11"/>
  <c r="T69" i="11"/>
  <c r="T73" i="11"/>
  <c r="T77" i="11"/>
  <c r="T81" i="11"/>
  <c r="T85" i="11"/>
  <c r="U23" i="11"/>
  <c r="Q30" i="11"/>
  <c r="Q34" i="11"/>
  <c r="U59" i="11"/>
  <c r="Q66" i="11"/>
  <c r="Q70" i="11"/>
  <c r="U79" i="11"/>
  <c r="U83" i="11"/>
  <c r="U87" i="11"/>
  <c r="R34" i="11"/>
  <c r="F4" i="11"/>
  <c r="U22" i="11"/>
  <c r="U26" i="11"/>
  <c r="U38" i="11"/>
  <c r="U35" i="11"/>
  <c r="U51" i="11"/>
  <c r="R21" i="11"/>
  <c r="R25" i="11"/>
  <c r="R41" i="11"/>
  <c r="R49" i="11"/>
  <c r="T22" i="11"/>
  <c r="U27" i="11"/>
  <c r="U31" i="11"/>
  <c r="U39" i="11"/>
  <c r="U43" i="11"/>
  <c r="U67" i="11"/>
  <c r="T23" i="11"/>
  <c r="T27" i="11"/>
  <c r="T31" i="11"/>
  <c r="T35" i="11"/>
  <c r="T39" i="11"/>
  <c r="T43" i="11"/>
  <c r="T47" i="11"/>
  <c r="T51" i="11"/>
  <c r="T55" i="11"/>
  <c r="T59" i="11"/>
  <c r="T63" i="11"/>
  <c r="T67" i="11"/>
  <c r="T71" i="11"/>
  <c r="T75" i="11"/>
  <c r="T79" i="11"/>
  <c r="T83" i="11"/>
  <c r="T87" i="11"/>
  <c r="A16" i="9"/>
  <c r="A15" i="9"/>
  <c r="A14" i="9"/>
  <c r="A13" i="9"/>
  <c r="A12" i="9"/>
  <c r="T59" i="9"/>
  <c r="R61" i="9"/>
  <c r="T62" i="9"/>
  <c r="S63" i="9"/>
  <c r="U65" i="9"/>
  <c r="T66" i="9"/>
  <c r="S69" i="9"/>
  <c r="R71" i="9"/>
  <c r="T73" i="9"/>
  <c r="R74" i="9"/>
  <c r="T76" i="9"/>
  <c r="T78" i="9"/>
  <c r="R79" i="9"/>
  <c r="U80" i="9"/>
  <c r="U81" i="9"/>
  <c r="T82" i="9"/>
  <c r="R87" i="9"/>
  <c r="K16" i="13"/>
  <c r="M13" i="13"/>
  <c r="K14" i="13"/>
  <c r="J12" i="14"/>
  <c r="G13" i="13"/>
  <c r="G15" i="14"/>
  <c r="K13" i="13"/>
  <c r="J13" i="13"/>
  <c r="L12" i="13"/>
  <c r="G16" i="13"/>
  <c r="G14" i="13"/>
  <c r="J16" i="14"/>
  <c r="D14" i="11"/>
  <c r="D16" i="13"/>
  <c r="L15" i="13"/>
  <c r="K12" i="14"/>
  <c r="L16" i="13"/>
  <c r="M12" i="14"/>
  <c r="M15" i="13"/>
  <c r="L13" i="13"/>
  <c r="D15" i="14"/>
  <c r="J14" i="13"/>
  <c r="J15" i="13"/>
  <c r="M14" i="13"/>
  <c r="L12" i="14"/>
  <c r="L14" i="13"/>
  <c r="F13" i="13"/>
  <c r="F14" i="14"/>
  <c r="G12" i="13"/>
  <c r="K12" i="11"/>
  <c r="G13" i="14"/>
  <c r="V5" i="8"/>
  <c r="G12" i="12"/>
  <c r="M15" i="14"/>
  <c r="F12" i="14"/>
  <c r="D14" i="14"/>
  <c r="F15" i="13"/>
  <c r="D13" i="13"/>
  <c r="L14" i="14"/>
  <c r="M12" i="13"/>
  <c r="F16" i="12"/>
  <c r="K12" i="13"/>
  <c r="G15" i="13"/>
  <c r="J16" i="13"/>
  <c r="D15" i="13"/>
  <c r="L12" i="11"/>
  <c r="S15" i="13" l="1"/>
  <c r="T15" i="14"/>
  <c r="R16" i="13"/>
  <c r="U15" i="13"/>
  <c r="O15" i="13" s="1"/>
  <c r="Y15" i="13" s="1"/>
  <c r="T15" i="13"/>
  <c r="T15" i="11"/>
  <c r="S16" i="12"/>
  <c r="U16" i="11"/>
  <c r="R14" i="11"/>
  <c r="T16" i="12"/>
  <c r="U15" i="11"/>
  <c r="S16" i="11"/>
  <c r="S15" i="12"/>
  <c r="R15" i="14"/>
  <c r="H15" i="14" s="1"/>
  <c r="X15" i="14" s="1"/>
  <c r="U16" i="12"/>
  <c r="R15" i="11"/>
  <c r="U15" i="12"/>
  <c r="S16" i="14"/>
  <c r="U15" i="14"/>
  <c r="O15" i="14" s="1"/>
  <c r="Y15" i="14" s="1"/>
  <c r="U16" i="14"/>
  <c r="S13" i="12"/>
  <c r="T15" i="12"/>
  <c r="S15" i="11"/>
  <c r="R15" i="12"/>
  <c r="R16" i="12"/>
  <c r="S15" i="14"/>
  <c r="S12" i="12"/>
  <c r="T16" i="14"/>
  <c r="U16" i="13"/>
  <c r="R16" i="14"/>
  <c r="S16" i="13"/>
  <c r="U86" i="9"/>
  <c r="R86" i="9"/>
  <c r="R85" i="9"/>
  <c r="T85" i="9"/>
  <c r="T84" i="9"/>
  <c r="S84" i="9"/>
  <c r="R83" i="9"/>
  <c r="S83" i="9"/>
  <c r="R77" i="9"/>
  <c r="U77" i="9"/>
  <c r="S77" i="9"/>
  <c r="S75" i="9"/>
  <c r="T75" i="9"/>
  <c r="R75" i="9"/>
  <c r="T72" i="9"/>
  <c r="R72" i="9"/>
  <c r="S72" i="9"/>
  <c r="T70" i="9"/>
  <c r="U70" i="9"/>
  <c r="R68" i="9"/>
  <c r="T68" i="9"/>
  <c r="S67" i="9"/>
  <c r="R67" i="9"/>
  <c r="R64" i="9"/>
  <c r="U64" i="9"/>
  <c r="S64" i="9"/>
  <c r="T60" i="9"/>
  <c r="R60" i="9"/>
  <c r="T14" i="12"/>
  <c r="R14" i="13"/>
  <c r="R14" i="14"/>
  <c r="R16" i="11"/>
  <c r="U14" i="13"/>
  <c r="S80" i="9"/>
  <c r="R69" i="9"/>
  <c r="R59" i="9"/>
  <c r="S59" i="9"/>
  <c r="R80" i="9"/>
  <c r="T69" i="9"/>
  <c r="R14" i="12"/>
  <c r="S62" i="9"/>
  <c r="T14" i="11"/>
  <c r="U79" i="9"/>
  <c r="U14" i="14"/>
  <c r="T16" i="11"/>
  <c r="U14" i="11"/>
  <c r="U12" i="12"/>
  <c r="U63" i="9"/>
  <c r="R63" i="9"/>
  <c r="T14" i="13"/>
  <c r="T14" i="14"/>
  <c r="U14" i="12"/>
  <c r="T74" i="9"/>
  <c r="S87" i="9"/>
  <c r="R78" i="9"/>
  <c r="R73" i="9"/>
  <c r="S68" i="9"/>
  <c r="S78" i="9"/>
  <c r="S73" i="9"/>
  <c r="S82" i="9"/>
  <c r="S86" i="9"/>
  <c r="R82" i="9"/>
  <c r="S81" i="9"/>
  <c r="S76" i="9"/>
  <c r="S71" i="9"/>
  <c r="R62" i="9"/>
  <c r="T86" i="9"/>
  <c r="R81" i="9"/>
  <c r="R76" i="9"/>
  <c r="S66" i="9"/>
  <c r="T81" i="9"/>
  <c r="R66" i="9"/>
  <c r="S61" i="9"/>
  <c r="R13" i="12"/>
  <c r="S85" i="9"/>
  <c r="S70" i="9"/>
  <c r="R70" i="9"/>
  <c r="S65" i="9"/>
  <c r="R65" i="9"/>
  <c r="S60" i="9"/>
  <c r="R84" i="9"/>
  <c r="S79" i="9"/>
  <c r="S74" i="9"/>
  <c r="U69" i="9"/>
  <c r="T65" i="9"/>
  <c r="U13" i="12"/>
  <c r="T13" i="11"/>
  <c r="S13" i="11"/>
  <c r="U12" i="14"/>
  <c r="S14" i="13"/>
  <c r="R12" i="12"/>
  <c r="S13" i="14"/>
  <c r="W72" i="8"/>
  <c r="U13" i="14"/>
  <c r="S14" i="14"/>
  <c r="R13" i="14"/>
  <c r="T53" i="14"/>
  <c r="S12" i="14"/>
  <c r="V72" i="8"/>
  <c r="T41" i="13"/>
  <c r="T42" i="13"/>
  <c r="T57" i="13"/>
  <c r="T34" i="13"/>
  <c r="T47" i="13"/>
  <c r="T53" i="13"/>
  <c r="T30" i="13"/>
  <c r="S13" i="13"/>
  <c r="T43" i="13"/>
  <c r="T49" i="13"/>
  <c r="T26" i="13"/>
  <c r="T45" i="13"/>
  <c r="T22" i="13"/>
  <c r="T35" i="13"/>
  <c r="T31" i="13"/>
  <c r="T33" i="13"/>
  <c r="T29" i="13"/>
  <c r="T25" i="13"/>
  <c r="U13" i="13"/>
  <c r="S12" i="13"/>
  <c r="T23" i="13"/>
  <c r="T58" i="13"/>
  <c r="T13" i="13"/>
  <c r="T54" i="13"/>
  <c r="T50" i="13"/>
  <c r="T46" i="13"/>
  <c r="T55" i="13"/>
  <c r="T51" i="13"/>
  <c r="T38" i="13"/>
  <c r="T13" i="12"/>
  <c r="S14" i="12"/>
  <c r="T80" i="9"/>
  <c r="T67" i="9"/>
  <c r="U76" i="9"/>
  <c r="U74" i="9"/>
  <c r="U72" i="9"/>
  <c r="U13" i="11"/>
  <c r="S12" i="11"/>
  <c r="U60" i="9"/>
  <c r="T87" i="9"/>
  <c r="T83" i="9"/>
  <c r="T61" i="9"/>
  <c r="S14" i="11"/>
  <c r="U67" i="9"/>
  <c r="U83" i="9"/>
  <c r="T77" i="9"/>
  <c r="T64" i="9"/>
  <c r="U85" i="9"/>
  <c r="T79" i="9"/>
  <c r="T71" i="9"/>
  <c r="H15" i="13"/>
  <c r="X15" i="13" s="1"/>
  <c r="N13" i="13"/>
  <c r="N15" i="13"/>
  <c r="G17" i="13"/>
  <c r="L17" i="13"/>
  <c r="T37" i="13"/>
  <c r="T12" i="14"/>
  <c r="T21" i="13"/>
  <c r="R12" i="14"/>
  <c r="R13" i="13"/>
  <c r="U12" i="13"/>
  <c r="T12" i="13"/>
  <c r="R12" i="13"/>
  <c r="T13" i="14"/>
  <c r="T12" i="12"/>
  <c r="R13" i="11"/>
  <c r="R12" i="11"/>
  <c r="T12" i="11"/>
  <c r="U12" i="11"/>
  <c r="T63" i="9"/>
  <c r="U78" i="9"/>
  <c r="U62" i="9"/>
  <c r="U87" i="9"/>
  <c r="U71" i="9"/>
  <c r="U73" i="9"/>
  <c r="U82" i="9"/>
  <c r="U66" i="9"/>
  <c r="U75" i="9"/>
  <c r="U59" i="9"/>
  <c r="U68" i="9"/>
  <c r="U84" i="9"/>
  <c r="U61" i="9"/>
  <c r="K15" i="14"/>
  <c r="K15" i="13"/>
  <c r="M14" i="12"/>
  <c r="K13" i="12"/>
  <c r="M15" i="11"/>
  <c r="M16" i="14"/>
  <c r="M13" i="12"/>
  <c r="F16" i="11"/>
  <c r="D15" i="12"/>
  <c r="G16" i="11"/>
  <c r="J13" i="11"/>
  <c r="G12" i="14"/>
  <c r="K14" i="12"/>
  <c r="F14" i="12"/>
  <c r="E16" i="12"/>
  <c r="E16" i="13"/>
  <c r="E13" i="11"/>
  <c r="M13" i="14"/>
  <c r="M12" i="12"/>
  <c r="G13" i="12"/>
  <c r="L16" i="11"/>
  <c r="D13" i="11"/>
  <c r="F15" i="11"/>
  <c r="F12" i="12"/>
  <c r="G12" i="11"/>
  <c r="G16" i="12"/>
  <c r="M13" i="11"/>
  <c r="K15" i="11"/>
  <c r="E15" i="13"/>
  <c r="E15" i="11"/>
  <c r="F12" i="11"/>
  <c r="L15" i="11"/>
  <c r="L15" i="14"/>
  <c r="M16" i="13"/>
  <c r="L14" i="12"/>
  <c r="F12" i="13"/>
  <c r="F13" i="11"/>
  <c r="K16" i="14"/>
  <c r="D16" i="14"/>
  <c r="K13" i="14"/>
  <c r="E14" i="14"/>
  <c r="M12" i="11"/>
  <c r="M16" i="11"/>
  <c r="G14" i="12"/>
  <c r="J14" i="11"/>
  <c r="D15" i="11"/>
  <c r="G16" i="14"/>
  <c r="E12" i="13"/>
  <c r="L12" i="12"/>
  <c r="M15" i="12"/>
  <c r="K15" i="12"/>
  <c r="F14" i="13"/>
  <c r="G14" i="11"/>
  <c r="J12" i="12"/>
  <c r="M14" i="11"/>
  <c r="K16" i="11"/>
  <c r="F13" i="14"/>
  <c r="F15" i="14"/>
  <c r="E12" i="11"/>
  <c r="F16" i="14"/>
  <c r="K16" i="12"/>
  <c r="E16" i="11"/>
  <c r="K14" i="14"/>
  <c r="D14" i="12"/>
  <c r="G13" i="11"/>
  <c r="K12" i="12"/>
  <c r="J15" i="12"/>
  <c r="E13" i="14"/>
  <c r="E12" i="12"/>
  <c r="E16" i="14"/>
  <c r="E15" i="14"/>
  <c r="G15" i="12"/>
  <c r="J15" i="11"/>
  <c r="E14" i="13"/>
  <c r="K14" i="11"/>
  <c r="L16" i="14"/>
  <c r="J14" i="12"/>
  <c r="L16" i="12"/>
  <c r="E13" i="13"/>
  <c r="D14" i="13"/>
  <c r="G15" i="11"/>
  <c r="J12" i="11"/>
  <c r="F15" i="12"/>
  <c r="J15" i="14"/>
  <c r="J16" i="12"/>
  <c r="E14" i="11"/>
  <c r="L13" i="12"/>
  <c r="E13" i="12"/>
  <c r="D16" i="11"/>
  <c r="L15" i="12"/>
  <c r="D13" i="12"/>
  <c r="F16" i="13"/>
  <c r="G14" i="14"/>
  <c r="E15" i="12"/>
  <c r="D13" i="14"/>
  <c r="D16" i="12"/>
  <c r="K13" i="11"/>
  <c r="J16" i="11"/>
  <c r="L14" i="11"/>
  <c r="M14" i="14"/>
  <c r="M16" i="12"/>
  <c r="J12" i="13"/>
  <c r="F14" i="11"/>
  <c r="E12" i="14"/>
  <c r="E14" i="12"/>
  <c r="F13" i="12"/>
  <c r="L13" i="11"/>
  <c r="J14" i="14"/>
  <c r="J13" i="12"/>
  <c r="L13" i="14"/>
  <c r="J13" i="14"/>
  <c r="H16" i="13" l="1"/>
  <c r="X16" i="13" s="1"/>
  <c r="S17" i="12"/>
  <c r="H12" i="12"/>
  <c r="X12" i="12" s="1"/>
  <c r="U17" i="12"/>
  <c r="D17" i="13"/>
  <c r="O14" i="13"/>
  <c r="Y14" i="13" s="1"/>
  <c r="N14" i="13"/>
  <c r="J17" i="13"/>
  <c r="K17" i="13"/>
  <c r="N16" i="13"/>
  <c r="M17" i="13"/>
  <c r="O16" i="13"/>
  <c r="Y16" i="13" s="1"/>
  <c r="H14" i="13"/>
  <c r="X14" i="13" s="1"/>
  <c r="H13" i="13"/>
  <c r="X13" i="13" s="1"/>
  <c r="N12" i="13"/>
  <c r="F17" i="13"/>
  <c r="R17" i="13"/>
  <c r="T17" i="11"/>
  <c r="U17" i="14"/>
  <c r="R17" i="12"/>
  <c r="U17" i="13"/>
  <c r="O13" i="13"/>
  <c r="Y13" i="13" s="1"/>
  <c r="E17" i="13"/>
  <c r="T17" i="13"/>
  <c r="R17" i="14"/>
  <c r="T17" i="14"/>
  <c r="S17" i="14"/>
  <c r="O12" i="13"/>
  <c r="Y12" i="13" s="1"/>
  <c r="S17" i="13"/>
  <c r="T17" i="12"/>
  <c r="U17" i="11"/>
  <c r="H13" i="12"/>
  <c r="X13" i="12" s="1"/>
  <c r="S17" i="11"/>
  <c r="M17" i="12"/>
  <c r="O16" i="12"/>
  <c r="Y16" i="12" s="1"/>
  <c r="H16" i="12"/>
  <c r="X16" i="12" s="1"/>
  <c r="N16" i="12"/>
  <c r="N15" i="12"/>
  <c r="N13" i="12"/>
  <c r="N14" i="12"/>
  <c r="F17" i="12"/>
  <c r="N12" i="12"/>
  <c r="J17" i="12"/>
  <c r="E17" i="12"/>
  <c r="O13" i="12"/>
  <c r="Y13" i="12" s="1"/>
  <c r="H15" i="12"/>
  <c r="X15" i="12" s="1"/>
  <c r="O15" i="12"/>
  <c r="Y15" i="12" s="1"/>
  <c r="K17" i="12"/>
  <c r="D17" i="12"/>
  <c r="H14" i="12"/>
  <c r="X14" i="12" s="1"/>
  <c r="O14" i="12"/>
  <c r="Y14" i="12" s="1"/>
  <c r="G17" i="12"/>
  <c r="L17" i="12"/>
  <c r="H12" i="11"/>
  <c r="X12" i="11" s="1"/>
  <c r="L17" i="14"/>
  <c r="F17" i="14"/>
  <c r="M17" i="14"/>
  <c r="O14" i="14"/>
  <c r="Y14" i="14" s="1"/>
  <c r="H14" i="14"/>
  <c r="X14" i="14" s="1"/>
  <c r="E17" i="14"/>
  <c r="N16" i="14"/>
  <c r="G17" i="14"/>
  <c r="O12" i="14"/>
  <c r="Y12" i="14" s="1"/>
  <c r="H12" i="14"/>
  <c r="X12" i="14" s="1"/>
  <c r="N12" i="14"/>
  <c r="O16" i="14"/>
  <c r="Y16" i="14" s="1"/>
  <c r="H16" i="14"/>
  <c r="X16" i="14" s="1"/>
  <c r="N15" i="14"/>
  <c r="N13" i="14"/>
  <c r="J17" i="14"/>
  <c r="N14" i="14"/>
  <c r="O13" i="14"/>
  <c r="Y13" i="14" s="1"/>
  <c r="H13" i="14"/>
  <c r="X13" i="14" s="1"/>
  <c r="D17" i="14"/>
  <c r="K17" i="14"/>
  <c r="H12" i="13"/>
  <c r="X12" i="13" s="1"/>
  <c r="O12" i="12"/>
  <c r="Y12" i="12" s="1"/>
  <c r="D17" i="11"/>
  <c r="N15" i="11"/>
  <c r="K17" i="11"/>
  <c r="H16" i="11"/>
  <c r="X16" i="11" s="1"/>
  <c r="O16" i="11"/>
  <c r="Y16" i="11" s="1"/>
  <c r="E17" i="11"/>
  <c r="O13" i="11"/>
  <c r="Y13" i="11" s="1"/>
  <c r="H13" i="11"/>
  <c r="X13" i="11" s="1"/>
  <c r="G17" i="11"/>
  <c r="H14" i="11"/>
  <c r="X14" i="11" s="1"/>
  <c r="O14" i="11"/>
  <c r="Y14" i="11" s="1"/>
  <c r="H15" i="11"/>
  <c r="X15" i="11" s="1"/>
  <c r="O15" i="11"/>
  <c r="Y15" i="11" s="1"/>
  <c r="F17" i="11"/>
  <c r="L17" i="11"/>
  <c r="N16" i="11"/>
  <c r="N13" i="11"/>
  <c r="M17" i="11"/>
  <c r="O12" i="11"/>
  <c r="Y12" i="11" s="1"/>
  <c r="N12" i="11"/>
  <c r="N14" i="11"/>
  <c r="J17" i="11"/>
  <c r="R17" i="11"/>
  <c r="R58" i="9"/>
  <c r="U58" i="9"/>
  <c r="R57" i="9"/>
  <c r="U57" i="9"/>
  <c r="R56" i="9"/>
  <c r="S56" i="9"/>
  <c r="R55" i="9"/>
  <c r="U55" i="9"/>
  <c r="S55" i="9"/>
  <c r="R54" i="9"/>
  <c r="R53" i="9"/>
  <c r="U53" i="9"/>
  <c r="R52" i="9"/>
  <c r="S52" i="9"/>
  <c r="R51" i="9"/>
  <c r="U51" i="9"/>
  <c r="U50" i="9"/>
  <c r="R50" i="9"/>
  <c r="R49" i="9"/>
  <c r="S48" i="9"/>
  <c r="R47" i="9"/>
  <c r="U47" i="9"/>
  <c r="S47" i="9"/>
  <c r="R45" i="9"/>
  <c r="U45" i="9"/>
  <c r="R44" i="9"/>
  <c r="S44" i="9"/>
  <c r="S43" i="9"/>
  <c r="R42" i="9"/>
  <c r="R40" i="9"/>
  <c r="S40" i="9"/>
  <c r="R39" i="9"/>
  <c r="U39" i="9"/>
  <c r="S39" i="9"/>
  <c r="R38" i="9"/>
  <c r="S37" i="9"/>
  <c r="R37" i="9"/>
  <c r="U37" i="9"/>
  <c r="S36" i="9"/>
  <c r="R36" i="9"/>
  <c r="S35" i="9"/>
  <c r="T35" i="9"/>
  <c r="R35" i="9"/>
  <c r="R33" i="9"/>
  <c r="U33" i="9"/>
  <c r="S33" i="9"/>
  <c r="R32" i="9"/>
  <c r="S31" i="9"/>
  <c r="R29" i="9"/>
  <c r="U29" i="9"/>
  <c r="S28" i="9"/>
  <c r="R27" i="9"/>
  <c r="U27" i="9"/>
  <c r="S27" i="9"/>
  <c r="R23" i="9"/>
  <c r="U23" i="9"/>
  <c r="S23" i="9"/>
  <c r="T21" i="9"/>
  <c r="V16" i="9"/>
  <c r="V15" i="9"/>
  <c r="V14" i="9"/>
  <c r="V13" i="9"/>
  <c r="V12" i="9"/>
  <c r="B4" i="9"/>
  <c r="S6" i="9" s="1"/>
  <c r="D3" i="8"/>
  <c r="C3" i="8"/>
  <c r="A3" i="8"/>
  <c r="D3" i="7"/>
  <c r="C3" i="7"/>
  <c r="A3" i="7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D44" i="3"/>
  <c r="C42" i="3"/>
  <c r="D43" i="3" s="1"/>
  <c r="R8" i="2"/>
  <c r="Q8" i="2" s="1"/>
  <c r="U4" i="14" s="1"/>
  <c r="R7" i="2"/>
  <c r="Q7" i="2" s="1"/>
  <c r="U4" i="13" s="1"/>
  <c r="R6" i="2"/>
  <c r="Q6" i="2" s="1"/>
  <c r="U4" i="11" s="1"/>
  <c r="R5" i="2"/>
  <c r="Q5" i="2" s="1"/>
  <c r="H51" i="5"/>
  <c r="H50" i="6"/>
  <c r="M4" i="7"/>
  <c r="G49" i="5"/>
  <c r="H45" i="5"/>
  <c r="J49" i="5"/>
  <c r="H50" i="5"/>
  <c r="M45" i="6"/>
  <c r="G51" i="6"/>
  <c r="R51" i="6"/>
  <c r="Q51" i="6"/>
  <c r="L45" i="6"/>
  <c r="R43" i="6"/>
  <c r="H44" i="6"/>
  <c r="H45" i="6"/>
  <c r="R49" i="6"/>
  <c r="J45" i="6"/>
  <c r="I43" i="5"/>
  <c r="G44" i="6"/>
  <c r="J50" i="6"/>
  <c r="G45" i="5"/>
  <c r="E45" i="5"/>
  <c r="G49" i="6"/>
  <c r="I45" i="5"/>
  <c r="E45" i="6"/>
  <c r="K43" i="6"/>
  <c r="G43" i="6"/>
  <c r="A42" i="5"/>
  <c r="P44" i="6"/>
  <c r="O50" i="6"/>
  <c r="J43" i="5"/>
  <c r="P43" i="6"/>
  <c r="E50" i="5"/>
  <c r="E49" i="5"/>
  <c r="G50" i="5"/>
  <c r="M49" i="6"/>
  <c r="K50" i="6"/>
  <c r="J44" i="6"/>
  <c r="T4" i="8"/>
  <c r="K44" i="5"/>
  <c r="P50" i="6"/>
  <c r="E44" i="5"/>
  <c r="G50" i="6"/>
  <c r="K51" i="5"/>
  <c r="I50" i="6"/>
  <c r="U4" i="8"/>
  <c r="I51" i="6"/>
  <c r="I44" i="6"/>
  <c r="R45" i="6"/>
  <c r="H43" i="6"/>
  <c r="J43" i="6"/>
  <c r="E44" i="6"/>
  <c r="E49" i="6"/>
  <c r="Q43" i="6"/>
  <c r="K50" i="5"/>
  <c r="I45" i="6"/>
  <c r="M44" i="6"/>
  <c r="J49" i="6"/>
  <c r="H43" i="5"/>
  <c r="A42" i="6"/>
  <c r="L43" i="6"/>
  <c r="H49" i="5"/>
  <c r="I49" i="6"/>
  <c r="R50" i="6"/>
  <c r="E43" i="6"/>
  <c r="O43" i="6"/>
  <c r="O51" i="6"/>
  <c r="O49" i="6"/>
  <c r="M50" i="6"/>
  <c r="Q50" i="6"/>
  <c r="E51" i="5"/>
  <c r="G44" i="5"/>
  <c r="P49" i="6"/>
  <c r="M43" i="6"/>
  <c r="E51" i="6"/>
  <c r="J45" i="5"/>
  <c r="O45" i="6"/>
  <c r="K45" i="6"/>
  <c r="G51" i="5"/>
  <c r="I49" i="5"/>
  <c r="R44" i="6"/>
  <c r="I44" i="5"/>
  <c r="H49" i="6"/>
  <c r="I50" i="5"/>
  <c r="I43" i="6"/>
  <c r="P51" i="6"/>
  <c r="J50" i="5"/>
  <c r="G45" i="6"/>
  <c r="S4" i="8"/>
  <c r="G43" i="5"/>
  <c r="K43" i="5"/>
  <c r="Q44" i="6"/>
  <c r="H51" i="6"/>
  <c r="J44" i="5"/>
  <c r="Q45" i="6"/>
  <c r="O44" i="6"/>
  <c r="H44" i="5"/>
  <c r="K44" i="6"/>
  <c r="E50" i="6"/>
  <c r="Q49" i="6"/>
  <c r="L50" i="6"/>
  <c r="K45" i="5"/>
  <c r="J51" i="5"/>
  <c r="K49" i="5"/>
  <c r="P45" i="6"/>
  <c r="K49" i="6"/>
  <c r="E43" i="5"/>
  <c r="L49" i="6"/>
  <c r="L44" i="6"/>
  <c r="I51" i="5"/>
  <c r="N49" i="6" l="1"/>
  <c r="F49" i="5"/>
  <c r="F49" i="6"/>
  <c r="N50" i="6"/>
  <c r="F50" i="6"/>
  <c r="F50" i="5"/>
  <c r="U4" i="12"/>
  <c r="D12" i="9"/>
  <c r="U16" i="9"/>
  <c r="R15" i="9"/>
  <c r="F45" i="6"/>
  <c r="F45" i="5"/>
  <c r="N45" i="6"/>
  <c r="O17" i="13"/>
  <c r="Y17" i="13" s="1"/>
  <c r="H17" i="13"/>
  <c r="F51" i="6"/>
  <c r="N43" i="6"/>
  <c r="N44" i="6"/>
  <c r="F43" i="6"/>
  <c r="F44" i="6"/>
  <c r="F44" i="5"/>
  <c r="F51" i="5"/>
  <c r="F43" i="5"/>
  <c r="H17" i="12"/>
  <c r="T22" i="9"/>
  <c r="T38" i="9"/>
  <c r="T51" i="9"/>
  <c r="U42" i="9"/>
  <c r="T30" i="9"/>
  <c r="T32" i="9"/>
  <c r="O17" i="12"/>
  <c r="O17" i="14"/>
  <c r="H17" i="14"/>
  <c r="O17" i="11"/>
  <c r="H17" i="11"/>
  <c r="T41" i="9"/>
  <c r="U32" i="9"/>
  <c r="U38" i="9"/>
  <c r="T54" i="9"/>
  <c r="T25" i="9"/>
  <c r="T29" i="9"/>
  <c r="T42" i="9"/>
  <c r="T49" i="9"/>
  <c r="T57" i="9"/>
  <c r="T24" i="9"/>
  <c r="T48" i="9"/>
  <c r="U54" i="9"/>
  <c r="T45" i="9"/>
  <c r="T26" i="9"/>
  <c r="T33" i="9"/>
  <c r="T39" i="9"/>
  <c r="T46" i="9"/>
  <c r="T23" i="9"/>
  <c r="T37" i="9"/>
  <c r="T58" i="9"/>
  <c r="T27" i="9"/>
  <c r="U24" i="9"/>
  <c r="T34" i="9"/>
  <c r="T53" i="9"/>
  <c r="R28" i="9"/>
  <c r="R43" i="9"/>
  <c r="R25" i="9"/>
  <c r="S25" i="9"/>
  <c r="U31" i="9"/>
  <c r="T31" i="9"/>
  <c r="S53" i="9"/>
  <c r="R31" i="9"/>
  <c r="R24" i="9"/>
  <c r="U35" i="9"/>
  <c r="S24" i="9"/>
  <c r="U25" i="9"/>
  <c r="S32" i="9"/>
  <c r="U43" i="9"/>
  <c r="R41" i="9"/>
  <c r="T15" i="9" s="1"/>
  <c r="S49" i="9"/>
  <c r="S41" i="9"/>
  <c r="S29" i="9"/>
  <c r="S57" i="9"/>
  <c r="U49" i="9"/>
  <c r="U21" i="9"/>
  <c r="R21" i="9"/>
  <c r="S45" i="9"/>
  <c r="S21" i="9"/>
  <c r="U41" i="9"/>
  <c r="S51" i="9"/>
  <c r="R48" i="9"/>
  <c r="F4" i="9"/>
  <c r="S4" i="9"/>
  <c r="U4" i="9"/>
  <c r="B5" i="9"/>
  <c r="F5" i="9"/>
  <c r="B6" i="9"/>
  <c r="C42" i="6"/>
  <c r="C42" i="5"/>
  <c r="U40" i="9"/>
  <c r="T40" i="9"/>
  <c r="U52" i="9"/>
  <c r="U26" i="9"/>
  <c r="S26" i="9"/>
  <c r="R26" i="9"/>
  <c r="U34" i="9"/>
  <c r="S34" i="9"/>
  <c r="R34" i="9"/>
  <c r="T50" i="9"/>
  <c r="S50" i="9"/>
  <c r="T28" i="9"/>
  <c r="T36" i="9"/>
  <c r="U48" i="9"/>
  <c r="T56" i="9"/>
  <c r="T47" i="9"/>
  <c r="U22" i="9"/>
  <c r="S22" i="9"/>
  <c r="R22" i="9"/>
  <c r="U30" i="9"/>
  <c r="S30" i="9"/>
  <c r="R30" i="9"/>
  <c r="S38" i="9"/>
  <c r="S58" i="9"/>
  <c r="U28" i="9"/>
  <c r="U36" i="9"/>
  <c r="T44" i="9"/>
  <c r="U56" i="9"/>
  <c r="S42" i="9"/>
  <c r="T55" i="9"/>
  <c r="T52" i="9"/>
  <c r="U46" i="9"/>
  <c r="S46" i="9"/>
  <c r="R46" i="9"/>
  <c r="U44" i="9"/>
  <c r="T43" i="9"/>
  <c r="S54" i="9"/>
  <c r="S5" i="9"/>
  <c r="F6" i="9"/>
  <c r="U35" i="8"/>
  <c r="U60" i="8"/>
  <c r="U8" i="8"/>
  <c r="M56" i="7"/>
  <c r="S37" i="8"/>
  <c r="S30" i="8"/>
  <c r="M50" i="7"/>
  <c r="U18" i="8"/>
  <c r="M63" i="7"/>
  <c r="M8" i="7"/>
  <c r="S55" i="8"/>
  <c r="T24" i="8"/>
  <c r="S8" i="8"/>
  <c r="M46" i="7"/>
  <c r="M11" i="7"/>
  <c r="U28" i="8"/>
  <c r="T18" i="8"/>
  <c r="T13" i="8"/>
  <c r="S58" i="8"/>
  <c r="T49" i="8"/>
  <c r="T43" i="8"/>
  <c r="S35" i="8"/>
  <c r="S11" i="8"/>
  <c r="U30" i="8"/>
  <c r="S25" i="8"/>
  <c r="M5" i="7"/>
  <c r="L50" i="5"/>
  <c r="U40" i="8"/>
  <c r="U45" i="8"/>
  <c r="U51" i="6"/>
  <c r="T69" i="8"/>
  <c r="S51" i="8"/>
  <c r="S23" i="8"/>
  <c r="U10" i="8"/>
  <c r="T19" i="8"/>
  <c r="U31" i="8"/>
  <c r="U44" i="8"/>
  <c r="M10" i="7"/>
  <c r="T27" i="8"/>
  <c r="T67" i="8"/>
  <c r="T8" i="8"/>
  <c r="U12" i="8"/>
  <c r="U36" i="8"/>
  <c r="M34" i="7"/>
  <c r="L49" i="5"/>
  <c r="J12" i="9"/>
  <c r="U66" i="8"/>
  <c r="U41" i="8"/>
  <c r="U37" i="8"/>
  <c r="T59" i="8"/>
  <c r="M70" i="7"/>
  <c r="U54" i="8"/>
  <c r="T70" i="8"/>
  <c r="U63" i="8"/>
  <c r="M16" i="7"/>
  <c r="U11" i="8"/>
  <c r="L44" i="5"/>
  <c r="M61" i="7"/>
  <c r="T44" i="6"/>
  <c r="T58" i="8"/>
  <c r="T30" i="8"/>
  <c r="U51" i="8"/>
  <c r="S41" i="8"/>
  <c r="S49" i="8"/>
  <c r="S26" i="8"/>
  <c r="T9" i="8"/>
  <c r="M64" i="7"/>
  <c r="T33" i="8"/>
  <c r="M47" i="7"/>
  <c r="U64" i="8"/>
  <c r="T64" i="8"/>
  <c r="S67" i="8"/>
  <c r="M37" i="7"/>
  <c r="T45" i="8"/>
  <c r="T23" i="8"/>
  <c r="S18" i="8"/>
  <c r="U43" i="8"/>
  <c r="U43" i="6"/>
  <c r="S12" i="8"/>
  <c r="T25" i="8"/>
  <c r="U34" i="8"/>
  <c r="S20" i="8"/>
  <c r="M59" i="7"/>
  <c r="M58" i="7"/>
  <c r="S43" i="8"/>
  <c r="S10" i="8"/>
  <c r="M31" i="7"/>
  <c r="S24" i="8"/>
  <c r="M21" i="7"/>
  <c r="M45" i="7"/>
  <c r="S42" i="8"/>
  <c r="S16" i="8"/>
  <c r="M17" i="7"/>
  <c r="U52" i="8"/>
  <c r="U33" i="8"/>
  <c r="S47" i="8"/>
  <c r="M62" i="7"/>
  <c r="T32" i="8"/>
  <c r="U44" i="6"/>
  <c r="T46" i="8"/>
  <c r="S40" i="8"/>
  <c r="T36" i="8"/>
  <c r="S9" i="8"/>
  <c r="M18" i="7"/>
  <c r="U26" i="8"/>
  <c r="S68" i="8"/>
  <c r="T39" i="8"/>
  <c r="S15" i="8"/>
  <c r="U47" i="8"/>
  <c r="U22" i="8"/>
  <c r="S29" i="8"/>
  <c r="S61" i="8"/>
  <c r="S65" i="8"/>
  <c r="M13" i="7"/>
  <c r="U48" i="8"/>
  <c r="M71" i="7"/>
  <c r="T42" i="8"/>
  <c r="S34" i="8"/>
  <c r="T34" i="8"/>
  <c r="M28" i="7"/>
  <c r="M38" i="7"/>
  <c r="M9" i="7"/>
  <c r="U50" i="6"/>
  <c r="M33" i="7"/>
  <c r="T51" i="6"/>
  <c r="U23" i="8"/>
  <c r="S59" i="8"/>
  <c r="S64" i="8"/>
  <c r="M49" i="7"/>
  <c r="M57" i="7"/>
  <c r="T12" i="8"/>
  <c r="T71" i="8"/>
  <c r="T35" i="8"/>
  <c r="U56" i="8"/>
  <c r="M43" i="7"/>
  <c r="M20" i="7"/>
  <c r="T28" i="8"/>
  <c r="U21" i="8"/>
  <c r="M26" i="7"/>
  <c r="S17" i="8"/>
  <c r="S66" i="8"/>
  <c r="T60" i="8"/>
  <c r="U7" i="8"/>
  <c r="T65" i="8"/>
  <c r="M65" i="7"/>
  <c r="M7" i="7"/>
  <c r="S48" i="8"/>
  <c r="L51" i="5"/>
  <c r="S6" i="8"/>
  <c r="S36" i="8"/>
  <c r="S27" i="8"/>
  <c r="T37" i="8"/>
  <c r="M12" i="7"/>
  <c r="U59" i="8"/>
  <c r="U49" i="8"/>
  <c r="S70" i="8"/>
  <c r="U6" i="8"/>
  <c r="S60" i="8"/>
  <c r="T26" i="8"/>
  <c r="T68" i="8"/>
  <c r="T20" i="8"/>
  <c r="U19" i="8"/>
  <c r="T47" i="8"/>
  <c r="M36" i="7"/>
  <c r="U20" i="8"/>
  <c r="S54" i="8"/>
  <c r="U29" i="8"/>
  <c r="L45" i="5"/>
  <c r="U70" i="8"/>
  <c r="M19" i="7"/>
  <c r="S39" i="8"/>
  <c r="U50" i="8"/>
  <c r="S21" i="8"/>
  <c r="T55" i="8"/>
  <c r="M23" i="7"/>
  <c r="S62" i="8"/>
  <c r="S7" i="8"/>
  <c r="M32" i="7"/>
  <c r="S46" i="8"/>
  <c r="S63" i="8"/>
  <c r="M60" i="7"/>
  <c r="T41" i="8"/>
  <c r="T51" i="8"/>
  <c r="U69" i="8"/>
  <c r="M14" i="7"/>
  <c r="S5" i="8"/>
  <c r="T31" i="8"/>
  <c r="M68" i="7"/>
  <c r="M27" i="7"/>
  <c r="T62" i="8"/>
  <c r="U5" i="8"/>
  <c r="U32" i="8"/>
  <c r="M53" i="7"/>
  <c r="S50" i="8"/>
  <c r="T48" i="8"/>
  <c r="T66" i="8"/>
  <c r="U58" i="8"/>
  <c r="M48" i="7"/>
  <c r="S22" i="8"/>
  <c r="M66" i="7"/>
  <c r="M35" i="7"/>
  <c r="S19" i="8"/>
  <c r="M15" i="7"/>
  <c r="M25" i="7"/>
  <c r="U13" i="8"/>
  <c r="T15" i="8"/>
  <c r="U39" i="8"/>
  <c r="U24" i="8"/>
  <c r="S13" i="8"/>
  <c r="U38" i="8"/>
  <c r="S53" i="8"/>
  <c r="T56" i="8"/>
  <c r="T10" i="8"/>
  <c r="U62" i="8"/>
  <c r="M69" i="7"/>
  <c r="T61" i="8"/>
  <c r="U45" i="6"/>
  <c r="U57" i="8"/>
  <c r="T43" i="6"/>
  <c r="U65" i="8"/>
  <c r="U49" i="6"/>
  <c r="T50" i="8"/>
  <c r="U61" i="8"/>
  <c r="U16" i="8"/>
  <c r="T29" i="8"/>
  <c r="S33" i="8"/>
  <c r="S56" i="8"/>
  <c r="M30" i="7"/>
  <c r="U71" i="8"/>
  <c r="M67" i="7"/>
  <c r="T63" i="8"/>
  <c r="U17" i="8"/>
  <c r="M41" i="7"/>
  <c r="M6" i="7"/>
  <c r="T21" i="8"/>
  <c r="S38" i="8"/>
  <c r="M44" i="7"/>
  <c r="T7" i="8"/>
  <c r="U27" i="8"/>
  <c r="T11" i="8"/>
  <c r="T16" i="8"/>
  <c r="U53" i="8"/>
  <c r="U9" i="8"/>
  <c r="T5" i="8"/>
  <c r="S14" i="8"/>
  <c r="U42" i="8"/>
  <c r="M55" i="7"/>
  <c r="M24" i="7"/>
  <c r="M52" i="7"/>
  <c r="S44" i="8"/>
  <c r="T22" i="8"/>
  <c r="U68" i="8"/>
  <c r="U15" i="8"/>
  <c r="U25" i="8"/>
  <c r="S71" i="8"/>
  <c r="T6" i="8"/>
  <c r="S52" i="8"/>
  <c r="T14" i="8"/>
  <c r="M51" i="7"/>
  <c r="S45" i="8"/>
  <c r="S32" i="8"/>
  <c r="L43" i="5"/>
  <c r="T17" i="8"/>
  <c r="U14" i="8"/>
  <c r="M39" i="7"/>
  <c r="S57" i="8"/>
  <c r="F12" i="9"/>
  <c r="T57" i="8"/>
  <c r="T45" i="6"/>
  <c r="U67" i="8"/>
  <c r="T52" i="8"/>
  <c r="T53" i="8"/>
  <c r="T54" i="8"/>
  <c r="U55" i="8"/>
  <c r="S28" i="8"/>
  <c r="T49" i="6"/>
  <c r="U46" i="8"/>
  <c r="T44" i="8"/>
  <c r="S69" i="8"/>
  <c r="M42" i="7"/>
  <c r="M29" i="7"/>
  <c r="T38" i="8"/>
  <c r="S31" i="8"/>
  <c r="T40" i="8"/>
  <c r="M22" i="7"/>
  <c r="T50" i="6"/>
  <c r="M40" i="7"/>
  <c r="M54" i="7"/>
  <c r="T16" i="9" l="1"/>
  <c r="R14" i="9"/>
  <c r="R16" i="9"/>
  <c r="S15" i="9"/>
  <c r="S16" i="9"/>
  <c r="U15" i="9"/>
  <c r="T14" i="9"/>
  <c r="U14" i="9"/>
  <c r="N17" i="13"/>
  <c r="X17" i="13"/>
  <c r="N17" i="12"/>
  <c r="S14" i="9"/>
  <c r="U13" i="9"/>
  <c r="X17" i="11"/>
  <c r="X17" i="14"/>
  <c r="X17" i="12"/>
  <c r="S13" i="9"/>
  <c r="R13" i="9"/>
  <c r="R12" i="9"/>
  <c r="U12" i="9"/>
  <c r="T12" i="9"/>
  <c r="T13" i="9"/>
  <c r="S12" i="9"/>
  <c r="Y17" i="12"/>
  <c r="Y17" i="14"/>
  <c r="N17" i="14"/>
  <c r="Y17" i="11"/>
  <c r="N17" i="11"/>
  <c r="S72" i="8"/>
  <c r="T72" i="8"/>
  <c r="M72" i="7"/>
  <c r="U72" i="8"/>
  <c r="E15" i="9"/>
  <c r="J13" i="9"/>
  <c r="S43" i="6"/>
  <c r="J15" i="9"/>
  <c r="G13" i="9"/>
  <c r="L16" i="9"/>
  <c r="E12" i="9"/>
  <c r="D13" i="9"/>
  <c r="S49" i="6"/>
  <c r="E16" i="9"/>
  <c r="M12" i="9"/>
  <c r="L14" i="9"/>
  <c r="G16" i="9"/>
  <c r="L13" i="9"/>
  <c r="J14" i="9"/>
  <c r="D15" i="9"/>
  <c r="E13" i="9"/>
  <c r="S45" i="6"/>
  <c r="K13" i="9"/>
  <c r="D16" i="9"/>
  <c r="G12" i="9"/>
  <c r="M14" i="9"/>
  <c r="K14" i="9"/>
  <c r="L15" i="9"/>
  <c r="M16" i="9"/>
  <c r="S50" i="6"/>
  <c r="F13" i="9"/>
  <c r="F16" i="9"/>
  <c r="L12" i="9"/>
  <c r="G15" i="9"/>
  <c r="M13" i="9"/>
  <c r="F14" i="9"/>
  <c r="E14" i="9"/>
  <c r="K12" i="9"/>
  <c r="G14" i="9"/>
  <c r="K16" i="9"/>
  <c r="F15" i="9"/>
  <c r="M15" i="9"/>
  <c r="S44" i="6"/>
  <c r="D14" i="9"/>
  <c r="J16" i="9"/>
  <c r="K15" i="9"/>
  <c r="O15" i="9" l="1"/>
  <c r="Y15" i="9" s="1"/>
  <c r="S17" i="9"/>
  <c r="E17" i="9"/>
  <c r="J17" i="9"/>
  <c r="N12" i="9"/>
  <c r="N15" i="9"/>
  <c r="T17" i="9"/>
  <c r="L17" i="9"/>
  <c r="M17" i="9"/>
  <c r="K17" i="9"/>
  <c r="D17" i="9"/>
  <c r="O16" i="9"/>
  <c r="Y16" i="9" s="1"/>
  <c r="H16" i="9"/>
  <c r="X16" i="9" s="1"/>
  <c r="R17" i="9"/>
  <c r="F17" i="9"/>
  <c r="U17" i="9"/>
  <c r="H13" i="9"/>
  <c r="X13" i="9" s="1"/>
  <c r="O13" i="9"/>
  <c r="Y13" i="9" s="1"/>
  <c r="N13" i="9"/>
  <c r="H15" i="9"/>
  <c r="X15" i="9" s="1"/>
  <c r="H14" i="9"/>
  <c r="X14" i="9" s="1"/>
  <c r="O14" i="9"/>
  <c r="Y14" i="9" s="1"/>
  <c r="N16" i="9"/>
  <c r="H12" i="9"/>
  <c r="X12" i="9" s="1"/>
  <c r="G17" i="9"/>
  <c r="O12" i="9"/>
  <c r="Y12" i="9" s="1"/>
  <c r="N14" i="9"/>
  <c r="P42" i="6"/>
  <c r="H42" i="6"/>
  <c r="M42" i="6"/>
  <c r="J42" i="5"/>
  <c r="H42" i="5"/>
  <c r="O42" i="6"/>
  <c r="R42" i="6"/>
  <c r="E42" i="5"/>
  <c r="G42" i="5"/>
  <c r="E42" i="6"/>
  <c r="G42" i="6"/>
  <c r="I42" i="5"/>
  <c r="Q42" i="6"/>
  <c r="K42" i="5"/>
  <c r="J42" i="6"/>
  <c r="L42" i="6"/>
  <c r="K42" i="6"/>
  <c r="I42" i="6"/>
  <c r="K52" i="6" l="1"/>
  <c r="L52" i="6"/>
  <c r="J52" i="6"/>
  <c r="M52" i="6"/>
  <c r="Q52" i="6"/>
  <c r="K52" i="5"/>
  <c r="P52" i="6"/>
  <c r="R52" i="6"/>
  <c r="O52" i="6"/>
  <c r="J52" i="5"/>
  <c r="H52" i="6"/>
  <c r="H52" i="5"/>
  <c r="F42" i="5"/>
  <c r="F52" i="5" s="1"/>
  <c r="E52" i="5"/>
  <c r="E52" i="6"/>
  <c r="F42" i="6"/>
  <c r="F52" i="6" s="1"/>
  <c r="G52" i="6"/>
  <c r="G52" i="5"/>
  <c r="I52" i="6"/>
  <c r="I52" i="5"/>
  <c r="N42" i="6"/>
  <c r="N52" i="6" s="1"/>
  <c r="H17" i="9"/>
  <c r="O17" i="9"/>
  <c r="U42" i="6"/>
  <c r="T42" i="6"/>
  <c r="L42" i="5"/>
  <c r="L52" i="5" l="1"/>
  <c r="S52" i="6"/>
  <c r="X17" i="9"/>
  <c r="T52" i="6"/>
  <c r="U52" i="6"/>
  <c r="N17" i="9"/>
  <c r="Y17" i="9"/>
  <c r="S42" i="6"/>
  <c r="F5" i="13" l="1"/>
  <c r="H21" i="7"/>
  <c r="M12" i="8"/>
  <c r="F50" i="8"/>
  <c r="N40" i="8"/>
  <c r="J43" i="7"/>
  <c r="N48" i="8"/>
  <c r="L63" i="8"/>
  <c r="G60" i="7"/>
  <c r="H32" i="7"/>
  <c r="M45" i="8"/>
  <c r="F55" i="8"/>
  <c r="N70" i="8"/>
  <c r="L10" i="8"/>
  <c r="N46" i="8"/>
  <c r="F45" i="7"/>
  <c r="L41" i="8"/>
  <c r="K12" i="8"/>
  <c r="F53" i="7"/>
  <c r="K49" i="8"/>
  <c r="H41" i="7"/>
  <c r="K30" i="8"/>
  <c r="I44" i="7"/>
  <c r="G39" i="7"/>
  <c r="G15" i="7"/>
  <c r="H51" i="7"/>
  <c r="H14" i="7"/>
  <c r="L19" i="8"/>
  <c r="I14" i="7"/>
  <c r="M64" i="8"/>
  <c r="M27" i="8"/>
  <c r="F9" i="8"/>
  <c r="F59" i="7"/>
  <c r="K15" i="8"/>
  <c r="M60" i="8"/>
  <c r="M53" i="8"/>
  <c r="H57" i="7"/>
  <c r="N28" i="8"/>
  <c r="M57" i="8"/>
  <c r="G7" i="7"/>
  <c r="K69" i="8"/>
  <c r="J12" i="7"/>
  <c r="H10" i="7"/>
  <c r="M70" i="8"/>
  <c r="N16" i="8"/>
  <c r="G24" i="7"/>
  <c r="N67" i="8"/>
  <c r="K47" i="8"/>
  <c r="G10" i="7"/>
  <c r="G71" i="7"/>
  <c r="M56" i="8"/>
  <c r="J68" i="7"/>
  <c r="I9" i="7"/>
  <c r="J34" i="7"/>
  <c r="F50" i="7"/>
  <c r="L61" i="8"/>
  <c r="G43" i="7"/>
  <c r="N42" i="8"/>
  <c r="N31" i="8"/>
  <c r="G17" i="7"/>
  <c r="G28" i="7"/>
  <c r="F61" i="7"/>
  <c r="G9" i="7"/>
  <c r="M68" i="8"/>
  <c r="J19" i="7"/>
  <c r="K16" i="8"/>
  <c r="L5" i="8"/>
  <c r="K67" i="8"/>
  <c r="H27" i="7"/>
  <c r="J49" i="7"/>
  <c r="F10" i="7"/>
  <c r="L35" i="8"/>
  <c r="F41" i="8"/>
  <c r="N29" i="8"/>
  <c r="I27" i="7"/>
  <c r="I69" i="7"/>
  <c r="I63" i="7"/>
  <c r="G51" i="7"/>
  <c r="G58" i="7"/>
  <c r="M51" i="8"/>
  <c r="N30" i="8"/>
  <c r="N19" i="8"/>
  <c r="F5" i="8"/>
  <c r="J8" i="7"/>
  <c r="K28" i="8"/>
  <c r="F38" i="8"/>
  <c r="F34" i="8"/>
  <c r="I61" i="7"/>
  <c r="F22" i="8"/>
  <c r="J24" i="7"/>
  <c r="K22" i="8"/>
  <c r="N37" i="8"/>
  <c r="H58" i="7"/>
  <c r="I11" i="7"/>
  <c r="F48" i="8"/>
  <c r="H9" i="7"/>
  <c r="K45" i="8"/>
  <c r="G45" i="7"/>
  <c r="I31" i="7"/>
  <c r="J50" i="7"/>
  <c r="L52" i="8"/>
  <c r="F31" i="7"/>
  <c r="F61" i="8"/>
  <c r="F8" i="8"/>
  <c r="I52" i="7"/>
  <c r="M58" i="8"/>
  <c r="F55" i="7"/>
  <c r="F44" i="8"/>
  <c r="M32" i="8"/>
  <c r="N47" i="8"/>
  <c r="F49" i="8"/>
  <c r="F52" i="8"/>
  <c r="M61" i="8"/>
  <c r="M39" i="8"/>
  <c r="F16" i="7"/>
  <c r="J9" i="7"/>
  <c r="I39" i="7"/>
  <c r="H54" i="7"/>
  <c r="N11" i="8"/>
  <c r="I23" i="7"/>
  <c r="J21" i="7"/>
  <c r="I37" i="7"/>
  <c r="L69" i="8"/>
  <c r="F24" i="7"/>
  <c r="F57" i="8"/>
  <c r="F33" i="7"/>
  <c r="J52" i="7"/>
  <c r="N66" i="8"/>
  <c r="N38" i="8"/>
  <c r="G65" i="7"/>
  <c r="H52" i="7"/>
  <c r="I10" i="7"/>
  <c r="F47" i="7"/>
  <c r="J16" i="7"/>
  <c r="F36" i="8"/>
  <c r="M6" i="8"/>
  <c r="H33" i="7"/>
  <c r="M36" i="8"/>
  <c r="H46" i="7"/>
  <c r="M9" i="8"/>
  <c r="I47" i="7"/>
  <c r="J29" i="7"/>
  <c r="I34" i="7"/>
  <c r="F63" i="8"/>
  <c r="N49" i="8"/>
  <c r="M48" i="8"/>
  <c r="F66" i="7"/>
  <c r="F13" i="8"/>
  <c r="H44" i="7"/>
  <c r="I18" i="7"/>
  <c r="F26" i="7"/>
  <c r="F7" i="8"/>
  <c r="F65" i="8"/>
  <c r="I17" i="7"/>
  <c r="H49" i="7"/>
  <c r="M66" i="8"/>
  <c r="J6" i="7"/>
  <c r="F5" i="7"/>
  <c r="K57" i="8"/>
  <c r="N12" i="8"/>
  <c r="H47" i="7"/>
  <c r="J40" i="7"/>
  <c r="F39" i="8"/>
  <c r="M5" i="8"/>
  <c r="L31" i="8"/>
  <c r="F58" i="8"/>
  <c r="J18" i="7"/>
  <c r="J28" i="7"/>
  <c r="F71" i="7"/>
  <c r="M11" i="8"/>
  <c r="N32" i="8"/>
  <c r="J41" i="7"/>
  <c r="L34" i="8"/>
  <c r="N55" i="8"/>
  <c r="F10" i="8"/>
  <c r="J26" i="7"/>
  <c r="I70" i="7"/>
  <c r="L45" i="8"/>
  <c r="H42" i="7"/>
  <c r="F35" i="8"/>
  <c r="G68" i="7"/>
  <c r="G46" i="7"/>
  <c r="F58" i="7"/>
  <c r="J14" i="7"/>
  <c r="L13" i="8"/>
  <c r="N13" i="8"/>
  <c r="F37" i="8"/>
  <c r="I6" i="7"/>
  <c r="F65" i="7"/>
  <c r="H62" i="7"/>
  <c r="H55" i="7"/>
  <c r="H64" i="7"/>
  <c r="M34" i="8"/>
  <c r="I12" i="7"/>
  <c r="G40" i="7"/>
  <c r="I43" i="7"/>
  <c r="I16" i="7"/>
  <c r="G16" i="7"/>
  <c r="I56" i="7"/>
  <c r="K58" i="8"/>
  <c r="J58" i="7"/>
  <c r="J42" i="7"/>
  <c r="I57" i="7"/>
  <c r="J10" i="7"/>
  <c r="M10" i="8"/>
  <c r="F56" i="7"/>
  <c r="K66" i="8"/>
  <c r="H71" i="7"/>
  <c r="F12" i="8"/>
  <c r="H69" i="7"/>
  <c r="J11" i="7"/>
  <c r="H61" i="7"/>
  <c r="G12" i="7"/>
  <c r="F29" i="8"/>
  <c r="G52" i="7"/>
  <c r="F30" i="8"/>
  <c r="I30" i="7"/>
  <c r="H66" i="7"/>
  <c r="J62" i="7"/>
  <c r="I45" i="7"/>
  <c r="J38" i="7"/>
  <c r="F60" i="8"/>
  <c r="F27" i="7"/>
  <c r="M41" i="8"/>
  <c r="H37" i="7"/>
  <c r="G56" i="7"/>
  <c r="F33" i="8"/>
  <c r="L33" i="8"/>
  <c r="J22" i="7"/>
  <c r="L67" i="8"/>
  <c r="N23" i="8"/>
  <c r="M47" i="8"/>
  <c r="H5" i="7"/>
  <c r="M50" i="8"/>
  <c r="H35" i="7"/>
  <c r="K11" i="8"/>
  <c r="J65" i="7"/>
  <c r="N64" i="8"/>
  <c r="L23" i="8"/>
  <c r="M18" i="8"/>
  <c r="I68" i="7"/>
  <c r="F21" i="8"/>
  <c r="N18" i="8"/>
  <c r="L58" i="8"/>
  <c r="I5" i="7"/>
  <c r="M23" i="8"/>
  <c r="I48" i="7"/>
  <c r="N62" i="8"/>
  <c r="I53" i="7"/>
  <c r="I33" i="7"/>
  <c r="M67" i="8"/>
  <c r="G41" i="7"/>
  <c r="L15" i="8"/>
  <c r="H12" i="7"/>
  <c r="N61" i="8"/>
  <c r="M24" i="8"/>
  <c r="H25" i="7"/>
  <c r="M31" i="8"/>
  <c r="N63" i="8"/>
  <c r="G5" i="7"/>
  <c r="F48" i="7"/>
  <c r="F43" i="7"/>
  <c r="I7" i="7"/>
  <c r="L40" i="8"/>
  <c r="N41" i="8"/>
  <c r="L60" i="8"/>
  <c r="I29" i="7"/>
  <c r="K71" i="8"/>
  <c r="K55" i="8"/>
  <c r="K23" i="8"/>
  <c r="J57" i="7"/>
  <c r="H24" i="7"/>
  <c r="F32" i="7"/>
  <c r="L37" i="8"/>
  <c r="G11" i="7"/>
  <c r="F37" i="7"/>
  <c r="M19" i="8"/>
  <c r="H30" i="7"/>
  <c r="F49" i="7"/>
  <c r="N60" i="8"/>
  <c r="K20" i="8"/>
  <c r="F35" i="7"/>
  <c r="G38" i="7"/>
  <c r="L17" i="8"/>
  <c r="F60" i="7"/>
  <c r="M26" i="8"/>
  <c r="H56" i="7"/>
  <c r="K43" i="8"/>
  <c r="F34" i="7"/>
  <c r="H19" i="7"/>
  <c r="G49" i="7"/>
  <c r="L49" i="8"/>
  <c r="F42" i="8"/>
  <c r="F6" i="7"/>
  <c r="K54" i="8"/>
  <c r="G33" i="7"/>
  <c r="F51" i="7"/>
  <c r="G48" i="7"/>
  <c r="L43" i="8"/>
  <c r="M37" i="8"/>
  <c r="G70" i="7"/>
  <c r="G50" i="7"/>
  <c r="L39" i="8"/>
  <c r="H40" i="7"/>
  <c r="N56" i="8"/>
  <c r="H34" i="7"/>
  <c r="L16" i="8"/>
  <c r="J20" i="7"/>
  <c r="G27" i="7"/>
  <c r="L28" i="8"/>
  <c r="F14" i="8"/>
  <c r="J67" i="7"/>
  <c r="G62" i="7"/>
  <c r="K38" i="8"/>
  <c r="K32" i="8"/>
  <c r="I25" i="7"/>
  <c r="J13" i="7"/>
  <c r="K39" i="8"/>
  <c r="F15" i="7"/>
  <c r="H26" i="7"/>
  <c r="L32" i="8"/>
  <c r="N20" i="8"/>
  <c r="G18" i="7"/>
  <c r="F30" i="7"/>
  <c r="I36" i="7"/>
  <c r="F67" i="8"/>
  <c r="I20" i="7"/>
  <c r="K48" i="8"/>
  <c r="G37" i="7"/>
  <c r="I41" i="7"/>
  <c r="L47" i="8"/>
  <c r="I35" i="7"/>
  <c r="H68" i="7"/>
  <c r="F51" i="8"/>
  <c r="L56" i="8"/>
  <c r="I22" i="7"/>
  <c r="H8" i="7"/>
  <c r="L44" i="8"/>
  <c r="F23" i="7"/>
  <c r="F32" i="8"/>
  <c r="K64" i="8"/>
  <c r="F17" i="7"/>
  <c r="M25" i="8"/>
  <c r="G69" i="7"/>
  <c r="L29" i="8"/>
  <c r="I32" i="7"/>
  <c r="N52" i="8"/>
  <c r="N33" i="8"/>
  <c r="F18" i="8"/>
  <c r="I42" i="7"/>
  <c r="F26" i="8"/>
  <c r="F19" i="8"/>
  <c r="F27" i="8"/>
  <c r="J70" i="7"/>
  <c r="F46" i="8"/>
  <c r="N22" i="8"/>
  <c r="L42" i="8"/>
  <c r="J47" i="7"/>
  <c r="L6" i="8"/>
  <c r="N26" i="8"/>
  <c r="L66" i="8"/>
  <c r="J37" i="7"/>
  <c r="N35" i="8"/>
  <c r="L24" i="8"/>
  <c r="I21" i="7"/>
  <c r="J5" i="7"/>
  <c r="K61" i="8"/>
  <c r="K19" i="8"/>
  <c r="F53" i="8"/>
  <c r="H13" i="7"/>
  <c r="J51" i="7"/>
  <c r="F28" i="7"/>
  <c r="H59" i="7"/>
  <c r="G13" i="7"/>
  <c r="G64" i="7"/>
  <c r="F64" i="8"/>
  <c r="L59" i="8"/>
  <c r="K52" i="8"/>
  <c r="N50" i="8"/>
  <c r="J48" i="7"/>
  <c r="H17" i="7"/>
  <c r="L71" i="8"/>
  <c r="I60" i="7"/>
  <c r="H31" i="7"/>
  <c r="L9" i="8"/>
  <c r="N45" i="8"/>
  <c r="F25" i="7"/>
  <c r="L53" i="8"/>
  <c r="J36" i="7"/>
  <c r="N24" i="8"/>
  <c r="M49" i="8"/>
  <c r="N10" i="8"/>
  <c r="I38" i="7"/>
  <c r="N25" i="8"/>
  <c r="K17" i="8"/>
  <c r="G23" i="7"/>
  <c r="F16" i="8"/>
  <c r="F20" i="7"/>
  <c r="J66" i="7"/>
  <c r="L30" i="8"/>
  <c r="H53" i="7"/>
  <c r="F8" i="7"/>
  <c r="H70" i="7"/>
  <c r="F52" i="7"/>
  <c r="K21" i="8"/>
  <c r="I49" i="7"/>
  <c r="K35" i="8"/>
  <c r="L12" i="8"/>
  <c r="I15" i="7"/>
  <c r="H16" i="7"/>
  <c r="I50" i="7"/>
  <c r="N69" i="8"/>
  <c r="I26" i="7"/>
  <c r="M46" i="8"/>
  <c r="K40" i="8"/>
  <c r="N36" i="8"/>
  <c r="M62" i="8"/>
  <c r="L11" i="8"/>
  <c r="F64" i="7"/>
  <c r="I66" i="7"/>
  <c r="N59" i="8"/>
  <c r="F69" i="7"/>
  <c r="N8" i="8"/>
  <c r="H45" i="7"/>
  <c r="L50" i="8"/>
  <c r="G31" i="7"/>
  <c r="N14" i="8"/>
  <c r="K34" i="8"/>
  <c r="M59" i="8"/>
  <c r="L54" i="8"/>
  <c r="G53" i="7"/>
  <c r="J53" i="7"/>
  <c r="K9" i="8"/>
  <c r="K63" i="8"/>
  <c r="M44" i="8"/>
  <c r="N15" i="8"/>
  <c r="H23" i="7"/>
  <c r="F70" i="7"/>
  <c r="M63" i="8"/>
  <c r="F12" i="7"/>
  <c r="G57" i="7"/>
  <c r="N44" i="8"/>
  <c r="F29" i="7"/>
  <c r="J17" i="7"/>
  <c r="J35" i="7"/>
  <c r="F69" i="8"/>
  <c r="N53" i="8"/>
  <c r="K8" i="8"/>
  <c r="J31" i="7"/>
  <c r="L36" i="8"/>
  <c r="L8" i="8"/>
  <c r="I24" i="7"/>
  <c r="M21" i="8"/>
  <c r="K33" i="8"/>
  <c r="I51" i="7"/>
  <c r="H48" i="7"/>
  <c r="J64" i="7"/>
  <c r="M17" i="8"/>
  <c r="H22" i="7"/>
  <c r="G6" i="7"/>
  <c r="F54" i="7"/>
  <c r="F70" i="8"/>
  <c r="G29" i="7"/>
  <c r="J44" i="7"/>
  <c r="N58" i="8"/>
  <c r="F18" i="7"/>
  <c r="I55" i="7"/>
  <c r="K62" i="8"/>
  <c r="F63" i="7"/>
  <c r="M43" i="8"/>
  <c r="L26" i="8"/>
  <c r="K18" i="8"/>
  <c r="G44" i="7"/>
  <c r="M69" i="8"/>
  <c r="N51" i="8"/>
  <c r="I19" i="7"/>
  <c r="H20" i="7"/>
  <c r="J59" i="7"/>
  <c r="F23" i="8"/>
  <c r="L48" i="8"/>
  <c r="M42" i="8"/>
  <c r="M40" i="8"/>
  <c r="I13" i="7"/>
  <c r="M16" i="8"/>
  <c r="N6" i="8"/>
  <c r="F38" i="7"/>
  <c r="G30" i="7"/>
  <c r="F56" i="8"/>
  <c r="I59" i="7"/>
  <c r="K37" i="8"/>
  <c r="N68" i="8"/>
  <c r="K50" i="8"/>
  <c r="K60" i="8"/>
  <c r="M28" i="8"/>
  <c r="M14" i="8"/>
  <c r="J23" i="7"/>
  <c r="F22" i="7"/>
  <c r="F57" i="7"/>
  <c r="G34" i="7"/>
  <c r="K53" i="8"/>
  <c r="F40" i="7"/>
  <c r="K7" i="8"/>
  <c r="L20" i="8"/>
  <c r="L62" i="8"/>
  <c r="L38" i="8"/>
  <c r="J63" i="7"/>
  <c r="N9" i="8"/>
  <c r="M29" i="8"/>
  <c r="L46" i="8"/>
  <c r="F46" i="7"/>
  <c r="M65" i="8"/>
  <c r="J45" i="7"/>
  <c r="F62" i="8"/>
  <c r="G25" i="7"/>
  <c r="I58" i="7"/>
  <c r="L51" i="8"/>
  <c r="H29" i="7"/>
  <c r="K46" i="8"/>
  <c r="F67" i="7"/>
  <c r="G22" i="7"/>
  <c r="G21" i="7"/>
  <c r="F71" i="8"/>
  <c r="J39" i="7"/>
  <c r="J61" i="7"/>
  <c r="H67" i="7"/>
  <c r="J54" i="7"/>
  <c r="I46" i="7"/>
  <c r="H28" i="7"/>
  <c r="G20" i="7"/>
  <c r="H11" i="7"/>
  <c r="J33" i="7"/>
  <c r="J55" i="7"/>
  <c r="F59" i="8"/>
  <c r="F43" i="8"/>
  <c r="G61" i="7"/>
  <c r="L55" i="8"/>
  <c r="M38" i="8"/>
  <c r="L57" i="8"/>
  <c r="F54" i="8"/>
  <c r="N54" i="8"/>
  <c r="F42" i="7"/>
  <c r="M7" i="8"/>
  <c r="H50" i="7"/>
  <c r="G54" i="7"/>
  <c r="G42" i="7"/>
  <c r="I64" i="7"/>
  <c r="I67" i="7"/>
  <c r="J25" i="7"/>
  <c r="F9" i="7"/>
  <c r="L25" i="8"/>
  <c r="J30" i="7"/>
  <c r="H38" i="7"/>
  <c r="K56" i="8"/>
  <c r="H60" i="7"/>
  <c r="F21" i="7"/>
  <c r="F11" i="7"/>
  <c r="F6" i="8"/>
  <c r="K10" i="8"/>
  <c r="F62" i="7"/>
  <c r="L65" i="8"/>
  <c r="I54" i="7"/>
  <c r="J60" i="7"/>
  <c r="F68" i="7"/>
  <c r="M55" i="8"/>
  <c r="N43" i="8"/>
  <c r="G36" i="7"/>
  <c r="F45" i="8"/>
  <c r="L27" i="8"/>
  <c r="K25" i="8"/>
  <c r="N57" i="8"/>
  <c r="I71" i="7"/>
  <c r="K70" i="8"/>
  <c r="H65" i="7"/>
  <c r="M15" i="8"/>
  <c r="I65" i="7"/>
  <c r="M71" i="8"/>
  <c r="N27" i="8"/>
  <c r="N17" i="8"/>
  <c r="N71" i="8"/>
  <c r="I8" i="7"/>
  <c r="H7" i="7"/>
  <c r="G67" i="7"/>
  <c r="J69" i="7"/>
  <c r="G55" i="7"/>
  <c r="F41" i="7"/>
  <c r="I62" i="7"/>
  <c r="G35" i="7"/>
  <c r="K13" i="8"/>
  <c r="F13" i="7"/>
  <c r="F28" i="8"/>
  <c r="K59" i="8"/>
  <c r="N65" i="8"/>
  <c r="G19" i="7"/>
  <c r="F14" i="7"/>
  <c r="G14" i="7"/>
  <c r="I28" i="7"/>
  <c r="M20" i="8"/>
  <c r="G66" i="7"/>
  <c r="N21" i="8"/>
  <c r="K26" i="8"/>
  <c r="N34" i="8"/>
  <c r="K68" i="8"/>
  <c r="L70" i="8"/>
  <c r="K44" i="8"/>
  <c r="M8" i="8"/>
  <c r="L14" i="8"/>
  <c r="G26" i="7"/>
  <c r="K29" i="8"/>
  <c r="M35" i="8"/>
  <c r="J32" i="7"/>
  <c r="K6" i="8"/>
  <c r="H43" i="7"/>
  <c r="J71" i="7"/>
  <c r="M22" i="8"/>
  <c r="J15" i="7"/>
  <c r="J27" i="7"/>
  <c r="L7" i="8"/>
  <c r="F40" i="8"/>
  <c r="N5" i="8"/>
  <c r="I40" i="7"/>
  <c r="M33" i="8"/>
  <c r="J7" i="7"/>
  <c r="N7" i="8"/>
  <c r="F7" i="7"/>
  <c r="L21" i="8"/>
  <c r="M30" i="8"/>
  <c r="K24" i="8"/>
  <c r="K51" i="8"/>
  <c r="M54" i="8"/>
  <c r="M13" i="8"/>
  <c r="F31" i="8"/>
  <c r="H39" i="7"/>
  <c r="F20" i="8"/>
  <c r="F47" i="8"/>
  <c r="F15" i="8"/>
  <c r="K41" i="8"/>
  <c r="F44" i="7"/>
  <c r="G47" i="7"/>
  <c r="L68" i="8"/>
  <c r="G59" i="7"/>
  <c r="N39" i="8"/>
  <c r="H18" i="7"/>
  <c r="J56" i="7"/>
  <c r="L18" i="8"/>
  <c r="K36" i="8"/>
  <c r="F25" i="8"/>
  <c r="H6" i="7"/>
  <c r="L64" i="8"/>
  <c r="L22" i="8"/>
  <c r="F39" i="7"/>
  <c r="M52" i="8"/>
  <c r="F11" i="8"/>
  <c r="F66" i="8"/>
  <c r="K31" i="8"/>
  <c r="K27" i="8"/>
  <c r="K14" i="8"/>
  <c r="F36" i="7"/>
  <c r="F68" i="8"/>
  <c r="F24" i="8"/>
  <c r="H63" i="7"/>
  <c r="H36" i="7"/>
  <c r="H15" i="7"/>
  <c r="G8" i="7"/>
  <c r="G32" i="7"/>
  <c r="K42" i="8"/>
  <c r="K65" i="8"/>
  <c r="K5" i="8"/>
  <c r="F17" i="8"/>
  <c r="F19" i="7"/>
  <c r="G63" i="7"/>
  <c r="J46" i="7"/>
  <c r="L66" i="7" l="1"/>
  <c r="G66" i="8"/>
  <c r="M10" i="6"/>
  <c r="I37" i="8"/>
  <c r="H34" i="8"/>
  <c r="J12" i="8"/>
  <c r="O12" i="8" s="1"/>
  <c r="I32" i="8"/>
  <c r="J9" i="8"/>
  <c r="O9" i="8" s="1"/>
  <c r="P21" i="8"/>
  <c r="G67" i="8"/>
  <c r="L67" i="7"/>
  <c r="J13" i="8"/>
  <c r="O13" i="8" s="1"/>
  <c r="J40" i="8"/>
  <c r="O40" i="8" s="1"/>
  <c r="P29" i="8"/>
  <c r="I54" i="8"/>
  <c r="G25" i="8"/>
  <c r="L25" i="7"/>
  <c r="P44" i="8"/>
  <c r="H39" i="8"/>
  <c r="P32" i="8"/>
  <c r="K54" i="7"/>
  <c r="H63" i="8"/>
  <c r="I51" i="8"/>
  <c r="H52" i="8"/>
  <c r="J35" i="8"/>
  <c r="O35" i="8" s="1"/>
  <c r="I23" i="8"/>
  <c r="I27" i="8"/>
  <c r="K50" i="7"/>
  <c r="E10" i="6"/>
  <c r="J8" i="8"/>
  <c r="O8" i="8" s="1"/>
  <c r="K57" i="7"/>
  <c r="K9" i="7"/>
  <c r="H37" i="8"/>
  <c r="H59" i="8"/>
  <c r="H28" i="8"/>
  <c r="I29" i="8"/>
  <c r="I14" i="8"/>
  <c r="I41" i="8"/>
  <c r="J25" i="8"/>
  <c r="O25" i="8" s="1"/>
  <c r="K61" i="7"/>
  <c r="K30" i="7"/>
  <c r="P68" i="8"/>
  <c r="J21" i="8"/>
  <c r="O21" i="8" s="1"/>
  <c r="K17" i="7"/>
  <c r="P15" i="8"/>
  <c r="P62" i="8"/>
  <c r="K16" i="7"/>
  <c r="E8" i="5"/>
  <c r="K39" i="7"/>
  <c r="P36" i="8"/>
  <c r="G22" i="8"/>
  <c r="L22" i="7"/>
  <c r="P53" i="8"/>
  <c r="L8" i="6"/>
  <c r="I68" i="8"/>
  <c r="H27" i="8"/>
  <c r="H45" i="8"/>
  <c r="H7" i="8"/>
  <c r="I25" i="8"/>
  <c r="H47" i="8"/>
  <c r="G12" i="8"/>
  <c r="L12" i="7"/>
  <c r="J65" i="8"/>
  <c r="O65" i="8" s="1"/>
  <c r="H64" i="8"/>
  <c r="H50" i="8"/>
  <c r="L46" i="7"/>
  <c r="G46" i="8"/>
  <c r="K14" i="7"/>
  <c r="H61" i="8"/>
  <c r="K62" i="7"/>
  <c r="K40" i="7"/>
  <c r="K25" i="7"/>
  <c r="K23" i="7"/>
  <c r="P50" i="8"/>
  <c r="L6" i="7"/>
  <c r="G6" i="8"/>
  <c r="P46" i="8"/>
  <c r="K22" i="7"/>
  <c r="G50" i="8"/>
  <c r="L50" i="7"/>
  <c r="M9" i="6"/>
  <c r="I52" i="8"/>
  <c r="L65" i="7"/>
  <c r="G65" i="8"/>
  <c r="L57" i="7"/>
  <c r="G57" i="8"/>
  <c r="G9" i="5"/>
  <c r="G9" i="6"/>
  <c r="H25" i="8"/>
  <c r="H70" i="8"/>
  <c r="J14" i="8"/>
  <c r="O14" i="8" s="1"/>
  <c r="J34" i="8"/>
  <c r="O34" i="8" s="1"/>
  <c r="J50" i="8"/>
  <c r="O50" i="8" s="1"/>
  <c r="I15" i="8"/>
  <c r="F72" i="8"/>
  <c r="P5" i="8"/>
  <c r="E6" i="6"/>
  <c r="I72" i="7"/>
  <c r="H6" i="6"/>
  <c r="I5" i="8"/>
  <c r="H6" i="5"/>
  <c r="J43" i="8"/>
  <c r="O43" i="8" s="1"/>
  <c r="K70" i="7"/>
  <c r="L9" i="6"/>
  <c r="I49" i="8"/>
  <c r="K28" i="7"/>
  <c r="I46" i="8"/>
  <c r="H29" i="8"/>
  <c r="G37" i="8"/>
  <c r="L37" i="7"/>
  <c r="I67" i="8"/>
  <c r="K27" i="7"/>
  <c r="L6" i="6"/>
  <c r="M72" i="8"/>
  <c r="G18" i="8"/>
  <c r="L18" i="7"/>
  <c r="L7" i="6"/>
  <c r="G62" i="8"/>
  <c r="L62" i="7"/>
  <c r="I34" i="8"/>
  <c r="J36" i="8"/>
  <c r="O36" i="8" s="1"/>
  <c r="M7" i="6"/>
  <c r="K63" i="7"/>
  <c r="K37" i="7"/>
  <c r="J16" i="8"/>
  <c r="O16" i="8" s="1"/>
  <c r="K9" i="6"/>
  <c r="K67" i="7"/>
  <c r="J66" i="8"/>
  <c r="O66" i="8" s="1"/>
  <c r="H10" i="6"/>
  <c r="H10" i="5"/>
  <c r="H14" i="8"/>
  <c r="I16" i="8"/>
  <c r="P52" i="8"/>
  <c r="L43" i="7"/>
  <c r="G43" i="8"/>
  <c r="P28" i="8"/>
  <c r="H55" i="8"/>
  <c r="G68" i="8"/>
  <c r="L68" i="7"/>
  <c r="K9" i="5" s="1"/>
  <c r="J11" i="8"/>
  <c r="O11" i="8" s="1"/>
  <c r="E9" i="5"/>
  <c r="I58" i="8"/>
  <c r="P24" i="8"/>
  <c r="P55" i="8"/>
  <c r="J71" i="8"/>
  <c r="O71" i="8" s="1"/>
  <c r="H19" i="8"/>
  <c r="G44" i="8"/>
  <c r="L44" i="7"/>
  <c r="K58" i="7"/>
  <c r="I9" i="8"/>
  <c r="G9" i="8"/>
  <c r="L9" i="7"/>
  <c r="P19" i="8"/>
  <c r="I65" i="8"/>
  <c r="G23" i="8"/>
  <c r="L23" i="7"/>
  <c r="J55" i="8"/>
  <c r="O55" i="8" s="1"/>
  <c r="K72" i="8"/>
  <c r="J6" i="6"/>
  <c r="J51" i="8"/>
  <c r="O51" i="8" s="1"/>
  <c r="H12" i="8"/>
  <c r="J54" i="8"/>
  <c r="O54" i="8" s="1"/>
  <c r="K56" i="7"/>
  <c r="I64" i="8"/>
  <c r="P57" i="8"/>
  <c r="J26" i="8"/>
  <c r="O26" i="8" s="1"/>
  <c r="H67" i="8"/>
  <c r="J6" i="8"/>
  <c r="O6" i="8" s="1"/>
  <c r="I71" i="8"/>
  <c r="G11" i="8"/>
  <c r="L11" i="7"/>
  <c r="K47" i="7"/>
  <c r="H38" i="8"/>
  <c r="H6" i="8"/>
  <c r="J32" i="8"/>
  <c r="O32" i="8" s="1"/>
  <c r="K69" i="7"/>
  <c r="I43" i="8"/>
  <c r="E7" i="5"/>
  <c r="K20" i="7"/>
  <c r="P49" i="8"/>
  <c r="J10" i="6"/>
  <c r="K13" i="7"/>
  <c r="H62" i="8"/>
  <c r="K42" i="7"/>
  <c r="L71" i="7"/>
  <c r="G71" i="8"/>
  <c r="H69" i="8"/>
  <c r="M6" i="6"/>
  <c r="N72" i="8"/>
  <c r="J44" i="8"/>
  <c r="O44" i="8" s="1"/>
  <c r="K32" i="7"/>
  <c r="K65" i="7"/>
  <c r="H8" i="8"/>
  <c r="J29" i="8"/>
  <c r="O29" i="8" s="1"/>
  <c r="H41" i="8"/>
  <c r="H35" i="8"/>
  <c r="L70" i="7"/>
  <c r="G70" i="8"/>
  <c r="K34" i="7"/>
  <c r="H18" i="8"/>
  <c r="J62" i="8"/>
  <c r="O62" i="8" s="1"/>
  <c r="P34" i="8"/>
  <c r="H32" i="8"/>
  <c r="I19" i="8"/>
  <c r="G53" i="8"/>
  <c r="L53" i="7"/>
  <c r="K10" i="7"/>
  <c r="J33" i="8"/>
  <c r="O33" i="8" s="1"/>
  <c r="G26" i="8"/>
  <c r="L26" i="7"/>
  <c r="H13" i="8"/>
  <c r="I24" i="8"/>
  <c r="P13" i="8"/>
  <c r="G42" i="8"/>
  <c r="L42" i="7"/>
  <c r="J7" i="6"/>
  <c r="K24" i="7"/>
  <c r="H46" i="8"/>
  <c r="J61" i="8"/>
  <c r="O61" i="8" s="1"/>
  <c r="K36" i="7"/>
  <c r="J59" i="8"/>
  <c r="O59" i="8" s="1"/>
  <c r="P41" i="8"/>
  <c r="I55" i="8"/>
  <c r="I7" i="6"/>
  <c r="J20" i="8"/>
  <c r="O20" i="8" s="1"/>
  <c r="I7" i="5"/>
  <c r="G48" i="8"/>
  <c r="L48" i="7"/>
  <c r="J27" i="8"/>
  <c r="O27" i="8" s="1"/>
  <c r="L31" i="7"/>
  <c r="G31" i="8"/>
  <c r="P25" i="8"/>
  <c r="K15" i="7"/>
  <c r="H9" i="8"/>
  <c r="I50" i="8"/>
  <c r="L10" i="6"/>
  <c r="G40" i="8"/>
  <c r="L40" i="7"/>
  <c r="P35" i="8"/>
  <c r="K10" i="6"/>
  <c r="G14" i="8"/>
  <c r="L14" i="7"/>
  <c r="I66" i="8"/>
  <c r="P18" i="8"/>
  <c r="L10" i="7"/>
  <c r="G10" i="8"/>
  <c r="P12" i="8"/>
  <c r="P40" i="8"/>
  <c r="G29" i="8"/>
  <c r="L29" i="7"/>
  <c r="E10" i="5"/>
  <c r="G27" i="8"/>
  <c r="L27" i="7"/>
  <c r="I6" i="8"/>
  <c r="I22" i="8"/>
  <c r="I47" i="8"/>
  <c r="H24" i="8"/>
  <c r="J9" i="6"/>
  <c r="P42" i="8"/>
  <c r="J45" i="8"/>
  <c r="O45" i="8" s="1"/>
  <c r="P37" i="8"/>
  <c r="J52" i="8"/>
  <c r="O52" i="8" s="1"/>
  <c r="H15" i="8"/>
  <c r="M8" i="6"/>
  <c r="H30" i="8"/>
  <c r="P38" i="8"/>
  <c r="G60" i="8"/>
  <c r="L60" i="7"/>
  <c r="H65" i="8"/>
  <c r="K12" i="7"/>
  <c r="I28" i="8"/>
  <c r="H43" i="8"/>
  <c r="P45" i="8"/>
  <c r="I35" i="8"/>
  <c r="H31" i="8"/>
  <c r="L58" i="7"/>
  <c r="G58" i="8"/>
  <c r="J10" i="8"/>
  <c r="O10" i="8" s="1"/>
  <c r="G54" i="8"/>
  <c r="L54" i="7"/>
  <c r="G63" i="8"/>
  <c r="L63" i="7"/>
  <c r="I8" i="6"/>
  <c r="I8" i="5"/>
  <c r="J39" i="8"/>
  <c r="O39" i="8" s="1"/>
  <c r="H49" i="8"/>
  <c r="P31" i="8"/>
  <c r="P10" i="8"/>
  <c r="P71" i="8"/>
  <c r="K18" i="7"/>
  <c r="L69" i="7"/>
  <c r="G69" i="8"/>
  <c r="K43" i="7"/>
  <c r="J15" i="8"/>
  <c r="O15" i="8" s="1"/>
  <c r="J8" i="6"/>
  <c r="G41" i="8"/>
  <c r="L41" i="7"/>
  <c r="K7" i="7"/>
  <c r="P48" i="8"/>
  <c r="P16" i="8"/>
  <c r="K66" i="7"/>
  <c r="K64" i="7"/>
  <c r="P54" i="8"/>
  <c r="H71" i="8"/>
  <c r="J49" i="8"/>
  <c r="O49" i="8" s="1"/>
  <c r="I70" i="8"/>
  <c r="K33" i="7"/>
  <c r="I44" i="8"/>
  <c r="H56" i="8"/>
  <c r="G59" i="8"/>
  <c r="L59" i="7"/>
  <c r="J37" i="8"/>
  <c r="O37" i="8" s="1"/>
  <c r="L7" i="7"/>
  <c r="G7" i="8"/>
  <c r="G61" i="8"/>
  <c r="L61" i="7"/>
  <c r="L35" i="7"/>
  <c r="G35" i="8"/>
  <c r="P30" i="8"/>
  <c r="G36" i="8"/>
  <c r="L36" i="7"/>
  <c r="I31" i="8"/>
  <c r="I13" i="8"/>
  <c r="I60" i="8"/>
  <c r="L51" i="7"/>
  <c r="G51" i="8"/>
  <c r="I57" i="8"/>
  <c r="K59" i="7"/>
  <c r="L17" i="7"/>
  <c r="G17" i="8"/>
  <c r="K49" i="7"/>
  <c r="I63" i="8"/>
  <c r="K53" i="7"/>
  <c r="I17" i="8"/>
  <c r="J63" i="8"/>
  <c r="O63" i="8" s="1"/>
  <c r="P63" i="8"/>
  <c r="G21" i="8"/>
  <c r="L21" i="7"/>
  <c r="J57" i="8"/>
  <c r="O57" i="8" s="1"/>
  <c r="K6" i="6"/>
  <c r="L72" i="8"/>
  <c r="K51" i="7"/>
  <c r="P9" i="8"/>
  <c r="H22" i="8"/>
  <c r="J70" i="8"/>
  <c r="O70" i="8" s="1"/>
  <c r="I56" i="8"/>
  <c r="I11" i="8"/>
  <c r="J30" i="8"/>
  <c r="O30" i="8" s="1"/>
  <c r="J53" i="8"/>
  <c r="O53" i="8" s="1"/>
  <c r="H51" i="8"/>
  <c r="K8" i="7"/>
  <c r="H23" i="8"/>
  <c r="I9" i="5"/>
  <c r="I9" i="6"/>
  <c r="H57" i="8"/>
  <c r="J23" i="8"/>
  <c r="O23" i="8" s="1"/>
  <c r="L28" i="7"/>
  <c r="G28" i="8"/>
  <c r="P51" i="8"/>
  <c r="J46" i="8"/>
  <c r="O46" i="8" s="1"/>
  <c r="K71" i="7"/>
  <c r="E9" i="6"/>
  <c r="G49" i="8"/>
  <c r="L49" i="7"/>
  <c r="K46" i="7"/>
  <c r="J24" i="8"/>
  <c r="O24" i="8" s="1"/>
  <c r="K19" i="7"/>
  <c r="I59" i="8"/>
  <c r="H16" i="8"/>
  <c r="P43" i="8"/>
  <c r="I62" i="8"/>
  <c r="G10" i="5"/>
  <c r="G10" i="6"/>
  <c r="K60" i="7"/>
  <c r="G52" i="8"/>
  <c r="L52" i="7"/>
  <c r="G45" i="8"/>
  <c r="L45" i="7"/>
  <c r="K41" i="7"/>
  <c r="J42" i="8"/>
  <c r="O42" i="8" s="1"/>
  <c r="P26" i="8"/>
  <c r="H17" i="8"/>
  <c r="I69" i="8"/>
  <c r="P65" i="8"/>
  <c r="P66" i="8"/>
  <c r="G19" i="8"/>
  <c r="L19" i="7"/>
  <c r="P6" i="8"/>
  <c r="P7" i="8"/>
  <c r="K48" i="7"/>
  <c r="P8" i="8"/>
  <c r="J56" i="8"/>
  <c r="O56" i="8" s="1"/>
  <c r="P27" i="8"/>
  <c r="G16" i="8"/>
  <c r="L16" i="7"/>
  <c r="I33" i="8"/>
  <c r="J7" i="8"/>
  <c r="O7" i="8" s="1"/>
  <c r="H58" i="8"/>
  <c r="J22" i="8"/>
  <c r="O22" i="8" s="1"/>
  <c r="I8" i="8"/>
  <c r="J68" i="8"/>
  <c r="O68" i="8" s="1"/>
  <c r="I53" i="8"/>
  <c r="H53" i="8"/>
  <c r="G24" i="8"/>
  <c r="L24" i="7"/>
  <c r="P64" i="8"/>
  <c r="L32" i="7"/>
  <c r="G32" i="8"/>
  <c r="H68" i="8"/>
  <c r="P60" i="8"/>
  <c r="J28" i="8"/>
  <c r="O28" i="8" s="1"/>
  <c r="P23" i="8"/>
  <c r="I20" i="8"/>
  <c r="H7" i="5"/>
  <c r="H7" i="6"/>
  <c r="J38" i="8"/>
  <c r="O38" i="8" s="1"/>
  <c r="P22" i="8"/>
  <c r="P56" i="8"/>
  <c r="G47" i="8"/>
  <c r="L47" i="7"/>
  <c r="K29" i="7"/>
  <c r="H54" i="8"/>
  <c r="I7" i="8"/>
  <c r="P59" i="8"/>
  <c r="J48" i="8"/>
  <c r="O48" i="8" s="1"/>
  <c r="I26" i="8"/>
  <c r="H40" i="8"/>
  <c r="H60" i="8"/>
  <c r="J5" i="8"/>
  <c r="O5" i="8" s="1"/>
  <c r="I6" i="6"/>
  <c r="I6" i="5"/>
  <c r="J72" i="7"/>
  <c r="G55" i="8"/>
  <c r="L55" i="7"/>
  <c r="L38" i="7"/>
  <c r="G38" i="8"/>
  <c r="J58" i="8"/>
  <c r="O58" i="8" s="1"/>
  <c r="P17" i="8"/>
  <c r="G39" i="8"/>
  <c r="L39" i="7"/>
  <c r="G8" i="5"/>
  <c r="G8" i="6"/>
  <c r="I42" i="8"/>
  <c r="F72" i="7"/>
  <c r="E6" i="5"/>
  <c r="K5" i="7"/>
  <c r="J19" i="8"/>
  <c r="O19" i="8" s="1"/>
  <c r="P47" i="8"/>
  <c r="H36" i="8"/>
  <c r="J67" i="8"/>
  <c r="O67" i="8" s="1"/>
  <c r="K45" i="7"/>
  <c r="J41" i="8"/>
  <c r="O41" i="8" s="1"/>
  <c r="K11" i="7"/>
  <c r="K26" i="7"/>
  <c r="L33" i="7"/>
  <c r="G33" i="8"/>
  <c r="P61" i="8"/>
  <c r="J64" i="8"/>
  <c r="O64" i="8" s="1"/>
  <c r="G64" i="8"/>
  <c r="L64" i="7"/>
  <c r="K52" i="7"/>
  <c r="H9" i="5"/>
  <c r="H9" i="6"/>
  <c r="I18" i="8"/>
  <c r="P11" i="8"/>
  <c r="H66" i="8"/>
  <c r="I40" i="8"/>
  <c r="K44" i="7"/>
  <c r="H11" i="8"/>
  <c r="J31" i="8"/>
  <c r="O31" i="8" s="1"/>
  <c r="K6" i="7"/>
  <c r="J18" i="8"/>
  <c r="O18" i="8" s="1"/>
  <c r="H21" i="8"/>
  <c r="P67" i="8"/>
  <c r="I45" i="8"/>
  <c r="I10" i="5"/>
  <c r="I10" i="6"/>
  <c r="I61" i="8"/>
  <c r="L30" i="7"/>
  <c r="G30" i="8"/>
  <c r="E8" i="6"/>
  <c r="P39" i="8"/>
  <c r="H8" i="6"/>
  <c r="I39" i="8"/>
  <c r="H8" i="5"/>
  <c r="K55" i="7"/>
  <c r="H33" i="8"/>
  <c r="K38" i="7"/>
  <c r="I38" i="8"/>
  <c r="K8" i="6"/>
  <c r="K68" i="7"/>
  <c r="I21" i="8"/>
  <c r="J69" i="8"/>
  <c r="O69" i="8" s="1"/>
  <c r="K35" i="7"/>
  <c r="P70" i="8"/>
  <c r="J60" i="8"/>
  <c r="O60" i="8" s="1"/>
  <c r="G8" i="8"/>
  <c r="L8" i="7"/>
  <c r="J17" i="8"/>
  <c r="O17" i="8" s="1"/>
  <c r="I12" i="8"/>
  <c r="E7" i="6"/>
  <c r="P20" i="8"/>
  <c r="J47" i="8"/>
  <c r="O47" i="8" s="1"/>
  <c r="K7" i="6"/>
  <c r="P14" i="8"/>
  <c r="K21" i="7"/>
  <c r="H26" i="8"/>
  <c r="G6" i="6"/>
  <c r="G72" i="7"/>
  <c r="G6" i="5"/>
  <c r="G5" i="8"/>
  <c r="L5" i="7"/>
  <c r="K31" i="7"/>
  <c r="H48" i="8"/>
  <c r="I10" i="8"/>
  <c r="P69" i="8"/>
  <c r="H72" i="7"/>
  <c r="H5" i="8"/>
  <c r="H44" i="8"/>
  <c r="P33" i="8"/>
  <c r="I30" i="8"/>
  <c r="I36" i="8"/>
  <c r="I48" i="8"/>
  <c r="L34" i="7"/>
  <c r="G34" i="8"/>
  <c r="H20" i="8"/>
  <c r="G56" i="8"/>
  <c r="L56" i="7"/>
  <c r="G13" i="8"/>
  <c r="L13" i="7"/>
  <c r="H42" i="8"/>
  <c r="L20" i="7"/>
  <c r="G7" i="5"/>
  <c r="G20" i="8"/>
  <c r="G7" i="6"/>
  <c r="L15" i="7"/>
  <c r="G15" i="8"/>
  <c r="H10" i="8"/>
  <c r="P58" i="8"/>
  <c r="N7" i="6" l="1"/>
  <c r="P10" i="6"/>
  <c r="J10" i="5"/>
  <c r="N8" i="6"/>
  <c r="O10" i="6"/>
  <c r="J9" i="5"/>
  <c r="L9" i="5" s="1"/>
  <c r="P9" i="6"/>
  <c r="O9" i="6"/>
  <c r="F7" i="5"/>
  <c r="F10" i="6"/>
  <c r="S10" i="6" s="1"/>
  <c r="F7" i="6"/>
  <c r="S7" i="6" s="1"/>
  <c r="J7" i="5"/>
  <c r="F8" i="6"/>
  <c r="S8" i="6" s="1"/>
  <c r="O72" i="8"/>
  <c r="O6" i="6"/>
  <c r="I11" i="6"/>
  <c r="F10" i="5"/>
  <c r="Q64" i="8"/>
  <c r="R64" i="8"/>
  <c r="R58" i="8"/>
  <c r="Q58" i="8"/>
  <c r="Q31" i="8"/>
  <c r="R31" i="8"/>
  <c r="J11" i="6"/>
  <c r="K6" i="5"/>
  <c r="L72" i="7"/>
  <c r="R32" i="8"/>
  <c r="Q32" i="8"/>
  <c r="R36" i="8"/>
  <c r="Q36" i="8"/>
  <c r="Q10" i="8"/>
  <c r="R10" i="8"/>
  <c r="M11" i="6"/>
  <c r="H11" i="6"/>
  <c r="Q56" i="8"/>
  <c r="R56" i="8"/>
  <c r="G72" i="8"/>
  <c r="Q5" i="8"/>
  <c r="R5" i="8"/>
  <c r="P8" i="6"/>
  <c r="Q42" i="8"/>
  <c r="R42" i="8"/>
  <c r="L11" i="6"/>
  <c r="R57" i="8"/>
  <c r="Q57" i="8"/>
  <c r="Q27" i="8"/>
  <c r="R27" i="8"/>
  <c r="R50" i="8"/>
  <c r="Q50" i="8"/>
  <c r="H72" i="8"/>
  <c r="R53" i="8"/>
  <c r="Q53" i="8"/>
  <c r="Q33" i="8"/>
  <c r="R33" i="8"/>
  <c r="R69" i="8"/>
  <c r="Q69" i="8"/>
  <c r="I72" i="8"/>
  <c r="G11" i="5"/>
  <c r="R8" i="8"/>
  <c r="Q8" i="8"/>
  <c r="R38" i="8"/>
  <c r="Q38" i="8"/>
  <c r="Q35" i="8"/>
  <c r="R35" i="8"/>
  <c r="Q71" i="8"/>
  <c r="R71" i="8"/>
  <c r="F9" i="5"/>
  <c r="J72" i="8"/>
  <c r="R29" i="8"/>
  <c r="Q29" i="8"/>
  <c r="K8" i="5"/>
  <c r="R34" i="8"/>
  <c r="Q34" i="8"/>
  <c r="R30" i="8"/>
  <c r="Q30" i="8"/>
  <c r="Q45" i="8"/>
  <c r="R45" i="8"/>
  <c r="R49" i="8"/>
  <c r="Q49" i="8"/>
  <c r="Q48" i="8"/>
  <c r="R48" i="8"/>
  <c r="R23" i="8"/>
  <c r="Q23" i="8"/>
  <c r="N9" i="6"/>
  <c r="F6" i="6"/>
  <c r="S6" i="6" s="1"/>
  <c r="E11" i="6"/>
  <c r="R65" i="8"/>
  <c r="Q65" i="8"/>
  <c r="K7" i="5"/>
  <c r="N6" i="6"/>
  <c r="K11" i="6"/>
  <c r="Q62" i="8"/>
  <c r="R62" i="8"/>
  <c r="G11" i="6"/>
  <c r="R47" i="8"/>
  <c r="Q47" i="8"/>
  <c r="R11" i="8"/>
  <c r="Q11" i="8"/>
  <c r="P6" i="6"/>
  <c r="P72" i="8"/>
  <c r="Q46" i="8"/>
  <c r="R46" i="8"/>
  <c r="R22" i="8"/>
  <c r="Q22" i="8"/>
  <c r="R26" i="8"/>
  <c r="Q26" i="8"/>
  <c r="R67" i="8"/>
  <c r="Q67" i="8"/>
  <c r="Q39" i="8"/>
  <c r="R39" i="8"/>
  <c r="R16" i="8"/>
  <c r="Q16" i="8"/>
  <c r="R21" i="8"/>
  <c r="Q21" i="8"/>
  <c r="R18" i="8"/>
  <c r="Q18" i="8"/>
  <c r="R55" i="8"/>
  <c r="Q55" i="8"/>
  <c r="R24" i="8"/>
  <c r="Q24" i="8"/>
  <c r="R52" i="8"/>
  <c r="Q52" i="8"/>
  <c r="F9" i="6"/>
  <c r="S9" i="6" s="1"/>
  <c r="R61" i="8"/>
  <c r="Q61" i="8"/>
  <c r="O8" i="6"/>
  <c r="R14" i="8"/>
  <c r="Q14" i="8"/>
  <c r="O7" i="6"/>
  <c r="F6" i="5"/>
  <c r="E11" i="5"/>
  <c r="R19" i="8"/>
  <c r="Q19" i="8"/>
  <c r="R28" i="8"/>
  <c r="Q28" i="8"/>
  <c r="R41" i="8"/>
  <c r="Q41" i="8"/>
  <c r="R63" i="8"/>
  <c r="Q63" i="8"/>
  <c r="R60" i="8"/>
  <c r="Q60" i="8"/>
  <c r="Q40" i="8"/>
  <c r="R40" i="8"/>
  <c r="Q43" i="8"/>
  <c r="R43" i="8"/>
  <c r="Q51" i="8"/>
  <c r="R51" i="8"/>
  <c r="R59" i="8"/>
  <c r="Q59" i="8"/>
  <c r="H11" i="5"/>
  <c r="R13" i="8"/>
  <c r="Q13" i="8"/>
  <c r="R15" i="8"/>
  <c r="Q15" i="8"/>
  <c r="R17" i="8"/>
  <c r="Q17" i="8"/>
  <c r="R7" i="8"/>
  <c r="Q7" i="8"/>
  <c r="N10" i="6"/>
  <c r="Q70" i="8"/>
  <c r="R70" i="8"/>
  <c r="R68" i="8"/>
  <c r="Q68" i="8"/>
  <c r="Q37" i="8"/>
  <c r="R37" i="8"/>
  <c r="J8" i="5"/>
  <c r="Q66" i="8"/>
  <c r="R66" i="8"/>
  <c r="K72" i="7"/>
  <c r="J6" i="5"/>
  <c r="R25" i="8"/>
  <c r="Q25" i="8"/>
  <c r="Q20" i="8"/>
  <c r="R20" i="8"/>
  <c r="R12" i="8"/>
  <c r="Q12" i="8"/>
  <c r="P7" i="6"/>
  <c r="R54" i="8"/>
  <c r="Q54" i="8"/>
  <c r="Q44" i="8"/>
  <c r="R44" i="8"/>
  <c r="R6" i="8"/>
  <c r="Q6" i="8"/>
  <c r="I11" i="5"/>
  <c r="K10" i="5"/>
  <c r="R9" i="8"/>
  <c r="Q9" i="8"/>
  <c r="F8" i="5"/>
  <c r="L10" i="5" l="1"/>
  <c r="Q9" i="6"/>
  <c r="T9" i="6" s="1"/>
  <c r="L7" i="5"/>
  <c r="R9" i="6"/>
  <c r="U9" i="6" s="1"/>
  <c r="Q10" i="6"/>
  <c r="T10" i="6" s="1"/>
  <c r="J11" i="5"/>
  <c r="R10" i="6"/>
  <c r="U10" i="6" s="1"/>
  <c r="N11" i="6"/>
  <c r="S11" i="6"/>
  <c r="K11" i="5"/>
  <c r="L8" i="5"/>
  <c r="O11" i="6"/>
  <c r="P11" i="6"/>
  <c r="F11" i="5"/>
  <c r="F11" i="6"/>
  <c r="R7" i="6"/>
  <c r="U7" i="6" s="1"/>
  <c r="Q7" i="6"/>
  <c r="T7" i="6" s="1"/>
  <c r="R72" i="8"/>
  <c r="R6" i="6"/>
  <c r="Q72" i="8"/>
  <c r="Q6" i="6"/>
  <c r="R8" i="6"/>
  <c r="U8" i="6" s="1"/>
  <c r="L6" i="5"/>
  <c r="Q8" i="6"/>
  <c r="T8" i="6" s="1"/>
  <c r="L11" i="5" l="1"/>
  <c r="R11" i="6"/>
  <c r="U11" i="6" s="1"/>
  <c r="U6" i="6"/>
  <c r="Q11" i="6"/>
  <c r="T11" i="6" s="1"/>
  <c r="T6" i="6"/>
</calcChain>
</file>

<file path=xl/comments1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2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3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4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5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6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7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8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9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10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sharedStrings.xml><?xml version="1.0" encoding="utf-8"?>
<sst xmlns="http://schemas.openxmlformats.org/spreadsheetml/2006/main" count="3975" uniqueCount="606">
  <si>
    <t>■ 자산목록</t>
    <phoneticPr fontId="3" type="noConversion"/>
  </si>
  <si>
    <t>No.</t>
  </si>
  <si>
    <t>호스트명</t>
  </si>
  <si>
    <t>IP</t>
  </si>
  <si>
    <t>제조업체</t>
  </si>
  <si>
    <t>구분</t>
  </si>
  <si>
    <t>모델명</t>
  </si>
  <si>
    <t>OS/SW</t>
  </si>
  <si>
    <t>버전</t>
  </si>
  <si>
    <t>자산명/용도</t>
  </si>
  <si>
    <t>설치위치</t>
  </si>
  <si>
    <t>부서</t>
  </si>
  <si>
    <t>담당자</t>
  </si>
  <si>
    <t>비고</t>
  </si>
  <si>
    <t>자산 평가</t>
  </si>
  <si>
    <t>기밀성</t>
  </si>
  <si>
    <t>무결성</t>
  </si>
  <si>
    <t>가용성</t>
  </si>
  <si>
    <t>등급</t>
  </si>
  <si>
    <t>점수(Hidden)</t>
  </si>
  <si>
    <t>Rocky</t>
    <phoneticPr fontId="3" type="noConversion"/>
  </si>
  <si>
    <t xml:space="preserve">본사 DMZ망 </t>
    <phoneticPr fontId="3" type="noConversion"/>
  </si>
  <si>
    <t>본사 개발팀</t>
    <phoneticPr fontId="3" type="noConversion"/>
  </si>
  <si>
    <t>김민준</t>
    <phoneticPr fontId="3" type="noConversion"/>
  </si>
  <si>
    <t>이서연</t>
    <phoneticPr fontId="3" type="noConversion"/>
  </si>
  <si>
    <t>지사 DMZ망</t>
    <phoneticPr fontId="3" type="noConversion"/>
  </si>
  <si>
    <t>지사 개발팀</t>
    <phoneticPr fontId="3" type="noConversion"/>
  </si>
  <si>
    <t>박지훈</t>
    <phoneticPr fontId="3" type="noConversion"/>
  </si>
  <si>
    <t>이지훈</t>
    <phoneticPr fontId="3" type="noConversion"/>
  </si>
  <si>
    <t>김승우</t>
    <phoneticPr fontId="3" type="noConversion"/>
  </si>
  <si>
    <t>DB 백업 서버 / 본사 DB 백업</t>
    <phoneticPr fontId="3" type="noConversion"/>
  </si>
  <si>
    <t>강도윤</t>
    <phoneticPr fontId="3" type="noConversion"/>
  </si>
  <si>
    <t>지사 백업망</t>
    <phoneticPr fontId="3" type="noConversion"/>
  </si>
  <si>
    <t>조아린</t>
    <phoneticPr fontId="3" type="noConversion"/>
  </si>
  <si>
    <t>본사 전산팀</t>
    <phoneticPr fontId="3" type="noConversion"/>
  </si>
  <si>
    <t>윤은우</t>
    <phoneticPr fontId="3" type="noConversion"/>
  </si>
  <si>
    <t>장예나</t>
    <phoneticPr fontId="3" type="noConversion"/>
  </si>
  <si>
    <t>임시우</t>
    <phoneticPr fontId="3" type="noConversion"/>
  </si>
  <si>
    <t>1. 분류 Code</t>
  </si>
  <si>
    <t>Code</t>
  </si>
  <si>
    <t>2. 중요도, 자산등급, 위협도 점수</t>
  </si>
  <si>
    <t>중요도</t>
  </si>
  <si>
    <t>점수</t>
  </si>
  <si>
    <t>H</t>
  </si>
  <si>
    <t>M</t>
  </si>
  <si>
    <t>L</t>
  </si>
  <si>
    <t>3. 점검결과 점수</t>
  </si>
  <si>
    <t>점검 결과</t>
  </si>
  <si>
    <t>취약점 진단</t>
  </si>
  <si>
    <t>위험평가</t>
  </si>
  <si>
    <t>Y</t>
  </si>
  <si>
    <t>N</t>
  </si>
  <si>
    <t>P</t>
  </si>
  <si>
    <t>N/A</t>
  </si>
  <si>
    <t>R/A</t>
  </si>
  <si>
    <t>Y(즉시조치)</t>
  </si>
  <si>
    <t>4. DoA</t>
  </si>
  <si>
    <t>DoA</t>
  </si>
  <si>
    <t>5. 자산등급 점수 범위</t>
  </si>
  <si>
    <t>8_2. 위험평가 방법론</t>
  </si>
  <si>
    <t>위험 등급</t>
  </si>
  <si>
    <t>점수 범위</t>
  </si>
  <si>
    <t>최저</t>
  </si>
  <si>
    <t>최고</t>
  </si>
  <si>
    <t>6. 위협도 점수 범위</t>
  </si>
  <si>
    <t>7. 위험도 점수 범위</t>
  </si>
  <si>
    <t>8. 위험도 평가표</t>
  </si>
  <si>
    <t>8_1. 위험도 평가표</t>
  </si>
  <si>
    <t>V'</t>
  </si>
  <si>
    <t>보호대책</t>
  </si>
  <si>
    <t>Y=0(보호대책 있음)</t>
  </si>
  <si>
    <t>N=1(보호대책 없음)</t>
  </si>
  <si>
    <t xml:space="preserve">취약점(Vulnerability) </t>
  </si>
  <si>
    <t>위협(Threats)</t>
  </si>
  <si>
    <t>자산</t>
  </si>
  <si>
    <t>취약점 진단항목</t>
  </si>
  <si>
    <t>개선방안 및 보호대책</t>
  </si>
  <si>
    <t>분류</t>
  </si>
  <si>
    <t>진단항목</t>
  </si>
  <si>
    <t>위험도</t>
  </si>
  <si>
    <t>계정 관리</t>
  </si>
  <si>
    <t>U-03</t>
  </si>
  <si>
    <t>계정 잠금 임계값 설정</t>
  </si>
  <si>
    <t>U-04</t>
  </si>
  <si>
    <t>U-44</t>
  </si>
  <si>
    <t>U-45</t>
  </si>
  <si>
    <t>U-46</t>
  </si>
  <si>
    <t>U-47</t>
  </si>
  <si>
    <t>U-49</t>
  </si>
  <si>
    <t>불필요한 계정 제거</t>
  </si>
  <si>
    <t>U-50</t>
  </si>
  <si>
    <t>관리자 그룹에 최소한의 계정 포함</t>
  </si>
  <si>
    <t>U-51</t>
  </si>
  <si>
    <t>계정이 존재하지 않는 GID 금지</t>
  </si>
  <si>
    <t>U-52</t>
  </si>
  <si>
    <t>동일한 UID 금지</t>
  </si>
  <si>
    <t>U-53</t>
  </si>
  <si>
    <t>U-54</t>
  </si>
  <si>
    <t>파일 및 디렉터리 관리</t>
  </si>
  <si>
    <t>U-05</t>
  </si>
  <si>
    <t>root 홈, 패스 디렉터리 권한 및 패스 설정</t>
  </si>
  <si>
    <t>파일 및 디렉터리 관리</t>
    <phoneticPr fontId="3" type="noConversion"/>
  </si>
  <si>
    <t>U-06</t>
  </si>
  <si>
    <t>파일 및 디렉터리 소유자 설정</t>
  </si>
  <si>
    <t>U-07</t>
  </si>
  <si>
    <t>/etc/passwd 파일 소유자 및 권한 설정</t>
  </si>
  <si>
    <t>U-08</t>
  </si>
  <si>
    <t>/etc/shadow 파일 소유자 및 권한 설정</t>
  </si>
  <si>
    <t>U-09</t>
  </si>
  <si>
    <t>/etc/hosts 파일 소유자 및 권한 설정</t>
  </si>
  <si>
    <t>U-10</t>
  </si>
  <si>
    <t>/etc/(x)inetd.conf 파일 소유자 및 권한 설정</t>
  </si>
  <si>
    <t>U-11</t>
  </si>
  <si>
    <t>U-12</t>
  </si>
  <si>
    <t>/etc/services 파일 소유자 및 권한 설정</t>
  </si>
  <si>
    <t>U-13</t>
  </si>
  <si>
    <t>SUID, SGID, Sticky bit 설정 파일 점검</t>
  </si>
  <si>
    <t>U-14</t>
  </si>
  <si>
    <t>U-15</t>
  </si>
  <si>
    <t>world writable 파일 점검</t>
  </si>
  <si>
    <t>U-16</t>
  </si>
  <si>
    <t>/dev에 존재하지 않는 device 파일 점검</t>
  </si>
  <si>
    <t>U-17</t>
  </si>
  <si>
    <t>$HOME/.rhosts, hosts.equiv 사용 금지</t>
  </si>
  <si>
    <t>접속 IP 및 포트 제한</t>
  </si>
  <si>
    <t>U-55</t>
  </si>
  <si>
    <t>hosts.lpd 파일 소유자 및 권한 설정</t>
  </si>
  <si>
    <t>U-56</t>
  </si>
  <si>
    <t>UMASK 설정 관리</t>
  </si>
  <si>
    <t>U-57</t>
  </si>
  <si>
    <t>U-58</t>
  </si>
  <si>
    <t>U-59</t>
  </si>
  <si>
    <t>서비스 관리</t>
  </si>
  <si>
    <t>U-19</t>
  </si>
  <si>
    <t>서비스 관리</t>
    <phoneticPr fontId="3" type="noConversion"/>
  </si>
  <si>
    <t>U-20</t>
  </si>
  <si>
    <t>U-21</t>
  </si>
  <si>
    <t>r 계열 서비스 비활성화</t>
  </si>
  <si>
    <t>U-22</t>
  </si>
  <si>
    <t>U-23</t>
  </si>
  <si>
    <t>U-24</t>
  </si>
  <si>
    <t>U-25</t>
  </si>
  <si>
    <t>NFS 접근 통제</t>
  </si>
  <si>
    <t>U-26</t>
  </si>
  <si>
    <t>U-27</t>
  </si>
  <si>
    <t>U-28</t>
  </si>
  <si>
    <t>NIS, NIS+ 점검</t>
  </si>
  <si>
    <t>U-29</t>
  </si>
  <si>
    <t>tftp, talk 서비스 비활성화</t>
  </si>
  <si>
    <t>U-30</t>
  </si>
  <si>
    <t>U-31</t>
  </si>
  <si>
    <t>스팸 메일 릴레이 제한</t>
  </si>
  <si>
    <t>U-32</t>
  </si>
  <si>
    <t>U-33</t>
  </si>
  <si>
    <t>DNS 보안 버전 패치</t>
  </si>
  <si>
    <t>U-34</t>
  </si>
  <si>
    <t>DNS Zone Transfer 설정</t>
  </si>
  <si>
    <t>U-35</t>
  </si>
  <si>
    <t>U-36</t>
  </si>
  <si>
    <t>U-37</t>
  </si>
  <si>
    <t>U-38</t>
  </si>
  <si>
    <t>U-39</t>
  </si>
  <si>
    <t>U-40</t>
  </si>
  <si>
    <t>U-41</t>
  </si>
  <si>
    <t>U-60</t>
  </si>
  <si>
    <t>U-61</t>
  </si>
  <si>
    <t>U-62</t>
  </si>
  <si>
    <t>U-63</t>
  </si>
  <si>
    <t>U-64</t>
  </si>
  <si>
    <t>U-65</t>
  </si>
  <si>
    <t>U-66</t>
  </si>
  <si>
    <t>U-67</t>
  </si>
  <si>
    <t>패치 관리</t>
    <phoneticPr fontId="3" type="noConversion"/>
  </si>
  <si>
    <t>U-42</t>
  </si>
  <si>
    <t>로그 관리</t>
    <phoneticPr fontId="3" type="noConversion"/>
  </si>
  <si>
    <t>로그 관리</t>
  </si>
  <si>
    <t>정책에 따른 시스템 로깅 설정</t>
  </si>
  <si>
    <t>1) 영역별 보안수준</t>
  </si>
  <si>
    <t>진단 결과</t>
  </si>
  <si>
    <t>중요도점수</t>
  </si>
  <si>
    <t>전체항목</t>
  </si>
  <si>
    <t>양호</t>
  </si>
  <si>
    <t>취약</t>
  </si>
  <si>
    <t>해당없음</t>
  </si>
  <si>
    <t>전체점수</t>
  </si>
  <si>
    <t>평가점수</t>
  </si>
  <si>
    <t>보안수준</t>
  </si>
  <si>
    <t>계</t>
  </si>
  <si>
    <t>2) 장비별 보안수준</t>
  </si>
  <si>
    <t>장비 구분</t>
  </si>
  <si>
    <t>이행 결과</t>
  </si>
  <si>
    <t>조치</t>
  </si>
  <si>
    <t>미조치</t>
  </si>
  <si>
    <t>위험수용</t>
  </si>
  <si>
    <t>잔여취약점
(미조치+위험수용)</t>
  </si>
  <si>
    <t>전체점수
(이행전)</t>
  </si>
  <si>
    <t>전체점수
(이행후)</t>
  </si>
  <si>
    <t>평가점수
(이행전)</t>
  </si>
  <si>
    <t>평가점수
(이행후)</t>
  </si>
  <si>
    <t>이행율</t>
  </si>
  <si>
    <t>보안수준 
(이행 전)</t>
  </si>
  <si>
    <t>보안수준 
(이행 후)</t>
  </si>
  <si>
    <t>진단 통계</t>
  </si>
  <si>
    <t>중요도 점수</t>
  </si>
  <si>
    <t>진단결과</t>
  </si>
  <si>
    <t>전체</t>
  </si>
  <si>
    <t>즉시조치</t>
  </si>
  <si>
    <t>평가</t>
  </si>
  <si>
    <t>이행 진단 통계</t>
  </si>
  <si>
    <t>전체이행전</t>
  </si>
  <si>
    <t>전체이행후</t>
  </si>
  <si>
    <t>평가이행전</t>
  </si>
  <si>
    <t>평가이행후</t>
  </si>
  <si>
    <t>1) 시스템 현황</t>
  </si>
  <si>
    <t>※ 자산 평가</t>
  </si>
  <si>
    <t>HostName</t>
  </si>
  <si>
    <t>운영자산 명</t>
  </si>
  <si>
    <t>자산등급</t>
  </si>
  <si>
    <t>OS 종류 및 버전</t>
  </si>
  <si>
    <t>IP Address</t>
  </si>
  <si>
    <t>설치 위치</t>
  </si>
  <si>
    <t>2) 진단 결과</t>
  </si>
  <si>
    <t>① 부분별 진단 결과</t>
  </si>
  <si>
    <t>본진단 결과 (이행 전)</t>
  </si>
  <si>
    <t>영역별 수준 그래프</t>
  </si>
  <si>
    <t>결과 점수</t>
  </si>
  <si>
    <t>수준</t>
  </si>
  <si>
    <t>전체점수(이행 전)</t>
  </si>
  <si>
    <t>평가점수 (이행 전)</t>
  </si>
  <si>
    <t>평가점수 (이행 후)</t>
  </si>
  <si>
    <t>전체점수(이행 후)</t>
  </si>
  <si>
    <t>전체 보안 수준</t>
  </si>
  <si>
    <t>전채 보안 수준</t>
  </si>
  <si>
    <t>② 상세 진단 현황</t>
  </si>
  <si>
    <t>HIDDEN 필드입니다</t>
  </si>
  <si>
    <t>진단 항목</t>
  </si>
  <si>
    <t>현황 및 문제점</t>
  </si>
  <si>
    <t>이행여부</t>
  </si>
  <si>
    <t>조치 현황</t>
    <phoneticPr fontId="3" type="noConversion"/>
  </si>
  <si>
    <t>전체점수(이행전)</t>
  </si>
  <si>
    <t xml:space="preserve">root 계정 원격 접속 제한 상태로 양호함
PermitRootLogin no </t>
    <phoneticPr fontId="3" type="noConversion"/>
  </si>
  <si>
    <t>결과</t>
  </si>
  <si>
    <t>설정값 없으므로 취약
패스워드 복잡성 미설정</t>
    <phoneticPr fontId="3" type="noConversion"/>
  </si>
  <si>
    <t>패스워드 복잡성이 설정된 상태로 양호함
최소길이 8자리 이상, 영문·숫자·특수문자 최소 입력 기능이 설정</t>
  </si>
  <si>
    <t>설정값 없으므로 취약
계정 잠금 임계값 미설정</t>
    <phoneticPr fontId="3" type="noConversion"/>
  </si>
  <si>
    <t>계정 임계값이 설정된 상태로 양호함
pam_faillock.so 모듈 및 임계값이 설정되어있음(deny=5)</t>
  </si>
  <si>
    <t>현재 설정 완료 상태이므로 양호함
shadow 패스워드 사용 및 암호화</t>
    <phoneticPr fontId="3" type="noConversion"/>
  </si>
  <si>
    <t>현재 설정 완료상태이므로 양호함
UID=0을 가진 계정은 root 하나만 존재</t>
    <phoneticPr fontId="3" type="noConversion"/>
  </si>
  <si>
    <t>현재 설정 완료상태이므로 양호함
wheel 그룹 및 구성원 내 불필요한 계정 미존재</t>
    <phoneticPr fontId="3" type="noConversion"/>
  </si>
  <si>
    <t>현재 설정 완료 상태이므로 양호함
패스워드 최소 길이 8로 설정</t>
    <phoneticPr fontId="3" type="noConversion"/>
  </si>
  <si>
    <t>현재 설정 완료 상태이므로 양호함
패스워드 최대 사용기간 90일로 설정</t>
    <phoneticPr fontId="3" type="noConversion"/>
  </si>
  <si>
    <t>현재 설정 완료 상태이므로 양호함
패스워드 최소 사용기간 1일</t>
    <phoneticPr fontId="3" type="noConversion"/>
  </si>
  <si>
    <t>현재 설정 완료 상태이므로 양호함
서버 내에 불필요한 계정이 미존재</t>
    <phoneticPr fontId="3" type="noConversion"/>
  </si>
  <si>
    <t>현재 설정 완료 상태이므로 양호함
관리자 그룹에 root 계정만 존재</t>
    <phoneticPr fontId="3" type="noConversion"/>
  </si>
  <si>
    <t>현재 설정 완료 상태이므로 양호함
계정 관련 그룹 제외 불필요한 그룹 미존재</t>
    <phoneticPr fontId="3" type="noConversion"/>
  </si>
  <si>
    <t>현재 설정 완료 상태이므로 양호함
동일한 UID로 설전된 계정 존재 없음</t>
    <phoneticPr fontId="3" type="noConversion"/>
  </si>
  <si>
    <t>현재 설정 완료 상태이므로 양호함
로그인이 필요하지 않은 계정에 nologin 쉘 부여</t>
    <phoneticPr fontId="3" type="noConversion"/>
  </si>
  <si>
    <t>현재 미조치 상태로 취약
Session Timeout이 미설정</t>
    <phoneticPr fontId="3" type="noConversion"/>
  </si>
  <si>
    <t>Session Timeout 설정된 상태로 양호함
/etc/profile에서TMOUT=600, export TMOUT으로 설정</t>
  </si>
  <si>
    <t>현재 설정 완료 상태이므로 양호함
PATH 환경변수에 "."이 미존재</t>
    <phoneticPr fontId="3" type="noConversion"/>
  </si>
  <si>
    <t>현재 미조치 상태로 취약
소유자가 존재하지 않는 파일 및 디렉터리 존재</t>
    <phoneticPr fontId="3" type="noConversion"/>
  </si>
  <si>
    <t>소유자가 존재하지 않는 파일 및 디렉터리 미존재로 양호함
소유자가 존재하지 않는 파일 및 디렉터리 없음</t>
  </si>
  <si>
    <t>현재 설정 완료 상태이므로 양호함
/etc/passwd 파일 소유자 root, 권한 644로 설정</t>
    <phoneticPr fontId="3" type="noConversion"/>
  </si>
  <si>
    <t>현재 설정 완료 상태이므로 양호함
/etc/shadow 파일 소유자 root, 권한 0로 설정</t>
    <phoneticPr fontId="3" type="noConversion"/>
  </si>
  <si>
    <t>현재 설정 완료 상태이므로 양호함
/etc/hosts/ 파일 소유자 root, 권한 644로 설정</t>
    <phoneticPr fontId="3" type="noConversion"/>
  </si>
  <si>
    <t>현재 설정 완료 상태이므로 양호함
/etc/hosts/ 파일 소유자 root, 권한 644로 설정</t>
  </si>
  <si>
    <t>inetd 서비스 미사용으로 양호함
inetd 서비스 미설치</t>
    <phoneticPr fontId="3" type="noConversion"/>
  </si>
  <si>
    <t>inetd 서비스 미사용으로 양호함
inetd 서비스 미설치</t>
  </si>
  <si>
    <t>현재 미조치 상태로 취약
/etc/syslog.conf 파일 미존재</t>
    <phoneticPr fontId="3" type="noConversion"/>
  </si>
  <si>
    <t>/etc/syslog.conf 파일 소유자 및 권한 설정이 되어있는 상태로 양호함
/rsyslog.conf 파일의 권한이 640</t>
  </si>
  <si>
    <t>현재 설정 완료 상태이므로 양호함
/etc/services 파일의 소유자가 root, 권한 644로 설정</t>
    <phoneticPr fontId="3" type="noConversion"/>
  </si>
  <si>
    <t>현재 미조치 상태로 취약
주요 실행파일 SUID, SGID 설정 존재</t>
    <phoneticPr fontId="3" type="noConversion"/>
  </si>
  <si>
    <t>현재 설정 완료 상태이므로 양호함
각 계정에 따른 홈 디렉터리 소유자가 해당 계정으로 설정</t>
    <phoneticPr fontId="3" type="noConversion"/>
  </si>
  <si>
    <t>현재 미조치 상태이므로 취약
현재 world writable 파일 존재</t>
    <phoneticPr fontId="3" type="noConversion"/>
  </si>
  <si>
    <t xml:space="preserve">시스템 중요 파일에 world writable 파일이 존재하지 않는 상태로 양호함
시스템 중요 파일에 world writable 파일이 존재하지 않음 </t>
  </si>
  <si>
    <t>현재 미조치 상태이므로 취약
현재 /dev에 존재하지 않는 device 파일 존재</t>
    <phoneticPr fontId="3" type="noConversion"/>
  </si>
  <si>
    <t>존재하지 않은 device 파일 없는 상태로 양호함
존재하지 않는 device 파일 없음</t>
  </si>
  <si>
    <t>현재 설정값 없으므로 양호함
/etc/hosts.equiv 파일 미존재 및 .rhosts 홈 디렉터리 미존재</t>
    <phoneticPr fontId="3" type="noConversion"/>
  </si>
  <si>
    <t>현재 미조치 상태이므로 취약
포트 제한값 없음</t>
    <phoneticPr fontId="3" type="noConversion"/>
  </si>
  <si>
    <t>접속 IP 및 포트 제한된 상태로 양호함
firewall에 rich-rule이 적용</t>
  </si>
  <si>
    <t>현재 설정 완료 상태이므로 양호함
hosts.lpd 파일 미존재</t>
    <phoneticPr fontId="3" type="noConversion"/>
  </si>
  <si>
    <t>현재 설정 완료 상태이므로 양호함
UMASK 값 022로 설정</t>
    <phoneticPr fontId="3" type="noConversion"/>
  </si>
  <si>
    <t>현재 설정 완료 상태이므로 양호함
홈 디렉터리가 존재하는 계정 미존재</t>
    <phoneticPr fontId="3" type="noConversion"/>
  </si>
  <si>
    <t>인터뷰</t>
  </si>
  <si>
    <t>즉시 처리 불가로 N/A 처리</t>
    <phoneticPr fontId="3" type="noConversion"/>
  </si>
  <si>
    <t>Finger 서비스 미사용으로 양호함
Finger 서비스 비활성화</t>
    <phoneticPr fontId="3" type="noConversion"/>
  </si>
  <si>
    <t>현재 설정 완료 상태이므로 양호함
/etc/passwd 파일 내 ftp 계정 미존재</t>
    <phoneticPr fontId="3" type="noConversion"/>
  </si>
  <si>
    <t>r 계열 서비스 미사용으로 양호함
r 계열 서비스 미설치</t>
    <phoneticPr fontId="3" type="noConversion"/>
  </si>
  <si>
    <t>현재 미조치 상태이므로 취약
/usr/bin/crontab 파일 권한 644로 설정</t>
    <phoneticPr fontId="3" type="noConversion"/>
  </si>
  <si>
    <t>cron 파일 소유자 및 권한설정이 된 상태로 양호함
cron 관련 파일 소유자가 root 권한이 640 이하</t>
  </si>
  <si>
    <t>현재 설정 완료 상태이므로 양호함
DoS 공격에 취약한 서지스 미설치</t>
    <phoneticPr fontId="3" type="noConversion"/>
  </si>
  <si>
    <t>NFS 서비스 미사용으로 양호함
NFS 관련 서비스 미설치</t>
    <phoneticPr fontId="3" type="noConversion"/>
  </si>
  <si>
    <t>automountd 서비스 미사용으로 양호함
automountd 서비스 미설치</t>
    <phoneticPr fontId="3" type="noConversion"/>
  </si>
  <si>
    <t>RPC 서비스 미사용으로 양호함
RPC 서비스 미설치</t>
    <phoneticPr fontId="3" type="noConversion"/>
  </si>
  <si>
    <t>NIS 서비스 미사용으로 양호함
NIS 서비스 미설치</t>
    <phoneticPr fontId="3" type="noConversion"/>
  </si>
  <si>
    <t>현재 설정 완료 상태이므로 양호함
tftp, talk, ntalk 서비스 비활성화</t>
    <phoneticPr fontId="3" type="noConversion"/>
  </si>
  <si>
    <t xml:space="preserve"> Sendmail 서비스 존재하지 않는 상태로 양호함
 Sendmail 서비스 미존재</t>
  </si>
  <si>
    <t>SMTP 서비스 미사용으로 양호함
SMTP 서비스 미설치</t>
    <phoneticPr fontId="3" type="noConversion"/>
  </si>
  <si>
    <t>DNS 서비스 미사용으로 양호함
DNS 서비스 미설치</t>
    <phoneticPr fontId="3" type="noConversion"/>
  </si>
  <si>
    <t>현재 설정 완료 상태이므로 양호함
named 프로세스가 실행 중이지 않음</t>
    <phoneticPr fontId="3" type="noConversion"/>
  </si>
  <si>
    <t>디렉터리 검색 기능이 사용되므로 취약함
Indexes 옵션 미존재</t>
  </si>
  <si>
    <t>웹 서비스 디렉토리 리스팅이 제거된 상태로 양호함
Indexes 옵션 미존재</t>
  </si>
  <si>
    <t>현재 설정 완료 상태이므로 양호함
Apache 데몬이 apache 계정 권한으로 구동</t>
    <phoneticPr fontId="3" type="noConversion"/>
  </si>
  <si>
    <t>현재 미조치 상태이므로 취약함
AllowOverride이 None으로 설정</t>
    <phoneticPr fontId="3" type="noConversion"/>
  </si>
  <si>
    <t>웹 서비스 상위 디렉토리 접근 금지된 상태로 양호함
AllowOverride AuthConfig 지시자 존재</t>
  </si>
  <si>
    <t>현재 미조치 상태이므로 취약함
불필요한 매뉴얼/샘플 디렉터리가 미존재</t>
    <phoneticPr fontId="3" type="noConversion"/>
  </si>
  <si>
    <t>웹 서비스 불필요한 파일 제거된 상태로 양호함
기본으로 생성되는 불필요한 파일 및 디렉터리 미존재</t>
  </si>
  <si>
    <t>현재 미조치 상태이므로 취약함
Options Indexes FollowSymLinks 옵션 존재</t>
    <phoneticPr fontId="3" type="noConversion"/>
  </si>
  <si>
    <t>웹 서비스 링크 사용 금지된 상태로 양호함
Options Indexes FollowSymLinks 옵션 미존재</t>
  </si>
  <si>
    <t>현재 미조치 상태이므로 취약함
모든 디렉터리에 LimitRequestBody 설정이 미존대</t>
    <phoneticPr fontId="3" type="noConversion"/>
  </si>
  <si>
    <t>웹 서비스 파일 업로드 및 다운로드 제한된 상태로 양호함
LimitRequestBody 옵션 미존재</t>
  </si>
  <si>
    <t>현재 미조치 상태이므로 취약함
DocumentRoot가 기본경로 /var/www/html로 설정</t>
    <phoneticPr fontId="3" type="noConversion"/>
  </si>
  <si>
    <t>웹서비스 영역의 분리된 상태로 양호함
DocumentRoot 디렉터리의 경로가 /srv/web/www로 설정</t>
  </si>
  <si>
    <t>현재 설정 완료 상태이므로 양호함
원격 접속 시 SSH 프로토콜만 사용</t>
    <phoneticPr fontId="3" type="noConversion"/>
  </si>
  <si>
    <t>현재 설정 완료 상태이므로 양호함
vsftpd 또는 proftpd 서비스 미실행 및 ftp 서비스 비활성화</t>
    <phoneticPr fontId="3" type="noConversion"/>
  </si>
  <si>
    <t>현재 설정 완료 상태이므로 양호함
ftp 계정의 로그인 쉘이 /sbin/nologin 설정</t>
    <phoneticPr fontId="3" type="noConversion"/>
  </si>
  <si>
    <t>현재 설정 완료 상태이므로 양호함
ftp 서비스가 미존재</t>
    <phoneticPr fontId="3" type="noConversion"/>
  </si>
  <si>
    <t>현재 설정 완료 상태이므로 양호함
FTP 서비스가 비활성화</t>
    <phoneticPr fontId="3" type="noConversion"/>
  </si>
  <si>
    <t>현재 미조치 상태이므로 취약함
at.deny 파일의 권한이 644로 설정</t>
    <phoneticPr fontId="3" type="noConversion"/>
  </si>
  <si>
    <t>현재 설정 완료 상태이므로 양호함
SNMP 서비스가 비활성화 상태</t>
    <phoneticPr fontId="3" type="noConversion"/>
  </si>
  <si>
    <t>현재 미조치 상태이므로 취약함
서버 및 서비스에 로그온 메시지가 미설정</t>
    <phoneticPr fontId="3" type="noConversion"/>
  </si>
  <si>
    <t>현재 설정 완료 상태이므로 양호함
NFS 접근제어 설정파일의 소유자가 root 이고, 권한이 644로 설정</t>
    <phoneticPr fontId="3" type="noConversion"/>
  </si>
  <si>
    <t>조치 현황</t>
  </si>
  <si>
    <t>현재 설정 완료 상태이므로 양호함
웹 서비스가 존재하지 않는 상태로 양호함</t>
  </si>
  <si>
    <t>현재 설정 완료 상태이므로 양호함
shadow 패스워드 사용 및 암호화</t>
  </si>
  <si>
    <t>/etc/services 파일 소유자 및 권한 설정되어있는 상태로 양호함
/etc/services 파일의 소유자가 root, 권한 644로 설정</t>
  </si>
  <si>
    <t>주요 실행파일의 권한에 SUID와 SGID에 대한 설정이 부여되어 있지 않은 상태로 양호함
주요 실행파일 SUID, SGID 설정 존재하지 않음</t>
  </si>
  <si>
    <t>현재 설정 완료 상태이므로 양호함
hosts.lpd 파일 미존재</t>
  </si>
  <si>
    <t>Finger 서비스 미사용으로 양호함
Finger 서비스 비활성화</t>
  </si>
  <si>
    <t>현재 설정 완료 상태이므로 양호함
DoS 공격에 취약한 서지스 미설치</t>
  </si>
  <si>
    <t>Sendmail 서비스가 존재하지 않는 상태로 양호함
Sendmail 서비스 미존재</t>
  </si>
  <si>
    <t>현재 설정 완료 상태이므로 양호함
named 프로세스가 실행 중이지 않음</t>
  </si>
  <si>
    <t>at 파일 소유자 및 권한이 설정된 상태로 양호함
crontab 명령어 750 이하, cron 관련 파일 소유자 및 권한 변경(소유자 root, 권한 640 이하)</t>
  </si>
  <si>
    <t xml:space="preserve"> 로그온 시 경고 메시지가 설정되어 있는 상태로 양호함
 /etc/motd 파일, /etc/issue.net 파일에에 경고 메시지가 설정되어 있음</t>
  </si>
  <si>
    <t>Y</t>
    <phoneticPr fontId="3" type="noConversion"/>
  </si>
  <si>
    <t>현재 설정 완료 상태이므로 양호함
NFS 접근제어 설정파일의 소유자가 root 이고, 권한이 644로 설정</t>
  </si>
  <si>
    <t>현재 미조치 상태이므로 취약함
서버 및 서비스에 로그온 메시지가 미설정</t>
  </si>
  <si>
    <t>현재 설정 완료 상태이므로 양호함
SNMP 서비스가 비활성화 상태</t>
  </si>
  <si>
    <t>현재 설정 완료 상태이므로 양호함
원격 접속 시 SSH 프로토콜만 사용</t>
  </si>
  <si>
    <t>현재 설정 완료 상태이므로 양호함
vsftpd 또는 proftpd 서비스 미실행 및 ftp 서비스 비활성화</t>
  </si>
  <si>
    <t>현재 설정 완료 상태이므로 양호함
ftp 계정의 로그인 쉘이 /sbin/nologin 설정</t>
  </si>
  <si>
    <t>현재 설정 완료 상태이므로 양호함
ftp 서비스가 미존재</t>
  </si>
  <si>
    <t>현재 설정 완료 상태이므로 양호함
FTP 서비스가 비활성화</t>
  </si>
  <si>
    <t>현재 미조치 상태이므로 취약함
at.deny 파일의 권한이 644로 설정</t>
  </si>
  <si>
    <t>NFS 서비스 미사용으로 양호함
NFS 관련 서비스 미설치</t>
  </si>
  <si>
    <t>automountd 서비스 미사용으로 양호함
automountd 서비스 미설치</t>
  </si>
  <si>
    <t>RPC 서비스 미사용으로 양호함
RPC 서비스 미설치</t>
  </si>
  <si>
    <t>NIS 서비스 미사용으로 양호함
NIS 서비스 미설치</t>
  </si>
  <si>
    <t>현재 설정 완료 상태이므로 양호함
tftp, talk, ntalk 서비스 비활성화</t>
  </si>
  <si>
    <t>SMTP 서비스 미사용으로 양호함
SMTP 서비스 미설치</t>
  </si>
  <si>
    <t>DNS 서비스 미사용으로 양호함
DNS 서비스 미설치</t>
  </si>
  <si>
    <t>현재 설정 완료 상태이므로 양호함
Apache 데몬이 apache 계정 권한으로 구동</t>
  </si>
  <si>
    <t>현재 설정 완료 상태이므로 양호함
/etc/passwd 파일 내 ftp 계정 미존재</t>
  </si>
  <si>
    <t>r 계열 서비스 미사용으로 양호함
r 계열 서비스 미설치</t>
  </si>
  <si>
    <t>현재 설정 완료 상태이므로 양호함
홈 디렉터리가 존재하는 계정 미존재</t>
  </si>
  <si>
    <t>현재 설정 완료 상태이므로 양호함
각 계정에 따른 홈 디렉터리 소유자가 해당 계정으로 설정</t>
  </si>
  <si>
    <t>현재 설정 완료 상태이므로 양호함
UMASK 값 022로 설정</t>
  </si>
  <si>
    <t>현재 설정값 없으므로 양호함
/etc/hosts.equiv 파일 미존재 및 .rhosts 홈 디렉터리 미존재</t>
  </si>
  <si>
    <t>현재 설정 완료 상태이므로 양호함
/etc/services 파일의 소유자가 root, 권한 644로 설정</t>
  </si>
  <si>
    <t>주요 실행파일에 SUID와 SGID에 대한 설정이 미존재 상태로 양호함
주요 실행파일 SUID, SGID 설정 존재하지 않음</t>
    <phoneticPr fontId="3" type="noConversion"/>
  </si>
  <si>
    <t>현재 설정 완료 상태이므로 양호함
/etc/shadow 파일 소유자 root, 권한 0로 설정</t>
  </si>
  <si>
    <t>현재 설정 완료 상태이므로 양호함
/etc/passwd 파일 소유자 root, 권한 644로 설정</t>
  </si>
  <si>
    <t>현재 설정 완료 상태이므로 양호함
PATH 환경변수에 "."이 미존재</t>
  </si>
  <si>
    <t>현재 설정 완료 상태이므로 양호함
로그인이 필요하지 않은 계정에 nologin 쉘 부여</t>
  </si>
  <si>
    <t>현재 설정 완료 상태이므로 양호함
동일한 UID로 설전된 계정 존재 없음</t>
  </si>
  <si>
    <t>현재 설정 완료 상태이므로 양호함
계정 관련 그룹 제외 불필요한 그룹 미존재</t>
  </si>
  <si>
    <t>현재 설정 완료 상태이므로 양호함
관리자 그룹에 root 계정만 존재</t>
  </si>
  <si>
    <t>현재 설정 완료 상태이므로 양호함
서버 내에 불필요한 계정이 미존재</t>
  </si>
  <si>
    <t>현재 설정 완료 상태이므로 양호함
패스워드 최소 사용기간 1일</t>
  </si>
  <si>
    <t>현재 설정 완료 상태이므로 양호함
패스워드 최대 사용기간 90일로 설정</t>
  </si>
  <si>
    <t>현재 설정 완료 상태이므로 양호함
패스워드 최소 길이 8로 설정</t>
  </si>
  <si>
    <t>현재 설정 완료상태이므로 양호함
wheel 그룹 및 구성원 내 불필요한 계정 미존재</t>
  </si>
  <si>
    <t>현재 설정 완료상태이므로 양호함
UID=0을 가진 계정은 root 하나만 존재</t>
  </si>
  <si>
    <t xml:space="preserve">root 계정 원격 접속 제한 상태로 양호함
PermitRootLogin no </t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</si>
  <si>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</si>
  <si>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</si>
  <si>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</si>
  <si>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</si>
  <si>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</si>
  <si>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주요 실행파일에 SUID와 SGID에 대한 설정 미존재 상태로 양호함
주요 실행파일 SUID, SGID 설정 존재하지 않음</t>
    <phoneticPr fontId="3" type="noConversion"/>
  </si>
  <si>
    <t>인터뷰 필요</t>
    <phoneticPr fontId="3" type="noConversion"/>
  </si>
  <si>
    <t>인터뷰 필요</t>
    <phoneticPr fontId="3" type="noConversion"/>
  </si>
  <si>
    <t>■ 자산목록</t>
    <phoneticPr fontId="3" type="noConversion"/>
  </si>
  <si>
    <t>항목코드</t>
  </si>
  <si>
    <t>U-02</t>
  </si>
  <si>
    <t>비밀번호 관리정책 설정</t>
  </si>
  <si>
    <t>비밀번호 파일 보호</t>
  </si>
  <si>
    <t>root 이외의 UID가 ‘0’ 금지</t>
  </si>
  <si>
    <t>사용자 계정 su 기능 제한</t>
  </si>
  <si>
    <t>사용자 Shell 점검</t>
  </si>
  <si>
    <t>로그인이 불필요한 계정은 /bin/false 또는 /sbin/nologin 등 로그인 불가능한 Shell을 사용하도록 설정</t>
  </si>
  <si>
    <t>세션 종료 시간 설정</t>
  </si>
  <si>
    <t>안전한 비밀번호 암호화 알고리즘 사용</t>
  </si>
  <si>
    <t>SHA-256, SHA-512 등 안전한 암호화 알고리즘을 사용하도록 설정</t>
  </si>
  <si>
    <t>root 계정의 PATH 환경변수에 "."을 제거하고 PATH 디렉터리의 소유자 및 권한을 안전하게 설정</t>
  </si>
  <si>
    <t>/etc/passwd 파일의 소유자를 root로 설정하고 권한을 644 이하로 설정</t>
  </si>
  <si>
    <t>시스템 시작 스크립트 권한 설정</t>
  </si>
  <si>
    <t>시스템 시작 스크립트의 소유자를 root로 설정하고 일반 사용자에게 쓰기 권한을 부여하지 않도록 설정</t>
  </si>
  <si>
    <t>U-18</t>
  </si>
  <si>
    <t>/etc/(r)syslog.conf 파일 소유자 및 권한 설정</t>
  </si>
  <si>
    <t>불필요한 SUID, SGID, Sticky bit가 설정된 파일을 제거하거나 권한을 변경</t>
  </si>
  <si>
    <t>사용자, 시스템 시작파일 및 환경파일 소유자 및 권한 설정</t>
  </si>
  <si>
    <t>사용자 및 시스템 환경설정 파일의 소유자를 root 또는 해당 사용자로 설정하고 권한을 적절하게 설정</t>
  </si>
  <si>
    <t>불필요하거나 사용하지 않는 device 파일을 삭제</t>
  </si>
  <si>
    <t>TCP Wrapper, 방화벽 등을 이용하여 허용된 IP 및 포트만 접근하도록 설정</t>
  </si>
  <si>
    <t>시스템 및 사용자 UMASK 값을 보안정책에 맞게 설정</t>
  </si>
  <si>
    <t>홈 디렉터리 소유자 및 권한 설정</t>
  </si>
  <si>
    <t>홈 디렉터리로 지정한 디렉터리의 존재 관리</t>
  </si>
  <si>
    <t>숨겨진 파일 및 디렉터리 검색 및 제거</t>
  </si>
  <si>
    <t>Finger 서비스 비활성화</t>
  </si>
  <si>
    <t>Finger 서비스를 사용하지 않는 경우 비활성화</t>
  </si>
  <si>
    <t>공유 서비스에 대한 익명 접근 제한 설정</t>
  </si>
  <si>
    <t>공유 서비스의 익명(Anonymous) 접근을 제한하도록 설정</t>
  </si>
  <si>
    <t>crontab 설정파일 권한 설정 미흡</t>
  </si>
  <si>
    <t>DoS 공격에 취약한 서비스 비활성화</t>
  </si>
  <si>
    <t>echo, discard, daytime, chargen 등 DoS에 취약한 서비스를 비활성화</t>
  </si>
  <si>
    <t>불필요한 NFS 서비스 비활성화</t>
  </si>
  <si>
    <t>불필요한 automountd 제거</t>
  </si>
  <si>
    <t>불필요한 automountd 서비스를 비활성화하거나 제거</t>
  </si>
  <si>
    <t>불필요한 RPC 서비스 비활성화</t>
  </si>
  <si>
    <t>U-43</t>
  </si>
  <si>
    <t>NIS 서비스를 사용하지 않거나 필요한 경우 NIS+를 사용하도록 설정</t>
  </si>
  <si>
    <t>tftp, talk, ntalk 서비스를 사용하지 않는 경우 비활성화</t>
  </si>
  <si>
    <t>메일 서비스 버전 점검</t>
  </si>
  <si>
    <t>취약점이 없는 최신 메일 서비스 버전으로 유지</t>
  </si>
  <si>
    <t>일반 사용자의 메일 서비스 실행 방지</t>
  </si>
  <si>
    <t>일반 사용자가 Sendmail 등 메일 서비스를 직접 실행하지 못하도록 설정</t>
  </si>
  <si>
    <t>SMTP Open Relay를 방지하도록 메일 릴레이를 제한</t>
  </si>
  <si>
    <t>U-48</t>
  </si>
  <si>
    <t>expn, vrfy 명령어 제한</t>
  </si>
  <si>
    <t>expn, vrfy 명령어를 비활성화하여 사용자 정보 노출을 방지</t>
  </si>
  <si>
    <t>DNS 서버를 최신 보안 패치가 적용된 버전으로 유지</t>
  </si>
  <si>
    <t>Zone Transfer를 허용된 DNS 서버로만 제한</t>
  </si>
  <si>
    <t>DNS 서비스의 취약한 동적 업데이트 설정 금지</t>
  </si>
  <si>
    <t>Dynamic Update 기능을 제한하거나 비활성화</t>
  </si>
  <si>
    <t>Telnet 서비스 비활성화</t>
  </si>
  <si>
    <t>Telnet 서비스를 비활성화하고 SSH를 사용</t>
  </si>
  <si>
    <t>FTP 서비스 정보 노출 제한</t>
  </si>
  <si>
    <t>FTP 배너 및 버전 정보가 노출되지 않도록 설정</t>
  </si>
  <si>
    <t>암호화되지 않는 FTP 서비스 비활성화</t>
  </si>
  <si>
    <t>FTP 대신 SFTP 또는 FTPS를 사용하도록 설정</t>
  </si>
  <si>
    <t>FTP 계정 Shell 제한</t>
  </si>
  <si>
    <t>FTP 전용 계정에 로그인 가능한 Shell을 부여하지 않도록 설정</t>
  </si>
  <si>
    <t>FTP 서비스 접근 제어 설정</t>
  </si>
  <si>
    <t>Ftpusers 파일 설정</t>
  </si>
  <si>
    <t>불필요한 SNMP 서비스 구동 점검</t>
  </si>
  <si>
    <t>SNMP 서비스를 사용하지 않는 경우 비활성화</t>
  </si>
  <si>
    <t>안전한 SNMP 버전 사용</t>
  </si>
  <si>
    <t>SNMP Community String 복잡성 설정</t>
  </si>
  <si>
    <t>기본 Community String을 변경하고 복잡하게 설정</t>
  </si>
  <si>
    <t>SNMP Access Control 설정</t>
  </si>
  <si>
    <t>로그인 시 경고 메시지 설정</t>
  </si>
  <si>
    <t>sudo 명령어 접근 관리</t>
  </si>
  <si>
    <t>sudo 사용 권한을 최소한의 관리자에게만 부여</t>
  </si>
  <si>
    <t>패치 관리</t>
  </si>
  <si>
    <t>주기적 보안 패치 및 벤더 권고사항 적용</t>
  </si>
  <si>
    <t>최신 보안 패치 및 벤더 권고사항을 주기적으로 적용</t>
  </si>
  <si>
    <t>NTP 및 시각 동기화 설정</t>
  </si>
  <si>
    <t>NTP 서버를 이용하여 시스템 시간을 정확하게 동기화</t>
  </si>
  <si>
    <t>보안 정책에 따라 시스템 로그를 기록하도록 설정</t>
  </si>
  <si>
    <t>로그 디렉터리 소유자 및 권한 설정</t>
  </si>
  <si>
    <t>로그 디렉터리의 소유자 및 접근 권한을 적절하게 설정</t>
  </si>
  <si>
    <t>root 계정의 원격 접속을 차단하고 일반 사용자 계정으로 로그인 후 su 또는 sudo를 사용하도록 설정</t>
  </si>
  <si>
    <t>로그인 실패 횟수에 따른 계정 잠금 정책을 적용하여 무차별 대입 공격을 방지</t>
  </si>
  <si>
    <t>쉐도우 비밀번호를 사용하거나 비밀번호를 암호화하여 저장·관리하도록 설정</t>
  </si>
  <si>
    <t>su 명령어 사용 권한을 wheel 등 관리자 그룹으로 제한</t>
  </si>
  <si>
    <t>관리자 그룹에는 반드시 필요한 사용자만 포함하도록 관리</t>
  </si>
  <si>
    <t>존재하지 않는 그룹(GID)을 사용하는 계정을 수정하거나 삭제</t>
  </si>
  <si>
    <t>U-01</t>
    <phoneticPr fontId="3" type="noConversion"/>
  </si>
  <si>
    <t>root 계정 원격 접속 제한</t>
    <phoneticPr fontId="3" type="noConversion"/>
  </si>
  <si>
    <t>Linux</t>
    <phoneticPr fontId="3" type="noConversion"/>
  </si>
  <si>
    <r>
      <t>비밀번호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복잡도</t>
    </r>
    <r>
      <rPr>
        <sz val="8"/>
        <rFont val="Arial Unicode MS"/>
        <family val="2"/>
      </rPr>
      <t xml:space="preserve">, </t>
    </r>
    <r>
      <rPr>
        <sz val="8"/>
        <rFont val="돋움"/>
        <family val="3"/>
        <charset val="129"/>
      </rPr>
      <t>최소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길이</t>
    </r>
    <r>
      <rPr>
        <sz val="8"/>
        <rFont val="Arial Unicode MS"/>
        <family val="2"/>
      </rPr>
      <t xml:space="preserve">, </t>
    </r>
    <r>
      <rPr>
        <sz val="8"/>
        <rFont val="돋움"/>
        <family val="3"/>
        <charset val="129"/>
      </rPr>
      <t>최대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사용기간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등을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적용하여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안전한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비밀번호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관리정책을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</si>
  <si>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>UID</t>
    </r>
    <r>
      <rPr>
        <sz val="8"/>
        <rFont val="돋움"/>
        <family val="3"/>
        <charset val="129"/>
      </rPr>
      <t>가</t>
    </r>
    <r>
      <rPr>
        <sz val="8"/>
        <rFont val="Arial Unicode MS"/>
        <family val="2"/>
      </rPr>
      <t xml:space="preserve"> 0</t>
    </r>
    <r>
      <rPr>
        <sz val="8"/>
        <rFont val="돋움"/>
        <family val="3"/>
        <charset val="129"/>
      </rPr>
      <t>인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계정을</t>
    </r>
    <r>
      <rPr>
        <sz val="8"/>
        <rFont val="Arial Unicode MS"/>
        <family val="2"/>
      </rPr>
      <t xml:space="preserve"> root </t>
    </r>
    <r>
      <rPr>
        <sz val="8"/>
        <rFont val="돋움"/>
        <family val="3"/>
        <charset val="129"/>
      </rPr>
      <t>계정으로만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제한하고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불필요한</t>
    </r>
    <r>
      <rPr>
        <sz val="8"/>
        <rFont val="Arial Unicode MS"/>
        <family val="2"/>
      </rPr>
      <t xml:space="preserve"> UID 0 </t>
    </r>
    <r>
      <rPr>
        <sz val="8"/>
        <rFont val="돋움"/>
        <family val="3"/>
        <charset val="129"/>
      </rPr>
      <t>계정을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삭제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또는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변경</t>
    </r>
  </si>
  <si>
    <r>
      <t>장기간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미사용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불필요한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기본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삭제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또는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잠금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처리</t>
    </r>
  </si>
  <si>
    <r>
      <t>동일한</t>
    </r>
    <r>
      <rPr>
        <sz val="8"/>
        <rFont val="Arial Unicode MS"/>
        <family val="2"/>
      </rPr>
      <t xml:space="preserve"> UID</t>
    </r>
    <r>
      <rPr>
        <sz val="8"/>
        <rFont val="돋움"/>
        <family val="3"/>
        <charset val="129"/>
      </rPr>
      <t>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사용하는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계정이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없도록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변경하여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고유하게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관리</t>
    </r>
  </si>
  <si>
    <r>
      <t xml:space="preserve">/etc/shadow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400 </t>
    </r>
    <r>
      <rPr>
        <sz val="8"/>
        <rFont val="돋움"/>
        <family val="3"/>
        <charset val="129"/>
      </rPr>
      <t>이하로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</si>
  <si>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 xml:space="preserve">/etc/hosts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비인가자의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파일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변조를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방지</t>
    </r>
    <phoneticPr fontId="3" type="noConversion"/>
  </si>
  <si>
    <r>
      <t xml:space="preserve">/etc/inetd.conf </t>
    </r>
    <r>
      <rPr>
        <sz val="8"/>
        <rFont val="돋움"/>
        <family val="3"/>
        <charset val="129"/>
      </rPr>
      <t>또는</t>
    </r>
    <r>
      <rPr>
        <sz val="8"/>
        <rFont val="Arial Unicode MS"/>
        <family val="2"/>
      </rPr>
      <t xml:space="preserve"> /etc/xinetd.conf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</si>
  <si>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 xml:space="preserve">/etc/syslog.conf </t>
    </r>
    <r>
      <rPr>
        <sz val="8"/>
        <rFont val="돋움"/>
        <family val="3"/>
        <charset val="129"/>
      </rPr>
      <t>또는</t>
    </r>
    <r>
      <rPr>
        <sz val="8"/>
        <rFont val="Arial Unicode MS"/>
        <family val="2"/>
      </rPr>
      <t xml:space="preserve"> /etc/rsyslog.conf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</si>
  <si>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 xml:space="preserve">/etc/services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</si>
  <si>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>불필요한</t>
    </r>
    <r>
      <rPr>
        <sz val="8"/>
        <rFont val="Arial Unicode MS"/>
        <family val="2"/>
      </rPr>
      <t xml:space="preserve"> world writable </t>
    </r>
    <r>
      <rPr>
        <sz val="8"/>
        <rFont val="돋움"/>
        <family val="3"/>
        <charset val="129"/>
      </rPr>
      <t>파일을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제거하거나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쓰기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제한</t>
    </r>
  </si>
  <si>
    <r>
      <t xml:space="preserve">.rhosts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hosts.equiv </t>
    </r>
    <r>
      <rPr>
        <sz val="8"/>
        <rFont val="돋움"/>
        <family val="3"/>
        <charset val="129"/>
      </rPr>
      <t>파일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금지하거나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접근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제한</t>
    </r>
  </si>
  <si>
    <r>
      <t xml:space="preserve">hosts.lpd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</si>
  <si>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>사용자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홈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디렉터리의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해당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사용자로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사용자의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쓰기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제거</t>
    </r>
  </si>
  <si>
    <r>
      <t>홈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디렉터리가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존재하지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않는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홈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디렉터리를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생성하거나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불필요한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삭제</t>
    </r>
  </si>
  <si>
    <r>
      <t>불필요하거나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의심스러운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숨겨진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파일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디렉터리를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검색하여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제거</t>
    </r>
  </si>
  <si>
    <r>
      <t xml:space="preserve">rlogin, rsh, rexec </t>
    </r>
    <r>
      <rPr>
        <sz val="8"/>
        <rFont val="돋움"/>
        <family val="3"/>
        <charset val="129"/>
      </rPr>
      <t>등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불필요한</t>
    </r>
    <r>
      <rPr>
        <sz val="8"/>
        <rFont val="Arial Unicode MS"/>
        <family val="2"/>
      </rPr>
      <t xml:space="preserve"> r </t>
    </r>
    <r>
      <rPr>
        <sz val="8"/>
        <rFont val="돋움"/>
        <family val="3"/>
        <charset val="129"/>
      </rPr>
      <t>계열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서비스를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비활성화</t>
    </r>
  </si>
  <si>
    <r>
      <t xml:space="preserve">crontab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at </t>
    </r>
    <r>
      <rPr>
        <sz val="8"/>
        <rFont val="돋움"/>
        <family val="3"/>
        <charset val="129"/>
      </rPr>
      <t>관련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</si>
  <si>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>불필요한</t>
    </r>
    <r>
      <rPr>
        <sz val="8"/>
        <rFont val="Arial Unicode MS"/>
        <family val="2"/>
      </rPr>
      <t xml:space="preserve"> NFS </t>
    </r>
    <r>
      <rPr>
        <sz val="8"/>
        <rFont val="돋움"/>
        <family val="3"/>
        <charset val="129"/>
      </rPr>
      <t>서비스를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중지하고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비활성화</t>
    </r>
  </si>
  <si>
    <r>
      <t xml:space="preserve">NFS </t>
    </r>
    <r>
      <rPr>
        <sz val="8"/>
        <rFont val="돋움"/>
        <family val="3"/>
        <charset val="129"/>
      </rPr>
      <t>접근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통제를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허용된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사용자만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접근하도록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구성</t>
    </r>
  </si>
  <si>
    <r>
      <t>불필요한</t>
    </r>
    <r>
      <rPr>
        <sz val="8"/>
        <rFont val="Arial Unicode MS"/>
        <family val="2"/>
      </rPr>
      <t xml:space="preserve"> RPC </t>
    </r>
    <r>
      <rPr>
        <sz val="8"/>
        <rFont val="돋움"/>
        <family val="3"/>
        <charset val="129"/>
      </rPr>
      <t>서비스를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중지하고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비활성화</t>
    </r>
  </si>
  <si>
    <r>
      <t>허용된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사용자만</t>
    </r>
    <r>
      <rPr>
        <sz val="8"/>
        <rFont val="Arial Unicode MS"/>
        <family val="2"/>
      </rPr>
      <t xml:space="preserve"> FTP </t>
    </r>
    <r>
      <rPr>
        <sz val="8"/>
        <rFont val="돋움"/>
        <family val="3"/>
        <charset val="129"/>
      </rPr>
      <t>서비스를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있도록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접근을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제한</t>
    </r>
  </si>
  <si>
    <r>
      <t xml:space="preserve">ftpusers </t>
    </r>
    <r>
      <rPr>
        <sz val="8"/>
        <rFont val="돋움"/>
        <family val="3"/>
        <charset val="129"/>
      </rPr>
      <t>파일에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접속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등록하여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관리</t>
    </r>
  </si>
  <si>
    <r>
      <t xml:space="preserve">SNMPv3 </t>
    </r>
    <r>
      <rPr>
        <sz val="8"/>
        <rFont val="돋움"/>
        <family val="3"/>
        <charset val="129"/>
      </rPr>
      <t>등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안전한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버전을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</t>
    </r>
  </si>
  <si>
    <r>
      <t>로그인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보안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경고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메시지를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표시하도록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</si>
  <si>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 xml:space="preserve">TMOUT </t>
    </r>
    <r>
      <rPr>
        <sz val="8"/>
        <rFont val="돋움"/>
        <family val="3"/>
        <charset val="129"/>
      </rPr>
      <t>등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세션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자동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종료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시간을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일정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시간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미사용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자동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로그아웃되도록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</si>
  <si>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>소유자가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존재하지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않는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파일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디렉터리의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변경하거나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불필요한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경우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삭제</t>
    </r>
  </si>
  <si>
    <r>
      <t xml:space="preserve">SNMP </t>
    </r>
    <r>
      <rPr>
        <sz val="8"/>
        <rFont val="돋움"/>
        <family val="3"/>
        <charset val="129"/>
      </rPr>
      <t>접근제어</t>
    </r>
    <r>
      <rPr>
        <sz val="8"/>
        <rFont val="Arial Unicode MS"/>
        <family val="2"/>
      </rPr>
      <t>(ACL)</t>
    </r>
    <r>
      <rPr>
        <sz val="8"/>
        <rFont val="돋움"/>
        <family val="3"/>
        <charset val="129"/>
      </rPr>
      <t>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허용된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호스트만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접근하도록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구성</t>
    </r>
  </si>
  <si>
    <t>Linux Server</t>
    <phoneticPr fontId="3" type="noConversion"/>
  </si>
  <si>
    <t>10.10.40.1</t>
    <phoneticPr fontId="3" type="noConversion"/>
  </si>
  <si>
    <t>Ubuntu</t>
    <phoneticPr fontId="3" type="noConversion"/>
  </si>
  <si>
    <t>24.04.2 LTS</t>
    <phoneticPr fontId="3" type="noConversion"/>
  </si>
  <si>
    <t>10.10.40.3</t>
    <phoneticPr fontId="3" type="noConversion"/>
  </si>
  <si>
    <t>LOG_HQ_Rocky</t>
    <phoneticPr fontId="3" type="noConversion"/>
  </si>
  <si>
    <t>Web 서버 / 딩동독 서비스</t>
    <phoneticPr fontId="3" type="noConversion"/>
  </si>
  <si>
    <t>DB_HQ_Rocky</t>
    <phoneticPr fontId="3" type="noConversion"/>
  </si>
  <si>
    <t>BDB_HQ_Rocky</t>
    <phoneticPr fontId="3" type="noConversion"/>
  </si>
  <si>
    <t>BLOG_HQ_Rocky</t>
    <phoneticPr fontId="3" type="noConversion"/>
  </si>
  <si>
    <t>PHP_BR_Rocky</t>
    <phoneticPr fontId="3" type="noConversion"/>
  </si>
  <si>
    <t>LOG_BR_Rocky</t>
    <phoneticPr fontId="3" type="noConversion"/>
  </si>
  <si>
    <t>DB_BR_Rocky</t>
    <phoneticPr fontId="3" type="noConversion"/>
  </si>
  <si>
    <t>BDB_BR_Rocky</t>
    <phoneticPr fontId="3" type="noConversion"/>
  </si>
  <si>
    <t>BLOG_BR_Rocky</t>
    <phoneticPr fontId="3" type="noConversion"/>
  </si>
  <si>
    <t>10.10.40.18</t>
    <phoneticPr fontId="3" type="noConversion"/>
  </si>
  <si>
    <t>10.10.40.33</t>
    <phoneticPr fontId="3" type="noConversion"/>
  </si>
  <si>
    <t>10.10.40.34</t>
    <phoneticPr fontId="3" type="noConversion"/>
  </si>
  <si>
    <t>10.200.40.1</t>
    <phoneticPr fontId="3" type="noConversion"/>
  </si>
  <si>
    <t>10.200.40.3</t>
    <phoneticPr fontId="3" type="noConversion"/>
  </si>
  <si>
    <t>10.200.40.18</t>
    <phoneticPr fontId="3" type="noConversion"/>
  </si>
  <si>
    <t>10.200.40.33</t>
    <phoneticPr fontId="3" type="noConversion"/>
  </si>
  <si>
    <t>10.200.40.34</t>
    <phoneticPr fontId="3" type="noConversion"/>
  </si>
  <si>
    <t>본사 LOG 서버</t>
    <phoneticPr fontId="3" type="noConversion"/>
  </si>
  <si>
    <t>지사 LOG 서버</t>
    <phoneticPr fontId="3" type="noConversion"/>
  </si>
  <si>
    <t>PHP 서버 / 딩동몰 서비스</t>
    <phoneticPr fontId="3" type="noConversion"/>
  </si>
  <si>
    <t>본사 DB 서버</t>
    <phoneticPr fontId="3" type="noConversion"/>
  </si>
  <si>
    <t>지사 DB 서버</t>
    <phoneticPr fontId="3" type="noConversion"/>
  </si>
  <si>
    <t>LOG 백업 서버 / 지사 LOG 백업</t>
    <phoneticPr fontId="3" type="noConversion"/>
  </si>
  <si>
    <t>DB 백업 서버 / 지사 DB 백업</t>
    <phoneticPr fontId="3" type="noConversion"/>
  </si>
  <si>
    <t>LOG 백업 서버 / 본사 LOG 백업</t>
    <phoneticPr fontId="3" type="noConversion"/>
  </si>
  <si>
    <t>지사 서버망</t>
    <phoneticPr fontId="3" type="noConversion"/>
  </si>
  <si>
    <t>본사 서버망</t>
    <phoneticPr fontId="3" type="noConversion"/>
  </si>
  <si>
    <t>본사 백업망</t>
    <phoneticPr fontId="3" type="noConversion"/>
  </si>
  <si>
    <t>본사 백업망</t>
    <phoneticPr fontId="3" type="noConversion"/>
  </si>
  <si>
    <t>본사 개발팀</t>
    <phoneticPr fontId="3" type="noConversion"/>
  </si>
  <si>
    <t>본사 개발팀</t>
    <phoneticPr fontId="3" type="noConversion"/>
  </si>
  <si>
    <t>authselect 명령어를 사용한 계정 잠금 임계값 설정 완료
etc/securiy/faillock.conf 파일 설정 수정</t>
    <phoneticPr fontId="3" type="noConversion"/>
  </si>
  <si>
    <t xml:space="preserve">root 계정 원격 접속 제한 설정값 변경
/etc/default/login, /etc/ssh/sshd_config 설정 수정 </t>
    <phoneticPr fontId="3" type="noConversion"/>
  </si>
  <si>
    <t xml:space="preserve">비밀번호 관리 정책 설정값 변경 
/etc/login.defs, /etc/security/pwquality.conf, /etc/security/pwhistory.conf, /etc/login.defs 파일 설정 수정 </t>
    <phoneticPr fontId="3" type="noConversion"/>
  </si>
  <si>
    <t>현재 설정 완료되있는 상태이므로 양호함
쉐도우 비밀번호 적용중</t>
    <phoneticPr fontId="3" type="noConversion"/>
  </si>
  <si>
    <t>su 명령어 그룹과 권한 설정 변경
wheel 그룹 및 구성원 내 불필요한 계정 미존재</t>
    <phoneticPr fontId="3" type="noConversion"/>
  </si>
  <si>
    <t>현재 설정 완료되있는 상태이므로 양호함
UID=0을 가진 계정은 root만 존재함</t>
    <phoneticPr fontId="3" type="noConversion"/>
  </si>
  <si>
    <t>현재 설정 완료되있는 상태이므로 양호함
불필요한 계정이 존재하지 않음</t>
    <phoneticPr fontId="3" type="noConversion"/>
  </si>
  <si>
    <t>현재 설정 완료되있는 상태이므로 양호함
관리자 그룹에 불필요한 계정이 등록되어있지 않음</t>
    <phoneticPr fontId="3" type="noConversion"/>
  </si>
  <si>
    <t>현재 설정 완료되있는 상태이므로 양호함
관리자 그룹에 불필요한 계정이 등록되어있지 않음</t>
    <phoneticPr fontId="3" type="noConversion"/>
  </si>
  <si>
    <t>WEB-HQ-Ubuntu</t>
    <phoneticPr fontId="3" type="noConversion"/>
  </si>
  <si>
    <t xml:space="preserve">root 계정 원격 접속 제한 설정값 변경
/etc/default/login, /etc/ssh/sshd_config 설정 수정 </t>
    <phoneticPr fontId="3" type="noConversion"/>
  </si>
  <si>
    <t>root 계정 원격 접속 제한 상태로 양호함
PermitRootLogin no , auth required /lib/security/pam_securetty.so</t>
    <phoneticPr fontId="3" type="noConversion"/>
  </si>
  <si>
    <t>패스워드 복잡성이 설정된 상태로 양호함
최소길이 8자리 이상, 영문·숫자·특수문자 최소 입력 기능이 설정</t>
    <phoneticPr fontId="3" type="noConversion"/>
  </si>
  <si>
    <t>계정 임계값이 설정된 상태로 양호함
pam_faillock.so 모듈 및 임계값이 설정되어있음(silent, deny=10, unlock_time=120)</t>
    <phoneticPr fontId="3" type="noConversion"/>
  </si>
  <si>
    <t>불필요한 계정 없으므로 양호</t>
    <phoneticPr fontId="3" type="noConversion"/>
  </si>
  <si>
    <t>불필요한 계정 없으므로 양호</t>
    <phoneticPr fontId="3" type="noConversion"/>
  </si>
  <si>
    <t>시스템 관리나 운용에 불필요한 그룹 존재하지 않으므로 양호</t>
    <phoneticPr fontId="3" type="noConversion"/>
  </si>
  <si>
    <t>동일한 UID로 설정된 사용자 계정이 존재하지 않음</t>
    <phoneticPr fontId="3" type="noConversion"/>
  </si>
  <si>
    <t>로그인이 필요하지 않은 계정에 /bin/nologin 쉘이 부여되어 양호</t>
    <phoneticPr fontId="3" type="noConversion"/>
  </si>
  <si>
    <t>Session Timeout 설정된 상태로 양호함
/etc/profile에서TMOUT=600, export TMOUT으로 설정</t>
    <phoneticPr fontId="3" type="noConversion"/>
  </si>
  <si>
    <t>Session Timeout 설정된 상태로 양호함
/etc/profile에서TMOUT=600, export TMOUT으로 설정</t>
    <phoneticPr fontId="3" type="noConversion"/>
  </si>
  <si>
    <t>현재 설정 완료 상태이므로 양호함
/etc/passwd 파일 소유자 root, 권한 644로 설정</t>
    <phoneticPr fontId="3" type="noConversion"/>
  </si>
  <si>
    <t>현재 설정 완료 상태이므로 양호함
/etc/hosts/ 파일 소유자 root, 권한 644로 설정</t>
    <phoneticPr fontId="3" type="noConversion"/>
  </si>
  <si>
    <t>현재 미조치 상태로 취약
소유자가 존재하지 않는 파일 및 디렉터리 존재</t>
    <phoneticPr fontId="3" type="noConversion"/>
  </si>
  <si>
    <t>시스템 시작 스크립트 파일의 소유자가 root로 설정
일반 사용자의 쓰기 권한이 제거되있으므로 양호</t>
    <phoneticPr fontId="3" type="noConversion"/>
  </si>
  <si>
    <t>시스템 시작 스크립트 파일의 소유자가 root로 설정
일반 사용자의 쓰기 권한이 제거되있으므로 양호</t>
    <phoneticPr fontId="3" type="noConversion"/>
  </si>
  <si>
    <t>(x)inetd 서비스 미사용으로 양호함
(x)inetd 서비스 미설치</t>
    <phoneticPr fontId="3" type="noConversion"/>
  </si>
  <si>
    <t>/etc/services 파일 소유자 및 권한 설정되어있는 상태로 양호함
/etc/services 파일의 소유자가 root, 권한 644로 설정</t>
    <phoneticPr fontId="3" type="noConversion"/>
  </si>
  <si>
    <t>주요 실행파일의 권한에 SUID와 SGID에 대한 설정이 부여되어 있지 않은 상태로 양호함
주요 실행파일 SUID, SGID 설정 존재하지 않음</t>
    <phoneticPr fontId="3" type="noConversion"/>
  </si>
  <si>
    <t>/etc/(r)syslog.conf 파일 소유자 및 권한 설정이 되어있는 상태로 양호함
/(r)syslog.conf 파일의 권한이 640</t>
    <phoneticPr fontId="3" type="noConversion"/>
  </si>
  <si>
    <t>홈 디렉터리 환경변수 파일 소유자가 root 또는 해당 계정으로 지정되어 있고
홈 디렉터리 환경변수 파일에 root 계정만 쓰기 권한이 부여되있음</t>
    <phoneticPr fontId="3" type="noConversion"/>
  </si>
  <si>
    <t>접속 IP 및 포트 제한된 상태로 양호함
firewall에 http, httpd 이 적용</t>
    <phoneticPr fontId="3" type="noConversion"/>
  </si>
  <si>
    <t>현재 설정 완료 상태이므로 양호함
UMASK 값 022로 설정</t>
    <phoneticPr fontId="3" type="noConversion"/>
  </si>
  <si>
    <t>현재 설정 완료 상태이므로 양호함
각 계정에 따른 홈 디렉터리 소유자가 해당 계정으로 설정</t>
    <phoneticPr fontId="3" type="noConversion"/>
  </si>
  <si>
    <t>존재하지 않는 device 파일 존재하지 않으므로 양호</t>
    <phoneticPr fontId="3" type="noConversion"/>
  </si>
  <si>
    <t>시스템 중요 파일에 world writable 파일이 존재하지 않으므로 양호</t>
    <phoneticPr fontId="3" type="noConversion"/>
  </si>
  <si>
    <t>/etc/hosts.equiv 파일 미존재 및 .rhosts 홈 디렉터리 존재하지 않으므로 양호</t>
    <phoneticPr fontId="3" type="noConversion"/>
  </si>
  <si>
    <t>hosts.lpd 파일 존재하지 않으므로 양호</t>
    <phoneticPr fontId="3" type="noConversion"/>
  </si>
  <si>
    <t>현재 설정 완료 상태이므로 양호함
홈 디렉터리가 존재하는 계정 미존재</t>
    <phoneticPr fontId="3" type="noConversion"/>
  </si>
  <si>
    <t>현재 설정 완료 상태이므로 양호함
불필요하거나 의심스러운 숨겨진 파일 및 디렉토리 없음</t>
    <phoneticPr fontId="3" type="noConversion"/>
  </si>
  <si>
    <t>Finger 서비스 미사용으로 양호함
Finger 서비스 비활성화</t>
    <phoneticPr fontId="3" type="noConversion"/>
  </si>
  <si>
    <t>현재 설정 완료 상태이므로 양호함
/etc/passwd 파일 내 ftp 계정 미존재 / ftp, vsftp, proftp, NFS, Samba 없음</t>
    <phoneticPr fontId="3" type="noConversion"/>
  </si>
  <si>
    <t>cron 파일 소유자 및 권한설정이 된 상태로 양호함
cron 관련 파일 소유자가 root 권한이 640 이하</t>
    <phoneticPr fontId="3" type="noConversion"/>
  </si>
  <si>
    <t>현재 설정 완료 상태이므로 양호함
DoS 공격에 취약한 서비스 비활성화</t>
    <phoneticPr fontId="3" type="noConversion"/>
  </si>
  <si>
    <t>r 계열 서비스 미사용으로 양호함
r 계열 서비스 비활성화</t>
    <phoneticPr fontId="3" type="noConversion"/>
  </si>
  <si>
    <t>NFS 서비스 미사용으로 양호함
NFS 관련 서비스 비활성화</t>
    <phoneticPr fontId="3" type="noConversion"/>
  </si>
  <si>
    <t>NFS 서비스 미사용으로 양호함
NFS 관련 서비스 비활성화</t>
    <phoneticPr fontId="3" type="noConversion"/>
  </si>
  <si>
    <t>automountd 서비스 미사용으로 양호함
automountd 서비스 비활성화</t>
    <phoneticPr fontId="3" type="noConversion"/>
  </si>
  <si>
    <t>RPC 서비스 미사용으로 양호함
RPC 서비스 비활성화</t>
    <phoneticPr fontId="3" type="noConversion"/>
  </si>
  <si>
    <t>NIS 서비스 미사용으로 양호함
NIS 서비스 비활성화</t>
    <phoneticPr fontId="3" type="noConversion"/>
  </si>
  <si>
    <t>현재 설정 완료 상태이므로 양호함
tftp, talk, ntalk 서비스 비활성화</t>
    <phoneticPr fontId="3" type="noConversion"/>
  </si>
  <si>
    <t>Sendmail 서비스가 존재하지 않는 상태로 양호함
Sendmail 서비스 비활성화</t>
    <phoneticPr fontId="3" type="noConversion"/>
  </si>
  <si>
    <t>SMTP 서비스 미사용으로 양호함
SMTP 서비스 사용안함</t>
    <phoneticPr fontId="3" type="noConversion"/>
  </si>
  <si>
    <t>SMTP 서비스 미사용으로 양호함
SMTP 서비스 사용안함</t>
    <phoneticPr fontId="3" type="noConversion"/>
  </si>
  <si>
    <t>SMTP 서비스 미사용으로 양호함
SMTP 서비스 사용안함</t>
    <phoneticPr fontId="3" type="noConversion"/>
  </si>
  <si>
    <t>DNS 서비스 미사용으로 양호함
DNS 서비스 비활성화</t>
    <phoneticPr fontId="3" type="noConversion"/>
  </si>
  <si>
    <t>DNS 서비스 미사용으로 양호함
DNS 서비스 비활성화</t>
    <phoneticPr fontId="3" type="noConversion"/>
  </si>
  <si>
    <t>현재 설정 완료 상태이므로 양호함
telnet 서비스 비활성화</t>
    <phoneticPr fontId="3" type="noConversion"/>
  </si>
  <si>
    <t>DNS 서비스 미사용으로 양호함
DNS 서비스 비활성화</t>
    <phoneticPr fontId="3" type="noConversion"/>
  </si>
  <si>
    <t>FTP 서비스 미사용으로 양호함
vsftpd, proftpd 서비스 비활성화</t>
    <phoneticPr fontId="3" type="noConversion"/>
  </si>
  <si>
    <t>FTP 서비스 미사용으로 양호함
ftp 계정 없음</t>
    <phoneticPr fontId="3" type="noConversion"/>
  </si>
  <si>
    <t>FTP 서비스 미사용으로 양호함
vsftpd, proftpd 서비스 비활성화</t>
    <phoneticPr fontId="3" type="noConversion"/>
  </si>
  <si>
    <t>FTP 서비스 미사용으로 양호함
vsftpd, proftpd 서비스 비활성화</t>
    <phoneticPr fontId="3" type="noConversion"/>
  </si>
  <si>
    <t>현재 설정 완료 상태이므로 양호함
SNMP 서비스가 비활성화 상태</t>
    <phoneticPr fontId="3" type="noConversion"/>
  </si>
  <si>
    <t>현재 설정 완료 상태이므로 양호함
SNMP 서비스가 비활성화 상태</t>
    <phoneticPr fontId="3" type="noConversion"/>
  </si>
  <si>
    <t>현재 설정 완료 상태이므로 양호함
패치 적용 정책을 수립하여 주기적으로 패치 관리를 하고 있으며, 패치 관련 내용을 확인하고 적용</t>
    <phoneticPr fontId="3" type="noConversion"/>
  </si>
  <si>
    <t>현재 설정 완료 상태이므로 양호함
/etc/rsylog.conf 파일내에 설정된 로그 기록 정책 수정</t>
    <phoneticPr fontId="3" type="noConversion"/>
  </si>
  <si>
    <t>로그온 시 경고 메시지가 설정되어 있는 상태로 양호함
/etc/motd 파일, /etc/issue.net 파일내에 경고 메시지가 설정되어 있음</t>
    <phoneticPr fontId="3" type="noConversion"/>
  </si>
  <si>
    <t>현재 설정 완료 상태이므로 양호함
/etc/sudoers(소유자 root, 권한 640 이하)</t>
    <phoneticPr fontId="3" type="noConversion"/>
  </si>
  <si>
    <t>현재 설정 완료 상태이므로 양호함
/var/log/ 디렉터리 내 로그 파일의 소유자가 root 이고, 권한이 644로 설정</t>
    <phoneticPr fontId="3" type="noConversion"/>
  </si>
  <si>
    <t>현재 설정 완료 상태이므로 양호함
/etc/chrony.conf 파일 내에 NTP 서버 추가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</si>
</sst>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%"/>
    <numFmt numFmtId="177" formatCode="#,##0_ "/>
  </numFmts>
  <fonts count="5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ajor"/>
    </font>
    <font>
      <sz val="11"/>
      <color theme="0"/>
      <name val="돋움"/>
      <family val="3"/>
      <charset val="129"/>
    </font>
    <font>
      <b/>
      <sz val="9"/>
      <color theme="0"/>
      <name val="맑은 고딕"/>
      <family val="3"/>
      <charset val="129"/>
      <scheme val="maj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u/>
      <sz val="11"/>
      <color theme="10"/>
      <name val="돋움"/>
      <family val="3"/>
      <charset val="129"/>
    </font>
    <font>
      <sz val="8"/>
      <color indexed="8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u/>
      <sz val="8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inor"/>
    </font>
    <font>
      <b/>
      <sz val="9"/>
      <color theme="0" tint="-4.9989318521683403E-2"/>
      <name val="맑은 고딕"/>
      <family val="3"/>
      <charset val="129"/>
      <scheme val="minor"/>
    </font>
    <font>
      <b/>
      <sz val="8"/>
      <color theme="0" tint="-4.9989318521683403E-2"/>
      <name val="맑은 고딕"/>
      <family val="3"/>
      <charset val="129"/>
      <scheme val="minor"/>
    </font>
    <font>
      <b/>
      <sz val="8"/>
      <color theme="0" tint="-4.9989318521683403E-2"/>
      <name val="맑은 고딕"/>
      <family val="3"/>
      <charset val="129"/>
      <scheme val="major"/>
    </font>
    <font>
      <b/>
      <u/>
      <sz val="8"/>
      <color theme="0" tint="-4.9989318521683403E-2"/>
      <name val="맑은 고딕"/>
      <family val="3"/>
      <charset val="129"/>
      <scheme val="minor"/>
    </font>
    <font>
      <sz val="8"/>
      <name val="Malgun Gothic Semilight"/>
      <family val="2"/>
      <charset val="129"/>
    </font>
    <font>
      <b/>
      <sz val="12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Malgun Gothic"/>
      <family val="3"/>
      <charset val="129"/>
    </font>
    <font>
      <sz val="8"/>
      <color rgb="FF000000"/>
      <name val="맑은 고딕"/>
      <family val="3"/>
      <charset val="129"/>
    </font>
    <font>
      <sz val="9"/>
      <name val="맑은 고딕"/>
      <family val="3"/>
      <charset val="129"/>
    </font>
    <font>
      <sz val="8"/>
      <color theme="1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sz val="8"/>
      <name val="Arial Unicode MS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73190"/>
        <bgColor indexed="64"/>
      </patternFill>
    </fill>
    <fill>
      <patternFill patternType="solid">
        <fgColor rgb="FF3C6FE0"/>
        <bgColor indexed="64"/>
      </patternFill>
    </fill>
    <fill>
      <patternFill patternType="solid">
        <fgColor rgb="FF92AEEE"/>
        <bgColor indexed="64"/>
      </patternFill>
    </fill>
    <fill>
      <patternFill patternType="solid">
        <fgColor rgb="FFC9D7F7"/>
        <bgColor indexed="64"/>
      </patternFill>
    </fill>
    <fill>
      <patternFill patternType="solid">
        <fgColor theme="7" tint="0.79998168889431442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 style="medium">
        <color indexed="64"/>
      </bottom>
      <diagonal/>
    </border>
    <border>
      <left style="medium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theme="0"/>
      </bottom>
      <diagonal/>
    </border>
    <border>
      <left/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/>
      <right style="medium">
        <color theme="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theme="0"/>
      </left>
      <right/>
      <top style="medium">
        <color indexed="64"/>
      </top>
      <bottom style="medium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medium">
        <color indexed="64"/>
      </top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/>
      </right>
      <top/>
      <bottom style="thin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theme="0"/>
      </top>
      <bottom style="medium">
        <color theme="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rgb="FFFFFFFF"/>
      </bottom>
      <diagonal/>
    </border>
    <border>
      <left/>
      <right/>
      <top style="medium">
        <color auto="1"/>
      </top>
      <bottom style="medium">
        <color rgb="FFFFFFFF"/>
      </bottom>
      <diagonal/>
    </border>
    <border>
      <left/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9" fillId="0" borderId="0">
      <alignment vertical="center"/>
    </xf>
    <xf numFmtId="9" fontId="25" fillId="0" borderId="0">
      <alignment vertical="center"/>
    </xf>
    <xf numFmtId="0" fontId="2" fillId="0" borderId="0">
      <alignment vertical="center"/>
    </xf>
    <xf numFmtId="0" fontId="43" fillId="0" borderId="0">
      <alignment vertical="center"/>
    </xf>
  </cellStyleXfs>
  <cellXfs count="316">
    <xf numFmtId="0" fontId="0" fillId="0" borderId="0" xfId="0">
      <alignment vertical="center"/>
    </xf>
    <xf numFmtId="9" fontId="7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vertical="top" wrapText="1"/>
    </xf>
    <xf numFmtId="0" fontId="10" fillId="2" borderId="0" xfId="0" applyFont="1" applyFill="1" applyAlignment="1">
      <alignment vertical="top" wrapText="1"/>
    </xf>
    <xf numFmtId="9" fontId="9" fillId="0" borderId="0" xfId="0" applyNumberFormat="1" applyFont="1" applyAlignment="1">
      <alignment horizontal="center" vertical="center" wrapText="1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5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176" fontId="19" fillId="0" borderId="2" xfId="0" applyNumberFormat="1" applyFont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left" vertical="center"/>
    </xf>
    <xf numFmtId="0" fontId="20" fillId="7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2" fillId="8" borderId="0" xfId="0" applyFont="1" applyFill="1">
      <alignment vertical="center"/>
    </xf>
    <xf numFmtId="0" fontId="14" fillId="0" borderId="3" xfId="0" applyFont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4" fillId="0" borderId="2" xfId="6" applyFont="1" applyBorder="1" applyAlignment="1">
      <alignment horizontal="center" vertical="center"/>
    </xf>
    <xf numFmtId="0" fontId="14" fillId="0" borderId="2" xfId="6" applyFont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/>
    </xf>
    <xf numFmtId="0" fontId="31" fillId="0" borderId="0" xfId="0" applyFont="1">
      <alignment vertical="center"/>
    </xf>
    <xf numFmtId="0" fontId="15" fillId="4" borderId="2" xfId="0" applyFont="1" applyFill="1" applyBorder="1" applyAlignment="1" applyProtection="1">
      <alignment horizontal="center" vertical="center" wrapText="1"/>
      <protection locked="0"/>
    </xf>
    <xf numFmtId="0" fontId="15" fillId="4" borderId="5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14" fillId="0" borderId="0" xfId="0" applyFont="1" applyAlignment="1">
      <alignment horizontal="center" vertical="center" wrapText="1"/>
    </xf>
    <xf numFmtId="0" fontId="11" fillId="0" borderId="1" xfId="0" applyFont="1" applyBorder="1">
      <alignment vertical="center"/>
    </xf>
    <xf numFmtId="0" fontId="15" fillId="0" borderId="0" xfId="0" applyFont="1" applyAlignment="1">
      <alignment horizontal="left" vertical="center" indent="2"/>
    </xf>
    <xf numFmtId="176" fontId="14" fillId="0" borderId="2" xfId="0" applyNumberFormat="1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30" fillId="0" borderId="2" xfId="7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176" fontId="30" fillId="0" borderId="2" xfId="7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76" fontId="12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176" fontId="14" fillId="0" borderId="3" xfId="0" applyNumberFormat="1" applyFont="1" applyBorder="1" applyAlignment="1">
      <alignment horizontal="center" vertical="center"/>
    </xf>
    <xf numFmtId="176" fontId="12" fillId="0" borderId="6" xfId="0" applyNumberFormat="1" applyFont="1" applyBorder="1" applyAlignment="1">
      <alignment horizontal="center" vertical="center"/>
    </xf>
    <xf numFmtId="176" fontId="12" fillId="0" borderId="12" xfId="0" applyNumberFormat="1" applyFont="1" applyBorder="1" applyAlignment="1">
      <alignment horizontal="center" vertical="center"/>
    </xf>
    <xf numFmtId="0" fontId="15" fillId="4" borderId="0" xfId="0" applyFont="1" applyFill="1" applyAlignment="1" applyProtection="1">
      <alignment horizontal="center" vertical="center" wrapText="1"/>
      <protection locked="0"/>
    </xf>
    <xf numFmtId="0" fontId="28" fillId="0" borderId="2" xfId="0" applyFont="1" applyBorder="1" applyAlignment="1">
      <alignment horizontal="center" vertical="center" wrapText="1" shrinkToFit="1"/>
    </xf>
    <xf numFmtId="0" fontId="28" fillId="0" borderId="2" xfId="0" applyFont="1" applyBorder="1" applyAlignment="1">
      <alignment horizontal="center" vertical="center" shrinkToFit="1"/>
    </xf>
    <xf numFmtId="0" fontId="1" fillId="6" borderId="0" xfId="8" applyFont="1" applyFill="1" applyAlignment="1">
      <alignment horizontal="center" vertical="center"/>
    </xf>
    <xf numFmtId="0" fontId="1" fillId="6" borderId="0" xfId="8" applyFont="1" applyFill="1">
      <alignment vertical="center"/>
    </xf>
    <xf numFmtId="0" fontId="1" fillId="0" borderId="0" xfId="8" applyFont="1">
      <alignment vertical="center"/>
    </xf>
    <xf numFmtId="0" fontId="1" fillId="0" borderId="0" xfId="8" applyFont="1" applyAlignment="1">
      <alignment horizontal="center" vertical="center"/>
    </xf>
    <xf numFmtId="0" fontId="34" fillId="11" borderId="19" xfId="0" applyFont="1" applyFill="1" applyBorder="1" applyAlignment="1">
      <alignment horizontal="center" vertical="center"/>
    </xf>
    <xf numFmtId="0" fontId="34" fillId="11" borderId="20" xfId="0" applyFont="1" applyFill="1" applyBorder="1" applyAlignment="1">
      <alignment horizontal="center" vertical="center"/>
    </xf>
    <xf numFmtId="0" fontId="35" fillId="11" borderId="23" xfId="0" applyFont="1" applyFill="1" applyBorder="1" applyAlignment="1">
      <alignment horizontal="center" vertical="center" wrapText="1"/>
    </xf>
    <xf numFmtId="0" fontId="35" fillId="11" borderId="29" xfId="0" applyFont="1" applyFill="1" applyBorder="1" applyAlignment="1">
      <alignment horizontal="center" vertical="center" wrapText="1"/>
    </xf>
    <xf numFmtId="176" fontId="19" fillId="0" borderId="30" xfId="0" applyNumberFormat="1" applyFont="1" applyBorder="1" applyAlignment="1">
      <alignment horizontal="center" vertical="center" wrapText="1"/>
    </xf>
    <xf numFmtId="177" fontId="16" fillId="5" borderId="33" xfId="0" applyNumberFormat="1" applyFont="1" applyFill="1" applyBorder="1" applyAlignment="1">
      <alignment horizontal="center" vertical="center" wrapText="1"/>
    </xf>
    <xf numFmtId="176" fontId="11" fillId="5" borderId="34" xfId="0" applyNumberFormat="1" applyFont="1" applyFill="1" applyBorder="1" applyAlignment="1">
      <alignment horizontal="center" vertical="center" wrapText="1"/>
    </xf>
    <xf numFmtId="176" fontId="18" fillId="0" borderId="30" xfId="0" applyNumberFormat="1" applyFont="1" applyBorder="1" applyAlignment="1">
      <alignment horizontal="center" vertical="center" wrapText="1"/>
    </xf>
    <xf numFmtId="0" fontId="15" fillId="5" borderId="36" xfId="0" applyFont="1" applyFill="1" applyBorder="1" applyAlignment="1">
      <alignment horizontal="center" vertical="center" wrapText="1"/>
    </xf>
    <xf numFmtId="0" fontId="17" fillId="5" borderId="33" xfId="0" applyFont="1" applyFill="1" applyBorder="1" applyAlignment="1">
      <alignment horizontal="center" vertical="center" wrapText="1"/>
    </xf>
    <xf numFmtId="176" fontId="15" fillId="5" borderId="34" xfId="0" applyNumberFormat="1" applyFont="1" applyFill="1" applyBorder="1" applyAlignment="1">
      <alignment horizontal="center" vertical="center" wrapText="1"/>
    </xf>
    <xf numFmtId="0" fontId="36" fillId="12" borderId="40" xfId="0" applyFont="1" applyFill="1" applyBorder="1" applyAlignment="1">
      <alignment horizontal="center" vertical="center" wrapText="1"/>
    </xf>
    <xf numFmtId="0" fontId="36" fillId="12" borderId="41" xfId="0" applyFont="1" applyFill="1" applyBorder="1" applyAlignment="1">
      <alignment horizontal="center" vertical="center" wrapText="1"/>
    </xf>
    <xf numFmtId="0" fontId="36" fillId="12" borderId="42" xfId="0" applyFont="1" applyFill="1" applyBorder="1" applyAlignment="1">
      <alignment horizontal="center" vertical="center" wrapText="1"/>
    </xf>
    <xf numFmtId="0" fontId="16" fillId="13" borderId="41" xfId="0" applyFont="1" applyFill="1" applyBorder="1" applyAlignment="1">
      <alignment horizontal="center" vertical="center" wrapText="1"/>
    </xf>
    <xf numFmtId="0" fontId="16" fillId="13" borderId="42" xfId="0" applyFont="1" applyFill="1" applyBorder="1" applyAlignment="1">
      <alignment horizontal="center" vertical="center" wrapText="1"/>
    </xf>
    <xf numFmtId="0" fontId="16" fillId="13" borderId="40" xfId="0" applyFont="1" applyFill="1" applyBorder="1" applyAlignment="1">
      <alignment horizontal="center" vertical="center" wrapText="1"/>
    </xf>
    <xf numFmtId="9" fontId="16" fillId="14" borderId="41" xfId="0" applyNumberFormat="1" applyFont="1" applyFill="1" applyBorder="1" applyAlignment="1">
      <alignment horizontal="center" vertical="center" wrapText="1"/>
    </xf>
    <xf numFmtId="9" fontId="16" fillId="14" borderId="1" xfId="0" applyNumberFormat="1" applyFont="1" applyFill="1" applyBorder="1" applyAlignment="1">
      <alignment horizontal="center" vertical="center" wrapText="1"/>
    </xf>
    <xf numFmtId="9" fontId="16" fillId="14" borderId="40" xfId="0" applyNumberFormat="1" applyFont="1" applyFill="1" applyBorder="1" applyAlignment="1">
      <alignment horizontal="center" vertical="center" wrapText="1"/>
    </xf>
    <xf numFmtId="9" fontId="16" fillId="14" borderId="43" xfId="0" applyNumberFormat="1" applyFont="1" applyFill="1" applyBorder="1" applyAlignment="1">
      <alignment horizontal="center" vertical="center" wrapText="1"/>
    </xf>
    <xf numFmtId="0" fontId="16" fillId="5" borderId="33" xfId="0" applyFont="1" applyFill="1" applyBorder="1" applyAlignment="1">
      <alignment horizontal="center" vertical="center" wrapText="1"/>
    </xf>
    <xf numFmtId="176" fontId="11" fillId="5" borderId="33" xfId="0" applyNumberFormat="1" applyFont="1" applyFill="1" applyBorder="1" applyAlignment="1">
      <alignment horizontal="center" vertical="center" wrapText="1"/>
    </xf>
    <xf numFmtId="0" fontId="37" fillId="11" borderId="44" xfId="0" applyFont="1" applyFill="1" applyBorder="1" applyAlignment="1">
      <alignment horizontal="center" vertical="center" wrapText="1"/>
    </xf>
    <xf numFmtId="0" fontId="37" fillId="11" borderId="45" xfId="0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 wrapText="1"/>
    </xf>
    <xf numFmtId="0" fontId="37" fillId="11" borderId="40" xfId="0" applyFont="1" applyFill="1" applyBorder="1" applyAlignment="1">
      <alignment horizontal="center" vertical="center" wrapText="1"/>
    </xf>
    <xf numFmtId="0" fontId="37" fillId="11" borderId="41" xfId="0" applyFont="1" applyFill="1" applyBorder="1" applyAlignment="1">
      <alignment horizontal="center" vertical="center" wrapText="1"/>
    </xf>
    <xf numFmtId="0" fontId="37" fillId="11" borderId="43" xfId="0" applyFont="1" applyFill="1" applyBorder="1" applyAlignment="1">
      <alignment horizontal="center" vertical="center" wrapText="1"/>
    </xf>
    <xf numFmtId="176" fontId="30" fillId="0" borderId="30" xfId="7" applyNumberFormat="1" applyFont="1" applyBorder="1" applyAlignment="1">
      <alignment horizontal="center" vertical="center" wrapText="1"/>
    </xf>
    <xf numFmtId="176" fontId="17" fillId="5" borderId="33" xfId="0" applyNumberFormat="1" applyFont="1" applyFill="1" applyBorder="1" applyAlignment="1">
      <alignment horizontal="center" vertical="center" wrapText="1"/>
    </xf>
    <xf numFmtId="176" fontId="17" fillId="5" borderId="34" xfId="0" applyNumberFormat="1" applyFont="1" applyFill="1" applyBorder="1" applyAlignment="1">
      <alignment horizontal="center" vertical="center" wrapText="1"/>
    </xf>
    <xf numFmtId="0" fontId="37" fillId="11" borderId="45" xfId="0" applyFont="1" applyFill="1" applyBorder="1" applyAlignment="1">
      <alignment horizontal="center" vertical="center"/>
    </xf>
    <xf numFmtId="0" fontId="37" fillId="11" borderId="44" xfId="0" applyFont="1" applyFill="1" applyBorder="1" applyAlignment="1">
      <alignment horizontal="center" vertical="center"/>
    </xf>
    <xf numFmtId="0" fontId="37" fillId="11" borderId="1" xfId="0" applyFont="1" applyFill="1" applyBorder="1" applyAlignment="1">
      <alignment horizontal="center" vertical="center"/>
    </xf>
    <xf numFmtId="0" fontId="37" fillId="11" borderId="41" xfId="0" applyFont="1" applyFill="1" applyBorder="1" applyAlignment="1">
      <alignment horizontal="center" vertical="center"/>
    </xf>
    <xf numFmtId="0" fontId="39" fillId="11" borderId="40" xfId="0" applyFont="1" applyFill="1" applyBorder="1" applyAlignment="1">
      <alignment horizontal="center" vertical="center"/>
    </xf>
    <xf numFmtId="0" fontId="38" fillId="11" borderId="26" xfId="0" applyFont="1" applyFill="1" applyBorder="1" applyAlignment="1">
      <alignment horizontal="center" vertical="center"/>
    </xf>
    <xf numFmtId="0" fontId="39" fillId="11" borderId="43" xfId="0" applyFont="1" applyFill="1" applyBorder="1" applyAlignment="1">
      <alignment horizontal="center" vertical="center"/>
    </xf>
    <xf numFmtId="0" fontId="14" fillId="0" borderId="53" xfId="0" applyFont="1" applyBorder="1" applyAlignment="1">
      <alignment horizontal="center" vertical="center" wrapText="1"/>
    </xf>
    <xf numFmtId="0" fontId="15" fillId="5" borderId="33" xfId="0" applyFont="1" applyFill="1" applyBorder="1" applyAlignment="1">
      <alignment vertical="center" wrapText="1"/>
    </xf>
    <xf numFmtId="0" fontId="15" fillId="5" borderId="33" xfId="0" applyFont="1" applyFill="1" applyBorder="1">
      <alignment vertical="center"/>
    </xf>
    <xf numFmtId="0" fontId="15" fillId="5" borderId="33" xfId="0" applyFont="1" applyFill="1" applyBorder="1" applyAlignment="1">
      <alignment horizontal="center" vertical="center"/>
    </xf>
    <xf numFmtId="0" fontId="27" fillId="5" borderId="33" xfId="0" applyFont="1" applyFill="1" applyBorder="1" applyAlignment="1">
      <alignment horizontal="center" vertical="center"/>
    </xf>
    <xf numFmtId="0" fontId="27" fillId="5" borderId="34" xfId="0" applyFont="1" applyFill="1" applyBorder="1" applyAlignment="1">
      <alignment horizontal="center" vertical="center"/>
    </xf>
    <xf numFmtId="0" fontId="37" fillId="11" borderId="40" xfId="0" applyFont="1" applyFill="1" applyBorder="1" applyAlignment="1">
      <alignment horizontal="center" vertical="center"/>
    </xf>
    <xf numFmtId="0" fontId="39" fillId="11" borderId="41" xfId="0" applyFont="1" applyFill="1" applyBorder="1" applyAlignment="1">
      <alignment horizontal="center" vertical="center"/>
    </xf>
    <xf numFmtId="0" fontId="38" fillId="11" borderId="22" xfId="0" applyFont="1" applyFill="1" applyBorder="1" applyAlignment="1">
      <alignment horizontal="center" vertical="center"/>
    </xf>
    <xf numFmtId="0" fontId="38" fillId="11" borderId="39" xfId="0" applyFont="1" applyFill="1" applyBorder="1" applyAlignment="1">
      <alignment horizontal="center" vertical="center"/>
    </xf>
    <xf numFmtId="0" fontId="4" fillId="0" borderId="30" xfId="6" applyFont="1" applyBorder="1" applyAlignment="1">
      <alignment horizontal="center" vertical="center"/>
    </xf>
    <xf numFmtId="0" fontId="37" fillId="11" borderId="25" xfId="0" applyFont="1" applyFill="1" applyBorder="1" applyAlignment="1">
      <alignment horizontal="center" vertical="center"/>
    </xf>
    <xf numFmtId="0" fontId="37" fillId="11" borderId="56" xfId="0" applyFont="1" applyFill="1" applyBorder="1" applyAlignment="1">
      <alignment horizontal="center" vertical="center"/>
    </xf>
    <xf numFmtId="0" fontId="37" fillId="11" borderId="58" xfId="0" applyFont="1" applyFill="1" applyBorder="1" applyAlignment="1">
      <alignment horizontal="center" vertical="center"/>
    </xf>
    <xf numFmtId="0" fontId="35" fillId="12" borderId="44" xfId="0" applyFont="1" applyFill="1" applyBorder="1" applyAlignment="1">
      <alignment horizontal="center" vertical="center"/>
    </xf>
    <xf numFmtId="0" fontId="35" fillId="12" borderId="41" xfId="0" applyFont="1" applyFill="1" applyBorder="1" applyAlignment="1">
      <alignment horizontal="center" vertical="center"/>
    </xf>
    <xf numFmtId="0" fontId="35" fillId="12" borderId="1" xfId="0" applyFont="1" applyFill="1" applyBorder="1" applyAlignment="1">
      <alignment horizontal="center" vertical="center"/>
    </xf>
    <xf numFmtId="0" fontId="35" fillId="12" borderId="40" xfId="0" applyFont="1" applyFill="1" applyBorder="1" applyAlignment="1">
      <alignment horizontal="center" vertical="center"/>
    </xf>
    <xf numFmtId="0" fontId="15" fillId="13" borderId="41" xfId="0" applyFont="1" applyFill="1" applyBorder="1" applyAlignment="1">
      <alignment horizontal="center" vertical="center"/>
    </xf>
    <xf numFmtId="0" fontId="15" fillId="13" borderId="40" xfId="0" applyFont="1" applyFill="1" applyBorder="1" applyAlignment="1">
      <alignment horizontal="center" vertical="center"/>
    </xf>
    <xf numFmtId="0" fontId="15" fillId="13" borderId="43" xfId="0" applyFont="1" applyFill="1" applyBorder="1" applyAlignment="1">
      <alignment horizontal="center" vertical="center"/>
    </xf>
    <xf numFmtId="176" fontId="14" fillId="0" borderId="30" xfId="0" applyNumberFormat="1" applyFont="1" applyBorder="1" applyAlignment="1">
      <alignment horizontal="center" vertical="center"/>
    </xf>
    <xf numFmtId="0" fontId="15" fillId="5" borderId="62" xfId="0" applyFont="1" applyFill="1" applyBorder="1" applyAlignment="1">
      <alignment horizontal="center" vertical="center"/>
    </xf>
    <xf numFmtId="0" fontId="15" fillId="5" borderId="64" xfId="0" applyFont="1" applyFill="1" applyBorder="1" applyAlignment="1">
      <alignment horizontal="center" vertical="center"/>
    </xf>
    <xf numFmtId="0" fontId="15" fillId="5" borderId="65" xfId="0" applyFont="1" applyFill="1" applyBorder="1" applyAlignment="1">
      <alignment horizontal="center" vertical="center"/>
    </xf>
    <xf numFmtId="176" fontId="15" fillId="5" borderId="64" xfId="7" applyNumberFormat="1" applyFont="1" applyFill="1" applyBorder="1" applyAlignment="1">
      <alignment horizontal="center" vertical="center"/>
    </xf>
    <xf numFmtId="176" fontId="15" fillId="5" borderId="65" xfId="7" applyNumberFormat="1" applyFont="1" applyFill="1" applyBorder="1" applyAlignment="1">
      <alignment horizontal="center" vertical="center"/>
    </xf>
    <xf numFmtId="176" fontId="15" fillId="5" borderId="66" xfId="7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37" fillId="11" borderId="15" xfId="0" applyFont="1" applyFill="1" applyBorder="1" applyAlignment="1" applyProtection="1">
      <alignment horizontal="center" vertical="center" wrapText="1"/>
      <protection locked="0"/>
    </xf>
    <xf numFmtId="0" fontId="37" fillId="11" borderId="60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/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14" fontId="41" fillId="6" borderId="0" xfId="8" applyNumberFormat="1" applyFont="1" applyFill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 readingOrder="1"/>
    </xf>
    <xf numFmtId="0" fontId="45" fillId="0" borderId="80" xfId="0" applyFont="1" applyBorder="1" applyAlignment="1">
      <alignment horizontal="center" vertical="center" wrapText="1" readingOrder="1"/>
    </xf>
    <xf numFmtId="0" fontId="45" fillId="0" borderId="81" xfId="0" applyFont="1" applyBorder="1" applyAlignment="1">
      <alignment horizontal="center" vertical="center" wrapText="1" readingOrder="1"/>
    </xf>
    <xf numFmtId="0" fontId="45" fillId="0" borderId="82" xfId="0" applyFont="1" applyBorder="1" applyAlignment="1">
      <alignment horizontal="center" vertical="center" wrapText="1" readingOrder="1"/>
    </xf>
    <xf numFmtId="0" fontId="15" fillId="12" borderId="40" xfId="0" applyFont="1" applyFill="1" applyBorder="1" applyAlignment="1">
      <alignment horizontal="center" vertical="center"/>
    </xf>
    <xf numFmtId="0" fontId="15" fillId="11" borderId="68" xfId="0" applyFont="1" applyFill="1" applyBorder="1" applyAlignment="1" applyProtection="1">
      <alignment horizontal="center" vertical="center" wrapText="1"/>
      <protection locked="0"/>
    </xf>
    <xf numFmtId="0" fontId="15" fillId="11" borderId="67" xfId="0" applyFont="1" applyFill="1" applyBorder="1" applyAlignment="1" applyProtection="1">
      <alignment horizontal="center" vertical="center" wrapText="1"/>
      <protection locked="0"/>
    </xf>
    <xf numFmtId="0" fontId="22" fillId="0" borderId="3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 shrinkToFit="1"/>
    </xf>
    <xf numFmtId="0" fontId="45" fillId="0" borderId="2" xfId="0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42" fillId="0" borderId="2" xfId="9" applyFont="1" applyBorder="1" applyAlignment="1">
      <alignment vertical="center" wrapText="1"/>
    </xf>
    <xf numFmtId="0" fontId="15" fillId="11" borderId="16" xfId="0" applyFont="1" applyFill="1" applyBorder="1" applyAlignment="1" applyProtection="1">
      <alignment horizontal="center" vertical="center" wrapText="1"/>
      <protection locked="0"/>
    </xf>
    <xf numFmtId="0" fontId="37" fillId="11" borderId="52" xfId="0" applyFont="1" applyFill="1" applyBorder="1" applyAlignment="1" applyProtection="1">
      <alignment horizontal="center" vertical="center" wrapText="1"/>
      <protection locked="0"/>
    </xf>
    <xf numFmtId="0" fontId="46" fillId="0" borderId="2" xfId="9" applyFont="1" applyBorder="1" applyAlignment="1">
      <alignment vertical="center" wrapText="1"/>
    </xf>
    <xf numFmtId="0" fontId="14" fillId="6" borderId="2" xfId="1" applyFont="1" applyFill="1" applyBorder="1" applyAlignment="1">
      <alignment horizontal="center" vertical="center"/>
    </xf>
    <xf numFmtId="0" fontId="14" fillId="15" borderId="2" xfId="1" applyFont="1" applyFill="1" applyBorder="1" applyAlignment="1">
      <alignment horizontal="center" vertical="center"/>
    </xf>
    <xf numFmtId="0" fontId="14" fillId="15" borderId="2" xfId="2" applyFont="1" applyFill="1" applyBorder="1" applyAlignment="1">
      <alignment horizontal="center" vertical="center"/>
    </xf>
    <xf numFmtId="0" fontId="28" fillId="0" borderId="4" xfId="0" applyFont="1" applyBorder="1" applyAlignment="1">
      <alignment horizontal="center" vertical="center" wrapText="1" shrinkToFit="1"/>
    </xf>
    <xf numFmtId="0" fontId="42" fillId="0" borderId="2" xfId="0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/>
    </xf>
    <xf numFmtId="0" fontId="47" fillId="0" borderId="85" xfId="0" applyFont="1" applyBorder="1" applyAlignment="1">
      <alignment horizontal="center" vertical="center"/>
    </xf>
    <xf numFmtId="0" fontId="28" fillId="0" borderId="0" xfId="6" applyFont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28" fillId="0" borderId="87" xfId="0" applyFont="1" applyBorder="1" applyAlignment="1">
      <alignment horizontal="center" vertical="center"/>
    </xf>
    <xf numFmtId="0" fontId="28" fillId="0" borderId="88" xfId="0" applyFont="1" applyBorder="1" applyAlignment="1">
      <alignment horizontal="center" vertical="center"/>
    </xf>
    <xf numFmtId="0" fontId="28" fillId="0" borderId="88" xfId="0" applyFont="1" applyBorder="1" applyAlignment="1">
      <alignment horizontal="left" vertical="center"/>
    </xf>
    <xf numFmtId="0" fontId="34" fillId="11" borderId="90" xfId="0" applyFont="1" applyFill="1" applyBorder="1" applyAlignment="1">
      <alignment horizontal="center" vertical="center" wrapText="1"/>
    </xf>
    <xf numFmtId="0" fontId="34" fillId="11" borderId="41" xfId="0" applyFont="1" applyFill="1" applyBorder="1" applyAlignment="1">
      <alignment horizontal="center" vertical="center" wrapText="1"/>
    </xf>
    <xf numFmtId="0" fontId="34" fillId="11" borderId="91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8" fillId="0" borderId="89" xfId="0" applyFont="1" applyBorder="1" applyAlignment="1">
      <alignment horizontal="center" vertical="center"/>
    </xf>
    <xf numFmtId="0" fontId="27" fillId="0" borderId="88" xfId="0" applyFont="1" applyBorder="1" applyAlignment="1">
      <alignment horizontal="center" vertical="center"/>
    </xf>
    <xf numFmtId="0" fontId="14" fillId="0" borderId="95" xfId="0" applyFont="1" applyBorder="1">
      <alignment vertical="center"/>
    </xf>
    <xf numFmtId="0" fontId="3" fillId="0" borderId="95" xfId="0" applyFont="1" applyBorder="1">
      <alignment vertical="center"/>
    </xf>
    <xf numFmtId="0" fontId="53" fillId="0" borderId="95" xfId="0" applyFont="1" applyBorder="1">
      <alignment vertical="center"/>
    </xf>
    <xf numFmtId="0" fontId="35" fillId="11" borderId="67" xfId="0" applyFont="1" applyFill="1" applyBorder="1" applyAlignment="1" applyProtection="1">
      <alignment horizontal="center" vertical="center" wrapText="1"/>
      <protection locked="0"/>
    </xf>
    <xf numFmtId="0" fontId="14" fillId="0" borderId="2" xfId="0" applyFont="1" applyFill="1" applyBorder="1" applyAlignment="1" applyProtection="1">
      <alignment horizontal="center" vertical="center" wrapText="1"/>
      <protection locked="0"/>
    </xf>
    <xf numFmtId="0" fontId="28" fillId="0" borderId="2" xfId="0" applyFont="1" applyFill="1" applyBorder="1" applyAlignment="1">
      <alignment horizontal="center" vertical="center" wrapText="1" shrinkToFit="1"/>
    </xf>
    <xf numFmtId="0" fontId="44" fillId="0" borderId="2" xfId="0" applyFont="1" applyFill="1" applyBorder="1" applyAlignment="1">
      <alignment horizontal="center" vertical="center" wrapText="1" readingOrder="1"/>
    </xf>
    <xf numFmtId="0" fontId="22" fillId="0" borderId="2" xfId="0" applyFont="1" applyFill="1" applyBorder="1" applyAlignment="1">
      <alignment horizontal="center" vertical="center" wrapText="1"/>
    </xf>
    <xf numFmtId="0" fontId="45" fillId="0" borderId="81" xfId="0" applyFont="1" applyFill="1" applyBorder="1" applyAlignment="1">
      <alignment horizontal="center" vertical="center" wrapText="1" readingOrder="1"/>
    </xf>
    <xf numFmtId="0" fontId="22" fillId="0" borderId="3" xfId="0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center" vertical="center"/>
    </xf>
    <xf numFmtId="0" fontId="28" fillId="0" borderId="4" xfId="0" applyFont="1" applyFill="1" applyBorder="1" applyAlignment="1">
      <alignment horizontal="center" vertical="center" wrapText="1" shrinkToFit="1"/>
    </xf>
    <xf numFmtId="0" fontId="8" fillId="0" borderId="2" xfId="1" applyFont="1" applyFill="1" applyBorder="1" applyAlignment="1">
      <alignment horizontal="center" vertical="center" wrapText="1"/>
    </xf>
    <xf numFmtId="0" fontId="28" fillId="0" borderId="5" xfId="0" applyFont="1" applyFill="1" applyBorder="1" applyAlignment="1">
      <alignment horizontal="center" vertical="center" wrapText="1" shrinkToFit="1"/>
    </xf>
    <xf numFmtId="0" fontId="28" fillId="0" borderId="2" xfId="0" applyFont="1" applyFill="1" applyBorder="1" applyAlignment="1">
      <alignment horizontal="center" vertical="center" shrinkToFit="1"/>
    </xf>
    <xf numFmtId="0" fontId="15" fillId="0" borderId="2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1" fillId="0" borderId="0" xfId="8" applyFont="1" applyAlignment="1">
      <alignment horizontal="center" vertical="center"/>
    </xf>
    <xf numFmtId="0" fontId="1" fillId="6" borderId="0" xfId="8" applyFont="1" applyFill="1" applyAlignment="1">
      <alignment horizontal="center" vertical="center"/>
    </xf>
    <xf numFmtId="0" fontId="1" fillId="0" borderId="0" xfId="8" applyFont="1">
      <alignment vertical="center"/>
    </xf>
    <xf numFmtId="0" fontId="34" fillId="11" borderId="52" xfId="0" applyFont="1" applyFill="1" applyBorder="1" applyAlignment="1">
      <alignment horizontal="center" vertical="center"/>
    </xf>
    <xf numFmtId="0" fontId="0" fillId="0" borderId="17" xfId="0" applyBorder="1" applyAlignment="1"/>
    <xf numFmtId="0" fontId="0" fillId="0" borderId="18" xfId="0" applyBorder="1" applyAlignment="1"/>
    <xf numFmtId="0" fontId="34" fillId="11" borderId="14" xfId="0" applyFont="1" applyFill="1" applyBorder="1" applyAlignment="1">
      <alignment horizontal="center" vertical="center"/>
    </xf>
    <xf numFmtId="0" fontId="0" fillId="0" borderId="71" xfId="0" applyBorder="1" applyAlignment="1"/>
    <xf numFmtId="0" fontId="34" fillId="11" borderId="15" xfId="0" applyFont="1" applyFill="1" applyBorder="1" applyAlignment="1">
      <alignment horizontal="center" vertical="center"/>
    </xf>
    <xf numFmtId="0" fontId="0" fillId="0" borderId="45" xfId="0" applyBorder="1" applyAlignment="1"/>
    <xf numFmtId="0" fontId="0" fillId="0" borderId="83" xfId="0" applyBorder="1" applyAlignment="1"/>
    <xf numFmtId="0" fontId="24" fillId="7" borderId="2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20" fillId="7" borderId="2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7" xfId="0" applyBorder="1" applyAlignment="1"/>
    <xf numFmtId="0" fontId="52" fillId="11" borderId="92" xfId="0" applyFont="1" applyFill="1" applyBorder="1" applyAlignment="1">
      <alignment horizontal="center" vertical="center" wrapText="1"/>
    </xf>
    <xf numFmtId="0" fontId="52" fillId="11" borderId="93" xfId="0" applyFont="1" applyFill="1" applyBorder="1" applyAlignment="1">
      <alignment horizontal="center" vertical="center" wrapText="1"/>
    </xf>
    <xf numFmtId="0" fontId="52" fillId="11" borderId="94" xfId="0" applyFont="1" applyFill="1" applyBorder="1" applyAlignment="1">
      <alignment horizontal="center" vertical="center" wrapText="1"/>
    </xf>
    <xf numFmtId="0" fontId="33" fillId="0" borderId="35" xfId="6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5" fillId="5" borderId="36" xfId="0" applyFont="1" applyFill="1" applyBorder="1" applyAlignment="1">
      <alignment horizontal="center" vertical="center" wrapText="1"/>
    </xf>
    <xf numFmtId="0" fontId="0" fillId="0" borderId="31" xfId="0" applyBorder="1" applyAlignment="1"/>
    <xf numFmtId="0" fontId="0" fillId="0" borderId="32" xfId="0" applyBorder="1" applyAlignment="1"/>
    <xf numFmtId="0" fontId="35" fillId="11" borderId="26" xfId="0" applyFont="1" applyFill="1" applyBorder="1" applyAlignment="1">
      <alignment horizontal="center" vertical="center" wrapText="1"/>
    </xf>
    <xf numFmtId="0" fontId="0" fillId="0" borderId="21" xfId="0" applyBorder="1" applyAlignment="1"/>
    <xf numFmtId="0" fontId="0" fillId="0" borderId="22" xfId="0" applyBorder="1" applyAlignment="1"/>
    <xf numFmtId="0" fontId="35" fillId="11" borderId="72" xfId="0" applyFont="1" applyFill="1" applyBorder="1" applyAlignment="1">
      <alignment horizontal="center" vertical="center" wrapText="1"/>
    </xf>
    <xf numFmtId="0" fontId="0" fillId="0" borderId="27" xfId="0" applyBorder="1" applyAlignment="1"/>
    <xf numFmtId="0" fontId="0" fillId="0" borderId="28" xfId="0" applyBorder="1" applyAlignment="1"/>
    <xf numFmtId="0" fontId="0" fillId="0" borderId="24" xfId="0" applyBorder="1" applyAlignment="1"/>
    <xf numFmtId="0" fontId="11" fillId="0" borderId="35" xfId="0" applyFont="1" applyBorder="1" applyAlignment="1">
      <alignment horizontal="center" vertical="center"/>
    </xf>
    <xf numFmtId="0" fontId="16" fillId="5" borderId="36" xfId="0" applyFont="1" applyFill="1" applyBorder="1" applyAlignment="1">
      <alignment horizontal="center" vertical="center" wrapText="1"/>
    </xf>
    <xf numFmtId="0" fontId="16" fillId="14" borderId="39" xfId="0" applyFont="1" applyFill="1" applyBorder="1" applyAlignment="1">
      <alignment horizontal="center" vertical="center" wrapText="1"/>
    </xf>
    <xf numFmtId="0" fontId="0" fillId="0" borderId="39" xfId="0" applyBorder="1" applyAlignment="1"/>
    <xf numFmtId="0" fontId="37" fillId="11" borderId="50" xfId="0" applyFont="1" applyFill="1" applyBorder="1" applyAlignment="1">
      <alignment horizontal="center" vertical="center" wrapText="1"/>
    </xf>
    <xf numFmtId="0" fontId="0" fillId="0" borderId="54" xfId="0" applyBorder="1" applyAlignment="1"/>
    <xf numFmtId="0" fontId="36" fillId="12" borderId="37" xfId="0" applyFont="1" applyFill="1" applyBorder="1" applyAlignment="1">
      <alignment horizontal="center" vertical="center" wrapText="1"/>
    </xf>
    <xf numFmtId="0" fontId="37" fillId="11" borderId="48" xfId="0" applyFont="1" applyFill="1" applyBorder="1" applyAlignment="1">
      <alignment horizontal="center" vertical="center" wrapText="1"/>
    </xf>
    <xf numFmtId="0" fontId="0" fillId="0" borderId="55" xfId="0" applyBorder="1" applyAlignment="1"/>
    <xf numFmtId="0" fontId="16" fillId="13" borderId="26" xfId="0" applyFont="1" applyFill="1" applyBorder="1" applyAlignment="1">
      <alignment horizontal="center" vertical="center" wrapText="1"/>
    </xf>
    <xf numFmtId="0" fontId="37" fillId="11" borderId="16" xfId="0" applyFont="1" applyFill="1" applyBorder="1" applyAlignment="1">
      <alignment horizontal="center" vertical="center" wrapText="1"/>
    </xf>
    <xf numFmtId="0" fontId="37" fillId="11" borderId="46" xfId="0" applyFont="1" applyFill="1" applyBorder="1" applyAlignment="1">
      <alignment horizontal="center" vertical="center" wrapText="1"/>
    </xf>
    <xf numFmtId="0" fontId="0" fillId="0" borderId="61" xfId="0" applyBorder="1" applyAlignment="1"/>
    <xf numFmtId="0" fontId="0" fillId="0" borderId="1" xfId="0" applyBorder="1" applyAlignment="1"/>
    <xf numFmtId="0" fontId="0" fillId="0" borderId="9" xfId="0" applyBorder="1" applyAlignment="1"/>
    <xf numFmtId="0" fontId="33" fillId="0" borderId="84" xfId="6" applyFont="1" applyBorder="1" applyAlignment="1">
      <alignment horizontal="center" vertical="center" wrapText="1"/>
    </xf>
    <xf numFmtId="0" fontId="33" fillId="0" borderId="5" xfId="6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37" fillId="11" borderId="16" xfId="0" applyFont="1" applyFill="1" applyBorder="1" applyAlignment="1">
      <alignment horizontal="center" vertical="center"/>
    </xf>
    <xf numFmtId="0" fontId="37" fillId="11" borderId="15" xfId="0" applyFont="1" applyFill="1" applyBorder="1" applyAlignment="1">
      <alignment horizontal="center" vertical="center"/>
    </xf>
    <xf numFmtId="0" fontId="0" fillId="0" borderId="44" xfId="0" applyBorder="1" applyAlignment="1"/>
    <xf numFmtId="0" fontId="0" fillId="0" borderId="51" xfId="0" applyBorder="1" applyAlignment="1"/>
    <xf numFmtId="0" fontId="37" fillId="11" borderId="46" xfId="0" applyFont="1" applyFill="1" applyBorder="1" applyAlignment="1">
      <alignment horizontal="center" vertical="center"/>
    </xf>
    <xf numFmtId="0" fontId="37" fillId="11" borderId="38" xfId="0" applyFont="1" applyFill="1" applyBorder="1" applyAlignment="1">
      <alignment horizontal="center" vertical="center"/>
    </xf>
    <xf numFmtId="0" fontId="37" fillId="11" borderId="70" xfId="0" applyFont="1" applyFill="1" applyBorder="1" applyAlignment="1">
      <alignment horizontal="center" vertical="center"/>
    </xf>
    <xf numFmtId="0" fontId="0" fillId="0" borderId="8" xfId="0" applyBorder="1" applyAlignment="1"/>
    <xf numFmtId="0" fontId="37" fillId="11" borderId="68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51" fillId="0" borderId="3" xfId="0" applyFont="1" applyBorder="1" applyAlignment="1">
      <alignment horizontal="left" vertical="center" wrapText="1"/>
    </xf>
    <xf numFmtId="0" fontId="15" fillId="7" borderId="2" xfId="0" applyFont="1" applyFill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37" fillId="11" borderId="46" xfId="0" applyFont="1" applyFill="1" applyBorder="1" applyAlignment="1" applyProtection="1">
      <alignment horizontal="center" vertical="center" wrapText="1"/>
      <protection locked="0"/>
    </xf>
    <xf numFmtId="0" fontId="0" fillId="0" borderId="69" xfId="0" applyBorder="1" applyAlignment="1" applyProtection="1">
      <protection locked="0"/>
    </xf>
    <xf numFmtId="0" fontId="37" fillId="11" borderId="67" xfId="0" applyFont="1" applyFill="1" applyBorder="1" applyAlignment="1" applyProtection="1">
      <alignment horizontal="center" vertical="center" wrapText="1"/>
      <protection locked="0"/>
    </xf>
    <xf numFmtId="0" fontId="0" fillId="0" borderId="67" xfId="0" applyBorder="1" applyAlignment="1" applyProtection="1">
      <protection locked="0"/>
    </xf>
    <xf numFmtId="0" fontId="37" fillId="11" borderId="68" xfId="0" applyFont="1" applyFill="1" applyBorder="1" applyAlignment="1" applyProtection="1">
      <alignment horizontal="center" vertical="center" wrapText="1"/>
      <protection locked="0"/>
    </xf>
    <xf numFmtId="0" fontId="37" fillId="11" borderId="69" xfId="0" applyFont="1" applyFill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0" fillId="0" borderId="13" xfId="0" applyBorder="1" applyAlignment="1"/>
    <xf numFmtId="0" fontId="14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/>
    </xf>
    <xf numFmtId="0" fontId="0" fillId="0" borderId="75" xfId="0" applyBorder="1" applyAlignment="1"/>
    <xf numFmtId="0" fontId="0" fillId="0" borderId="76" xfId="0" applyBorder="1" applyAlignment="1"/>
    <xf numFmtId="0" fontId="15" fillId="5" borderId="77" xfId="0" applyFont="1" applyFill="1" applyBorder="1" applyAlignment="1">
      <alignment horizontal="center" vertical="center"/>
    </xf>
    <xf numFmtId="0" fontId="0" fillId="0" borderId="62" xfId="0" applyBorder="1" applyAlignment="1"/>
    <xf numFmtId="0" fontId="0" fillId="0" borderId="63" xfId="0" applyBorder="1" applyAlignment="1"/>
    <xf numFmtId="0" fontId="37" fillId="12" borderId="38" xfId="0" applyFont="1" applyFill="1" applyBorder="1" applyAlignment="1">
      <alignment horizontal="center" vertical="center"/>
    </xf>
    <xf numFmtId="0" fontId="37" fillId="11" borderId="78" xfId="0" applyFont="1" applyFill="1" applyBorder="1" applyAlignment="1">
      <alignment horizontal="center" vertical="center"/>
    </xf>
    <xf numFmtId="0" fontId="37" fillId="11" borderId="60" xfId="0" applyFont="1" applyFill="1" applyBorder="1" applyAlignment="1">
      <alignment horizontal="center" vertical="center"/>
    </xf>
    <xf numFmtId="0" fontId="0" fillId="0" borderId="79" xfId="0" applyBorder="1" applyAlignment="1"/>
    <xf numFmtId="0" fontId="15" fillId="13" borderId="39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37" fillId="11" borderId="57" xfId="0" applyFont="1" applyFill="1" applyBorder="1" applyAlignment="1">
      <alignment horizontal="center" vertical="center"/>
    </xf>
    <xf numFmtId="0" fontId="0" fillId="0" borderId="73" xfId="0" applyBorder="1" applyAlignment="1"/>
    <xf numFmtId="0" fontId="15" fillId="0" borderId="33" xfId="0" applyFont="1" applyBorder="1" applyAlignment="1">
      <alignment horizontal="center" vertical="center" wrapText="1"/>
    </xf>
    <xf numFmtId="0" fontId="37" fillId="11" borderId="59" xfId="0" applyFont="1" applyFill="1" applyBorder="1" applyAlignment="1">
      <alignment horizontal="center" vertical="center"/>
    </xf>
    <xf numFmtId="0" fontId="0" fillId="0" borderId="74" xfId="0" applyBorder="1" applyAlignment="1"/>
    <xf numFmtId="0" fontId="15" fillId="0" borderId="37" xfId="0" applyFont="1" applyBorder="1" applyAlignment="1">
      <alignment horizontal="center" vertical="center" wrapText="1"/>
    </xf>
    <xf numFmtId="0" fontId="37" fillId="11" borderId="49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0" borderId="47" xfId="0" applyFont="1" applyBorder="1" applyAlignment="1">
      <alignment horizontal="center" vertical="center" wrapText="1"/>
    </xf>
    <xf numFmtId="0" fontId="0" fillId="0" borderId="69" xfId="0" applyBorder="1" applyAlignment="1"/>
    <xf numFmtId="0" fontId="51" fillId="0" borderId="4" xfId="0" applyFont="1" applyBorder="1" applyAlignment="1">
      <alignment horizontal="left" vertical="center" wrapText="1"/>
    </xf>
    <xf numFmtId="0" fontId="51" fillId="0" borderId="5" xfId="0" applyFont="1" applyBorder="1" applyAlignment="1">
      <alignment horizontal="left" vertical="center" wrapText="1"/>
    </xf>
    <xf numFmtId="0" fontId="14" fillId="0" borderId="86" xfId="0" applyFont="1" applyBorder="1" applyAlignment="1">
      <alignment horizontal="left" vertical="center" wrapText="1"/>
    </xf>
    <xf numFmtId="0" fontId="14" fillId="0" borderId="2" xfId="2" applyFont="1" applyFill="1" applyBorder="1" applyAlignment="1">
      <alignment horizontal="center" vertical="center"/>
    </xf>
  </cellXfs>
  <cellStyles count="10">
    <cellStyle name="백분율" xfId="7" builtinId="5"/>
    <cellStyle name="표준" xfId="0" builtinId="0"/>
    <cellStyle name="표준 2" xfId="1"/>
    <cellStyle name="표준 2 2" xfId="4"/>
    <cellStyle name="표준 3" xfId="3"/>
    <cellStyle name="표준 4" xfId="5"/>
    <cellStyle name="표준 4 2" xfId="8"/>
    <cellStyle name="표준 5" xfId="2"/>
    <cellStyle name="표준_정보통신부_취약점진단결과_우체국금융_서버_0708_v0.7" xfId="9"/>
    <cellStyle name="하이퍼링크" xfId="6" builtinId="8"/>
  </cellStyles>
  <dxfs count="423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1F497D"/>
      </font>
      <fill>
        <patternFill patternType="solid">
          <fgColor rgb="FFDBE5F1"/>
          <bgColor rgb="FFDBE5F1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1F497D"/>
      </font>
      <fill>
        <patternFill patternType="solid">
          <fgColor rgb="FFDBE5F1"/>
          <bgColor rgb="FFDBE5F1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1F497D"/>
      </font>
      <fill>
        <patternFill patternType="solid">
          <fgColor rgb="FFDBE5F1"/>
          <bgColor rgb="FFDBE5F1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altLang="ko-KR" sz="1400"/>
              <a:t>Linux</a:t>
            </a:r>
            <a:r>
              <a:rPr lang="en-US" altLang="ko-KR" sz="1400" baseline="0"/>
              <a:t> Server</a:t>
            </a:r>
            <a:r>
              <a:rPr lang="ko-KR" altLang="en-US" sz="1400"/>
              <a:t> 보안수준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'취약점 진단 통계'!$A$3</c:f>
              <c:strCache>
                <c:ptCount val="1"/>
                <c:pt idx="0">
                  <c:v>1) 영역별 보안수준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06-4933-A64A-3205DDB820A1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06-4933-A64A-3205DDB820A1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006-4933-A64A-3205DDB820A1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006-4933-A64A-3205DDB820A1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006-4933-A64A-3205DDB820A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006-4933-A64A-3205DDB820A1}"/>
              </c:ext>
            </c:extLst>
          </c:dPt>
          <c:dPt>
            <c:idx val="8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006-4933-A64A-3205DDB820A1}"/>
              </c:ext>
            </c:extLst>
          </c:dPt>
          <c:dPt>
            <c:idx val="9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006-4933-A64A-3205DDB820A1}"/>
              </c:ext>
            </c:extLst>
          </c:dPt>
          <c:dLbls>
            <c:dLbl>
              <c:idx val="4"/>
              <c:spPr>
                <a:noFill/>
                <a:ln>
                  <a:noFill/>
                  <a:prstDash val="solid"/>
                </a:ln>
              </c:spPr>
              <c:txPr>
                <a:bodyPr/>
                <a:lstStyle/>
                <a:p>
                  <a:pPr>
                    <a:defRPr b="0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7006-4933-A64A-3205DDB820A1}"/>
                </c:ext>
              </c:extLst>
            </c:dLbl>
            <c:dLbl>
              <c:idx val="5"/>
              <c:spPr>
                <a:noFill/>
                <a:ln>
                  <a:noFill/>
                  <a:prstDash val="solid"/>
                </a:ln>
              </c:spPr>
              <c:txPr>
                <a:bodyPr/>
                <a:lstStyle/>
                <a:p>
                  <a:pPr>
                    <a:defRPr sz="1100" b="1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7006-4933-A64A-3205DDB820A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통계'!$A$6:$D$11</c:f>
              <c:strCache>
                <c:ptCount val="6"/>
                <c:pt idx="0">
                  <c:v>계정 관리</c:v>
                </c:pt>
                <c:pt idx="1">
                  <c:v>파일 및 디렉터리 관리</c:v>
                </c:pt>
                <c:pt idx="2">
                  <c:v>서비스 관리</c:v>
                </c:pt>
                <c:pt idx="3">
                  <c:v>패치 관리</c:v>
                </c:pt>
                <c:pt idx="4">
                  <c:v>로그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통계'!$L$6:$L$11</c:f>
              <c:numCache>
                <c:formatCode>0.0%</c:formatCode>
                <c:ptCount val="6"/>
                <c:pt idx="0">
                  <c:v>0.87142857142857144</c:v>
                </c:pt>
                <c:pt idx="1">
                  <c:v>0.52830188679245282</c:v>
                </c:pt>
                <c:pt idx="2">
                  <c:v>0.84</c:v>
                </c:pt>
                <c:pt idx="3">
                  <c:v>1</c:v>
                </c:pt>
                <c:pt idx="4">
                  <c:v>1</c:v>
                </c:pt>
                <c:pt idx="5">
                  <c:v>0.75393939393939391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006-4933-A64A-3205DDB82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306656320"/>
        <c:crosses val="autoZero"/>
        <c:auto val="1"/>
        <c:lblAlgn val="ctr"/>
        <c:lblOffset val="100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3068595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u="none" strike="noStrike" kern="1200" baseline="0">
                <a:solidFill>
                  <a:sysClr val="windowText" lastClr="000000"/>
                </a:solidFill>
              </a:rPr>
              <a:t>Linux Server</a:t>
            </a:r>
            <a:r>
              <a:rPr lang="ko-KR" altLang="en-US" sz="1400" b="1" i="0" u="none" strike="noStrike" kern="1200" baseline="0">
                <a:solidFill>
                  <a:sysClr val="windowText" lastClr="000000"/>
                </a:solidFill>
              </a:rPr>
              <a:t> 보안수준</a:t>
            </a:r>
          </a:p>
        </c:rich>
      </c:tx>
      <c:layout>
        <c:manualLayout>
          <c:xMode val="edge"/>
          <c:yMode val="edge"/>
          <c:x val="0.45771633301621362"/>
          <c:y val="0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3.7917033098135461E-2"/>
          <c:y val="0.1218625600368452"/>
          <c:w val="0.95429075910965677"/>
          <c:h val="0.708551217514339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'취약점 진단 통계 (이행)'!$T$5</c:f>
              <c:strCache>
                <c:ptCount val="1"/>
                <c:pt idx="0">
                  <c:v>보안수준 
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65B-4CB1-809C-A665063FD7AB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65B-4CB1-809C-A665063FD7AB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65B-4CB1-809C-A665063FD7AB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65B-4CB1-809C-A665063FD7AB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65B-4CB1-809C-A665063FD7AB}"/>
              </c:ext>
            </c:extLst>
          </c:dPt>
          <c:dPt>
            <c:idx val="8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65B-4CB1-809C-A665063FD7AB}"/>
              </c:ext>
            </c:extLst>
          </c:dPt>
          <c:dLbls>
            <c:dLbl>
              <c:idx val="5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E65B-4CB1-809C-A665063FD7A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파일 및 디렉터리 관리</c:v>
                </c:pt>
                <c:pt idx="2">
                  <c:v>서비스 관리</c:v>
                </c:pt>
                <c:pt idx="3">
                  <c:v>패치 관리</c:v>
                </c:pt>
                <c:pt idx="4">
                  <c:v>로그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(이행)'!$T$6:$T$11</c:f>
              <c:numCache>
                <c:formatCode>0.0%</c:formatCode>
                <c:ptCount val="6"/>
                <c:pt idx="0">
                  <c:v>0.87142857142857144</c:v>
                </c:pt>
                <c:pt idx="1">
                  <c:v>0.52830188679245282</c:v>
                </c:pt>
                <c:pt idx="2">
                  <c:v>0.84</c:v>
                </c:pt>
                <c:pt idx="3">
                  <c:v>1</c:v>
                </c:pt>
                <c:pt idx="4">
                  <c:v>1</c:v>
                </c:pt>
                <c:pt idx="5">
                  <c:v>0.75393939393939391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65B-4CB1-809C-A665063FD7AB}"/>
            </c:ext>
          </c:extLst>
        </c:ser>
        <c:ser>
          <c:idx val="1"/>
          <c:order val="1"/>
          <c:tx>
            <c:strRef>
              <c:f>'취약점 진단 통계 (이행)'!$U$5</c:f>
              <c:strCache>
                <c:ptCount val="1"/>
                <c:pt idx="0">
                  <c:v>보안수준 
(이행 후)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dLbl>
              <c:idx val="5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E65B-4CB1-809C-A665063FD7A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파일 및 디렉터리 관리</c:v>
                </c:pt>
                <c:pt idx="2">
                  <c:v>서비스 관리</c:v>
                </c:pt>
                <c:pt idx="3">
                  <c:v>패치 관리</c:v>
                </c:pt>
                <c:pt idx="4">
                  <c:v>로그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(이행)'!$U$6:$U$11</c:f>
              <c:numCache>
                <c:formatCode>0.0%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0.96</c:v>
                </c:pt>
                <c:pt idx="3">
                  <c:v>1</c:v>
                </c:pt>
                <c:pt idx="4">
                  <c:v>1</c:v>
                </c:pt>
                <c:pt idx="5">
                  <c:v>0.98181818181818181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65B-4CB1-809C-A665063FD7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6320"/>
        <c:crosses val="autoZero"/>
        <c:auto val="1"/>
        <c:lblAlgn val="ctr"/>
        <c:lblOffset val="100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85952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'WEB-HQ-Ubuntu'!$D$10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'WEB-HQ-Ubuntu'!$H$12:$H$16</c:f>
              <c:numCache>
                <c:formatCode>0.0%</c:formatCode>
                <c:ptCount val="5"/>
                <c:pt idx="0">
                  <c:v>0.7857142857142857</c:v>
                </c:pt>
                <c:pt idx="1">
                  <c:v>0.52830188679245282</c:v>
                </c:pt>
                <c:pt idx="2">
                  <c:v>0.52830188679245282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9-460D-82B9-35D939B2553E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59-460D-82B9-35D939B25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LOG_HQ_Rocky!$D$10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LOG_HQ_Rocky!$A$12:$A$16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LOG_HQ_Rocky!$H$12:$H$16</c:f>
              <c:numCache>
                <c:formatCode>0.0%</c:formatCode>
                <c:ptCount val="5"/>
                <c:pt idx="0">
                  <c:v>1</c:v>
                </c:pt>
                <c:pt idx="1">
                  <c:v>0.52830188679245282</c:v>
                </c:pt>
                <c:pt idx="2">
                  <c:v>0.52830188679245282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F-4CC6-9948-D330A3CFE751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9F-4CC6-9948-D330A3CFE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DB_HQ_Rocky!$D$10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DB_HQ_Rocky!$A$12:$A$16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DB_HQ_Rocky!$H$12:$H$16</c:f>
              <c:numCache>
                <c:formatCode>0.0%</c:formatCode>
                <c:ptCount val="5"/>
                <c:pt idx="0">
                  <c:v>1</c:v>
                </c:pt>
                <c:pt idx="1">
                  <c:v>0.52830188679245282</c:v>
                </c:pt>
                <c:pt idx="2">
                  <c:v>0.52830188679245282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A-433C-89EE-F8E0AEA164AC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6A-433C-89EE-F8E0AEA16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BDB_HQ_Rocky!$D$10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BDB_HQ_Rocky!$A$12:$A$16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BDB_HQ_Rocky!$H$12:$H$16</c:f>
              <c:numCache>
                <c:formatCode>0.0%</c:formatCode>
                <c:ptCount val="5"/>
                <c:pt idx="0">
                  <c:v>0.7857142857142857</c:v>
                </c:pt>
                <c:pt idx="1">
                  <c:v>0.52830188679245282</c:v>
                </c:pt>
                <c:pt idx="2">
                  <c:v>0.52830188679245282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F-44C3-92B7-B04B22BC729F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FF-44C3-92B7-B04B22BC7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BLOG_HQ_Rocky!$D$10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BLOG_HQ_Rocky!$A$12:$A$16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BLOG_HQ_Rocky!$H$12:$H$16</c:f>
              <c:numCache>
                <c:formatCode>0.0%</c:formatCode>
                <c:ptCount val="5"/>
                <c:pt idx="0">
                  <c:v>0.7857142857142857</c:v>
                </c:pt>
                <c:pt idx="1">
                  <c:v>0.52830188679245282</c:v>
                </c:pt>
                <c:pt idx="2">
                  <c:v>0.52830188679245282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4-4580-9363-95B8F4ED4073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54-4580-9363-95B8F4ED4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PHP_BR_Rocky!$D$10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PHP_BR_Rocky!$A$12:$A$16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PHP_BR_Rocky!$H$12:$H$16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B7-4C6B-8A74-076CD9BF0696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B7-4C6B-8A74-076CD9BF0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LOG_BR_Rocky!$D$10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LOG_BR_Rocky!$A$12:$A$16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LOG_BR_Rocky!$H$12:$H$16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5-4468-94BB-3A6531DFC0CB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C5-4468-94BB-3A6531DFC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DB_BR_Rocky!$D$10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DB_BR_Rocky!$A$12:$A$16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DB_BR_Rocky!$H$12:$H$16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1-4D66-B411-E682621D6F38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21-4D66-B411-E682621D6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BDB_BR_Rocky!$D$10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BDB_BR_Rocky!$A$12:$A$16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BDB_BR_Rocky!$H$12:$H$16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0-4CF9-BEE0-6DB8C7A18F1D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F0-4CF9-BEE0-6DB8C7A1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BLOG_BR_Rocky!$D$10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BLOG_BR_Rocky!$A$12:$A$16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BLOG_BR_Rocky!$H$12:$H$16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4-4DD5-B34B-8984C13B70B7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B4-4DD5-B34B-8984C13B7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82551</xdr:colOff>
      <xdr:row>4</xdr:row>
      <xdr:rowOff>228601</xdr:rowOff>
    </xdr:from>
    <xdr:to>
      <xdr:col>9</xdr:col>
      <xdr:colOff>831851</xdr:colOff>
      <xdr:row>9</xdr:row>
      <xdr:rowOff>178705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867C3BF-9A9C-47A9-A97B-55479925F1CF}"/>
            </a:ext>
          </a:extLst>
        </xdr:cNvPr>
        <xdr:cNvSpPr/>
      </xdr:nvSpPr>
      <xdr:spPr>
        <a:xfrm>
          <a:off x="360137" y="1752601"/>
          <a:ext cx="7846785" cy="18551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altLang="ko-KR" sz="1050" b="1">
            <a:solidFill>
              <a:sysClr val="windowText" lastClr="000000"/>
            </a:solidFill>
          </a:endParaRPr>
        </a:p>
        <a:p>
          <a:pPr algn="ctr"/>
          <a:r>
            <a:rPr lang="ko-KR" altLang="en-US" sz="2800" b="1" baseline="0">
              <a:solidFill>
                <a:sysClr val="windowText" lastClr="000000"/>
              </a:solidFill>
              <a:latin typeface="+mj-ea"/>
              <a:ea typeface="+mj-ea"/>
            </a:rPr>
            <a:t>리눅스</a:t>
          </a:r>
          <a:r>
            <a:rPr lang="en-US" altLang="ko-KR" sz="2800" b="1" baseline="0">
              <a:solidFill>
                <a:sysClr val="windowText" lastClr="000000"/>
              </a:solidFill>
              <a:latin typeface="+mj-ea"/>
              <a:ea typeface="+mj-ea"/>
            </a:rPr>
            <a:t>(Linux)</a:t>
          </a:r>
          <a:r>
            <a:rPr lang="ko-KR" altLang="en-US" sz="2800" b="1" baseline="0">
              <a:solidFill>
                <a:sysClr val="windowText" lastClr="000000"/>
              </a:solidFill>
              <a:latin typeface="+mj-ea"/>
              <a:ea typeface="+mj-ea"/>
            </a:rPr>
            <a:t> </a:t>
          </a: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취약점 진단 </a:t>
          </a:r>
          <a: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  <a:t/>
          </a:r>
          <a:b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상세 결과보고서</a:t>
          </a:r>
        </a:p>
        <a:p>
          <a:pPr algn="ctr"/>
          <a:r>
            <a:rPr lang="ko-KR" altLang="en-US" sz="1400" b="1">
              <a:solidFill>
                <a:sysClr val="windowText" lastClr="000000"/>
              </a:solidFill>
            </a:rPr>
            <a:t>주요정보통신기반시설 취약점 분석</a:t>
          </a:r>
          <a:r>
            <a:rPr lang="en-US" altLang="ko-KR" sz="1400" b="1">
              <a:solidFill>
                <a:sysClr val="windowText" lastClr="000000"/>
              </a:solidFill>
            </a:rPr>
            <a:t>·</a:t>
          </a:r>
          <a:r>
            <a:rPr lang="ko-KR" altLang="en-US" sz="1400" b="1">
              <a:solidFill>
                <a:sysClr val="windowText" lastClr="000000"/>
              </a:solidFill>
            </a:rPr>
            <a:t>평가</a:t>
          </a:r>
          <a:endParaRPr lang="en-US" altLang="ko-KR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709386</xdr:colOff>
      <xdr:row>4</xdr:row>
      <xdr:rowOff>187778</xdr:rowOff>
    </xdr:from>
    <xdr:to>
      <xdr:col>9</xdr:col>
      <xdr:colOff>2729</xdr:colOff>
      <xdr:row>4</xdr:row>
      <xdr:rowOff>224685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4FCEA02-982F-4182-8C4B-51685AA5D144}"/>
            </a:ext>
          </a:extLst>
        </xdr:cNvPr>
        <xdr:cNvSpPr/>
      </xdr:nvSpPr>
      <xdr:spPr>
        <a:xfrm flipV="1">
          <a:off x="986972" y="1711778"/>
          <a:ext cx="6390828" cy="36907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</xdr:col>
      <xdr:colOff>746579</xdr:colOff>
      <xdr:row>9</xdr:row>
      <xdr:rowOff>177799</xdr:rowOff>
    </xdr:from>
    <xdr:to>
      <xdr:col>9</xdr:col>
      <xdr:colOff>42643</xdr:colOff>
      <xdr:row>9</xdr:row>
      <xdr:rowOff>214706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E8B4B014-C730-FD9A-736B-FFB8B6B429AC}"/>
            </a:ext>
          </a:extLst>
        </xdr:cNvPr>
        <xdr:cNvSpPr/>
      </xdr:nvSpPr>
      <xdr:spPr>
        <a:xfrm flipV="1">
          <a:off x="1024165" y="3606799"/>
          <a:ext cx="6393549" cy="36907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25</xdr:row>
      <xdr:rowOff>9525</xdr:rowOff>
    </xdr:from>
    <xdr:to>
      <xdr:col>10</xdr:col>
      <xdr:colOff>304800</xdr:colOff>
      <xdr:row>45</xdr:row>
      <xdr:rowOff>33355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9525" y="4295775"/>
          <a:ext cx="4105275" cy="345283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11</xdr:row>
      <xdr:rowOff>161925</xdr:rowOff>
    </xdr:from>
    <xdr:to>
      <xdr:col>11</xdr:col>
      <xdr:colOff>409575</xdr:colOff>
      <xdr:row>35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183697</xdr:rowOff>
    </xdr:from>
    <xdr:to>
      <xdr:col>20</xdr:col>
      <xdr:colOff>619124</xdr:colOff>
      <xdr:row>35</xdr:row>
      <xdr:rowOff>88447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64BA88-A881-4C42-B7C4-8FC7F8B69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504FF5-8C50-4B25-A367-F9DA8D86F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5E14B4-27D6-4369-A982-7126BD842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AA7404-7658-4F26-81B9-334986E40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52590C-C619-47D2-BEA1-71A101DE0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BCC1B4-9D5F-4EB3-9E49-EDAB8EB8BF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EDAFE1-D375-4766-B494-4AB8BADB4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697EC-14B2-4436-B86E-3879CC346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BEEFC6-E62D-4239-9253-FD5324A0C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orks\2009&#45380;\1.&#52968;&#49444;&#54021;\3.%20&#54665;&#50504;&#48512;\3.&#53596;&#54540;&#47551;\(&#48324;&#52392;%202-1)%20&#49436;&#48260;&#51652;&#45800;_temp_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"/>
      <sheetName val="목록"/>
      <sheetName val="통계결과"/>
      <sheetName val="영역통계"/>
      <sheetName val="진단통계(UNIX)"/>
      <sheetName val="진단통계(Windows)"/>
      <sheetName val="위험분석"/>
      <sheetName val="Unix"/>
      <sheetName val="Unix2"/>
      <sheetName val="Unix3"/>
      <sheetName val="Windows"/>
      <sheetName val="Windows1"/>
    </sheetNames>
    <sheetDataSet>
      <sheetData sheetId="0" refreshError="1"/>
      <sheetData sheetId="1" refreshError="1">
        <row r="7">
          <cell r="P7" t="str">
            <v>서버</v>
          </cell>
          <cell r="Q7" t="str">
            <v>Unix</v>
          </cell>
          <cell r="R7" t="str">
            <v>라우터</v>
          </cell>
          <cell r="S7" t="str">
            <v>방화벽</v>
          </cell>
          <cell r="T7" t="str">
            <v>WinXP</v>
          </cell>
        </row>
        <row r="8">
          <cell r="P8" t="str">
            <v>네트워크</v>
          </cell>
          <cell r="Q8" t="str">
            <v>Windows</v>
          </cell>
          <cell r="R8" t="str">
            <v>백본스위치</v>
          </cell>
          <cell r="S8" t="str">
            <v>IPS</v>
          </cell>
          <cell r="T8" t="str">
            <v>Win98</v>
          </cell>
        </row>
        <row r="9">
          <cell r="P9" t="str">
            <v>보안시스템</v>
          </cell>
          <cell r="R9" t="str">
            <v>L4스위치</v>
          </cell>
          <cell r="S9" t="str">
            <v>IDS</v>
          </cell>
          <cell r="T9" t="str">
            <v>WinVista</v>
          </cell>
        </row>
        <row r="10">
          <cell r="P10" t="str">
            <v>PC</v>
          </cell>
          <cell r="S10" t="str">
            <v>VPN</v>
          </cell>
        </row>
        <row r="36">
          <cell r="A36" t="str">
            <v>이민복</v>
          </cell>
        </row>
        <row r="37">
          <cell r="A37" t="str">
            <v>황치열</v>
          </cell>
        </row>
        <row r="38">
          <cell r="A38" t="str">
            <v>장숙희</v>
          </cell>
        </row>
        <row r="39">
          <cell r="A39" t="str">
            <v>김형태</v>
          </cell>
        </row>
        <row r="40">
          <cell r="A40" t="str">
            <v>오상교</v>
          </cell>
        </row>
        <row r="41">
          <cell r="A41" t="str">
            <v>이순형</v>
          </cell>
        </row>
        <row r="42">
          <cell r="A42" t="str">
            <v>장봉주</v>
          </cell>
        </row>
        <row r="43">
          <cell r="A43" t="str">
            <v>서성기</v>
          </cell>
        </row>
        <row r="44">
          <cell r="A44" t="str">
            <v>박정완</v>
          </cell>
        </row>
        <row r="45">
          <cell r="A45" t="str">
            <v>이정환</v>
          </cell>
        </row>
        <row r="46">
          <cell r="A46" t="str">
            <v>최길배</v>
          </cell>
        </row>
        <row r="47">
          <cell r="A47" t="str">
            <v>김대영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noFill/>
        </a:ln>
      </a:spPr>
      <a:bodyPr rtlCol="0" anchor="t" anchorCtr="0"/>
      <a:lstStyle>
        <a:defPPr marL="0" marR="0" indent="0" algn="l" defTabSz="91440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sz="1800" b="1">
            <a:solidFill>
              <a:sysClr val="windowText" lastClr="000000"/>
            </a:solidFill>
            <a:latin typeface="굴림체" pitchFamily="49" charset="-127"/>
            <a:ea typeface="굴림체" pitchFamily="49" charset="-127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7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9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6"/>
  <sheetViews>
    <sheetView view="pageBreakPreview" zoomScaleNormal="70" zoomScaleSheetLayoutView="100" workbookViewId="0"/>
  </sheetViews>
  <sheetFormatPr defaultColWidth="8.77734375" defaultRowHeight="16.5"/>
  <cols>
    <col min="1" max="1" width="3.6640625" style="75" customWidth="1"/>
    <col min="2" max="5" width="11.6640625" style="75" customWidth="1"/>
    <col min="6" max="6" width="17.44140625" style="75" customWidth="1"/>
    <col min="7" max="10" width="11.6640625" style="75" customWidth="1"/>
    <col min="11" max="11" width="3.6640625" style="74" customWidth="1"/>
    <col min="12" max="12" width="8.77734375" style="74" customWidth="1"/>
    <col min="13" max="16384" width="8.77734375" style="74"/>
  </cols>
  <sheetData>
    <row r="1" spans="1:11" ht="30" customHeight="1">
      <c r="A1" s="72"/>
      <c r="B1" s="72"/>
      <c r="C1" s="72"/>
      <c r="D1" s="72"/>
      <c r="E1" s="72"/>
      <c r="F1" s="72"/>
      <c r="G1" s="72"/>
      <c r="H1" s="72"/>
      <c r="I1" s="72"/>
      <c r="J1" s="72"/>
      <c r="K1" s="73"/>
    </row>
    <row r="2" spans="1:11" ht="30" customHeight="1">
      <c r="A2" s="72"/>
      <c r="B2" s="208"/>
      <c r="C2" s="209"/>
      <c r="D2" s="209"/>
      <c r="E2" s="72"/>
      <c r="F2" s="72"/>
      <c r="G2" s="72"/>
      <c r="H2" s="72"/>
      <c r="I2" s="72"/>
      <c r="J2" s="72"/>
      <c r="K2" s="72"/>
    </row>
    <row r="3" spans="1:11" ht="30" customHeight="1">
      <c r="A3" s="72"/>
      <c r="B3" s="209"/>
      <c r="C3" s="209"/>
      <c r="D3" s="209"/>
      <c r="E3" s="72"/>
      <c r="F3" s="72"/>
      <c r="G3" s="72"/>
      <c r="H3" s="72"/>
      <c r="I3" s="72"/>
      <c r="J3" s="72"/>
      <c r="K3" s="72"/>
    </row>
    <row r="4" spans="1:11" ht="30" customHeight="1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</row>
    <row r="5" spans="1:11" ht="30" customHeight="1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</row>
    <row r="6" spans="1:11" ht="30" customHeight="1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</row>
    <row r="7" spans="1:11" ht="30" customHeight="1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</row>
    <row r="8" spans="1:11" ht="30" customHeight="1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</row>
    <row r="9" spans="1:11" ht="30" customHeight="1">
      <c r="A9" s="72"/>
      <c r="B9" s="72"/>
      <c r="C9" s="72"/>
      <c r="D9" s="72"/>
      <c r="E9" s="72"/>
      <c r="F9" s="72"/>
      <c r="G9" s="72"/>
      <c r="H9" s="72"/>
      <c r="I9" s="72"/>
      <c r="J9" s="72"/>
      <c r="K9" s="73"/>
    </row>
    <row r="10" spans="1:11" ht="30" customHeight="1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3"/>
    </row>
    <row r="11" spans="1:11" ht="30" customHeight="1">
      <c r="A11" s="72"/>
      <c r="B11" s="72"/>
      <c r="C11" s="72"/>
      <c r="D11" s="72"/>
      <c r="E11" s="72"/>
      <c r="F11" s="151">
        <v>45992</v>
      </c>
      <c r="G11" s="72"/>
      <c r="H11" s="72"/>
      <c r="I11" s="72"/>
      <c r="J11" s="72"/>
      <c r="K11" s="73"/>
    </row>
    <row r="12" spans="1:11" ht="30" customHeight="1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3"/>
    </row>
    <row r="13" spans="1:11" ht="30" customHeight="1">
      <c r="A13" s="72"/>
      <c r="B13" s="72"/>
      <c r="C13" s="72"/>
      <c r="D13" s="72"/>
      <c r="E13" s="72"/>
      <c r="F13" s="72"/>
      <c r="G13" s="72"/>
      <c r="H13"/>
      <c r="I13" s="72"/>
      <c r="J13" s="72"/>
      <c r="K13" s="73"/>
    </row>
    <row r="14" spans="1:11" ht="30" customHeight="1">
      <c r="A14" s="210"/>
      <c r="B14" s="209"/>
      <c r="C14" s="209"/>
      <c r="D14" s="209"/>
      <c r="E14" s="209"/>
      <c r="F14" s="209"/>
      <c r="G14" s="209"/>
      <c r="H14" s="209"/>
      <c r="I14" s="209"/>
      <c r="J14" s="209"/>
      <c r="K14" s="211"/>
    </row>
    <row r="15" spans="1:11" ht="30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</row>
    <row r="16" spans="1:11" ht="16.350000000000001" customHeight="1"/>
  </sheetData>
  <mergeCells count="2">
    <mergeCell ref="B2:D3"/>
    <mergeCell ref="A14:K14"/>
  </mergeCells>
  <phoneticPr fontId="3" type="noConversion"/>
  <printOptions horizontalCentered="1"/>
  <pageMargins left="0.19685039370078741" right="0.19685039370078741" top="0.59055118110236227" bottom="0.19685039370078741" header="0.31496062992125978" footer="0.31496062992125978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R14"/>
  <sheetViews>
    <sheetView showGridLines="0" view="pageBreakPreview" zoomScaleNormal="100" zoomScaleSheetLayoutView="100" workbookViewId="0">
      <selection activeCell="B5" sqref="B5"/>
    </sheetView>
  </sheetViews>
  <sheetFormatPr defaultColWidth="8.77734375" defaultRowHeight="11.25"/>
  <cols>
    <col min="1" max="1" width="3.77734375" style="17" customWidth="1"/>
    <col min="2" max="2" width="15.77734375" style="20" bestFit="1" customWidth="1"/>
    <col min="3" max="3" width="12.44140625" style="20" bestFit="1" customWidth="1"/>
    <col min="4" max="6" width="6.109375" style="20" hidden="1" customWidth="1"/>
    <col min="7" max="7" width="9" style="20" bestFit="1" customWidth="1"/>
    <col min="8" max="8" width="8" style="20" bestFit="1" customWidth="1"/>
    <col min="9" max="9" width="23" style="20" bestFit="1" customWidth="1"/>
    <col min="10" max="10" width="8.109375" style="17" bestFit="1" customWidth="1"/>
    <col min="11" max="11" width="24.6640625" style="17" customWidth="1"/>
    <col min="12" max="13" width="6.44140625" style="17" customWidth="1"/>
    <col min="14" max="17" width="4.77734375" style="17" customWidth="1"/>
    <col min="18" max="18" width="8.44140625" style="20" customWidth="1"/>
    <col min="19" max="19" width="8.77734375" style="17" customWidth="1"/>
    <col min="20" max="16384" width="8.77734375" style="17"/>
  </cols>
  <sheetData>
    <row r="1" spans="1:18" ht="17.100000000000001" customHeight="1">
      <c r="A1" s="16" t="s">
        <v>0</v>
      </c>
    </row>
    <row r="2" spans="1:18" ht="14.1" customHeight="1" thickBot="1"/>
    <row r="3" spans="1:18" ht="11.25" customHeight="1">
      <c r="A3" s="215" t="s">
        <v>1</v>
      </c>
      <c r="B3" s="217" t="s">
        <v>2</v>
      </c>
      <c r="C3" s="217" t="s">
        <v>3</v>
      </c>
      <c r="D3" s="217" t="s">
        <v>4</v>
      </c>
      <c r="E3" s="217" t="s">
        <v>5</v>
      </c>
      <c r="F3" s="217" t="s">
        <v>6</v>
      </c>
      <c r="G3" s="217" t="s">
        <v>7</v>
      </c>
      <c r="H3" s="217" t="s">
        <v>8</v>
      </c>
      <c r="I3" s="217" t="s">
        <v>9</v>
      </c>
      <c r="J3" s="217" t="s">
        <v>10</v>
      </c>
      <c r="K3" s="217" t="s">
        <v>11</v>
      </c>
      <c r="L3" s="217" t="s">
        <v>12</v>
      </c>
      <c r="M3" s="217" t="s">
        <v>13</v>
      </c>
      <c r="N3" s="212" t="s">
        <v>14</v>
      </c>
      <c r="O3" s="213"/>
      <c r="P3" s="213"/>
      <c r="Q3" s="214"/>
      <c r="R3" s="28"/>
    </row>
    <row r="4" spans="1:18" ht="14.1" customHeight="1" thickBot="1">
      <c r="A4" s="216"/>
      <c r="B4" s="218"/>
      <c r="C4" s="218"/>
      <c r="D4" s="218"/>
      <c r="E4" s="218"/>
      <c r="F4" s="218"/>
      <c r="G4" s="218"/>
      <c r="H4" s="218"/>
      <c r="I4" s="219"/>
      <c r="J4" s="218"/>
      <c r="K4" s="219"/>
      <c r="L4" s="218"/>
      <c r="M4" s="218"/>
      <c r="N4" s="76" t="s">
        <v>15</v>
      </c>
      <c r="O4" s="76" t="s">
        <v>16</v>
      </c>
      <c r="P4" s="76" t="s">
        <v>17</v>
      </c>
      <c r="Q4" s="77" t="s">
        <v>18</v>
      </c>
      <c r="R4" s="28" t="s">
        <v>19</v>
      </c>
    </row>
    <row r="5" spans="1:18" ht="14.1" customHeight="1">
      <c r="A5" s="33">
        <v>1</v>
      </c>
      <c r="B5" s="70" t="s">
        <v>544</v>
      </c>
      <c r="C5" s="153" t="s">
        <v>499</v>
      </c>
      <c r="D5" s="32"/>
      <c r="E5" s="32"/>
      <c r="F5" s="32"/>
      <c r="G5" s="154" t="s">
        <v>500</v>
      </c>
      <c r="H5" s="160" t="s">
        <v>501</v>
      </c>
      <c r="I5" s="162" t="s">
        <v>504</v>
      </c>
      <c r="J5" s="171" t="s">
        <v>21</v>
      </c>
      <c r="K5" s="172" t="s">
        <v>533</v>
      </c>
      <c r="L5" s="161" t="s">
        <v>23</v>
      </c>
      <c r="M5" s="153"/>
      <c r="N5" s="71">
        <v>3</v>
      </c>
      <c r="O5" s="71">
        <v>3</v>
      </c>
      <c r="P5" s="71">
        <v>3</v>
      </c>
      <c r="Q5" s="152" t="str">
        <f t="shared" ref="Q5:Q6" si="0">IF(R5&gt;=7,"H",IF(R5&gt;=5,"M","L"))</f>
        <v>H</v>
      </c>
      <c r="R5" s="28">
        <f t="shared" ref="R5:R6" si="1">SUM(N5:P5)</f>
        <v>9</v>
      </c>
    </row>
    <row r="6" spans="1:18" ht="14.1" customHeight="1">
      <c r="A6" s="33">
        <v>2</v>
      </c>
      <c r="B6" s="70" t="s">
        <v>503</v>
      </c>
      <c r="C6" s="153" t="s">
        <v>502</v>
      </c>
      <c r="D6" s="32"/>
      <c r="E6" s="32"/>
      <c r="F6" s="32"/>
      <c r="G6" s="155" t="s">
        <v>20</v>
      </c>
      <c r="H6" s="160">
        <v>8.1</v>
      </c>
      <c r="I6" s="202" t="s">
        <v>521</v>
      </c>
      <c r="J6" s="171" t="s">
        <v>21</v>
      </c>
      <c r="K6" s="172" t="s">
        <v>534</v>
      </c>
      <c r="L6" s="161" t="s">
        <v>24</v>
      </c>
      <c r="M6" s="153"/>
      <c r="N6" s="71">
        <v>3</v>
      </c>
      <c r="O6" s="71">
        <v>3</v>
      </c>
      <c r="P6" s="71">
        <v>3</v>
      </c>
      <c r="Q6" s="152" t="str">
        <f t="shared" si="0"/>
        <v>H</v>
      </c>
      <c r="R6" s="28">
        <f t="shared" si="1"/>
        <v>9</v>
      </c>
    </row>
    <row r="7" spans="1:18" ht="14.1" customHeight="1">
      <c r="A7" s="33">
        <v>4</v>
      </c>
      <c r="B7" s="70" t="s">
        <v>505</v>
      </c>
      <c r="C7" s="153" t="s">
        <v>513</v>
      </c>
      <c r="D7" s="32"/>
      <c r="E7" s="32"/>
      <c r="F7" s="32"/>
      <c r="G7" s="156" t="s">
        <v>20</v>
      </c>
      <c r="H7" s="160">
        <v>8.1</v>
      </c>
      <c r="I7" s="163" t="s">
        <v>524</v>
      </c>
      <c r="J7" s="171" t="s">
        <v>530</v>
      </c>
      <c r="K7" s="172" t="s">
        <v>26</v>
      </c>
      <c r="L7" s="161" t="s">
        <v>27</v>
      </c>
      <c r="M7" s="153"/>
      <c r="N7" s="71">
        <v>3</v>
      </c>
      <c r="O7" s="71">
        <v>3</v>
      </c>
      <c r="P7" s="71">
        <v>3</v>
      </c>
      <c r="Q7" s="152" t="str">
        <f>IF(R7&gt;=7,"H",IF(R7&gt;=5,"M","L"))</f>
        <v>H</v>
      </c>
      <c r="R7" s="28">
        <f>SUM(N7:P7)</f>
        <v>9</v>
      </c>
    </row>
    <row r="8" spans="1:18" ht="14.1" customHeight="1">
      <c r="A8" s="33">
        <v>4</v>
      </c>
      <c r="B8" s="70" t="s">
        <v>506</v>
      </c>
      <c r="C8" s="153" t="s">
        <v>514</v>
      </c>
      <c r="D8" s="32"/>
      <c r="E8" s="32"/>
      <c r="F8" s="32"/>
      <c r="G8" s="155" t="s">
        <v>20</v>
      </c>
      <c r="H8" s="160">
        <v>8.1</v>
      </c>
      <c r="I8" s="202" t="s">
        <v>527</v>
      </c>
      <c r="J8" s="171" t="s">
        <v>531</v>
      </c>
      <c r="K8" s="173" t="s">
        <v>22</v>
      </c>
      <c r="L8" s="161" t="s">
        <v>28</v>
      </c>
      <c r="M8" s="153"/>
      <c r="N8" s="71">
        <v>3</v>
      </c>
      <c r="O8" s="71">
        <v>3</v>
      </c>
      <c r="P8" s="71">
        <v>3</v>
      </c>
      <c r="Q8" s="152" t="str">
        <f t="shared" ref="Q8" si="2">IF(R8&gt;=7,"H",IF(R8&gt;=5,"M","L"))</f>
        <v>H</v>
      </c>
      <c r="R8" s="28">
        <f>SUM(N8:P8)</f>
        <v>9</v>
      </c>
    </row>
    <row r="9" spans="1:18" ht="14.1" customHeight="1">
      <c r="A9" s="33">
        <v>5</v>
      </c>
      <c r="B9" s="70" t="s">
        <v>507</v>
      </c>
      <c r="C9" s="153" t="s">
        <v>515</v>
      </c>
      <c r="D9" s="32"/>
      <c r="E9" s="32"/>
      <c r="F9" s="32"/>
      <c r="G9" s="155" t="s">
        <v>20</v>
      </c>
      <c r="H9" s="160">
        <v>8.1</v>
      </c>
      <c r="I9" s="202" t="s">
        <v>526</v>
      </c>
      <c r="J9" s="171" t="s">
        <v>532</v>
      </c>
      <c r="K9" s="173" t="s">
        <v>26</v>
      </c>
      <c r="L9" s="161" t="s">
        <v>29</v>
      </c>
      <c r="M9" s="153"/>
      <c r="N9" s="71">
        <v>3</v>
      </c>
      <c r="O9" s="71">
        <v>3</v>
      </c>
      <c r="P9" s="71">
        <v>3</v>
      </c>
      <c r="Q9" s="152" t="str">
        <f t="shared" ref="Q9" si="3">IF(R9&gt;=7,"H",IF(R9&gt;=5,"M","L"))</f>
        <v>H</v>
      </c>
      <c r="R9" s="28">
        <f>SUM(N9:P9)</f>
        <v>9</v>
      </c>
    </row>
    <row r="10" spans="1:18" ht="13.5">
      <c r="A10" s="196">
        <v>6</v>
      </c>
      <c r="B10" s="197" t="s">
        <v>508</v>
      </c>
      <c r="C10" s="198" t="s">
        <v>516</v>
      </c>
      <c r="D10" s="199"/>
      <c r="E10" s="199"/>
      <c r="F10" s="199"/>
      <c r="G10" s="200" t="s">
        <v>20</v>
      </c>
      <c r="H10" s="201">
        <v>8.1</v>
      </c>
      <c r="I10" s="202" t="s">
        <v>523</v>
      </c>
      <c r="J10" s="171" t="s">
        <v>25</v>
      </c>
      <c r="K10" s="204" t="s">
        <v>22</v>
      </c>
      <c r="L10" s="205" t="s">
        <v>31</v>
      </c>
      <c r="M10" s="198"/>
      <c r="N10" s="206">
        <v>3</v>
      </c>
      <c r="O10" s="206">
        <v>3</v>
      </c>
      <c r="P10" s="206">
        <v>3</v>
      </c>
      <c r="Q10" s="207" t="str">
        <f t="shared" ref="Q10:Q14" si="4">IF(R10&gt;=7,"H",IF(R10&gt;=5,"M","L"))</f>
        <v>H</v>
      </c>
      <c r="R10" s="177">
        <f t="shared" ref="R10:R14" si="5">SUM(N10:P10)</f>
        <v>9</v>
      </c>
    </row>
    <row r="11" spans="1:18" ht="13.5">
      <c r="A11" s="196">
        <v>7</v>
      </c>
      <c r="B11" s="197" t="s">
        <v>509</v>
      </c>
      <c r="C11" s="198" t="s">
        <v>517</v>
      </c>
      <c r="D11" s="199"/>
      <c r="E11" s="199"/>
      <c r="F11" s="199"/>
      <c r="G11" s="200" t="s">
        <v>20</v>
      </c>
      <c r="H11" s="201">
        <v>8.1</v>
      </c>
      <c r="I11" s="202" t="s">
        <v>522</v>
      </c>
      <c r="J11" s="171" t="s">
        <v>25</v>
      </c>
      <c r="K11" s="204" t="s">
        <v>26</v>
      </c>
      <c r="L11" s="205" t="s">
        <v>33</v>
      </c>
      <c r="M11" s="198"/>
      <c r="N11" s="206">
        <v>3</v>
      </c>
      <c r="O11" s="206">
        <v>3</v>
      </c>
      <c r="P11" s="206">
        <v>3</v>
      </c>
      <c r="Q11" s="207" t="str">
        <f t="shared" si="4"/>
        <v>H</v>
      </c>
      <c r="R11" s="177">
        <f t="shared" si="5"/>
        <v>9</v>
      </c>
    </row>
    <row r="12" spans="1:18" ht="13.5">
      <c r="A12" s="196">
        <v>8</v>
      </c>
      <c r="B12" s="197" t="s">
        <v>510</v>
      </c>
      <c r="C12" s="198" t="s">
        <v>518</v>
      </c>
      <c r="D12" s="199"/>
      <c r="E12" s="199"/>
      <c r="F12" s="199"/>
      <c r="G12" s="200" t="s">
        <v>20</v>
      </c>
      <c r="H12" s="201">
        <v>8.1</v>
      </c>
      <c r="I12" s="163" t="s">
        <v>525</v>
      </c>
      <c r="J12" s="203" t="s">
        <v>529</v>
      </c>
      <c r="K12" s="204" t="s">
        <v>34</v>
      </c>
      <c r="L12" s="205" t="s">
        <v>35</v>
      </c>
      <c r="M12" s="198"/>
      <c r="N12" s="206">
        <v>3</v>
      </c>
      <c r="O12" s="206">
        <v>3</v>
      </c>
      <c r="P12" s="206">
        <v>3</v>
      </c>
      <c r="Q12" s="207" t="str">
        <f t="shared" si="4"/>
        <v>H</v>
      </c>
      <c r="R12" s="177">
        <f t="shared" si="5"/>
        <v>9</v>
      </c>
    </row>
    <row r="13" spans="1:18" ht="13.5">
      <c r="A13" s="196">
        <v>9</v>
      </c>
      <c r="B13" s="197" t="s">
        <v>511</v>
      </c>
      <c r="C13" s="198" t="s">
        <v>519</v>
      </c>
      <c r="D13" s="199"/>
      <c r="E13" s="199"/>
      <c r="F13" s="199"/>
      <c r="G13" s="200" t="s">
        <v>20</v>
      </c>
      <c r="H13" s="201">
        <v>8.1</v>
      </c>
      <c r="I13" s="202" t="s">
        <v>30</v>
      </c>
      <c r="J13" s="203" t="s">
        <v>32</v>
      </c>
      <c r="K13" s="204" t="s">
        <v>34</v>
      </c>
      <c r="L13" s="205" t="s">
        <v>36</v>
      </c>
      <c r="M13" s="198"/>
      <c r="N13" s="206">
        <v>3</v>
      </c>
      <c r="O13" s="206">
        <v>3</v>
      </c>
      <c r="P13" s="206">
        <v>3</v>
      </c>
      <c r="Q13" s="207" t="str">
        <f t="shared" si="4"/>
        <v>H</v>
      </c>
      <c r="R13" s="177">
        <f t="shared" si="5"/>
        <v>9</v>
      </c>
    </row>
    <row r="14" spans="1:18" ht="13.5">
      <c r="A14" s="196">
        <v>10</v>
      </c>
      <c r="B14" s="197" t="s">
        <v>512</v>
      </c>
      <c r="C14" s="198" t="s">
        <v>520</v>
      </c>
      <c r="D14" s="199"/>
      <c r="E14" s="199"/>
      <c r="F14" s="199"/>
      <c r="G14" s="200" t="s">
        <v>20</v>
      </c>
      <c r="H14" s="201">
        <v>8.1</v>
      </c>
      <c r="I14" s="202" t="s">
        <v>528</v>
      </c>
      <c r="J14" s="203" t="s">
        <v>32</v>
      </c>
      <c r="K14" s="204" t="s">
        <v>34</v>
      </c>
      <c r="L14" s="205" t="s">
        <v>37</v>
      </c>
      <c r="M14" s="198"/>
      <c r="N14" s="206">
        <v>3</v>
      </c>
      <c r="O14" s="206">
        <v>3</v>
      </c>
      <c r="P14" s="206">
        <v>3</v>
      </c>
      <c r="Q14" s="207" t="str">
        <f t="shared" si="4"/>
        <v>H</v>
      </c>
      <c r="R14" s="177">
        <f t="shared" si="5"/>
        <v>9</v>
      </c>
    </row>
  </sheetData>
  <mergeCells count="14">
    <mergeCell ref="N3:Q3"/>
    <mergeCell ref="A3:A4"/>
    <mergeCell ref="J3:J4"/>
    <mergeCell ref="M3:M4"/>
    <mergeCell ref="B3:B4"/>
    <mergeCell ref="C3:C4"/>
    <mergeCell ref="G3:G4"/>
    <mergeCell ref="I3:I4"/>
    <mergeCell ref="D3:D4"/>
    <mergeCell ref="H3:H4"/>
    <mergeCell ref="L3:L4"/>
    <mergeCell ref="E3:E4"/>
    <mergeCell ref="F3:F4"/>
    <mergeCell ref="K3:K4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60" fitToHeight="0" orientation="portrait" horizontalDpi="4294967294" verticalDpi="4294967294" r:id="rId1"/>
  <headerFooter alignWithMargins="0">
    <oddHeader>&amp;L
&amp;R&amp;F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2:U53"/>
  <sheetViews>
    <sheetView zoomScaleNormal="100" workbookViewId="0"/>
  </sheetViews>
  <sheetFormatPr defaultColWidth="8.77734375" defaultRowHeight="13.5"/>
  <cols>
    <col min="1" max="1" width="2.6640625" style="146" customWidth="1"/>
    <col min="3" max="3" width="15.109375" style="146" bestFit="1" customWidth="1"/>
  </cols>
  <sheetData>
    <row r="2" spans="2:8">
      <c r="B2" s="9" t="s">
        <v>38</v>
      </c>
    </row>
    <row r="3" spans="2:8">
      <c r="B3" s="27" t="s">
        <v>39</v>
      </c>
    </row>
    <row r="4" spans="2:8">
      <c r="B4" s="11" t="s">
        <v>498</v>
      </c>
    </row>
    <row r="6" spans="2:8">
      <c r="B6" s="9" t="s">
        <v>40</v>
      </c>
      <c r="C6" s="9"/>
    </row>
    <row r="7" spans="2:8">
      <c r="B7" s="27" t="s">
        <v>41</v>
      </c>
      <c r="C7" s="27" t="s">
        <v>42</v>
      </c>
    </row>
    <row r="8" spans="2:8">
      <c r="B8" s="11" t="s">
        <v>43</v>
      </c>
      <c r="C8" s="11">
        <v>3</v>
      </c>
    </row>
    <row r="9" spans="2:8">
      <c r="B9" s="11" t="s">
        <v>44</v>
      </c>
      <c r="C9" s="11">
        <v>2</v>
      </c>
    </row>
    <row r="10" spans="2:8">
      <c r="B10" s="11" t="s">
        <v>45</v>
      </c>
      <c r="C10" s="11">
        <v>1</v>
      </c>
    </row>
    <row r="11" spans="2:8">
      <c r="B11" s="12"/>
      <c r="C11" s="12"/>
    </row>
    <row r="12" spans="2:8">
      <c r="B12" s="9" t="s">
        <v>46</v>
      </c>
      <c r="C12" s="9"/>
    </row>
    <row r="13" spans="2:8">
      <c r="B13" s="223" t="s">
        <v>47</v>
      </c>
      <c r="C13" s="223" t="s">
        <v>42</v>
      </c>
      <c r="D13" s="222"/>
    </row>
    <row r="14" spans="2:8">
      <c r="B14" s="225"/>
      <c r="C14" s="27" t="s">
        <v>48</v>
      </c>
      <c r="D14" s="27" t="s">
        <v>49</v>
      </c>
    </row>
    <row r="15" spans="2:8">
      <c r="B15" s="11" t="s">
        <v>50</v>
      </c>
      <c r="C15" s="11">
        <v>1</v>
      </c>
      <c r="D15" s="11">
        <v>0</v>
      </c>
    </row>
    <row r="16" spans="2:8">
      <c r="B16" s="11" t="s">
        <v>51</v>
      </c>
      <c r="C16" s="11">
        <v>0</v>
      </c>
      <c r="D16" s="11">
        <v>3</v>
      </c>
      <c r="F16" s="11" t="s">
        <v>52</v>
      </c>
      <c r="G16" s="11">
        <v>0.5</v>
      </c>
      <c r="H16" s="11">
        <v>0.5</v>
      </c>
    </row>
    <row r="17" spans="2:6">
      <c r="B17" s="11" t="s">
        <v>53</v>
      </c>
      <c r="C17" s="11">
        <v>0</v>
      </c>
      <c r="D17" s="11">
        <v>0</v>
      </c>
    </row>
    <row r="18" spans="2:6">
      <c r="B18" s="11" t="s">
        <v>54</v>
      </c>
      <c r="C18" s="11">
        <v>0</v>
      </c>
      <c r="D18" s="11">
        <v>0</v>
      </c>
    </row>
    <row r="19" spans="2:6">
      <c r="B19" s="11" t="s">
        <v>55</v>
      </c>
      <c r="C19" s="11">
        <v>1</v>
      </c>
      <c r="D19" s="11">
        <v>0</v>
      </c>
    </row>
    <row r="20" spans="2:6">
      <c r="B20" s="12"/>
      <c r="C20" s="12"/>
    </row>
    <row r="21" spans="2:6">
      <c r="B21" s="9" t="s">
        <v>56</v>
      </c>
    </row>
    <row r="22" spans="2:6">
      <c r="B22" s="27" t="s">
        <v>57</v>
      </c>
    </row>
    <row r="23" spans="2:6">
      <c r="B23" s="11">
        <v>21</v>
      </c>
    </row>
    <row r="25" spans="2:6">
      <c r="B25" s="9" t="s">
        <v>58</v>
      </c>
      <c r="F25" s="9" t="s">
        <v>59</v>
      </c>
    </row>
    <row r="26" spans="2:6">
      <c r="B26" s="223" t="s">
        <v>60</v>
      </c>
      <c r="C26" s="223" t="s">
        <v>61</v>
      </c>
      <c r="D26" s="222"/>
    </row>
    <row r="27" spans="2:6">
      <c r="B27" s="225"/>
      <c r="C27" s="27" t="s">
        <v>62</v>
      </c>
      <c r="D27" s="27" t="s">
        <v>63</v>
      </c>
    </row>
    <row r="28" spans="2:6">
      <c r="B28" s="11" t="s">
        <v>43</v>
      </c>
      <c r="C28" s="11">
        <v>7</v>
      </c>
      <c r="D28" s="11">
        <v>9</v>
      </c>
    </row>
    <row r="29" spans="2:6">
      <c r="B29" s="11" t="s">
        <v>44</v>
      </c>
      <c r="C29" s="11">
        <v>5</v>
      </c>
      <c r="D29" s="11">
        <v>6</v>
      </c>
    </row>
    <row r="30" spans="2:6">
      <c r="B30" s="11" t="s">
        <v>45</v>
      </c>
      <c r="C30" s="11">
        <v>3</v>
      </c>
      <c r="D30" s="11">
        <v>4</v>
      </c>
    </row>
    <row r="31" spans="2:6">
      <c r="B31" s="10"/>
      <c r="C31" s="10"/>
      <c r="D31" s="10"/>
    </row>
    <row r="32" spans="2:6">
      <c r="B32" s="9" t="s">
        <v>64</v>
      </c>
    </row>
    <row r="33" spans="2:21">
      <c r="B33" s="223" t="s">
        <v>60</v>
      </c>
      <c r="C33" s="223" t="s">
        <v>61</v>
      </c>
      <c r="D33" s="222"/>
    </row>
    <row r="34" spans="2:21">
      <c r="B34" s="225"/>
      <c r="C34" s="27" t="s">
        <v>62</v>
      </c>
      <c r="D34" s="27" t="s">
        <v>63</v>
      </c>
    </row>
    <row r="35" spans="2:21">
      <c r="B35" s="11" t="s">
        <v>43</v>
      </c>
      <c r="C35" s="11">
        <v>5</v>
      </c>
      <c r="D35" s="11">
        <v>6</v>
      </c>
    </row>
    <row r="36" spans="2:21">
      <c r="B36" s="11" t="s">
        <v>44</v>
      </c>
      <c r="C36" s="11">
        <v>4</v>
      </c>
      <c r="D36" s="11">
        <v>4</v>
      </c>
    </row>
    <row r="37" spans="2:21">
      <c r="B37" s="11" t="s">
        <v>45</v>
      </c>
      <c r="C37" s="11">
        <v>2</v>
      </c>
      <c r="D37" s="11">
        <v>3</v>
      </c>
    </row>
    <row r="39" spans="2:21">
      <c r="B39" s="9" t="s">
        <v>65</v>
      </c>
    </row>
    <row r="40" spans="2:21">
      <c r="B40" s="223" t="s">
        <v>60</v>
      </c>
      <c r="C40" s="223" t="s">
        <v>61</v>
      </c>
      <c r="D40" s="222"/>
    </row>
    <row r="41" spans="2:21">
      <c r="B41" s="225"/>
      <c r="C41" s="27" t="s">
        <v>62</v>
      </c>
      <c r="D41" s="27" t="s">
        <v>63</v>
      </c>
    </row>
    <row r="42" spans="2:21">
      <c r="B42" s="11" t="s">
        <v>43</v>
      </c>
      <c r="C42" s="11">
        <f>$B$23</f>
        <v>21</v>
      </c>
      <c r="D42" s="11">
        <v>30</v>
      </c>
    </row>
    <row r="43" spans="2:21">
      <c r="B43" s="11" t="s">
        <v>44</v>
      </c>
      <c r="C43" s="11">
        <v>11</v>
      </c>
      <c r="D43" s="11">
        <f>$C$42-1</f>
        <v>20</v>
      </c>
    </row>
    <row r="44" spans="2:21">
      <c r="B44" s="11" t="s">
        <v>45</v>
      </c>
      <c r="C44" s="11">
        <v>1</v>
      </c>
      <c r="D44" s="11">
        <f>$C$43-1</f>
        <v>10</v>
      </c>
    </row>
    <row r="46" spans="2:21">
      <c r="B46" s="9" t="s">
        <v>66</v>
      </c>
    </row>
    <row r="47" spans="2:21">
      <c r="B47" s="9" t="s">
        <v>67</v>
      </c>
    </row>
    <row r="48" spans="2:21">
      <c r="B48" s="224" t="s">
        <v>68</v>
      </c>
      <c r="C48" s="35" t="s">
        <v>69</v>
      </c>
      <c r="D48" s="220" t="s">
        <v>70</v>
      </c>
      <c r="E48" s="221"/>
      <c r="F48" s="221"/>
      <c r="G48" s="221"/>
      <c r="H48" s="221"/>
      <c r="I48" s="221"/>
      <c r="J48" s="221"/>
      <c r="K48" s="221"/>
      <c r="L48" s="222"/>
      <c r="M48" s="220" t="s">
        <v>71</v>
      </c>
      <c r="N48" s="221"/>
      <c r="O48" s="221"/>
      <c r="P48" s="221"/>
      <c r="Q48" s="221"/>
      <c r="R48" s="221"/>
      <c r="S48" s="221"/>
      <c r="T48" s="221"/>
      <c r="U48" s="222"/>
    </row>
    <row r="49" spans="2:21">
      <c r="B49" s="225"/>
      <c r="C49" s="35" t="s">
        <v>72</v>
      </c>
      <c r="D49" s="223" t="s">
        <v>45</v>
      </c>
      <c r="E49" s="221"/>
      <c r="F49" s="222"/>
      <c r="G49" s="223" t="s">
        <v>44</v>
      </c>
      <c r="H49" s="221"/>
      <c r="I49" s="222"/>
      <c r="J49" s="223" t="s">
        <v>43</v>
      </c>
      <c r="K49" s="221"/>
      <c r="L49" s="222"/>
      <c r="M49" s="223" t="s">
        <v>45</v>
      </c>
      <c r="N49" s="221"/>
      <c r="O49" s="222"/>
      <c r="P49" s="223" t="s">
        <v>44</v>
      </c>
      <c r="Q49" s="221"/>
      <c r="R49" s="222"/>
      <c r="S49" s="223" t="s">
        <v>43</v>
      </c>
      <c r="T49" s="221"/>
      <c r="U49" s="222"/>
    </row>
    <row r="50" spans="2:21">
      <c r="B50" s="223" t="s">
        <v>73</v>
      </c>
      <c r="C50" s="222"/>
      <c r="D50" s="27" t="s">
        <v>45</v>
      </c>
      <c r="E50" s="27" t="s">
        <v>44</v>
      </c>
      <c r="F50" s="27" t="s">
        <v>43</v>
      </c>
      <c r="G50" s="27" t="s">
        <v>45</v>
      </c>
      <c r="H50" s="27" t="s">
        <v>44</v>
      </c>
      <c r="I50" s="27" t="s">
        <v>43</v>
      </c>
      <c r="J50" s="27" t="s">
        <v>45</v>
      </c>
      <c r="K50" s="27" t="s">
        <v>44</v>
      </c>
      <c r="L50" s="27" t="s">
        <v>43</v>
      </c>
      <c r="M50" s="27" t="s">
        <v>45</v>
      </c>
      <c r="N50" s="27" t="s">
        <v>44</v>
      </c>
      <c r="O50" s="27" t="s">
        <v>43</v>
      </c>
      <c r="P50" s="27" t="s">
        <v>45</v>
      </c>
      <c r="Q50" s="27" t="s">
        <v>44</v>
      </c>
      <c r="R50" s="27" t="s">
        <v>43</v>
      </c>
      <c r="S50" s="27" t="s">
        <v>45</v>
      </c>
      <c r="T50" s="27" t="s">
        <v>44</v>
      </c>
      <c r="U50" s="27" t="s">
        <v>43</v>
      </c>
    </row>
    <row r="51" spans="2:21">
      <c r="B51" s="223" t="s">
        <v>74</v>
      </c>
      <c r="C51" s="27" t="s">
        <v>45</v>
      </c>
      <c r="D51" s="37">
        <f t="shared" ref="D51:F53" si="0">VLOOKUP($C51,$B$8:$C$10,2,FALSE)*(1+VLOOKUP($D$49,$B$8:$C$10,2,FALSE)*0*VLOOKUP(D$50,$B$8:$C$10,2,FALSE))</f>
        <v>1</v>
      </c>
      <c r="E51" s="37">
        <f t="shared" si="0"/>
        <v>1</v>
      </c>
      <c r="F51" s="37">
        <f t="shared" si="0"/>
        <v>1</v>
      </c>
      <c r="G51" s="37">
        <f t="shared" ref="G51:I53" si="1">VLOOKUP($C51,$B$8:$C$10,2,FALSE)*(1+VLOOKUP($G$49,$B$8:$C$10,2,FALSE)*0*VLOOKUP(G$50,$B$8:$C$10,2,FALSE))</f>
        <v>1</v>
      </c>
      <c r="H51" s="37">
        <f t="shared" si="1"/>
        <v>1</v>
      </c>
      <c r="I51" s="37">
        <f t="shared" si="1"/>
        <v>1</v>
      </c>
      <c r="J51" s="29">
        <f t="shared" ref="J51:L53" si="2">VLOOKUP($C51,$B$8:$C$10,2,FALSE)*(1+VLOOKUP($J$49,$B$8:$C$10,2,FALSE)*0*VLOOKUP(J$50,$B$8:$C$10,2,FALSE))</f>
        <v>1</v>
      </c>
      <c r="K51" s="29">
        <f t="shared" si="2"/>
        <v>1</v>
      </c>
      <c r="L51" s="29">
        <f t="shared" si="2"/>
        <v>1</v>
      </c>
      <c r="M51" s="29">
        <f t="shared" ref="M51:O53" si="3">VLOOKUP($C51,$B$8:$C$10,2,FALSE)*(1+VLOOKUP($M$49,$B$8:$C$10,2,FALSE)*1*VLOOKUP(M$50,$B$8:$C$10,2,FALSE))</f>
        <v>2</v>
      </c>
      <c r="N51" s="29">
        <f t="shared" si="3"/>
        <v>3</v>
      </c>
      <c r="O51" s="29">
        <f t="shared" si="3"/>
        <v>4</v>
      </c>
      <c r="P51" s="29">
        <f t="shared" ref="P51:R53" si="4">VLOOKUP($C51,$B$8:$C$10,2,FALSE)*(1+VLOOKUP($P$49,$B$8:$C$10,2,FALSE)*1*VLOOKUP(P$50,$B$8:$C$10,2,FALSE))</f>
        <v>3</v>
      </c>
      <c r="Q51" s="29">
        <f t="shared" si="4"/>
        <v>5</v>
      </c>
      <c r="R51" s="29">
        <f t="shared" si="4"/>
        <v>7</v>
      </c>
      <c r="S51" s="29">
        <f t="shared" ref="S51:U53" si="5">VLOOKUP($C51,$B$8:$C$10,2,FALSE)*(1+VLOOKUP($S$49,$B$8:$C$10,2,FALSE)*1*VLOOKUP(S$50,$B$8:$C$10,2,FALSE))</f>
        <v>4</v>
      </c>
      <c r="T51" s="29">
        <f t="shared" si="5"/>
        <v>7</v>
      </c>
      <c r="U51" s="29">
        <f t="shared" si="5"/>
        <v>10</v>
      </c>
    </row>
    <row r="52" spans="2:21">
      <c r="B52" s="226"/>
      <c r="C52" s="27" t="s">
        <v>44</v>
      </c>
      <c r="D52" s="37">
        <f t="shared" si="0"/>
        <v>2</v>
      </c>
      <c r="E52" s="37">
        <f t="shared" si="0"/>
        <v>2</v>
      </c>
      <c r="F52" s="37">
        <f t="shared" si="0"/>
        <v>2</v>
      </c>
      <c r="G52" s="37">
        <f t="shared" si="1"/>
        <v>2</v>
      </c>
      <c r="H52" s="37">
        <f t="shared" si="1"/>
        <v>2</v>
      </c>
      <c r="I52" s="37">
        <f t="shared" si="1"/>
        <v>2</v>
      </c>
      <c r="J52" s="29">
        <f t="shared" si="2"/>
        <v>2</v>
      </c>
      <c r="K52" s="29">
        <f t="shared" si="2"/>
        <v>2</v>
      </c>
      <c r="L52" s="29">
        <f t="shared" si="2"/>
        <v>2</v>
      </c>
      <c r="M52" s="29">
        <f t="shared" si="3"/>
        <v>4</v>
      </c>
      <c r="N52" s="29">
        <f t="shared" si="3"/>
        <v>6</v>
      </c>
      <c r="O52" s="29">
        <f t="shared" si="3"/>
        <v>8</v>
      </c>
      <c r="P52" s="29">
        <f t="shared" si="4"/>
        <v>6</v>
      </c>
      <c r="Q52" s="29">
        <f t="shared" si="4"/>
        <v>10</v>
      </c>
      <c r="R52" s="29">
        <f t="shared" si="4"/>
        <v>14</v>
      </c>
      <c r="S52" s="29">
        <f t="shared" si="5"/>
        <v>8</v>
      </c>
      <c r="T52" s="29">
        <f t="shared" si="5"/>
        <v>14</v>
      </c>
      <c r="U52" s="29">
        <f t="shared" si="5"/>
        <v>20</v>
      </c>
    </row>
    <row r="53" spans="2:21">
      <c r="B53" s="225"/>
      <c r="C53" s="27" t="s">
        <v>43</v>
      </c>
      <c r="D53" s="37">
        <f t="shared" si="0"/>
        <v>3</v>
      </c>
      <c r="E53" s="37">
        <f t="shared" si="0"/>
        <v>3</v>
      </c>
      <c r="F53" s="37">
        <f t="shared" si="0"/>
        <v>3</v>
      </c>
      <c r="G53" s="37">
        <f t="shared" si="1"/>
        <v>3</v>
      </c>
      <c r="H53" s="37">
        <f t="shared" si="1"/>
        <v>3</v>
      </c>
      <c r="I53" s="37">
        <f t="shared" si="1"/>
        <v>3</v>
      </c>
      <c r="J53" s="29">
        <f t="shared" si="2"/>
        <v>3</v>
      </c>
      <c r="K53" s="29">
        <f t="shared" si="2"/>
        <v>3</v>
      </c>
      <c r="L53" s="29">
        <f t="shared" si="2"/>
        <v>3</v>
      </c>
      <c r="M53" s="29">
        <f t="shared" si="3"/>
        <v>6</v>
      </c>
      <c r="N53" s="29">
        <f t="shared" si="3"/>
        <v>9</v>
      </c>
      <c r="O53" s="29">
        <f t="shared" si="3"/>
        <v>12</v>
      </c>
      <c r="P53" s="29">
        <f t="shared" si="4"/>
        <v>9</v>
      </c>
      <c r="Q53" s="29">
        <f t="shared" si="4"/>
        <v>15</v>
      </c>
      <c r="R53" s="29">
        <f t="shared" si="4"/>
        <v>21</v>
      </c>
      <c r="S53" s="29">
        <f t="shared" si="5"/>
        <v>12</v>
      </c>
      <c r="T53" s="29">
        <f t="shared" si="5"/>
        <v>21</v>
      </c>
      <c r="U53" s="29">
        <f t="shared" si="5"/>
        <v>30</v>
      </c>
    </row>
  </sheetData>
  <mergeCells count="19">
    <mergeCell ref="B13:B14"/>
    <mergeCell ref="C13:D13"/>
    <mergeCell ref="B26:B27"/>
    <mergeCell ref="C26:D26"/>
    <mergeCell ref="B33:B34"/>
    <mergeCell ref="C33:D33"/>
    <mergeCell ref="B48:B49"/>
    <mergeCell ref="D48:L48"/>
    <mergeCell ref="B50:C50"/>
    <mergeCell ref="B51:B53"/>
    <mergeCell ref="B40:B41"/>
    <mergeCell ref="C40:D40"/>
    <mergeCell ref="M48:U48"/>
    <mergeCell ref="D49:F49"/>
    <mergeCell ref="G49:I49"/>
    <mergeCell ref="J49:L49"/>
    <mergeCell ref="M49:O49"/>
    <mergeCell ref="P49:R49"/>
    <mergeCell ref="S49:U49"/>
  </mergeCells>
  <phoneticPr fontId="3" type="noConversion"/>
  <conditionalFormatting sqref="D51:U53">
    <cfRule type="expression" dxfId="422" priority="1">
      <formula>IF(D51&gt;=$C$42,1,0)</formula>
    </cfRule>
    <cfRule type="expression" dxfId="421" priority="2">
      <formula>IF(D51&gt;=$C$43,1,0)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F71"/>
  <sheetViews>
    <sheetView showGridLines="0" view="pageBreakPreview" zoomScaleNormal="100" zoomScaleSheetLayoutView="100" workbookViewId="0"/>
  </sheetViews>
  <sheetFormatPr defaultColWidth="8.77734375" defaultRowHeight="12"/>
  <cols>
    <col min="1" max="1" width="14.77734375" style="10" bestFit="1" customWidth="1"/>
    <col min="2" max="2" width="8.33203125" style="10" customWidth="1"/>
    <col min="3" max="3" width="27.109375" style="34" bestFit="1" customWidth="1"/>
    <col min="4" max="5" width="7.77734375" style="10" customWidth="1"/>
    <col min="6" max="6" width="65.6640625" style="12" bestFit="1" customWidth="1"/>
    <col min="7" max="7" width="8.77734375" style="12" customWidth="1"/>
    <col min="8" max="16384" width="8.77734375" style="12"/>
  </cols>
  <sheetData>
    <row r="1" spans="1:6" s="34" customFormat="1" ht="17.100000000000001" customHeight="1">
      <c r="A1" s="147" t="s">
        <v>0</v>
      </c>
      <c r="B1" s="10"/>
      <c r="D1" s="10"/>
      <c r="E1" s="10"/>
    </row>
    <row r="2" spans="1:6" ht="15" customHeight="1" thickBot="1">
      <c r="B2" s="148"/>
    </row>
    <row r="3" spans="1:6" ht="13.35" customHeight="1" thickBot="1">
      <c r="A3" s="227" t="s">
        <v>75</v>
      </c>
      <c r="B3" s="228"/>
      <c r="C3" s="228"/>
      <c r="D3" s="228"/>
      <c r="E3" s="229"/>
      <c r="F3" s="150" t="s">
        <v>76</v>
      </c>
    </row>
    <row r="4" spans="1:6">
      <c r="A4" s="185" t="s">
        <v>77</v>
      </c>
      <c r="B4" s="186" t="s">
        <v>383</v>
      </c>
      <c r="C4" s="186" t="s">
        <v>78</v>
      </c>
      <c r="D4" s="186" t="s">
        <v>41</v>
      </c>
      <c r="E4" s="187" t="s">
        <v>79</v>
      </c>
      <c r="F4" s="191" t="s">
        <v>470</v>
      </c>
    </row>
    <row r="5" spans="1:6" ht="13.35" customHeight="1">
      <c r="A5" s="178" t="s">
        <v>80</v>
      </c>
      <c r="B5" s="46" t="s">
        <v>468</v>
      </c>
      <c r="C5" s="179" t="s">
        <v>469</v>
      </c>
      <c r="D5" s="46" t="s">
        <v>43</v>
      </c>
      <c r="E5" s="188">
        <v>3</v>
      </c>
      <c r="F5" s="192" t="s">
        <v>462</v>
      </c>
    </row>
    <row r="6" spans="1:6" ht="13.35" customHeight="1">
      <c r="A6" s="178" t="s">
        <v>80</v>
      </c>
      <c r="B6" s="46" t="s">
        <v>384</v>
      </c>
      <c r="C6" s="179" t="s">
        <v>385</v>
      </c>
      <c r="D6" s="46" t="s">
        <v>43</v>
      </c>
      <c r="E6" s="188">
        <v>3</v>
      </c>
      <c r="F6" s="193" t="s">
        <v>471</v>
      </c>
    </row>
    <row r="7" spans="1:6" ht="13.35" customHeight="1">
      <c r="A7" s="178" t="s">
        <v>80</v>
      </c>
      <c r="B7" s="46" t="s">
        <v>81</v>
      </c>
      <c r="C7" s="179" t="s">
        <v>82</v>
      </c>
      <c r="D7" s="46" t="s">
        <v>43</v>
      </c>
      <c r="E7" s="188">
        <v>3</v>
      </c>
      <c r="F7" s="193" t="s">
        <v>463</v>
      </c>
    </row>
    <row r="8" spans="1:6" ht="13.35" customHeight="1">
      <c r="A8" s="178" t="s">
        <v>80</v>
      </c>
      <c r="B8" s="46" t="s">
        <v>83</v>
      </c>
      <c r="C8" s="179" t="s">
        <v>386</v>
      </c>
      <c r="D8" s="46" t="s">
        <v>43</v>
      </c>
      <c r="E8" s="188">
        <v>3</v>
      </c>
      <c r="F8" s="193" t="s">
        <v>464</v>
      </c>
    </row>
    <row r="9" spans="1:6" ht="13.35" customHeight="1">
      <c r="A9" s="178" t="s">
        <v>80</v>
      </c>
      <c r="B9" s="46" t="s">
        <v>99</v>
      </c>
      <c r="C9" s="179" t="s">
        <v>387</v>
      </c>
      <c r="D9" s="46" t="s">
        <v>43</v>
      </c>
      <c r="E9" s="188">
        <v>3</v>
      </c>
      <c r="F9" s="194" t="s">
        <v>472</v>
      </c>
    </row>
    <row r="10" spans="1:6" ht="13.35" customHeight="1">
      <c r="A10" s="178" t="s">
        <v>80</v>
      </c>
      <c r="B10" s="46" t="s">
        <v>102</v>
      </c>
      <c r="C10" s="179" t="s">
        <v>388</v>
      </c>
      <c r="D10" s="46" t="s">
        <v>43</v>
      </c>
      <c r="E10" s="188">
        <v>3</v>
      </c>
      <c r="F10" s="193" t="s">
        <v>465</v>
      </c>
    </row>
    <row r="11" spans="1:6" ht="13.35" customHeight="1">
      <c r="A11" s="178" t="s">
        <v>80</v>
      </c>
      <c r="B11" s="46" t="s">
        <v>104</v>
      </c>
      <c r="C11" s="179" t="s">
        <v>89</v>
      </c>
      <c r="D11" s="46" t="s">
        <v>45</v>
      </c>
      <c r="E11" s="188">
        <v>1</v>
      </c>
      <c r="F11" s="193" t="s">
        <v>473</v>
      </c>
    </row>
    <row r="12" spans="1:6" ht="13.35" customHeight="1">
      <c r="A12" s="178" t="s">
        <v>80</v>
      </c>
      <c r="B12" s="46" t="s">
        <v>106</v>
      </c>
      <c r="C12" s="179" t="s">
        <v>91</v>
      </c>
      <c r="D12" s="46" t="s">
        <v>44</v>
      </c>
      <c r="E12" s="188">
        <v>2</v>
      </c>
      <c r="F12" s="193" t="s">
        <v>466</v>
      </c>
    </row>
    <row r="13" spans="1:6" ht="13.35" customHeight="1">
      <c r="A13" s="178" t="s">
        <v>80</v>
      </c>
      <c r="B13" s="46" t="s">
        <v>108</v>
      </c>
      <c r="C13" s="179" t="s">
        <v>93</v>
      </c>
      <c r="D13" s="46" t="s">
        <v>45</v>
      </c>
      <c r="E13" s="188">
        <v>1</v>
      </c>
      <c r="F13" s="193" t="s">
        <v>467</v>
      </c>
    </row>
    <row r="14" spans="1:6" ht="13.35" customHeight="1">
      <c r="A14" s="178" t="s">
        <v>80</v>
      </c>
      <c r="B14" s="46" t="s">
        <v>110</v>
      </c>
      <c r="C14" s="179" t="s">
        <v>95</v>
      </c>
      <c r="D14" s="46" t="s">
        <v>44</v>
      </c>
      <c r="E14" s="188">
        <v>2</v>
      </c>
      <c r="F14" s="193" t="s">
        <v>474</v>
      </c>
    </row>
    <row r="15" spans="1:6" ht="13.35" customHeight="1">
      <c r="A15" s="178" t="s">
        <v>80</v>
      </c>
      <c r="B15" s="46" t="s">
        <v>112</v>
      </c>
      <c r="C15" s="179" t="s">
        <v>389</v>
      </c>
      <c r="D15" s="46" t="s">
        <v>45</v>
      </c>
      <c r="E15" s="188">
        <v>1</v>
      </c>
      <c r="F15" s="193" t="s">
        <v>390</v>
      </c>
    </row>
    <row r="16" spans="1:6" ht="13.35" customHeight="1">
      <c r="A16" s="178" t="s">
        <v>80</v>
      </c>
      <c r="B16" s="46" t="s">
        <v>113</v>
      </c>
      <c r="C16" s="179" t="s">
        <v>391</v>
      </c>
      <c r="D16" s="46" t="s">
        <v>45</v>
      </c>
      <c r="E16" s="188">
        <v>1</v>
      </c>
      <c r="F16" s="194" t="s">
        <v>495</v>
      </c>
    </row>
    <row r="17" spans="1:6" ht="13.35" customHeight="1">
      <c r="A17" s="178" t="s">
        <v>80</v>
      </c>
      <c r="B17" s="46" t="s">
        <v>115</v>
      </c>
      <c r="C17" s="179" t="s">
        <v>392</v>
      </c>
      <c r="D17" s="46" t="s">
        <v>44</v>
      </c>
      <c r="E17" s="188">
        <v>2</v>
      </c>
      <c r="F17" s="193" t="s">
        <v>393</v>
      </c>
    </row>
    <row r="18" spans="1:6" ht="13.35" customHeight="1">
      <c r="A18" s="178" t="s">
        <v>98</v>
      </c>
      <c r="B18" s="46" t="s">
        <v>117</v>
      </c>
      <c r="C18" s="179" t="s">
        <v>100</v>
      </c>
      <c r="D18" s="46" t="s">
        <v>43</v>
      </c>
      <c r="E18" s="188">
        <v>3</v>
      </c>
      <c r="F18" s="193" t="s">
        <v>394</v>
      </c>
    </row>
    <row r="19" spans="1:6" ht="13.35" customHeight="1">
      <c r="A19" s="178" t="s">
        <v>98</v>
      </c>
      <c r="B19" s="46" t="s">
        <v>118</v>
      </c>
      <c r="C19" s="179" t="s">
        <v>103</v>
      </c>
      <c r="D19" s="46" t="s">
        <v>43</v>
      </c>
      <c r="E19" s="188">
        <v>3</v>
      </c>
      <c r="F19" s="193" t="s">
        <v>496</v>
      </c>
    </row>
    <row r="20" spans="1:6" ht="13.35" customHeight="1">
      <c r="A20" s="178" t="s">
        <v>98</v>
      </c>
      <c r="B20" s="46" t="s">
        <v>120</v>
      </c>
      <c r="C20" s="179" t="s">
        <v>105</v>
      </c>
      <c r="D20" s="46" t="s">
        <v>43</v>
      </c>
      <c r="E20" s="188">
        <v>3</v>
      </c>
      <c r="F20" s="193" t="s">
        <v>395</v>
      </c>
    </row>
    <row r="21" spans="1:6" ht="13.35" customHeight="1">
      <c r="A21" s="178" t="s">
        <v>98</v>
      </c>
      <c r="B21" s="46" t="s">
        <v>122</v>
      </c>
      <c r="C21" s="179" t="s">
        <v>396</v>
      </c>
      <c r="D21" s="46" t="s">
        <v>43</v>
      </c>
      <c r="E21" s="188">
        <v>3</v>
      </c>
      <c r="F21" s="193" t="s">
        <v>397</v>
      </c>
    </row>
    <row r="22" spans="1:6" ht="13.35" customHeight="1">
      <c r="A22" s="178" t="s">
        <v>98</v>
      </c>
      <c r="B22" s="46" t="s">
        <v>398</v>
      </c>
      <c r="C22" s="179" t="s">
        <v>107</v>
      </c>
      <c r="D22" s="46" t="s">
        <v>43</v>
      </c>
      <c r="E22" s="188">
        <v>3</v>
      </c>
      <c r="F22" s="194" t="s">
        <v>475</v>
      </c>
    </row>
    <row r="23" spans="1:6" ht="13.35" customHeight="1">
      <c r="A23" s="178" t="s">
        <v>98</v>
      </c>
      <c r="B23" s="46" t="s">
        <v>133</v>
      </c>
      <c r="C23" s="179" t="s">
        <v>109</v>
      </c>
      <c r="D23" s="46" t="s">
        <v>43</v>
      </c>
      <c r="E23" s="188">
        <v>3</v>
      </c>
      <c r="F23" s="194" t="s">
        <v>476</v>
      </c>
    </row>
    <row r="24" spans="1:6" ht="13.35" customHeight="1">
      <c r="A24" s="178" t="s">
        <v>98</v>
      </c>
      <c r="B24" s="46" t="s">
        <v>135</v>
      </c>
      <c r="C24" s="179" t="s">
        <v>111</v>
      </c>
      <c r="D24" s="46" t="s">
        <v>43</v>
      </c>
      <c r="E24" s="188">
        <v>3</v>
      </c>
      <c r="F24" s="194" t="s">
        <v>477</v>
      </c>
    </row>
    <row r="25" spans="1:6" s="40" customFormat="1" ht="13.35" customHeight="1">
      <c r="A25" s="178" t="s">
        <v>98</v>
      </c>
      <c r="B25" s="46" t="s">
        <v>136</v>
      </c>
      <c r="C25" s="179" t="s">
        <v>399</v>
      </c>
      <c r="D25" s="46" t="s">
        <v>43</v>
      </c>
      <c r="E25" s="188">
        <v>3</v>
      </c>
      <c r="F25" s="194" t="s">
        <v>478</v>
      </c>
    </row>
    <row r="26" spans="1:6" ht="13.35" customHeight="1">
      <c r="A26" s="178" t="s">
        <v>98</v>
      </c>
      <c r="B26" s="46" t="s">
        <v>138</v>
      </c>
      <c r="C26" s="179" t="s">
        <v>114</v>
      </c>
      <c r="D26" s="46" t="s">
        <v>43</v>
      </c>
      <c r="E26" s="188">
        <v>3</v>
      </c>
      <c r="F26" s="194" t="s">
        <v>479</v>
      </c>
    </row>
    <row r="27" spans="1:6" ht="13.35" customHeight="1">
      <c r="A27" s="178" t="s">
        <v>98</v>
      </c>
      <c r="B27" s="46" t="s">
        <v>139</v>
      </c>
      <c r="C27" s="179" t="s">
        <v>116</v>
      </c>
      <c r="D27" s="46" t="s">
        <v>43</v>
      </c>
      <c r="E27" s="188">
        <v>3</v>
      </c>
      <c r="F27" s="193" t="s">
        <v>400</v>
      </c>
    </row>
    <row r="28" spans="1:6" ht="13.35" customHeight="1">
      <c r="A28" s="178" t="s">
        <v>98</v>
      </c>
      <c r="B28" s="46" t="s">
        <v>140</v>
      </c>
      <c r="C28" s="179" t="s">
        <v>401</v>
      </c>
      <c r="D28" s="46" t="s">
        <v>43</v>
      </c>
      <c r="E28" s="188">
        <v>3</v>
      </c>
      <c r="F28" s="193" t="s">
        <v>402</v>
      </c>
    </row>
    <row r="29" spans="1:6" ht="13.35" customHeight="1">
      <c r="A29" s="178" t="s">
        <v>98</v>
      </c>
      <c r="B29" s="46" t="s">
        <v>141</v>
      </c>
      <c r="C29" s="179" t="s">
        <v>119</v>
      </c>
      <c r="D29" s="46" t="s">
        <v>43</v>
      </c>
      <c r="E29" s="188">
        <v>3</v>
      </c>
      <c r="F29" s="193" t="s">
        <v>480</v>
      </c>
    </row>
    <row r="30" spans="1:6" ht="13.35" customHeight="1">
      <c r="A30" s="178" t="s">
        <v>98</v>
      </c>
      <c r="B30" s="46" t="s">
        <v>143</v>
      </c>
      <c r="C30" s="179" t="s">
        <v>121</v>
      </c>
      <c r="D30" s="46" t="s">
        <v>43</v>
      </c>
      <c r="E30" s="188">
        <v>3</v>
      </c>
      <c r="F30" s="193" t="s">
        <v>403</v>
      </c>
    </row>
    <row r="31" spans="1:6" ht="13.35" customHeight="1">
      <c r="A31" s="178" t="s">
        <v>98</v>
      </c>
      <c r="B31" s="46" t="s">
        <v>144</v>
      </c>
      <c r="C31" s="179" t="s">
        <v>123</v>
      </c>
      <c r="D31" s="46" t="s">
        <v>43</v>
      </c>
      <c r="E31" s="188">
        <v>3</v>
      </c>
      <c r="F31" s="194" t="s">
        <v>481</v>
      </c>
    </row>
    <row r="32" spans="1:6" ht="13.35" customHeight="1">
      <c r="A32" s="178" t="s">
        <v>98</v>
      </c>
      <c r="B32" s="46" t="s">
        <v>145</v>
      </c>
      <c r="C32" s="179" t="s">
        <v>124</v>
      </c>
      <c r="D32" s="46" t="s">
        <v>43</v>
      </c>
      <c r="E32" s="188">
        <v>3</v>
      </c>
      <c r="F32" s="193" t="s">
        <v>404</v>
      </c>
    </row>
    <row r="33" spans="1:6" ht="13.35" customHeight="1">
      <c r="A33" s="178" t="s">
        <v>98</v>
      </c>
      <c r="B33" s="46" t="s">
        <v>147</v>
      </c>
      <c r="C33" s="179" t="s">
        <v>126</v>
      </c>
      <c r="D33" s="46" t="s">
        <v>45</v>
      </c>
      <c r="E33" s="188">
        <v>1</v>
      </c>
      <c r="F33" s="194" t="s">
        <v>482</v>
      </c>
    </row>
    <row r="34" spans="1:6" ht="13.35" customHeight="1">
      <c r="A34" s="178" t="s">
        <v>98</v>
      </c>
      <c r="B34" s="46" t="s">
        <v>149</v>
      </c>
      <c r="C34" s="179" t="s">
        <v>128</v>
      </c>
      <c r="D34" s="46" t="s">
        <v>44</v>
      </c>
      <c r="E34" s="188">
        <v>2</v>
      </c>
      <c r="F34" s="193" t="s">
        <v>405</v>
      </c>
    </row>
    <row r="35" spans="1:6" s="40" customFormat="1" ht="13.35" customHeight="1">
      <c r="A35" s="178" t="s">
        <v>98</v>
      </c>
      <c r="B35" s="46" t="s">
        <v>150</v>
      </c>
      <c r="C35" s="179" t="s">
        <v>406</v>
      </c>
      <c r="D35" s="46" t="s">
        <v>44</v>
      </c>
      <c r="E35" s="188">
        <v>2</v>
      </c>
      <c r="F35" s="193" t="s">
        <v>483</v>
      </c>
    </row>
    <row r="36" spans="1:6" s="40" customFormat="1" ht="13.35" customHeight="1">
      <c r="A36" s="178" t="s">
        <v>98</v>
      </c>
      <c r="B36" s="46" t="s">
        <v>152</v>
      </c>
      <c r="C36" s="179" t="s">
        <v>407</v>
      </c>
      <c r="D36" s="46" t="s">
        <v>44</v>
      </c>
      <c r="E36" s="188">
        <v>2</v>
      </c>
      <c r="F36" s="193" t="s">
        <v>484</v>
      </c>
    </row>
    <row r="37" spans="1:6" s="40" customFormat="1" ht="13.35" customHeight="1">
      <c r="A37" s="178" t="s">
        <v>98</v>
      </c>
      <c r="B37" s="46" t="s">
        <v>153</v>
      </c>
      <c r="C37" s="179" t="s">
        <v>408</v>
      </c>
      <c r="D37" s="46" t="s">
        <v>45</v>
      </c>
      <c r="E37" s="188">
        <v>1</v>
      </c>
      <c r="F37" s="193" t="s">
        <v>485</v>
      </c>
    </row>
    <row r="38" spans="1:6" ht="13.35" customHeight="1">
      <c r="A38" s="178" t="s">
        <v>132</v>
      </c>
      <c r="B38" s="46" t="s">
        <v>155</v>
      </c>
      <c r="C38" s="179" t="s">
        <v>409</v>
      </c>
      <c r="D38" s="46" t="s">
        <v>43</v>
      </c>
      <c r="E38" s="188">
        <v>3</v>
      </c>
      <c r="F38" s="193" t="s">
        <v>410</v>
      </c>
    </row>
    <row r="39" spans="1:6" ht="13.35" customHeight="1">
      <c r="A39" s="178" t="s">
        <v>132</v>
      </c>
      <c r="B39" s="46" t="s">
        <v>157</v>
      </c>
      <c r="C39" s="179" t="s">
        <v>411</v>
      </c>
      <c r="D39" s="46" t="s">
        <v>43</v>
      </c>
      <c r="E39" s="188">
        <v>3</v>
      </c>
      <c r="F39" s="193" t="s">
        <v>412</v>
      </c>
    </row>
    <row r="40" spans="1:6" ht="13.35" customHeight="1">
      <c r="A40" s="178" t="s">
        <v>132</v>
      </c>
      <c r="B40" s="46" t="s">
        <v>158</v>
      </c>
      <c r="C40" s="179" t="s">
        <v>137</v>
      </c>
      <c r="D40" s="46" t="s">
        <v>43</v>
      </c>
      <c r="E40" s="188">
        <v>3</v>
      </c>
      <c r="F40" s="194" t="s">
        <v>486</v>
      </c>
    </row>
    <row r="41" spans="1:6">
      <c r="A41" s="178" t="s">
        <v>132</v>
      </c>
      <c r="B41" s="46" t="s">
        <v>159</v>
      </c>
      <c r="C41" s="179" t="s">
        <v>413</v>
      </c>
      <c r="D41" s="46" t="s">
        <v>43</v>
      </c>
      <c r="E41" s="188">
        <v>3</v>
      </c>
      <c r="F41" s="194" t="s">
        <v>487</v>
      </c>
    </row>
    <row r="42" spans="1:6">
      <c r="A42" s="178" t="s">
        <v>132</v>
      </c>
      <c r="B42" s="46" t="s">
        <v>160</v>
      </c>
      <c r="C42" s="179" t="s">
        <v>414</v>
      </c>
      <c r="D42" s="46" t="s">
        <v>43</v>
      </c>
      <c r="E42" s="188">
        <v>3</v>
      </c>
      <c r="F42" s="193" t="s">
        <v>415</v>
      </c>
    </row>
    <row r="43" spans="1:6">
      <c r="A43" s="178" t="s">
        <v>132</v>
      </c>
      <c r="B43" s="46" t="s">
        <v>161</v>
      </c>
      <c r="C43" s="179" t="s">
        <v>416</v>
      </c>
      <c r="D43" s="46" t="s">
        <v>43</v>
      </c>
      <c r="E43" s="188">
        <v>3</v>
      </c>
      <c r="F43" s="193" t="s">
        <v>488</v>
      </c>
    </row>
    <row r="44" spans="1:6">
      <c r="A44" s="178" t="s">
        <v>132</v>
      </c>
      <c r="B44" s="46" t="s">
        <v>162</v>
      </c>
      <c r="C44" s="179" t="s">
        <v>142</v>
      </c>
      <c r="D44" s="46" t="s">
        <v>43</v>
      </c>
      <c r="E44" s="188">
        <v>3</v>
      </c>
      <c r="F44" s="194" t="s">
        <v>489</v>
      </c>
    </row>
    <row r="45" spans="1:6">
      <c r="A45" s="178" t="s">
        <v>132</v>
      </c>
      <c r="B45" s="46" t="s">
        <v>163</v>
      </c>
      <c r="C45" s="179" t="s">
        <v>417</v>
      </c>
      <c r="D45" s="46" t="s">
        <v>43</v>
      </c>
      <c r="E45" s="188">
        <v>3</v>
      </c>
      <c r="F45" s="193" t="s">
        <v>418</v>
      </c>
    </row>
    <row r="46" spans="1:6">
      <c r="A46" s="178" t="s">
        <v>132</v>
      </c>
      <c r="B46" s="46" t="s">
        <v>173</v>
      </c>
      <c r="C46" s="179" t="s">
        <v>419</v>
      </c>
      <c r="D46" s="46" t="s">
        <v>43</v>
      </c>
      <c r="E46" s="188">
        <v>3</v>
      </c>
      <c r="F46" s="193" t="s">
        <v>490</v>
      </c>
    </row>
    <row r="47" spans="1:6">
      <c r="A47" s="178" t="s">
        <v>132</v>
      </c>
      <c r="B47" s="46" t="s">
        <v>420</v>
      </c>
      <c r="C47" s="179" t="s">
        <v>146</v>
      </c>
      <c r="D47" s="46" t="s">
        <v>43</v>
      </c>
      <c r="E47" s="188">
        <v>3</v>
      </c>
      <c r="F47" s="193" t="s">
        <v>421</v>
      </c>
    </row>
    <row r="48" spans="1:6">
      <c r="A48" s="178" t="s">
        <v>132</v>
      </c>
      <c r="B48" s="46" t="s">
        <v>84</v>
      </c>
      <c r="C48" s="179" t="s">
        <v>148</v>
      </c>
      <c r="D48" s="46" t="s">
        <v>43</v>
      </c>
      <c r="E48" s="188">
        <v>3</v>
      </c>
      <c r="F48" s="193" t="s">
        <v>422</v>
      </c>
    </row>
    <row r="49" spans="1:6">
      <c r="A49" s="178" t="s">
        <v>132</v>
      </c>
      <c r="B49" s="46" t="s">
        <v>85</v>
      </c>
      <c r="C49" s="179" t="s">
        <v>423</v>
      </c>
      <c r="D49" s="46" t="s">
        <v>43</v>
      </c>
      <c r="E49" s="188">
        <v>3</v>
      </c>
      <c r="F49" s="193" t="s">
        <v>424</v>
      </c>
    </row>
    <row r="50" spans="1:6">
      <c r="A50" s="178" t="s">
        <v>132</v>
      </c>
      <c r="B50" s="46" t="s">
        <v>86</v>
      </c>
      <c r="C50" s="179" t="s">
        <v>425</v>
      </c>
      <c r="D50" s="46" t="s">
        <v>43</v>
      </c>
      <c r="E50" s="188">
        <v>3</v>
      </c>
      <c r="F50" s="193" t="s">
        <v>426</v>
      </c>
    </row>
    <row r="51" spans="1:6">
      <c r="A51" s="178" t="s">
        <v>132</v>
      </c>
      <c r="B51" s="46" t="s">
        <v>87</v>
      </c>
      <c r="C51" s="179" t="s">
        <v>151</v>
      </c>
      <c r="D51" s="46" t="s">
        <v>43</v>
      </c>
      <c r="E51" s="188">
        <v>3</v>
      </c>
      <c r="F51" s="193" t="s">
        <v>427</v>
      </c>
    </row>
    <row r="52" spans="1:6">
      <c r="A52" s="178" t="s">
        <v>132</v>
      </c>
      <c r="B52" s="46" t="s">
        <v>428</v>
      </c>
      <c r="C52" s="179" t="s">
        <v>429</v>
      </c>
      <c r="D52" s="46" t="s">
        <v>44</v>
      </c>
      <c r="E52" s="188">
        <v>2</v>
      </c>
      <c r="F52" s="193" t="s">
        <v>430</v>
      </c>
    </row>
    <row r="53" spans="1:6">
      <c r="A53" s="178" t="s">
        <v>132</v>
      </c>
      <c r="B53" s="46" t="s">
        <v>88</v>
      </c>
      <c r="C53" s="179" t="s">
        <v>154</v>
      </c>
      <c r="D53" s="46" t="s">
        <v>43</v>
      </c>
      <c r="E53" s="188">
        <v>3</v>
      </c>
      <c r="F53" s="193" t="s">
        <v>431</v>
      </c>
    </row>
    <row r="54" spans="1:6">
      <c r="A54" s="178" t="s">
        <v>132</v>
      </c>
      <c r="B54" s="46" t="s">
        <v>90</v>
      </c>
      <c r="C54" s="179" t="s">
        <v>156</v>
      </c>
      <c r="D54" s="46" t="s">
        <v>43</v>
      </c>
      <c r="E54" s="188">
        <v>3</v>
      </c>
      <c r="F54" s="193" t="s">
        <v>432</v>
      </c>
    </row>
    <row r="55" spans="1:6">
      <c r="A55" s="178" t="s">
        <v>132</v>
      </c>
      <c r="B55" s="46" t="s">
        <v>92</v>
      </c>
      <c r="C55" s="179" t="s">
        <v>433</v>
      </c>
      <c r="D55" s="46" t="s">
        <v>44</v>
      </c>
      <c r="E55" s="188">
        <v>2</v>
      </c>
      <c r="F55" s="193" t="s">
        <v>434</v>
      </c>
    </row>
    <row r="56" spans="1:6">
      <c r="A56" s="178" t="s">
        <v>132</v>
      </c>
      <c r="B56" s="46" t="s">
        <v>94</v>
      </c>
      <c r="C56" s="179" t="s">
        <v>435</v>
      </c>
      <c r="D56" s="46" t="s">
        <v>44</v>
      </c>
      <c r="E56" s="188">
        <v>2</v>
      </c>
      <c r="F56" s="193" t="s">
        <v>436</v>
      </c>
    </row>
    <row r="57" spans="1:6">
      <c r="A57" s="178" t="s">
        <v>132</v>
      </c>
      <c r="B57" s="46" t="s">
        <v>96</v>
      </c>
      <c r="C57" s="179" t="s">
        <v>437</v>
      </c>
      <c r="D57" s="46" t="s">
        <v>45</v>
      </c>
      <c r="E57" s="188">
        <v>1</v>
      </c>
      <c r="F57" s="193" t="s">
        <v>438</v>
      </c>
    </row>
    <row r="58" spans="1:6">
      <c r="A58" s="178" t="s">
        <v>132</v>
      </c>
      <c r="B58" s="46" t="s">
        <v>97</v>
      </c>
      <c r="C58" s="179" t="s">
        <v>439</v>
      </c>
      <c r="D58" s="46" t="s">
        <v>44</v>
      </c>
      <c r="E58" s="188">
        <v>2</v>
      </c>
      <c r="F58" s="193" t="s">
        <v>440</v>
      </c>
    </row>
    <row r="59" spans="1:6">
      <c r="A59" s="178" t="s">
        <v>132</v>
      </c>
      <c r="B59" s="46" t="s">
        <v>125</v>
      </c>
      <c r="C59" s="179" t="s">
        <v>441</v>
      </c>
      <c r="D59" s="46" t="s">
        <v>44</v>
      </c>
      <c r="E59" s="188">
        <v>2</v>
      </c>
      <c r="F59" s="193" t="s">
        <v>442</v>
      </c>
    </row>
    <row r="60" spans="1:6">
      <c r="A60" s="178" t="s">
        <v>132</v>
      </c>
      <c r="B60" s="46" t="s">
        <v>127</v>
      </c>
      <c r="C60" s="179" t="s">
        <v>443</v>
      </c>
      <c r="D60" s="46" t="s">
        <v>45</v>
      </c>
      <c r="E60" s="188">
        <v>1</v>
      </c>
      <c r="F60" s="193" t="s">
        <v>491</v>
      </c>
    </row>
    <row r="61" spans="1:6">
      <c r="A61" s="178" t="s">
        <v>132</v>
      </c>
      <c r="B61" s="46" t="s">
        <v>129</v>
      </c>
      <c r="C61" s="179" t="s">
        <v>444</v>
      </c>
      <c r="D61" s="46" t="s">
        <v>44</v>
      </c>
      <c r="E61" s="188">
        <v>2</v>
      </c>
      <c r="F61" s="194" t="s">
        <v>492</v>
      </c>
    </row>
    <row r="62" spans="1:6">
      <c r="A62" s="178" t="s">
        <v>132</v>
      </c>
      <c r="B62" s="46" t="s">
        <v>130</v>
      </c>
      <c r="C62" s="179" t="s">
        <v>445</v>
      </c>
      <c r="D62" s="46" t="s">
        <v>44</v>
      </c>
      <c r="E62" s="188">
        <v>2</v>
      </c>
      <c r="F62" s="193" t="s">
        <v>446</v>
      </c>
    </row>
    <row r="63" spans="1:6">
      <c r="A63" s="178" t="s">
        <v>132</v>
      </c>
      <c r="B63" s="46" t="s">
        <v>131</v>
      </c>
      <c r="C63" s="179" t="s">
        <v>447</v>
      </c>
      <c r="D63" s="46" t="s">
        <v>43</v>
      </c>
      <c r="E63" s="188">
        <v>3</v>
      </c>
      <c r="F63" s="194" t="s">
        <v>493</v>
      </c>
    </row>
    <row r="64" spans="1:6">
      <c r="A64" s="178" t="s">
        <v>132</v>
      </c>
      <c r="B64" s="46" t="s">
        <v>164</v>
      </c>
      <c r="C64" s="179" t="s">
        <v>448</v>
      </c>
      <c r="D64" s="46" t="s">
        <v>44</v>
      </c>
      <c r="E64" s="188">
        <v>2</v>
      </c>
      <c r="F64" s="193" t="s">
        <v>449</v>
      </c>
    </row>
    <row r="65" spans="1:6" s="149" customFormat="1" ht="11.25">
      <c r="A65" s="178" t="s">
        <v>132</v>
      </c>
      <c r="B65" s="46" t="s">
        <v>165</v>
      </c>
      <c r="C65" s="179" t="s">
        <v>450</v>
      </c>
      <c r="D65" s="46" t="s">
        <v>43</v>
      </c>
      <c r="E65" s="188">
        <v>3</v>
      </c>
      <c r="F65" s="194" t="s">
        <v>497</v>
      </c>
    </row>
    <row r="66" spans="1:6" s="149" customFormat="1" ht="11.25">
      <c r="A66" s="178" t="s">
        <v>132</v>
      </c>
      <c r="B66" s="46" t="s">
        <v>166</v>
      </c>
      <c r="C66" s="179" t="s">
        <v>451</v>
      </c>
      <c r="D66" s="46" t="s">
        <v>45</v>
      </c>
      <c r="E66" s="188">
        <v>1</v>
      </c>
      <c r="F66" s="193" t="s">
        <v>494</v>
      </c>
    </row>
    <row r="67" spans="1:6" s="149" customFormat="1" ht="11.25">
      <c r="A67" s="178" t="s">
        <v>132</v>
      </c>
      <c r="B67" s="46" t="s">
        <v>167</v>
      </c>
      <c r="C67" s="179" t="s">
        <v>452</v>
      </c>
      <c r="D67" s="46" t="s">
        <v>44</v>
      </c>
      <c r="E67" s="188">
        <v>2</v>
      </c>
      <c r="F67" s="193" t="s">
        <v>453</v>
      </c>
    </row>
    <row r="68" spans="1:6" s="149" customFormat="1" ht="11.25">
      <c r="A68" s="178" t="s">
        <v>454</v>
      </c>
      <c r="B68" s="46" t="s">
        <v>168</v>
      </c>
      <c r="C68" s="180" t="s">
        <v>455</v>
      </c>
      <c r="D68" s="181" t="s">
        <v>43</v>
      </c>
      <c r="E68" s="189">
        <v>3</v>
      </c>
      <c r="F68" s="193" t="s">
        <v>456</v>
      </c>
    </row>
    <row r="69" spans="1:6">
      <c r="A69" s="178" t="s">
        <v>175</v>
      </c>
      <c r="B69" s="46" t="s">
        <v>169</v>
      </c>
      <c r="C69" s="179" t="s">
        <v>457</v>
      </c>
      <c r="D69" s="46" t="s">
        <v>44</v>
      </c>
      <c r="E69" s="188">
        <v>2</v>
      </c>
      <c r="F69" s="193" t="s">
        <v>458</v>
      </c>
    </row>
    <row r="70" spans="1:6">
      <c r="A70" s="178" t="s">
        <v>175</v>
      </c>
      <c r="B70" s="46" t="s">
        <v>170</v>
      </c>
      <c r="C70" s="179" t="s">
        <v>176</v>
      </c>
      <c r="D70" s="46" t="s">
        <v>44</v>
      </c>
      <c r="E70" s="188">
        <v>2</v>
      </c>
      <c r="F70" s="193" t="s">
        <v>459</v>
      </c>
    </row>
    <row r="71" spans="1:6">
      <c r="A71" s="182" t="s">
        <v>175</v>
      </c>
      <c r="B71" s="183" t="s">
        <v>171</v>
      </c>
      <c r="C71" s="184" t="s">
        <v>460</v>
      </c>
      <c r="D71" s="183" t="s">
        <v>44</v>
      </c>
      <c r="E71" s="190">
        <v>2</v>
      </c>
      <c r="F71" s="193" t="s">
        <v>461</v>
      </c>
    </row>
  </sheetData>
  <mergeCells count="1">
    <mergeCell ref="A3:E3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fitToHeight="0" orientation="portrait" r:id="rId1"/>
  <headerFooter alignWithMargins="0">
    <oddHeader>&amp;L
&amp;R&amp;F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L66"/>
  <sheetViews>
    <sheetView showGridLines="0" view="pageBreakPreview" zoomScaleNormal="70" zoomScaleSheetLayoutView="100" zoomScalePageLayoutView="85" workbookViewId="0"/>
  </sheetViews>
  <sheetFormatPr defaultColWidth="8.77734375" defaultRowHeight="13.5"/>
  <cols>
    <col min="1" max="13" width="8.77734375" style="3" customWidth="1"/>
    <col min="14" max="16384" width="8.77734375" style="3"/>
  </cols>
  <sheetData>
    <row r="1" spans="1:12" ht="17.100000000000001" customHeight="1">
      <c r="A1" s="16" t="s">
        <v>382</v>
      </c>
      <c r="D1" s="51"/>
      <c r="G1" s="4"/>
      <c r="H1" s="4"/>
      <c r="I1" s="4"/>
      <c r="J1" s="4"/>
      <c r="K1" s="4"/>
      <c r="L1" s="4"/>
    </row>
    <row r="2" spans="1:12">
      <c r="A2" s="15"/>
      <c r="G2" s="4"/>
      <c r="H2" s="4"/>
      <c r="I2" s="4"/>
      <c r="J2" s="4"/>
      <c r="K2" s="4"/>
      <c r="L2" s="4"/>
    </row>
    <row r="3" spans="1:12" ht="15.95" customHeight="1" thickBot="1">
      <c r="A3" s="5" t="s">
        <v>177</v>
      </c>
    </row>
    <row r="4" spans="1:12" ht="15.95" customHeight="1" thickBot="1">
      <c r="A4" s="238" t="s">
        <v>77</v>
      </c>
      <c r="B4" s="213"/>
      <c r="C4" s="213"/>
      <c r="D4" s="214"/>
      <c r="E4" s="235" t="s">
        <v>178</v>
      </c>
      <c r="F4" s="236"/>
      <c r="G4" s="236"/>
      <c r="H4" s="236"/>
      <c r="I4" s="237"/>
      <c r="J4" s="235" t="s">
        <v>179</v>
      </c>
      <c r="K4" s="236"/>
      <c r="L4" s="237"/>
    </row>
    <row r="5" spans="1:12" ht="15.95" customHeight="1" thickBot="1">
      <c r="A5" s="239"/>
      <c r="B5" s="240"/>
      <c r="C5" s="240"/>
      <c r="D5" s="241"/>
      <c r="E5" s="78" t="s">
        <v>180</v>
      </c>
      <c r="F5" s="78" t="s">
        <v>78</v>
      </c>
      <c r="G5" s="78" t="s">
        <v>181</v>
      </c>
      <c r="H5" s="78" t="s">
        <v>182</v>
      </c>
      <c r="I5" s="78" t="s">
        <v>183</v>
      </c>
      <c r="J5" s="78" t="s">
        <v>184</v>
      </c>
      <c r="K5" s="78" t="s">
        <v>185</v>
      </c>
      <c r="L5" s="79" t="s">
        <v>186</v>
      </c>
    </row>
    <row r="6" spans="1:12">
      <c r="A6" s="242" t="s">
        <v>80</v>
      </c>
      <c r="B6" s="221"/>
      <c r="C6" s="221"/>
      <c r="D6" s="222"/>
      <c r="E6" s="11">
        <f ca="1">SUMIF('취약점 진단 항목별 통계'!$A:$A,$A6&amp;"*",'취약점 진단 항목별 통계'!$F:$F)</f>
        <v>65</v>
      </c>
      <c r="F6" s="11">
        <f ca="1">E6-I6</f>
        <v>65</v>
      </c>
      <c r="G6" s="11">
        <f ca="1">SUMIF('취약점 진단 항목별 통계'!$A:$A,$A6&amp;"*",'취약점 진단 항목별 통계'!$G:$G)+SUMIF('취약점 진단 항목별 통계'!$A:$A,$A6&amp;"*",'취약점 진단 항목별 통계'!$H:$H)</f>
        <v>59</v>
      </c>
      <c r="H6" s="11">
        <f ca="1">SUMIF('취약점 진단 항목별 통계'!$A:$A,$A6&amp;"*",'취약점 진단 항목별 통계'!$I:$I)</f>
        <v>6</v>
      </c>
      <c r="I6" s="11">
        <f ca="1">SUMIF('취약점 진단 항목별 통계'!$A:$A,$A6&amp;"*",'취약점 진단 항목별 통계'!$J:$J)</f>
        <v>0</v>
      </c>
      <c r="J6" s="11">
        <f ca="1">SUMIF('취약점 진단 항목별 통계'!$A:$A,$A6&amp;"*",'취약점 진단 항목별 통계'!$K:$K)</f>
        <v>140</v>
      </c>
      <c r="K6" s="11">
        <f ca="1">SUMIF('취약점 진단 항목별 통계'!$A:$A,$A6&amp;"*",'취약점 진단 항목별 통계'!$L:$L)</f>
        <v>122</v>
      </c>
      <c r="L6" s="80">
        <f ca="1">IF($I6=$E6, "N/A", (K6/J6))</f>
        <v>0.87142857142857144</v>
      </c>
    </row>
    <row r="7" spans="1:12">
      <c r="A7" s="242" t="s">
        <v>101</v>
      </c>
      <c r="B7" s="221"/>
      <c r="C7" s="221"/>
      <c r="D7" s="222"/>
      <c r="E7" s="11">
        <f ca="1">SUMIF('취약점 진단 항목별 통계'!$A:$A,$A7&amp;"*",'취약점 진단 항목별 통계'!$F:$F)</f>
        <v>100</v>
      </c>
      <c r="F7" s="11">
        <f ca="1">E7-I7</f>
        <v>100</v>
      </c>
      <c r="G7" s="11">
        <f ca="1">SUMIF('취약점 진단 항목별 통계'!$A:$A,$A7&amp;"*",'취약점 진단 항목별 통계'!$G:$G)+SUMIF('취약점 진단 항목별 통계'!$A:$A,$A7&amp;"*",'취약점 진단 항목별 통계'!$H:$H)</f>
        <v>55</v>
      </c>
      <c r="H7" s="11">
        <f ca="1">SUMIF('취약점 진단 항목별 통계'!$A:$A,$A7&amp;"*",'취약점 진단 항목별 통계'!$I:$I)</f>
        <v>45</v>
      </c>
      <c r="I7" s="11">
        <f ca="1">SUMIF('취약점 진단 항목별 통계'!$A:$A,$A7&amp;"*",'취약점 진단 항목별 통계'!$J:$J)</f>
        <v>0</v>
      </c>
      <c r="J7" s="11">
        <f ca="1">SUMIF('취약점 진단 항목별 통계'!$A:$A,$A7&amp;"*",'취약점 진단 항목별 통계'!$K:$K)</f>
        <v>265</v>
      </c>
      <c r="K7" s="11">
        <f ca="1">SUMIF('취약점 진단 항목별 통계'!$A:$A,$A7&amp;"*",'취약점 진단 항목별 통계'!$L:$L)</f>
        <v>140</v>
      </c>
      <c r="L7" s="80">
        <f ca="1">IF($I7=$E7, "N/A", (K7/J7))</f>
        <v>0.52830188679245282</v>
      </c>
    </row>
    <row r="8" spans="1:12">
      <c r="A8" s="242" t="s">
        <v>134</v>
      </c>
      <c r="B8" s="221"/>
      <c r="C8" s="221"/>
      <c r="D8" s="222"/>
      <c r="E8" s="11">
        <f ca="1">SUMIF('취약점 진단 항목별 통계'!$A:$A,$A8&amp;"*",'취약점 진단 항목별 통계'!$F:$F)</f>
        <v>150</v>
      </c>
      <c r="F8" s="11">
        <f ca="1">E8-I8</f>
        <v>150</v>
      </c>
      <c r="G8" s="11">
        <f ca="1">SUMIF('취약점 진단 항목별 통계'!$A:$A,$A8&amp;"*",'취약점 진단 항목별 통계'!$G:$G)+SUMIF('취약점 진단 항목별 통계'!$A:$A,$A8&amp;"*",'취약점 진단 항목별 통계'!$H:$H)</f>
        <v>122</v>
      </c>
      <c r="H8" s="11">
        <f ca="1">SUMIF('취약점 진단 항목별 통계'!$A:$A,$A8&amp;"*",'취약점 진단 항목별 통계'!$I:$I)</f>
        <v>23</v>
      </c>
      <c r="I8" s="11">
        <f ca="1">SUMIF('취약점 진단 항목별 통계'!$A:$A,$A8&amp;"*",'취약점 진단 항목별 통계'!$J:$J)</f>
        <v>0</v>
      </c>
      <c r="J8" s="11">
        <f ca="1">SUMIF('취약점 진단 항목별 통계'!$A:$A,$A8&amp;"*",'취약점 진단 항목별 통계'!$K:$K)</f>
        <v>375</v>
      </c>
      <c r="K8" s="11">
        <f ca="1">SUMIF('취약점 진단 항목별 통계'!$A:$A,$A8&amp;"*",'취약점 진단 항목별 통계'!$L:$L)</f>
        <v>315</v>
      </c>
      <c r="L8" s="80">
        <f ca="1">IF($I8=$E8, "N/A", (K8/J8))</f>
        <v>0.84</v>
      </c>
    </row>
    <row r="9" spans="1:12">
      <c r="A9" s="242" t="s">
        <v>172</v>
      </c>
      <c r="B9" s="221"/>
      <c r="C9" s="221"/>
      <c r="D9" s="222"/>
      <c r="E9" s="11">
        <f ca="1">SUMIF('취약점 진단 항목별 통계'!$A:$A,$A9&amp;"*",'취약점 진단 항목별 통계'!$F:$F)</f>
        <v>5</v>
      </c>
      <c r="F9" s="11">
        <f ca="1">E9-I9</f>
        <v>5</v>
      </c>
      <c r="G9" s="11">
        <f ca="1">SUMIF('취약점 진단 항목별 통계'!$A:$A,$A9&amp;"*",'취약점 진단 항목별 통계'!$G:$G)+SUMIF('취약점 진단 항목별 통계'!$A:$A,$A9&amp;"*",'취약점 진단 항목별 통계'!$H:$H)</f>
        <v>5</v>
      </c>
      <c r="H9" s="11">
        <f ca="1">SUMIF('취약점 진단 항목별 통계'!$A:$A,$A9&amp;"*",'취약점 진단 항목별 통계'!$I:$I)</f>
        <v>0</v>
      </c>
      <c r="I9" s="11">
        <f ca="1">SUMIF('취약점 진단 항목별 통계'!$A:$A,$A9&amp;"*",'취약점 진단 항목별 통계'!$J:$J)</f>
        <v>0</v>
      </c>
      <c r="J9" s="11">
        <f ca="1">SUMIF('취약점 진단 항목별 통계'!$A:$A,$A9&amp;"*",'취약점 진단 항목별 통계'!$K:$K)</f>
        <v>15</v>
      </c>
      <c r="K9" s="11">
        <f ca="1">SUMIF('취약점 진단 항목별 통계'!$A:$A,$A9&amp;"*",'취약점 진단 항목별 통계'!$L:$L)</f>
        <v>15</v>
      </c>
      <c r="L9" s="80">
        <f ca="1">IF($I9=$E9, "N/A", (K9/J9))</f>
        <v>1</v>
      </c>
    </row>
    <row r="10" spans="1:12">
      <c r="A10" s="242" t="s">
        <v>174</v>
      </c>
      <c r="B10" s="221"/>
      <c r="C10" s="221"/>
      <c r="D10" s="222"/>
      <c r="E10" s="11">
        <f ca="1">SUMIF('취약점 진단 항목별 통계'!$A:$A,$A10&amp;"*",'취약점 진단 항목별 통계'!$F:$F)</f>
        <v>15</v>
      </c>
      <c r="F10" s="11">
        <f ca="1">E10-I10</f>
        <v>15</v>
      </c>
      <c r="G10" s="11">
        <f ca="1">SUMIF('취약점 진단 항목별 통계'!$A:$A,$A10&amp;"*",'취약점 진단 항목별 통계'!$G:$G)+SUMIF('취약점 진단 항목별 통계'!$A:$A,$A10&amp;"*",'취약점 진단 항목별 통계'!$H:$H)</f>
        <v>15</v>
      </c>
      <c r="H10" s="11">
        <f ca="1">SUMIF('취약점 진단 항목별 통계'!$A:$A,$A10&amp;"*",'취약점 진단 항목별 통계'!$I:$I)</f>
        <v>0</v>
      </c>
      <c r="I10" s="11">
        <f ca="1">SUMIF('취약점 진단 항목별 통계'!$A:$A,$A10&amp;"*",'취약점 진단 항목별 통계'!$J:$J)</f>
        <v>0</v>
      </c>
      <c r="J10" s="11">
        <f ca="1">SUMIF('취약점 진단 항목별 통계'!$A:$A,$A10&amp;"*",'취약점 진단 항목별 통계'!$K:$K)</f>
        <v>30</v>
      </c>
      <c r="K10" s="11">
        <f ca="1">SUMIF('취약점 진단 항목별 통계'!$A:$A,$A10&amp;"*",'취약점 진단 항목별 통계'!$L:$L)</f>
        <v>30</v>
      </c>
      <c r="L10" s="80">
        <f ca="1">IF($I10=$E10, "N/A", (K10/J10))</f>
        <v>1</v>
      </c>
    </row>
    <row r="11" spans="1:12" ht="15.95" customHeight="1" thickBot="1">
      <c r="A11" s="243" t="s">
        <v>187</v>
      </c>
      <c r="B11" s="233"/>
      <c r="C11" s="233"/>
      <c r="D11" s="234"/>
      <c r="E11" s="81">
        <f t="shared" ref="E11:K11" ca="1" si="0">SUM(E6:E10)</f>
        <v>335</v>
      </c>
      <c r="F11" s="81">
        <f t="shared" ca="1" si="0"/>
        <v>335</v>
      </c>
      <c r="G11" s="81">
        <f t="shared" ca="1" si="0"/>
        <v>256</v>
      </c>
      <c r="H11" s="81">
        <f t="shared" ca="1" si="0"/>
        <v>74</v>
      </c>
      <c r="I11" s="81">
        <f t="shared" ca="1" si="0"/>
        <v>0</v>
      </c>
      <c r="J11" s="81">
        <f t="shared" ca="1" si="0"/>
        <v>825</v>
      </c>
      <c r="K11" s="81">
        <f t="shared" ca="1" si="0"/>
        <v>622</v>
      </c>
      <c r="L11" s="82">
        <f ca="1">IFERROR(K11/J11, 0)</f>
        <v>0.75393939393939391</v>
      </c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8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8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8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8"/>
    </row>
    <row r="16" spans="1:12">
      <c r="A16" s="2"/>
      <c r="E16" s="12"/>
      <c r="F16" s="12"/>
      <c r="G16" s="12"/>
      <c r="H16" s="12"/>
      <c r="I16" s="12"/>
      <c r="J16" s="12"/>
      <c r="K16" s="2"/>
      <c r="L16" s="8"/>
    </row>
    <row r="17" spans="1:12">
      <c r="A17" s="2"/>
      <c r="E17" s="12"/>
      <c r="F17" s="12"/>
      <c r="G17" s="12"/>
      <c r="H17" s="12"/>
      <c r="I17" s="12"/>
      <c r="J17" s="12"/>
      <c r="K17" s="2"/>
      <c r="L17" s="8"/>
    </row>
    <row r="18" spans="1:12">
      <c r="A18" s="2"/>
      <c r="E18" s="12"/>
      <c r="F18" s="12"/>
      <c r="G18" s="12"/>
      <c r="H18" s="12"/>
      <c r="I18" s="12"/>
      <c r="J18" s="12"/>
      <c r="K18" s="2"/>
      <c r="L18" s="8"/>
    </row>
    <row r="19" spans="1:12">
      <c r="A19" s="2"/>
      <c r="E19" s="12"/>
      <c r="F19" s="12"/>
      <c r="G19" s="12"/>
      <c r="H19" s="12"/>
      <c r="I19" s="12"/>
      <c r="J19" s="12"/>
      <c r="K19" s="2"/>
      <c r="L19" s="8"/>
    </row>
    <row r="20" spans="1:12">
      <c r="A20" s="2"/>
      <c r="E20" s="12"/>
      <c r="F20" s="12"/>
      <c r="G20" s="12"/>
      <c r="H20" s="12"/>
      <c r="I20" s="12"/>
      <c r="J20" s="12"/>
      <c r="K20" s="2"/>
      <c r="L20" s="8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8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8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8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8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8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8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8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8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8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8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8"/>
    </row>
    <row r="38" spans="1:12">
      <c r="L38" s="6"/>
    </row>
    <row r="39" spans="1:12" ht="15.95" customHeight="1" thickBot="1">
      <c r="A39" s="5" t="s">
        <v>188</v>
      </c>
      <c r="L39" s="6"/>
    </row>
    <row r="40" spans="1:12" ht="15.95" customHeight="1" thickBot="1">
      <c r="A40" s="238" t="s">
        <v>189</v>
      </c>
      <c r="B40" s="213"/>
      <c r="C40" s="213"/>
      <c r="D40" s="214"/>
      <c r="E40" s="235" t="s">
        <v>178</v>
      </c>
      <c r="F40" s="236"/>
      <c r="G40" s="236"/>
      <c r="H40" s="236"/>
      <c r="I40" s="237"/>
      <c r="J40" s="235" t="s">
        <v>179</v>
      </c>
      <c r="K40" s="236"/>
      <c r="L40" s="237"/>
    </row>
    <row r="41" spans="1:12" ht="15.95" customHeight="1" thickBot="1">
      <c r="A41" s="239"/>
      <c r="B41" s="240"/>
      <c r="C41" s="240"/>
      <c r="D41" s="241"/>
      <c r="E41" s="78" t="s">
        <v>180</v>
      </c>
      <c r="F41" s="78" t="s">
        <v>78</v>
      </c>
      <c r="G41" s="78" t="s">
        <v>181</v>
      </c>
      <c r="H41" s="78" t="s">
        <v>182</v>
      </c>
      <c r="I41" s="78" t="s">
        <v>183</v>
      </c>
      <c r="J41" s="78" t="s">
        <v>184</v>
      </c>
      <c r="K41" s="78" t="s">
        <v>185</v>
      </c>
      <c r="L41" s="79" t="s">
        <v>186</v>
      </c>
    </row>
    <row r="42" spans="1:12" ht="13.5" customHeight="1">
      <c r="A42" s="230" t="str">
        <f ca="1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WEB-HQ-Ubuntu</v>
      </c>
      <c r="B42" s="222"/>
      <c r="C42" s="231" t="str">
        <f ca="1">IFERROR(VLOOKUP($A42,자산목록!$B$1:$M$835,6,FALSE),"-")</f>
        <v>Ubuntu</v>
      </c>
      <c r="D42" s="222"/>
      <c r="E42" s="65">
        <f ca="1">IFERROR(INDIRECT(ADDRESS(17, 4, 1,TRUE,$A42)),0)</f>
        <v>59</v>
      </c>
      <c r="F42" s="65">
        <f ca="1">E42-I42</f>
        <v>59</v>
      </c>
      <c r="G42" s="65">
        <f ca="1">IFERROR(INDIRECT(ADDRESS(17, 5, 1,TRUE,$A42)),0)</f>
        <v>39</v>
      </c>
      <c r="H42" s="65">
        <f ca="1">IFERROR(INDIRECT(ADDRESS(17, 6, 1,TRUE,$A42)),0)</f>
        <v>20</v>
      </c>
      <c r="I42" s="65">
        <f ca="1">IFERROR(INDIRECT(ADDRESS(17, 7, 1,TRUE,$A42)),0)</f>
        <v>0</v>
      </c>
      <c r="J42" s="65">
        <f ca="1">IFERROR(INDIRECT(ADDRESS(17, 18, 1,TRUE,$A42)),0)</f>
        <v>146</v>
      </c>
      <c r="K42" s="65">
        <f ca="1">IFERROR(INDIRECT(ADDRESS(17, 19, 1,TRUE,$A42)),0)</f>
        <v>90</v>
      </c>
      <c r="L42" s="83">
        <f ca="1">IFERROR(INDIRECT(ADDRESS(17,8, 1,TRUE,$A42)),0)</f>
        <v>0.61643835616438358</v>
      </c>
    </row>
    <row r="43" spans="1:12" ht="13.5" customHeight="1">
      <c r="A43" s="230" t="str">
        <f t="shared" ref="A43:A51" ca="1" si="1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LOG_HQ_Rocky</v>
      </c>
      <c r="B43" s="222"/>
      <c r="C43" s="231" t="str">
        <f ca="1">IFERROR(VLOOKUP($A43,자산목록!$B$1:$M$835,6,FALSE),"-")</f>
        <v>Rocky</v>
      </c>
      <c r="D43" s="222"/>
      <c r="E43" s="65">
        <f t="shared" ref="E43:E51" ca="1" si="2">IFERROR(INDIRECT(ADDRESS(17, 4, 1,TRUE,$A43)),0)</f>
        <v>59</v>
      </c>
      <c r="F43" s="65">
        <f t="shared" ref="F43:F51" ca="1" si="3">E43-I43</f>
        <v>59</v>
      </c>
      <c r="G43" s="65">
        <f t="shared" ref="G43:G51" ca="1" si="4">IFERROR(INDIRECT(ADDRESS(17, 5, 1,TRUE,$A43)),0)</f>
        <v>41</v>
      </c>
      <c r="H43" s="65">
        <f t="shared" ref="H43:H51" ca="1" si="5">IFERROR(INDIRECT(ADDRESS(17, 6, 1,TRUE,$A43)),0)</f>
        <v>18</v>
      </c>
      <c r="I43" s="65">
        <f t="shared" ref="I43:I51" ca="1" si="6">IFERROR(INDIRECT(ADDRESS(17, 7, 1,TRUE,$A43)),0)</f>
        <v>0</v>
      </c>
      <c r="J43" s="65">
        <f t="shared" ref="J43:J51" ca="1" si="7">IFERROR(INDIRECT(ADDRESS(17, 18, 1,TRUE,$A43)),0)</f>
        <v>146</v>
      </c>
      <c r="K43" s="65">
        <f t="shared" ref="K43:K51" ca="1" si="8">IFERROR(INDIRECT(ADDRESS(17, 19, 1,TRUE,$A43)),0)</f>
        <v>96</v>
      </c>
      <c r="L43" s="83">
        <f t="shared" ref="L43:L51" ca="1" si="9">IFERROR(INDIRECT(ADDRESS(17,8, 1,TRUE,$A43)),0)</f>
        <v>0.65753424657534243</v>
      </c>
    </row>
    <row r="44" spans="1:12" ht="13.5" customHeight="1">
      <c r="A44" s="230" t="str">
        <f t="shared" ca="1" si="1"/>
        <v>DB_HQ_Rocky</v>
      </c>
      <c r="B44" s="222"/>
      <c r="C44" s="231" t="str">
        <f ca="1">IFERROR(VLOOKUP($A44,자산목록!$B$1:$M$835,6,FALSE),"-")</f>
        <v>Rocky</v>
      </c>
      <c r="D44" s="222"/>
      <c r="E44" s="65">
        <f t="shared" ca="1" si="2"/>
        <v>59</v>
      </c>
      <c r="F44" s="65">
        <f t="shared" ca="1" si="3"/>
        <v>59</v>
      </c>
      <c r="G44" s="65">
        <f t="shared" ca="1" si="4"/>
        <v>41</v>
      </c>
      <c r="H44" s="65">
        <f t="shared" ca="1" si="5"/>
        <v>18</v>
      </c>
      <c r="I44" s="65">
        <f t="shared" ca="1" si="6"/>
        <v>0</v>
      </c>
      <c r="J44" s="65">
        <f t="shared" ca="1" si="7"/>
        <v>146</v>
      </c>
      <c r="K44" s="65">
        <f t="shared" ca="1" si="8"/>
        <v>96</v>
      </c>
      <c r="L44" s="83">
        <f t="shared" ca="1" si="9"/>
        <v>0.65753424657534243</v>
      </c>
    </row>
    <row r="45" spans="1:12" ht="13.5" customHeight="1">
      <c r="A45" s="230" t="str">
        <f t="shared" ca="1" si="1"/>
        <v>BDB_HQ_Rocky</v>
      </c>
      <c r="B45" s="222"/>
      <c r="C45" s="231" t="str">
        <f ca="1">IFERROR(VLOOKUP($A45,자산목록!$B$1:$M$835,6,FALSE),"-")</f>
        <v>Rocky</v>
      </c>
      <c r="D45" s="222"/>
      <c r="E45" s="65">
        <f t="shared" ca="1" si="2"/>
        <v>59</v>
      </c>
      <c r="F45" s="65">
        <f t="shared" ca="1" si="3"/>
        <v>59</v>
      </c>
      <c r="G45" s="65">
        <f t="shared" ca="1" si="4"/>
        <v>39</v>
      </c>
      <c r="H45" s="65">
        <f t="shared" ca="1" si="5"/>
        <v>20</v>
      </c>
      <c r="I45" s="65">
        <f t="shared" ca="1" si="6"/>
        <v>0</v>
      </c>
      <c r="J45" s="65">
        <f t="shared" ca="1" si="7"/>
        <v>146</v>
      </c>
      <c r="K45" s="65">
        <f t="shared" ca="1" si="8"/>
        <v>90</v>
      </c>
      <c r="L45" s="83">
        <f t="shared" ca="1" si="9"/>
        <v>0.61643835616438358</v>
      </c>
    </row>
    <row r="46" spans="1:12" ht="13.5" customHeight="1">
      <c r="A46" s="230" t="str">
        <f t="shared" ca="1" si="1"/>
        <v>BLOG_HQ_Rocky</v>
      </c>
      <c r="B46" s="222"/>
      <c r="C46" s="231" t="str">
        <f ca="1">IFERROR(VLOOKUP($A46,자산목록!$B$1:$M$835,6,FALSE),"-")</f>
        <v>Rocky</v>
      </c>
      <c r="D46" s="222"/>
      <c r="E46" s="65">
        <f t="shared" ca="1" si="2"/>
        <v>59</v>
      </c>
      <c r="F46" s="65">
        <f t="shared" ref="F46:F50" ca="1" si="10">E46-I46</f>
        <v>59</v>
      </c>
      <c r="G46" s="65">
        <f t="shared" ca="1" si="4"/>
        <v>39</v>
      </c>
      <c r="H46" s="65">
        <f t="shared" ca="1" si="5"/>
        <v>20</v>
      </c>
      <c r="I46" s="65">
        <f t="shared" ca="1" si="6"/>
        <v>0</v>
      </c>
      <c r="J46" s="65">
        <f t="shared" ca="1" si="7"/>
        <v>146</v>
      </c>
      <c r="K46" s="65">
        <f t="shared" ca="1" si="8"/>
        <v>90</v>
      </c>
      <c r="L46" s="83">
        <f t="shared" ca="1" si="9"/>
        <v>0.61643835616438358</v>
      </c>
    </row>
    <row r="47" spans="1:12" ht="13.5" customHeight="1">
      <c r="A47" s="230" t="str">
        <f t="shared" ca="1" si="1"/>
        <v>PHP_BR_Rocky</v>
      </c>
      <c r="B47" s="222"/>
      <c r="C47" s="231" t="str">
        <f ca="1">IFERROR(VLOOKUP($A47,자산목록!$B$1:$M$835,6,FALSE),"-")</f>
        <v>Rocky</v>
      </c>
      <c r="D47" s="222"/>
      <c r="E47" s="65">
        <f t="shared" ca="1" si="2"/>
        <v>59</v>
      </c>
      <c r="F47" s="65">
        <f t="shared" ca="1" si="10"/>
        <v>59</v>
      </c>
      <c r="G47" s="65">
        <f t="shared" ca="1" si="4"/>
        <v>59</v>
      </c>
      <c r="H47" s="65">
        <f t="shared" ca="1" si="5"/>
        <v>0</v>
      </c>
      <c r="I47" s="65">
        <f t="shared" ca="1" si="6"/>
        <v>0</v>
      </c>
      <c r="J47" s="65">
        <f t="shared" ca="1" si="7"/>
        <v>146</v>
      </c>
      <c r="K47" s="65">
        <f t="shared" ca="1" si="8"/>
        <v>146</v>
      </c>
      <c r="L47" s="83">
        <f t="shared" ca="1" si="9"/>
        <v>1</v>
      </c>
    </row>
    <row r="48" spans="1:12" ht="13.5" customHeight="1">
      <c r="A48" s="230" t="str">
        <f t="shared" ca="1" si="1"/>
        <v>LOG_BR_Rocky</v>
      </c>
      <c r="B48" s="222"/>
      <c r="C48" s="231" t="str">
        <f ca="1">IFERROR(VLOOKUP($A48,자산목록!$B$1:$M$835,6,FALSE),"-")</f>
        <v>Rocky</v>
      </c>
      <c r="D48" s="222"/>
      <c r="E48" s="65">
        <f t="shared" ca="1" si="2"/>
        <v>59</v>
      </c>
      <c r="F48" s="65">
        <f t="shared" ca="1" si="10"/>
        <v>59</v>
      </c>
      <c r="G48" s="65">
        <f t="shared" ca="1" si="4"/>
        <v>59</v>
      </c>
      <c r="H48" s="65">
        <f t="shared" ca="1" si="5"/>
        <v>0</v>
      </c>
      <c r="I48" s="65">
        <f t="shared" ca="1" si="6"/>
        <v>0</v>
      </c>
      <c r="J48" s="65">
        <f t="shared" ca="1" si="7"/>
        <v>146</v>
      </c>
      <c r="K48" s="65">
        <f t="shared" ca="1" si="8"/>
        <v>146</v>
      </c>
      <c r="L48" s="83">
        <f t="shared" ca="1" si="9"/>
        <v>1</v>
      </c>
    </row>
    <row r="49" spans="1:12" ht="13.5" customHeight="1">
      <c r="A49" s="230" t="str">
        <f t="shared" ca="1" si="1"/>
        <v>DB_BR_Rocky</v>
      </c>
      <c r="B49" s="222"/>
      <c r="C49" s="231" t="str">
        <f ca="1">IFERROR(VLOOKUP($A49,자산목록!$B$1:$M$835,6,FALSE),"-")</f>
        <v>Rocky</v>
      </c>
      <c r="D49" s="222"/>
      <c r="E49" s="65">
        <f t="shared" ca="1" si="2"/>
        <v>59</v>
      </c>
      <c r="F49" s="65">
        <f t="shared" ca="1" si="10"/>
        <v>59</v>
      </c>
      <c r="G49" s="65">
        <f t="shared" ca="1" si="4"/>
        <v>59</v>
      </c>
      <c r="H49" s="65">
        <f t="shared" ca="1" si="5"/>
        <v>0</v>
      </c>
      <c r="I49" s="65">
        <f t="shared" ca="1" si="6"/>
        <v>0</v>
      </c>
      <c r="J49" s="65">
        <f t="shared" ca="1" si="7"/>
        <v>146</v>
      </c>
      <c r="K49" s="65">
        <f t="shared" ca="1" si="8"/>
        <v>146</v>
      </c>
      <c r="L49" s="83">
        <f t="shared" ca="1" si="9"/>
        <v>1</v>
      </c>
    </row>
    <row r="50" spans="1:12" ht="13.5" customHeight="1">
      <c r="A50" s="230" t="str">
        <f t="shared" ca="1" si="1"/>
        <v>BDB_BR_Rocky</v>
      </c>
      <c r="B50" s="222"/>
      <c r="C50" s="231" t="str">
        <f ca="1">IFERROR(VLOOKUP($A50,자산목록!$B$1:$M$835,6,FALSE),"-")</f>
        <v>Rocky</v>
      </c>
      <c r="D50" s="222"/>
      <c r="E50" s="65">
        <f t="shared" ca="1" si="2"/>
        <v>59</v>
      </c>
      <c r="F50" s="65">
        <f t="shared" ca="1" si="10"/>
        <v>59</v>
      </c>
      <c r="G50" s="65">
        <f t="shared" ca="1" si="4"/>
        <v>59</v>
      </c>
      <c r="H50" s="65">
        <f t="shared" ca="1" si="5"/>
        <v>0</v>
      </c>
      <c r="I50" s="65">
        <f t="shared" ca="1" si="6"/>
        <v>0</v>
      </c>
      <c r="J50" s="65">
        <f t="shared" ca="1" si="7"/>
        <v>146</v>
      </c>
      <c r="K50" s="65">
        <f t="shared" ca="1" si="8"/>
        <v>146</v>
      </c>
      <c r="L50" s="83">
        <f t="shared" ca="1" si="9"/>
        <v>1</v>
      </c>
    </row>
    <row r="51" spans="1:12" ht="13.5" customHeight="1">
      <c r="A51" s="230" t="str">
        <f t="shared" ca="1" si="1"/>
        <v>BLOG_BR_Rocky</v>
      </c>
      <c r="B51" s="222"/>
      <c r="C51" s="231" t="str">
        <f ca="1">IFERROR(VLOOKUP($A51,자산목록!$B$1:$M$835,6,FALSE),"-")</f>
        <v>Rocky</v>
      </c>
      <c r="D51" s="222"/>
      <c r="E51" s="65">
        <f t="shared" ca="1" si="2"/>
        <v>59</v>
      </c>
      <c r="F51" s="65">
        <f t="shared" ca="1" si="3"/>
        <v>59</v>
      </c>
      <c r="G51" s="65">
        <f t="shared" ca="1" si="4"/>
        <v>59</v>
      </c>
      <c r="H51" s="65">
        <f t="shared" ca="1" si="5"/>
        <v>0</v>
      </c>
      <c r="I51" s="65">
        <f t="shared" ca="1" si="6"/>
        <v>0</v>
      </c>
      <c r="J51" s="65">
        <f t="shared" ca="1" si="7"/>
        <v>146</v>
      </c>
      <c r="K51" s="65">
        <f t="shared" ca="1" si="8"/>
        <v>146</v>
      </c>
      <c r="L51" s="83">
        <f t="shared" ca="1" si="9"/>
        <v>1</v>
      </c>
    </row>
    <row r="52" spans="1:12" ht="15.95" customHeight="1" thickBot="1">
      <c r="A52" s="232" t="s">
        <v>187</v>
      </c>
      <c r="B52" s="233"/>
      <c r="C52" s="233"/>
      <c r="D52" s="234"/>
      <c r="E52" s="85">
        <f t="shared" ref="E52:K52" ca="1" si="11">SUM(E42:E42)</f>
        <v>59</v>
      </c>
      <c r="F52" s="85">
        <f t="shared" ca="1" si="11"/>
        <v>59</v>
      </c>
      <c r="G52" s="85">
        <f t="shared" ca="1" si="11"/>
        <v>39</v>
      </c>
      <c r="H52" s="85">
        <f t="shared" ca="1" si="11"/>
        <v>20</v>
      </c>
      <c r="I52" s="85">
        <f t="shared" ca="1" si="11"/>
        <v>0</v>
      </c>
      <c r="J52" s="85">
        <f t="shared" ca="1" si="11"/>
        <v>146</v>
      </c>
      <c r="K52" s="85">
        <f t="shared" ca="1" si="11"/>
        <v>90</v>
      </c>
      <c r="L52" s="86">
        <f ca="1">IFERROR(K52/J52, 0)</f>
        <v>0.61643835616438358</v>
      </c>
    </row>
    <row r="53" spans="1:12">
      <c r="A53" s="2"/>
    </row>
    <row r="54" spans="1:12">
      <c r="A54" s="6"/>
    </row>
    <row r="55" spans="1:12">
      <c r="A55" s="6"/>
    </row>
    <row r="56" spans="1:12">
      <c r="A56" s="6"/>
    </row>
    <row r="57" spans="1:12">
      <c r="A57" s="6"/>
    </row>
    <row r="58" spans="1:12">
      <c r="A58" s="6"/>
    </row>
    <row r="59" spans="1:12">
      <c r="A59" s="6"/>
    </row>
    <row r="60" spans="1:12">
      <c r="A60" s="6"/>
    </row>
    <row r="61" spans="1:12">
      <c r="A61" s="6"/>
    </row>
    <row r="62" spans="1:12">
      <c r="A62" s="6"/>
    </row>
    <row r="63" spans="1:12">
      <c r="A63" s="6"/>
    </row>
    <row r="64" spans="1:12">
      <c r="A64" s="6"/>
    </row>
    <row r="65" spans="1:1">
      <c r="A65" s="6"/>
    </row>
    <row r="66" spans="1:1">
      <c r="A66" s="6"/>
    </row>
  </sheetData>
  <mergeCells count="33">
    <mergeCell ref="J4:L4"/>
    <mergeCell ref="J40:L40"/>
    <mergeCell ref="E40:I40"/>
    <mergeCell ref="A4:D5"/>
    <mergeCell ref="E4:I4"/>
    <mergeCell ref="A40:D41"/>
    <mergeCell ref="A6:D6"/>
    <mergeCell ref="A7:D7"/>
    <mergeCell ref="A8:D8"/>
    <mergeCell ref="A9:D9"/>
    <mergeCell ref="A10:D10"/>
    <mergeCell ref="A11:D11"/>
    <mergeCell ref="A42:B42"/>
    <mergeCell ref="C42:D42"/>
    <mergeCell ref="A52:D52"/>
    <mergeCell ref="C49:D49"/>
    <mergeCell ref="A43:B43"/>
    <mergeCell ref="A51:B51"/>
    <mergeCell ref="C51:D51"/>
    <mergeCell ref="C43:D43"/>
    <mergeCell ref="A44:B44"/>
    <mergeCell ref="C44:D44"/>
    <mergeCell ref="A45:B45"/>
    <mergeCell ref="C45:D45"/>
    <mergeCell ref="C46:D46"/>
    <mergeCell ref="A46:B46"/>
    <mergeCell ref="A47:B47"/>
    <mergeCell ref="A48:B48"/>
    <mergeCell ref="A49:B49"/>
    <mergeCell ref="A50:B50"/>
    <mergeCell ref="C47:D47"/>
    <mergeCell ref="C48:D48"/>
    <mergeCell ref="C50:D50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78" fitToHeight="0" orientation="portrait" r:id="rId1"/>
  <headerFooter alignWithMargins="0">
    <oddHeader>&amp;L
&amp;R&amp;F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Y67"/>
  <sheetViews>
    <sheetView showGridLines="0" view="pageBreakPreview" zoomScaleNormal="70" zoomScaleSheetLayoutView="100" zoomScalePageLayoutView="85" workbookViewId="0"/>
  </sheetViews>
  <sheetFormatPr defaultColWidth="8.77734375" defaultRowHeight="13.5"/>
  <cols>
    <col min="1" max="13" width="8.77734375" style="3" customWidth="1"/>
    <col min="14" max="14" width="14.44140625" style="3" customWidth="1"/>
    <col min="15" max="17" width="8.77734375" style="3" customWidth="1"/>
    <col min="18" max="18" width="12.109375" style="3" customWidth="1"/>
    <col min="19" max="21" width="8.77734375" style="3" customWidth="1"/>
    <col min="22" max="22" width="3.109375" style="3" bestFit="1" customWidth="1"/>
    <col min="23" max="24" width="5" style="3" customWidth="1"/>
    <col min="25" max="25" width="4.77734375" style="3" customWidth="1"/>
    <col min="26" max="26" width="8.77734375" style="3" customWidth="1"/>
    <col min="27" max="16384" width="8.77734375" style="3"/>
  </cols>
  <sheetData>
    <row r="1" spans="1:25" ht="17.100000000000001" customHeight="1">
      <c r="A1" s="16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.95" customHeight="1" thickBot="1">
      <c r="A3" s="5" t="s">
        <v>177</v>
      </c>
    </row>
    <row r="4" spans="1:25" ht="15.95" customHeight="1" thickBot="1">
      <c r="A4" s="238" t="s">
        <v>77</v>
      </c>
      <c r="B4" s="213"/>
      <c r="C4" s="213"/>
      <c r="D4" s="214"/>
      <c r="E4" s="248" t="s">
        <v>178</v>
      </c>
      <c r="F4" s="213"/>
      <c r="G4" s="213"/>
      <c r="H4" s="213"/>
      <c r="I4" s="247"/>
      <c r="J4" s="251" t="s">
        <v>190</v>
      </c>
      <c r="K4" s="236"/>
      <c r="L4" s="236"/>
      <c r="M4" s="236"/>
      <c r="N4" s="237"/>
      <c r="O4" s="244" t="s">
        <v>179</v>
      </c>
      <c r="P4" s="236"/>
      <c r="Q4" s="236"/>
      <c r="R4" s="236"/>
      <c r="S4" s="236"/>
      <c r="T4" s="236"/>
      <c r="U4" s="245"/>
    </row>
    <row r="5" spans="1:25" ht="30.95" customHeight="1" thickBot="1">
      <c r="A5" s="239"/>
      <c r="B5" s="240"/>
      <c r="C5" s="240"/>
      <c r="D5" s="241"/>
      <c r="E5" s="87" t="s">
        <v>180</v>
      </c>
      <c r="F5" s="88" t="s">
        <v>78</v>
      </c>
      <c r="G5" s="89" t="s">
        <v>181</v>
      </c>
      <c r="H5" s="88" t="s">
        <v>182</v>
      </c>
      <c r="I5" s="88" t="s">
        <v>183</v>
      </c>
      <c r="J5" s="90" t="s">
        <v>191</v>
      </c>
      <c r="K5" s="91" t="s">
        <v>192</v>
      </c>
      <c r="L5" s="92" t="s">
        <v>193</v>
      </c>
      <c r="M5" s="92" t="s">
        <v>183</v>
      </c>
      <c r="N5" s="92" t="s">
        <v>194</v>
      </c>
      <c r="O5" s="93" t="s">
        <v>195</v>
      </c>
      <c r="P5" s="94" t="s">
        <v>196</v>
      </c>
      <c r="Q5" s="95" t="s">
        <v>197</v>
      </c>
      <c r="R5" s="95" t="s">
        <v>198</v>
      </c>
      <c r="S5" s="93" t="s">
        <v>199</v>
      </c>
      <c r="T5" s="94" t="s">
        <v>200</v>
      </c>
      <c r="U5" s="96" t="s">
        <v>201</v>
      </c>
    </row>
    <row r="6" spans="1:25">
      <c r="A6" s="242" t="s">
        <v>80</v>
      </c>
      <c r="B6" s="221"/>
      <c r="C6" s="221"/>
      <c r="D6" s="222"/>
      <c r="E6" s="11">
        <f ca="1">SUMIF('취약점 진단 항목별 통계 (이행)'!$A:$A,$A6&amp;"*",'취약점 진단 항목별 통계 (이행)'!$F:$F)</f>
        <v>65</v>
      </c>
      <c r="F6" s="11">
        <f ca="1">E6-I6</f>
        <v>65</v>
      </c>
      <c r="G6" s="11">
        <f ca="1">SUMIF('취약점 진단 항목별 통계'!$A:$A,$A6&amp;"*",'취약점 진단 항목별 통계'!$G:$G)+SUMIF('취약점 진단 항목별 통계'!$A:$A,$A6&amp;"*",'취약점 진단 항목별 통계'!$H:$H)</f>
        <v>59</v>
      </c>
      <c r="H6" s="11">
        <f ca="1">SUMIF('취약점 진단 항목별 통계'!$A:$A,$A6&amp;"*",'취약점 진단 항목별 통계'!$I:$I)</f>
        <v>6</v>
      </c>
      <c r="I6" s="11">
        <f ca="1">SUMIF('취약점 진단 항목별 통계'!$A:$A,$A6&amp;"*",'취약점 진단 항목별 통계'!$J:$J)</f>
        <v>0</v>
      </c>
      <c r="J6" s="11">
        <f ca="1">SUMIF('취약점 진단 항목별 통계 (이행)'!$A:$A,$A6&amp;"*",'취약점 진단 항목별 통계 (이행)'!$K:$K)</f>
        <v>6</v>
      </c>
      <c r="K6" s="11">
        <f ca="1">SUMIF('취약점 진단 항목별 통계 (이행)'!$A:$A,$A6&amp;"*",'취약점 진단 항목별 통계 (이행)'!$L:$L)</f>
        <v>0</v>
      </c>
      <c r="L6" s="11">
        <f ca="1">SUMIF('취약점 진단 항목별 통계 (이행)'!$A:$A,$A6&amp;"*",'취약점 진단 항목별 통계 (이행)'!$M:$M)</f>
        <v>0</v>
      </c>
      <c r="M6" s="11">
        <f ca="1">SUMIF('취약점 진단 항목별 통계 (이행)'!$A:$A,$A6&amp;"*",'취약점 진단 항목별 통계 (이행)'!$N:$N)</f>
        <v>0</v>
      </c>
      <c r="N6" s="30">
        <f ca="1">K6+L6</f>
        <v>0</v>
      </c>
      <c r="O6" s="11">
        <f ca="1">SUMIF('취약점 진단 항목별 통계 (이행)'!$A:$A,$A6&amp;"*",'취약점 진단 항목별 통계 (이행)'!$O:$O)</f>
        <v>140</v>
      </c>
      <c r="P6" s="11">
        <f ca="1">SUMIF('취약점 진단 항목별 통계 (이행)'!$A:$A,$A6&amp;"*",'취약점 진단 항목별 통계 (이행)'!$P:$P)</f>
        <v>140</v>
      </c>
      <c r="Q6" s="11">
        <f ca="1">SUMIF('취약점 진단 항목별 통계 (이행)'!$A:$A,$A6&amp;"*",'취약점 진단 항목별 통계 (이행)'!$Q:$Q)</f>
        <v>122</v>
      </c>
      <c r="R6" s="11">
        <f ca="1">SUMIF('취약점 진단 항목별 통계 (이행)'!$A:$A,$A6&amp;"*",'취약점 진단 항목별 통계 (이행)'!$R:$R)</f>
        <v>140</v>
      </c>
      <c r="S6" s="26">
        <f ca="1">IFERROR(K6/(C6-(L6-F6)),"N/A")</f>
        <v>0</v>
      </c>
      <c r="T6" s="26">
        <f t="shared" ref="T6:T11" ca="1" si="0">IF($I6=$E6, "N/A", (Q6/O6))</f>
        <v>0.87142857142857144</v>
      </c>
      <c r="U6" s="80">
        <f ca="1">IF(OR(H6=G6, G6=I6),"N/A", R6/P6)</f>
        <v>1</v>
      </c>
      <c r="V6" s="2"/>
      <c r="W6" s="1"/>
    </row>
    <row r="7" spans="1:25">
      <c r="A7" s="242" t="s">
        <v>101</v>
      </c>
      <c r="B7" s="221"/>
      <c r="C7" s="221"/>
      <c r="D7" s="222"/>
      <c r="E7" s="11">
        <f ca="1">SUMIF('취약점 진단 항목별 통계 (이행)'!$A:$A,$A7&amp;"*",'취약점 진단 항목별 통계 (이행)'!$F:$F)</f>
        <v>100</v>
      </c>
      <c r="F7" s="11">
        <f ca="1">E7-I7</f>
        <v>100</v>
      </c>
      <c r="G7" s="11">
        <f ca="1">SUMIF('취약점 진단 항목별 통계'!$A:$A,$A7&amp;"*",'취약점 진단 항목별 통계'!$G:$G)+SUMIF('취약점 진단 항목별 통계'!$A:$A,$A7&amp;"*",'취약점 진단 항목별 통계'!$H:$H)</f>
        <v>55</v>
      </c>
      <c r="H7" s="11">
        <f ca="1">SUMIF('취약점 진단 항목별 통계'!$A:$A,$A7&amp;"*",'취약점 진단 항목별 통계'!$I:$I)</f>
        <v>45</v>
      </c>
      <c r="I7" s="11">
        <f ca="1">SUMIF('취약점 진단 항목별 통계'!$A:$A,$A7&amp;"*",'취약점 진단 항목별 통계'!$J:$J)</f>
        <v>0</v>
      </c>
      <c r="J7" s="11">
        <f ca="1">SUMIF('취약점 진단 항목별 통계 (이행)'!$A:$A,$A7&amp;"*",'취약점 진단 항목별 통계 (이행)'!$K:$K)</f>
        <v>45</v>
      </c>
      <c r="K7" s="11">
        <f ca="1">SUMIF('취약점 진단 항목별 통계 (이행)'!$A:$A,$A7&amp;"*",'취약점 진단 항목별 통계 (이행)'!$L:$L)</f>
        <v>0</v>
      </c>
      <c r="L7" s="11">
        <f ca="1">SUMIF('취약점 진단 항목별 통계 (이행)'!$A:$A,$A7&amp;"*",'취약점 진단 항목별 통계 (이행)'!$M:$M)</f>
        <v>0</v>
      </c>
      <c r="M7" s="11">
        <f ca="1">SUMIF('취약점 진단 항목별 통계 (이행)'!$A:$A,$A7&amp;"*",'취약점 진단 항목별 통계 (이행)'!$N:$N)</f>
        <v>0</v>
      </c>
      <c r="N7" s="30">
        <f ca="1">K7+L7</f>
        <v>0</v>
      </c>
      <c r="O7" s="11">
        <f ca="1">SUMIF('취약점 진단 항목별 통계 (이행)'!$A:$A,$A7&amp;"*",'취약점 진단 항목별 통계 (이행)'!$O:$O)</f>
        <v>265</v>
      </c>
      <c r="P7" s="11">
        <f ca="1">SUMIF('취약점 진단 항목별 통계 (이행)'!$A:$A,$A7&amp;"*",'취약점 진단 항목별 통계 (이행)'!$P:$P)</f>
        <v>265</v>
      </c>
      <c r="Q7" s="11">
        <f ca="1">SUMIF('취약점 진단 항목별 통계 (이행)'!$A:$A,$A7&amp;"*",'취약점 진단 항목별 통계 (이행)'!$Q:$Q)</f>
        <v>140</v>
      </c>
      <c r="R7" s="11">
        <f ca="1">SUMIF('취약점 진단 항목별 통계 (이행)'!$A:$A,$A7&amp;"*",'취약점 진단 항목별 통계 (이행)'!$R:$R)</f>
        <v>265</v>
      </c>
      <c r="S7" s="26">
        <f t="shared" ref="S7:S10" ca="1" si="1">IFERROR(K7/(C7-(L7-F7)),"N/A")</f>
        <v>0</v>
      </c>
      <c r="T7" s="26">
        <f t="shared" ca="1" si="0"/>
        <v>0.52830188679245282</v>
      </c>
      <c r="U7" s="80">
        <f t="shared" ref="U7:U10" ca="1" si="2">IF(OR(H7=G7, G7=I7),"N/A", R7/P7)</f>
        <v>1</v>
      </c>
      <c r="V7" s="2"/>
      <c r="W7" s="1"/>
    </row>
    <row r="8" spans="1:25">
      <c r="A8" s="242" t="s">
        <v>134</v>
      </c>
      <c r="B8" s="221"/>
      <c r="C8" s="221"/>
      <c r="D8" s="222"/>
      <c r="E8" s="11">
        <f ca="1">SUMIF('취약점 진단 항목별 통계 (이행)'!$A:$A,$A8&amp;"*",'취약점 진단 항목별 통계 (이행)'!$F:$F)</f>
        <v>150</v>
      </c>
      <c r="F8" s="11">
        <f ca="1">E8-I8</f>
        <v>150</v>
      </c>
      <c r="G8" s="11">
        <f ca="1">SUMIF('취약점 진단 항목별 통계'!$A:$A,$A8&amp;"*",'취약점 진단 항목별 통계'!$G:$G)+SUMIF('취약점 진단 항목별 통계'!$A:$A,$A8&amp;"*",'취약점 진단 항목별 통계'!$H:$H)</f>
        <v>122</v>
      </c>
      <c r="H8" s="11">
        <f ca="1">SUMIF('취약점 진단 항목별 통계'!$A:$A,$A8&amp;"*",'취약점 진단 항목별 통계'!$I:$I)</f>
        <v>23</v>
      </c>
      <c r="I8" s="11">
        <f ca="1">SUMIF('취약점 진단 항목별 통계'!$A:$A,$A8&amp;"*",'취약점 진단 항목별 통계'!$J:$J)</f>
        <v>0</v>
      </c>
      <c r="J8" s="11">
        <f ca="1">SUMIF('취약점 진단 항목별 통계 (이행)'!$A:$A,$A8&amp;"*",'취약점 진단 항목별 통계 (이행)'!$K:$K)</f>
        <v>23</v>
      </c>
      <c r="K8" s="11">
        <f ca="1">SUMIF('취약점 진단 항목별 통계 (이행)'!$A:$A,$A8&amp;"*",'취약점 진단 항목별 통계 (이행)'!$L:$L)</f>
        <v>0</v>
      </c>
      <c r="L8" s="11">
        <f ca="1">SUMIF('취약점 진단 항목별 통계 (이행)'!$A:$A,$A8&amp;"*",'취약점 진단 항목별 통계 (이행)'!$M:$M)</f>
        <v>0</v>
      </c>
      <c r="M8" s="11">
        <f ca="1">SUMIF('취약점 진단 항목별 통계 (이행)'!$A:$A,$A8&amp;"*",'취약점 진단 항목별 통계 (이행)'!$N:$N)</f>
        <v>0</v>
      </c>
      <c r="N8" s="30">
        <f ca="1">K8+L8</f>
        <v>0</v>
      </c>
      <c r="O8" s="11">
        <f ca="1">SUMIF('취약점 진단 항목별 통계 (이행)'!$A:$A,$A8&amp;"*",'취약점 진단 항목별 통계 (이행)'!$O:$O)</f>
        <v>375</v>
      </c>
      <c r="P8" s="11">
        <f ca="1">SUMIF('취약점 진단 항목별 통계 (이행)'!$A:$A,$A8&amp;"*",'취약점 진단 항목별 통계 (이행)'!$P:$P)</f>
        <v>375</v>
      </c>
      <c r="Q8" s="11">
        <f ca="1">SUMIF('취약점 진단 항목별 통계 (이행)'!$A:$A,$A8&amp;"*",'취약점 진단 항목별 통계 (이행)'!$Q:$Q)</f>
        <v>315</v>
      </c>
      <c r="R8" s="11">
        <f ca="1">SUMIF('취약점 진단 항목별 통계 (이행)'!$A:$A,$A8&amp;"*",'취약점 진단 항목별 통계 (이행)'!$R:$R)</f>
        <v>360</v>
      </c>
      <c r="S8" s="26">
        <f t="shared" ca="1" si="1"/>
        <v>0</v>
      </c>
      <c r="T8" s="26">
        <f t="shared" ca="1" si="0"/>
        <v>0.84</v>
      </c>
      <c r="U8" s="80">
        <f t="shared" ca="1" si="2"/>
        <v>0.96</v>
      </c>
      <c r="V8" s="6"/>
      <c r="W8" s="6"/>
    </row>
    <row r="9" spans="1:25">
      <c r="A9" s="242" t="s">
        <v>172</v>
      </c>
      <c r="B9" s="221"/>
      <c r="C9" s="221"/>
      <c r="D9" s="222"/>
      <c r="E9" s="11">
        <f ca="1">SUMIF('취약점 진단 항목별 통계 (이행)'!$A:$A,$A9&amp;"*",'취약점 진단 항목별 통계 (이행)'!$F:$F)</f>
        <v>5</v>
      </c>
      <c r="F9" s="11">
        <f ca="1">E9-I9</f>
        <v>5</v>
      </c>
      <c r="G9" s="11">
        <f ca="1">SUMIF('취약점 진단 항목별 통계'!$A:$A,$A9&amp;"*",'취약점 진단 항목별 통계'!$G:$G)+SUMIF('취약점 진단 항목별 통계'!$A:$A,$A9&amp;"*",'취약점 진단 항목별 통계'!$H:$H)</f>
        <v>5</v>
      </c>
      <c r="H9" s="11">
        <f ca="1">SUMIF('취약점 진단 항목별 통계'!$A:$A,$A9&amp;"*",'취약점 진단 항목별 통계'!$I:$I)</f>
        <v>0</v>
      </c>
      <c r="I9" s="11">
        <f ca="1">SUMIF('취약점 진단 항목별 통계'!$A:$A,$A9&amp;"*",'취약점 진단 항목별 통계'!$J:$J)</f>
        <v>0</v>
      </c>
      <c r="J9" s="11">
        <f ca="1">SUMIF('취약점 진단 항목별 통계 (이행)'!$A:$A,$A9&amp;"*",'취약점 진단 항목별 통계 (이행)'!$K:$K)</f>
        <v>0</v>
      </c>
      <c r="K9" s="11">
        <f ca="1">SUMIF('취약점 진단 항목별 통계 (이행)'!$A:$A,$A9&amp;"*",'취약점 진단 항목별 통계 (이행)'!$L:$L)</f>
        <v>0</v>
      </c>
      <c r="L9" s="11">
        <f ca="1">SUMIF('취약점 진단 항목별 통계 (이행)'!$A:$A,$A9&amp;"*",'취약점 진단 항목별 통계 (이행)'!$M:$M)</f>
        <v>0</v>
      </c>
      <c r="M9" s="11">
        <f ca="1">SUMIF('취약점 진단 항목별 통계 (이행)'!$A:$A,$A9&amp;"*",'취약점 진단 항목별 통계 (이행)'!$N:$N)</f>
        <v>0</v>
      </c>
      <c r="N9" s="30">
        <f ca="1">K9+L9</f>
        <v>0</v>
      </c>
      <c r="O9" s="11">
        <f ca="1">SUMIF('취약점 진단 항목별 통계 (이행)'!$A:$A,$A9&amp;"*",'취약점 진단 항목별 통계 (이행)'!$O:$O)</f>
        <v>15</v>
      </c>
      <c r="P9" s="11">
        <f ca="1">SUMIF('취약점 진단 항목별 통계 (이행)'!$A:$A,$A9&amp;"*",'취약점 진단 항목별 통계 (이행)'!$P:$P)</f>
        <v>15</v>
      </c>
      <c r="Q9" s="11">
        <f ca="1">SUMIF('취약점 진단 항목별 통계 (이행)'!$A:$A,$A9&amp;"*",'취약점 진단 항목별 통계 (이행)'!$Q:$Q)</f>
        <v>15</v>
      </c>
      <c r="R9" s="11">
        <f ca="1">SUMIF('취약점 진단 항목별 통계 (이행)'!$A:$A,$A9&amp;"*",'취약점 진단 항목별 통계 (이행)'!$R:$R)</f>
        <v>15</v>
      </c>
      <c r="S9" s="26">
        <f t="shared" ca="1" si="1"/>
        <v>0</v>
      </c>
      <c r="T9" s="26">
        <f ca="1">IF($I9=$E9, "N/A", (Q9/O9))</f>
        <v>1</v>
      </c>
      <c r="U9" s="80">
        <f ca="1">IF(OR(H9=G9, G8=I9), 1, R9/P9)</f>
        <v>1</v>
      </c>
      <c r="V9" s="6"/>
      <c r="W9" s="6"/>
    </row>
    <row r="10" spans="1:25">
      <c r="A10" s="242" t="s">
        <v>174</v>
      </c>
      <c r="B10" s="221"/>
      <c r="C10" s="221"/>
      <c r="D10" s="222"/>
      <c r="E10" s="11">
        <f ca="1">SUMIF('취약점 진단 항목별 통계 (이행)'!$A:$A,$A10&amp;"*",'취약점 진단 항목별 통계 (이행)'!$F:$F)</f>
        <v>15</v>
      </c>
      <c r="F10" s="11">
        <f ca="1">E10-I10</f>
        <v>15</v>
      </c>
      <c r="G10" s="11">
        <f ca="1">SUMIF('취약점 진단 항목별 통계'!$A:$A,$A10&amp;"*",'취약점 진단 항목별 통계'!$G:$G)+SUMIF('취약점 진단 항목별 통계'!$A:$A,$A10&amp;"*",'취약점 진단 항목별 통계'!$H:$H)</f>
        <v>15</v>
      </c>
      <c r="H10" s="11">
        <f ca="1">SUMIF('취약점 진단 항목별 통계'!$A:$A,$A10&amp;"*",'취약점 진단 항목별 통계'!$I:$I)</f>
        <v>0</v>
      </c>
      <c r="I10" s="11">
        <f ca="1">SUMIF('취약점 진단 항목별 통계'!$A:$A,$A10&amp;"*",'취약점 진단 항목별 통계'!$J:$J)</f>
        <v>0</v>
      </c>
      <c r="J10" s="11">
        <f ca="1">SUMIF('취약점 진단 항목별 통계 (이행)'!$A:$A,$A10&amp;"*",'취약점 진단 항목별 통계 (이행)'!$K:$K)</f>
        <v>0</v>
      </c>
      <c r="K10" s="11">
        <f ca="1">SUMIF('취약점 진단 항목별 통계 (이행)'!$A:$A,$A10&amp;"*",'취약점 진단 항목별 통계 (이행)'!$L:$L)</f>
        <v>0</v>
      </c>
      <c r="L10" s="11">
        <f ca="1">SUMIF('취약점 진단 항목별 통계 (이행)'!$A:$A,$A10&amp;"*",'취약점 진단 항목별 통계 (이행)'!$M:$M)</f>
        <v>0</v>
      </c>
      <c r="M10" s="11">
        <f ca="1">SUMIF('취약점 진단 항목별 통계 (이행)'!$A:$A,$A10&amp;"*",'취약점 진단 항목별 통계 (이행)'!$N:$N)</f>
        <v>0</v>
      </c>
      <c r="N10" s="30">
        <f ca="1">K10+L10</f>
        <v>0</v>
      </c>
      <c r="O10" s="11">
        <f ca="1">SUMIF('취약점 진단 항목별 통계 (이행)'!$A:$A,$A10&amp;"*",'취약점 진단 항목별 통계 (이행)'!$O:$O)</f>
        <v>30</v>
      </c>
      <c r="P10" s="11">
        <f ca="1">SUMIF('취약점 진단 항목별 통계 (이행)'!$A:$A,$A10&amp;"*",'취약점 진단 항목별 통계 (이행)'!$P:$P)</f>
        <v>30</v>
      </c>
      <c r="Q10" s="11">
        <f ca="1">SUMIF('취약점 진단 항목별 통계 (이행)'!$A:$A,$A10&amp;"*",'취약점 진단 항목별 통계 (이행)'!$Q:$Q)</f>
        <v>30</v>
      </c>
      <c r="R10" s="11">
        <f ca="1">SUMIF('취약점 진단 항목별 통계 (이행)'!$A:$A,$A10&amp;"*",'취약점 진단 항목별 통계 (이행)'!$R:$R)</f>
        <v>30</v>
      </c>
      <c r="S10" s="26">
        <f t="shared" ca="1" si="1"/>
        <v>0</v>
      </c>
      <c r="T10" s="26">
        <f t="shared" ca="1" si="0"/>
        <v>1</v>
      </c>
      <c r="U10" s="80">
        <f t="shared" ca="1" si="2"/>
        <v>1</v>
      </c>
      <c r="V10" s="6"/>
      <c r="W10" s="6"/>
    </row>
    <row r="11" spans="1:25" ht="15.95" customHeight="1" thickBot="1">
      <c r="A11" s="243" t="s">
        <v>187</v>
      </c>
      <c r="B11" s="233"/>
      <c r="C11" s="233"/>
      <c r="D11" s="234"/>
      <c r="E11" s="97">
        <f t="shared" ref="E11:R11" ca="1" si="3">SUM(E6:E10)</f>
        <v>335</v>
      </c>
      <c r="F11" s="97">
        <f t="shared" ca="1" si="3"/>
        <v>335</v>
      </c>
      <c r="G11" s="97">
        <f t="shared" ca="1" si="3"/>
        <v>256</v>
      </c>
      <c r="H11" s="97">
        <f t="shared" ca="1" si="3"/>
        <v>74</v>
      </c>
      <c r="I11" s="97">
        <f t="shared" ca="1" si="3"/>
        <v>0</v>
      </c>
      <c r="J11" s="97">
        <f t="shared" ca="1" si="3"/>
        <v>74</v>
      </c>
      <c r="K11" s="97">
        <f t="shared" ca="1" si="3"/>
        <v>0</v>
      </c>
      <c r="L11" s="97">
        <f t="shared" ca="1" si="3"/>
        <v>0</v>
      </c>
      <c r="M11" s="97">
        <f t="shared" ca="1" si="3"/>
        <v>0</v>
      </c>
      <c r="N11" s="97">
        <f t="shared" ca="1" si="3"/>
        <v>0</v>
      </c>
      <c r="O11" s="97">
        <f t="shared" ca="1" si="3"/>
        <v>825</v>
      </c>
      <c r="P11" s="97">
        <f t="shared" ca="1" si="3"/>
        <v>825</v>
      </c>
      <c r="Q11" s="97">
        <f t="shared" ca="1" si="3"/>
        <v>622</v>
      </c>
      <c r="R11" s="97">
        <f t="shared" ca="1" si="3"/>
        <v>810</v>
      </c>
      <c r="S11" s="98">
        <f t="shared" ref="S11" ca="1" si="4">IFERROR($J11/($H11-(M11-I11)),"N/A")</f>
        <v>1</v>
      </c>
      <c r="T11" s="98">
        <f t="shared" ca="1" si="0"/>
        <v>0.75393939393939391</v>
      </c>
      <c r="U11" s="82">
        <f t="shared" ref="U11" ca="1" si="5">IF(OR($I11=$E11,$E11=$M11),"N/A", ($R11/$P11))</f>
        <v>0.98181818181818181</v>
      </c>
      <c r="V11" s="6"/>
      <c r="W11" s="6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8"/>
      <c r="S12" s="8"/>
      <c r="T12" s="8"/>
      <c r="U12" s="8"/>
      <c r="V12" s="6"/>
      <c r="W12" s="6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8"/>
      <c r="S13" s="8"/>
      <c r="T13" s="8"/>
      <c r="U13" s="8"/>
      <c r="V13" s="6"/>
      <c r="W13" s="6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8"/>
      <c r="S14" s="8"/>
      <c r="T14" s="8"/>
      <c r="U14" s="8"/>
      <c r="V14" s="6"/>
      <c r="W14" s="6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8"/>
      <c r="S15" s="8"/>
      <c r="T15" s="8"/>
      <c r="U15" s="8"/>
      <c r="V15" s="6"/>
      <c r="W15" s="6"/>
    </row>
    <row r="16" spans="1:25">
      <c r="A16" s="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"/>
      <c r="R16" s="8"/>
      <c r="S16" s="8"/>
      <c r="T16" s="8"/>
      <c r="U16" s="8"/>
      <c r="V16" s="6"/>
      <c r="W16" s="6"/>
    </row>
    <row r="17" spans="1:23">
      <c r="A17" s="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"/>
      <c r="R17" s="8"/>
      <c r="S17" s="8"/>
      <c r="T17" s="8"/>
      <c r="U17" s="8"/>
      <c r="V17" s="6"/>
      <c r="W17" s="6"/>
    </row>
    <row r="18" spans="1:23">
      <c r="A18" s="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"/>
      <c r="R18" s="8"/>
      <c r="S18" s="8"/>
      <c r="T18" s="8"/>
      <c r="U18" s="8"/>
      <c r="V18" s="6"/>
      <c r="W18" s="6"/>
    </row>
    <row r="19" spans="1:23">
      <c r="A19" s="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"/>
      <c r="R19" s="8"/>
      <c r="S19" s="8"/>
      <c r="T19" s="8"/>
      <c r="U19" s="8"/>
      <c r="V19" s="6"/>
      <c r="W19" s="6"/>
    </row>
    <row r="20" spans="1:23">
      <c r="A20" s="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"/>
      <c r="R20" s="8"/>
      <c r="S20" s="8"/>
      <c r="T20" s="8"/>
      <c r="U20" s="8"/>
      <c r="V20" s="6"/>
      <c r="W20" s="6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8"/>
      <c r="S21" s="8"/>
      <c r="T21" s="8"/>
      <c r="U21" s="8"/>
      <c r="V21" s="6"/>
      <c r="W21" s="6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8"/>
      <c r="S22" s="8"/>
      <c r="T22" s="8"/>
      <c r="U22" s="8"/>
      <c r="V22" s="6"/>
      <c r="W22" s="6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8"/>
      <c r="S23" s="8"/>
      <c r="T23" s="8"/>
      <c r="U23" s="8"/>
      <c r="V23" s="6"/>
      <c r="W23" s="6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8"/>
      <c r="S24" s="8"/>
      <c r="T24" s="8"/>
      <c r="U24" s="8"/>
      <c r="V24" s="6"/>
      <c r="W24" s="6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8"/>
      <c r="S25" s="8"/>
      <c r="T25" s="8"/>
      <c r="U25" s="8"/>
      <c r="V25" s="6"/>
      <c r="W25" s="6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8"/>
      <c r="S26" s="8"/>
      <c r="T26" s="8"/>
      <c r="U26" s="8"/>
      <c r="V26" s="6"/>
      <c r="W26" s="6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8"/>
      <c r="S27" s="8"/>
      <c r="T27" s="8"/>
      <c r="U27" s="8"/>
      <c r="V27" s="6"/>
      <c r="W27" s="6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8"/>
      <c r="S28" s="8"/>
      <c r="T28" s="8"/>
      <c r="U28" s="8"/>
      <c r="V28" s="6"/>
      <c r="W28" s="6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8"/>
      <c r="S29" s="8"/>
      <c r="T29" s="8"/>
      <c r="U29" s="8"/>
      <c r="V29" s="6"/>
      <c r="W29" s="6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8"/>
      <c r="S30" s="8"/>
      <c r="T30" s="8"/>
      <c r="U30" s="8"/>
      <c r="V30" s="6"/>
      <c r="W30" s="6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8"/>
      <c r="S31" s="8"/>
      <c r="T31" s="8"/>
      <c r="U31" s="8"/>
      <c r="V31" s="6"/>
      <c r="W31" s="6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8"/>
      <c r="S32" s="8"/>
      <c r="T32" s="8"/>
      <c r="U32" s="8"/>
      <c r="V32" s="6"/>
      <c r="W32" s="6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8"/>
      <c r="S33" s="8"/>
      <c r="T33" s="8"/>
      <c r="U33" s="8"/>
      <c r="V33" s="6"/>
      <c r="W33" s="6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8"/>
      <c r="S34" s="8"/>
      <c r="T34" s="8"/>
      <c r="U34" s="8"/>
      <c r="V34" s="6"/>
      <c r="W34" s="6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8"/>
      <c r="S35" s="8"/>
      <c r="T35" s="8"/>
      <c r="U35" s="8"/>
      <c r="V35" s="6"/>
      <c r="W35" s="6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8"/>
      <c r="S36" s="8"/>
      <c r="T36" s="8"/>
      <c r="U36" s="8"/>
      <c r="V36" s="6"/>
      <c r="W36" s="6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8"/>
      <c r="S37" s="8"/>
      <c r="T37" s="8"/>
      <c r="U37" s="8"/>
      <c r="V37" s="6"/>
      <c r="W37" s="6"/>
    </row>
    <row r="38" spans="1:23">
      <c r="R38" s="6"/>
      <c r="S38" s="6"/>
      <c r="T38" s="6"/>
      <c r="U38" s="6"/>
      <c r="V38" s="6"/>
      <c r="W38" s="6"/>
    </row>
    <row r="39" spans="1:23" ht="15.95" customHeight="1" thickBot="1">
      <c r="A39" s="5" t="s">
        <v>188</v>
      </c>
      <c r="R39" s="6"/>
      <c r="S39" s="6"/>
      <c r="T39" s="6"/>
      <c r="U39" s="6"/>
      <c r="V39" s="6"/>
      <c r="W39" s="6"/>
    </row>
    <row r="40" spans="1:23" ht="15.95" customHeight="1" thickBot="1">
      <c r="A40" s="253" t="s">
        <v>189</v>
      </c>
      <c r="B40" s="213"/>
      <c r="C40" s="213"/>
      <c r="D40" s="247"/>
      <c r="E40" s="249" t="s">
        <v>178</v>
      </c>
      <c r="F40" s="236"/>
      <c r="G40" s="236"/>
      <c r="H40" s="236"/>
      <c r="I40" s="250"/>
      <c r="J40" s="252" t="s">
        <v>190</v>
      </c>
      <c r="K40" s="213"/>
      <c r="L40" s="213"/>
      <c r="M40" s="213"/>
      <c r="N40" s="213"/>
      <c r="O40" s="246" t="s">
        <v>179</v>
      </c>
      <c r="P40" s="213"/>
      <c r="Q40" s="213"/>
      <c r="R40" s="213"/>
      <c r="S40" s="213"/>
      <c r="T40" s="213"/>
      <c r="U40" s="247"/>
      <c r="V40" s="6"/>
      <c r="W40" s="6"/>
    </row>
    <row r="41" spans="1:23" ht="27.95" customHeight="1">
      <c r="A41" s="254"/>
      <c r="B41" s="255"/>
      <c r="C41" s="255"/>
      <c r="D41" s="256"/>
      <c r="E41" s="99" t="s">
        <v>180</v>
      </c>
      <c r="F41" s="100" t="s">
        <v>78</v>
      </c>
      <c r="G41" s="101" t="s">
        <v>181</v>
      </c>
      <c r="H41" s="102" t="s">
        <v>182</v>
      </c>
      <c r="I41" s="103" t="s">
        <v>183</v>
      </c>
      <c r="J41" s="102" t="s">
        <v>191</v>
      </c>
      <c r="K41" s="103" t="s">
        <v>192</v>
      </c>
      <c r="L41" s="102" t="s">
        <v>193</v>
      </c>
      <c r="M41" s="102" t="s">
        <v>183</v>
      </c>
      <c r="N41" s="102" t="s">
        <v>194</v>
      </c>
      <c r="O41" s="102" t="s">
        <v>195</v>
      </c>
      <c r="P41" s="102" t="s">
        <v>196</v>
      </c>
      <c r="Q41" s="102" t="s">
        <v>197</v>
      </c>
      <c r="R41" s="102" t="s">
        <v>198</v>
      </c>
      <c r="S41" s="103" t="s">
        <v>199</v>
      </c>
      <c r="T41" s="102" t="s">
        <v>200</v>
      </c>
      <c r="U41" s="104" t="s">
        <v>201</v>
      </c>
      <c r="V41" s="6"/>
      <c r="W41" s="6"/>
    </row>
    <row r="42" spans="1:23" ht="13.5" customHeight="1">
      <c r="A42" s="230" t="str">
        <f ca="1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WEB-HQ-Ubuntu</v>
      </c>
      <c r="B42" s="222"/>
      <c r="C42" s="231" t="str">
        <f ca="1">IFERROR(VLOOKUP($A42,자산목록!$B$1:$M$835,6,FALSE),"-")</f>
        <v>Ubuntu</v>
      </c>
      <c r="D42" s="222"/>
      <c r="E42" s="45">
        <f ca="1">IFERROR(INDIRECT(ADDRESS(17, 4, 1,TRUE,$A42)),0)</f>
        <v>59</v>
      </c>
      <c r="F42" s="46">
        <f ca="1">E42-I42</f>
        <v>59</v>
      </c>
      <c r="G42" s="45">
        <f ca="1">IFERROR(INDIRECT(ADDRESS(17,5, 1,TRUE,$A42)),0)</f>
        <v>39</v>
      </c>
      <c r="H42" s="45">
        <f ca="1">IFERROR(INDIRECT(ADDRESS(17,6, 1,TRUE,$A42)),0)</f>
        <v>20</v>
      </c>
      <c r="I42" s="45">
        <f ca="1">IFERROR(INDIRECT(ADDRESS(17,7, 1,TRUE,$A42)),0)</f>
        <v>0</v>
      </c>
      <c r="J42" s="45">
        <f ca="1">IFERROR(INDIRECT(ADDRESS(17,10, 1,TRUE,$A42)),0)</f>
        <v>20</v>
      </c>
      <c r="K42" s="60">
        <f ca="1">IFERROR(INDIRECT(ADDRESS(17,11, 1,TRUE,$A42)),0)</f>
        <v>0</v>
      </c>
      <c r="L42" s="45">
        <f ca="1">IFERROR(INDIRECT(ADDRESS(17,12, 1,TRUE,$A42)),0)</f>
        <v>0</v>
      </c>
      <c r="M42" s="45">
        <f ca="1">IFERROR(INDIRECT(ADDRESS(17,13, 1,TRUE,$A42)),0)</f>
        <v>0</v>
      </c>
      <c r="N42" s="45">
        <f ca="1">K42+L42</f>
        <v>0</v>
      </c>
      <c r="O42" s="45">
        <f ca="1">IFERROR(INDIRECT(ADDRESS(17,18, 1,TRUE,$A42)),0)</f>
        <v>146</v>
      </c>
      <c r="P42" s="45">
        <f ca="1">IFERROR(INDIRECT(ADDRESS(17,21, 1,TRUE,$A42)),0)</f>
        <v>146</v>
      </c>
      <c r="Q42" s="45">
        <f ca="1">IFERROR(INDIRECT(ADDRESS(17,19, 1,TRUE,$A42)),0)</f>
        <v>90</v>
      </c>
      <c r="R42" s="60">
        <f ca="1">IFERROR(INDIRECT(ADDRESS(17,20, 1,TRUE,$A42)),0)</f>
        <v>146</v>
      </c>
      <c r="S42" s="62">
        <f ca="1">IFERROR(INDIRECT(ADDRESS(17,14, 1,TRUE,$A42)),0)</f>
        <v>1</v>
      </c>
      <c r="T42" s="62">
        <f ca="1">IFERROR(INDIRECT(ADDRESS(17,8, 1,TRUE,$A42)),0)</f>
        <v>0.61643835616438358</v>
      </c>
      <c r="U42" s="105">
        <f ca="1">IFERROR(INDIRECT(ADDRESS(17,15, 1,TRUE,$A42)),0)</f>
        <v>1</v>
      </c>
      <c r="V42" s="7"/>
    </row>
    <row r="43" spans="1:23" ht="13.5" customHeight="1">
      <c r="A43" s="230" t="str">
        <f t="shared" ref="A43:A50" ca="1" si="6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LOG_HQ_Rocky</v>
      </c>
      <c r="B43" s="222"/>
      <c r="C43" s="231" t="str">
        <f ca="1">IFERROR(VLOOKUP($A43,자산목록!$B$1:$M$835,6,FALSE),"-")</f>
        <v>Rocky</v>
      </c>
      <c r="D43" s="222"/>
      <c r="E43" s="45">
        <f t="shared" ref="E43:E51" ca="1" si="7">IFERROR(INDIRECT(ADDRESS(17, 4, 1,TRUE,$A43)),0)</f>
        <v>59</v>
      </c>
      <c r="F43" s="46">
        <f t="shared" ref="F43:F51" ca="1" si="8">E43-I43</f>
        <v>59</v>
      </c>
      <c r="G43" s="45">
        <f t="shared" ref="G43:G51" ca="1" si="9">IFERROR(INDIRECT(ADDRESS(17,5, 1,TRUE,$A43)),0)</f>
        <v>41</v>
      </c>
      <c r="H43" s="45">
        <f t="shared" ref="H43:H51" ca="1" si="10">IFERROR(INDIRECT(ADDRESS(17,6, 1,TRUE,$A43)),0)</f>
        <v>18</v>
      </c>
      <c r="I43" s="45">
        <f t="shared" ref="I43:I51" ca="1" si="11">IFERROR(INDIRECT(ADDRESS(17,7, 1,TRUE,$A43)),0)</f>
        <v>0</v>
      </c>
      <c r="J43" s="45">
        <f t="shared" ref="J43:J51" ca="1" si="12">IFERROR(INDIRECT(ADDRESS(17,10, 1,TRUE,$A43)),0)</f>
        <v>18</v>
      </c>
      <c r="K43" s="60">
        <f t="shared" ref="K43:K51" ca="1" si="13">IFERROR(INDIRECT(ADDRESS(17,11, 1,TRUE,$A43)),0)</f>
        <v>0</v>
      </c>
      <c r="L43" s="45">
        <f t="shared" ref="L43:L51" ca="1" si="14">IFERROR(INDIRECT(ADDRESS(17,12, 1,TRUE,$A43)),0)</f>
        <v>0</v>
      </c>
      <c r="M43" s="45">
        <f t="shared" ref="M43:M51" ca="1" si="15">IFERROR(INDIRECT(ADDRESS(17,13, 1,TRUE,$A43)),0)</f>
        <v>0</v>
      </c>
      <c r="N43" s="45">
        <f t="shared" ref="N43:N51" ca="1" si="16">K43+L43</f>
        <v>0</v>
      </c>
      <c r="O43" s="45">
        <f t="shared" ref="O43:O51" ca="1" si="17">IFERROR(INDIRECT(ADDRESS(17,18, 1,TRUE,$A43)),0)</f>
        <v>146</v>
      </c>
      <c r="P43" s="45">
        <f t="shared" ref="P43:P51" ca="1" si="18">IFERROR(INDIRECT(ADDRESS(17,21, 1,TRUE,$A43)),0)</f>
        <v>146</v>
      </c>
      <c r="Q43" s="45">
        <f t="shared" ref="Q43:Q51" ca="1" si="19">IFERROR(INDIRECT(ADDRESS(17,19, 1,TRUE,$A43)),0)</f>
        <v>96</v>
      </c>
      <c r="R43" s="60">
        <f t="shared" ref="R43:R51" ca="1" si="20">IFERROR(INDIRECT(ADDRESS(17,20, 1,TRUE,$A43)),0)</f>
        <v>146</v>
      </c>
      <c r="S43" s="62">
        <f t="shared" ref="S43:S51" ca="1" si="21">IFERROR(INDIRECT(ADDRESS(17,14, 1,TRUE,$A43)),0)</f>
        <v>1</v>
      </c>
      <c r="T43" s="62">
        <f t="shared" ref="T43:T51" ca="1" si="22">IFERROR(INDIRECT(ADDRESS(17,8, 1,TRUE,$A43)),0)</f>
        <v>0.65753424657534243</v>
      </c>
      <c r="U43" s="105">
        <f t="shared" ref="U43:U50" ca="1" si="23">IFERROR(INDIRECT(ADDRESS(17,15, 1,TRUE,$A43)),0)</f>
        <v>1</v>
      </c>
      <c r="V43" s="7"/>
    </row>
    <row r="44" spans="1:23" ht="13.5" customHeight="1">
      <c r="A44" s="230" t="str">
        <f t="shared" ca="1" si="6"/>
        <v>DB_HQ_Rocky</v>
      </c>
      <c r="B44" s="222"/>
      <c r="C44" s="231" t="str">
        <f ca="1">IFERROR(VLOOKUP($A44,자산목록!$B$1:$M$835,6,FALSE),"-")</f>
        <v>Rocky</v>
      </c>
      <c r="D44" s="222"/>
      <c r="E44" s="45">
        <f t="shared" ca="1" si="7"/>
        <v>59</v>
      </c>
      <c r="F44" s="46">
        <f t="shared" ca="1" si="8"/>
        <v>59</v>
      </c>
      <c r="G44" s="45">
        <f t="shared" ca="1" si="9"/>
        <v>41</v>
      </c>
      <c r="H44" s="45">
        <f t="shared" ca="1" si="10"/>
        <v>18</v>
      </c>
      <c r="I44" s="45">
        <f t="shared" ca="1" si="11"/>
        <v>0</v>
      </c>
      <c r="J44" s="45">
        <f t="shared" ca="1" si="12"/>
        <v>18</v>
      </c>
      <c r="K44" s="60">
        <f t="shared" ca="1" si="13"/>
        <v>0</v>
      </c>
      <c r="L44" s="45">
        <f t="shared" ca="1" si="14"/>
        <v>0</v>
      </c>
      <c r="M44" s="45">
        <f t="shared" ca="1" si="15"/>
        <v>0</v>
      </c>
      <c r="N44" s="45">
        <f t="shared" ca="1" si="16"/>
        <v>0</v>
      </c>
      <c r="O44" s="45">
        <f t="shared" ca="1" si="17"/>
        <v>146</v>
      </c>
      <c r="P44" s="45">
        <f t="shared" ca="1" si="18"/>
        <v>146</v>
      </c>
      <c r="Q44" s="45">
        <f t="shared" ca="1" si="19"/>
        <v>96</v>
      </c>
      <c r="R44" s="60">
        <f t="shared" ca="1" si="20"/>
        <v>146</v>
      </c>
      <c r="S44" s="62">
        <f t="shared" ca="1" si="21"/>
        <v>1</v>
      </c>
      <c r="T44" s="62">
        <f t="shared" ca="1" si="22"/>
        <v>0.65753424657534243</v>
      </c>
      <c r="U44" s="105">
        <f t="shared" ca="1" si="23"/>
        <v>1</v>
      </c>
      <c r="V44" s="7"/>
    </row>
    <row r="45" spans="1:23" ht="13.5" customHeight="1">
      <c r="A45" s="230" t="str">
        <f t="shared" ca="1" si="6"/>
        <v>BDB_HQ_Rocky</v>
      </c>
      <c r="B45" s="222"/>
      <c r="C45" s="231" t="str">
        <f ca="1">IFERROR(VLOOKUP($A45,자산목록!$B$1:$M$835,6,FALSE),"-")</f>
        <v>Rocky</v>
      </c>
      <c r="D45" s="222"/>
      <c r="E45" s="45">
        <f t="shared" ca="1" si="7"/>
        <v>59</v>
      </c>
      <c r="F45" s="46">
        <f t="shared" ca="1" si="8"/>
        <v>59</v>
      </c>
      <c r="G45" s="45">
        <f t="shared" ca="1" si="9"/>
        <v>39</v>
      </c>
      <c r="H45" s="45">
        <f t="shared" ca="1" si="10"/>
        <v>20</v>
      </c>
      <c r="I45" s="45">
        <f t="shared" ca="1" si="11"/>
        <v>0</v>
      </c>
      <c r="J45" s="45">
        <f t="shared" ca="1" si="12"/>
        <v>20</v>
      </c>
      <c r="K45" s="60">
        <f t="shared" ca="1" si="13"/>
        <v>0</v>
      </c>
      <c r="L45" s="45">
        <f t="shared" ca="1" si="14"/>
        <v>0</v>
      </c>
      <c r="M45" s="45">
        <f t="shared" ca="1" si="15"/>
        <v>0</v>
      </c>
      <c r="N45" s="45">
        <f t="shared" ca="1" si="16"/>
        <v>0</v>
      </c>
      <c r="O45" s="45">
        <f t="shared" ca="1" si="17"/>
        <v>146</v>
      </c>
      <c r="P45" s="45">
        <f t="shared" ca="1" si="18"/>
        <v>146</v>
      </c>
      <c r="Q45" s="45">
        <f t="shared" ca="1" si="19"/>
        <v>90</v>
      </c>
      <c r="R45" s="60">
        <f t="shared" ca="1" si="20"/>
        <v>146</v>
      </c>
      <c r="S45" s="62">
        <f t="shared" ca="1" si="21"/>
        <v>1</v>
      </c>
      <c r="T45" s="62">
        <f t="shared" ca="1" si="22"/>
        <v>0.61643835616438358</v>
      </c>
      <c r="U45" s="105">
        <f t="shared" ca="1" si="23"/>
        <v>1</v>
      </c>
      <c r="V45" s="7"/>
    </row>
    <row r="46" spans="1:23" ht="13.5" customHeight="1">
      <c r="A46" s="230" t="str">
        <f t="shared" ca="1" si="6"/>
        <v>BLOG_HQ_Rocky</v>
      </c>
      <c r="B46" s="222"/>
      <c r="C46" s="231" t="str">
        <f ca="1">IFERROR(VLOOKUP($A46,자산목록!$B$1:$M$835,6,FALSE),"-")</f>
        <v>Rocky</v>
      </c>
      <c r="D46" s="222"/>
      <c r="E46" s="45">
        <f t="shared" ca="1" si="7"/>
        <v>59</v>
      </c>
      <c r="F46" s="46">
        <f t="shared" ca="1" si="8"/>
        <v>59</v>
      </c>
      <c r="G46" s="45">
        <f t="shared" ca="1" si="9"/>
        <v>39</v>
      </c>
      <c r="H46" s="45">
        <f t="shared" ca="1" si="10"/>
        <v>20</v>
      </c>
      <c r="I46" s="45">
        <f t="shared" ca="1" si="11"/>
        <v>0</v>
      </c>
      <c r="J46" s="45">
        <f t="shared" ca="1" si="12"/>
        <v>20</v>
      </c>
      <c r="K46" s="60">
        <f t="shared" ca="1" si="13"/>
        <v>0</v>
      </c>
      <c r="L46" s="45">
        <f t="shared" ca="1" si="14"/>
        <v>0</v>
      </c>
      <c r="M46" s="45">
        <f t="shared" ca="1" si="15"/>
        <v>0</v>
      </c>
      <c r="N46" s="45">
        <f t="shared" ca="1" si="16"/>
        <v>0</v>
      </c>
      <c r="O46" s="45">
        <f t="shared" ca="1" si="17"/>
        <v>146</v>
      </c>
      <c r="P46" s="45">
        <f t="shared" ca="1" si="18"/>
        <v>146</v>
      </c>
      <c r="Q46" s="45">
        <f t="shared" ca="1" si="19"/>
        <v>90</v>
      </c>
      <c r="R46" s="60">
        <f t="shared" ca="1" si="20"/>
        <v>146</v>
      </c>
      <c r="S46" s="62">
        <f t="shared" ca="1" si="21"/>
        <v>1</v>
      </c>
      <c r="T46" s="62">
        <f t="shared" ca="1" si="22"/>
        <v>0.61643835616438358</v>
      </c>
      <c r="U46" s="105">
        <f t="shared" ca="1" si="23"/>
        <v>1</v>
      </c>
      <c r="V46" s="7"/>
    </row>
    <row r="47" spans="1:23" ht="13.5" customHeight="1">
      <c r="A47" s="230" t="str">
        <f t="shared" ca="1" si="6"/>
        <v>PHP_BR_Rocky</v>
      </c>
      <c r="B47" s="222"/>
      <c r="C47" s="231" t="str">
        <f ca="1">IFERROR(VLOOKUP($A47,자산목록!$B$1:$M$835,6,FALSE),"-")</f>
        <v>Rocky</v>
      </c>
      <c r="D47" s="222"/>
      <c r="E47" s="45">
        <f t="shared" ca="1" si="7"/>
        <v>59</v>
      </c>
      <c r="F47" s="46">
        <f t="shared" ref="F47:F50" ca="1" si="24">E47-I47</f>
        <v>59</v>
      </c>
      <c r="G47" s="45">
        <f t="shared" ca="1" si="9"/>
        <v>59</v>
      </c>
      <c r="H47" s="45">
        <f t="shared" ca="1" si="10"/>
        <v>0</v>
      </c>
      <c r="I47" s="45">
        <f t="shared" ca="1" si="11"/>
        <v>0</v>
      </c>
      <c r="J47" s="45">
        <f t="shared" ca="1" si="12"/>
        <v>0</v>
      </c>
      <c r="K47" s="60">
        <f t="shared" ca="1" si="13"/>
        <v>0</v>
      </c>
      <c r="L47" s="45">
        <f t="shared" ca="1" si="14"/>
        <v>0</v>
      </c>
      <c r="M47" s="45">
        <f t="shared" ca="1" si="15"/>
        <v>0</v>
      </c>
      <c r="N47" s="45">
        <f t="shared" ref="N47:N50" ca="1" si="25">K47+L47</f>
        <v>0</v>
      </c>
      <c r="O47" s="45">
        <f t="shared" ca="1" si="17"/>
        <v>146</v>
      </c>
      <c r="P47" s="45">
        <f t="shared" ca="1" si="18"/>
        <v>146</v>
      </c>
      <c r="Q47" s="45">
        <f t="shared" ca="1" si="19"/>
        <v>146</v>
      </c>
      <c r="R47" s="60">
        <f t="shared" ca="1" si="20"/>
        <v>146</v>
      </c>
      <c r="S47" s="62" t="str">
        <f t="shared" ca="1" si="21"/>
        <v>N/A</v>
      </c>
      <c r="T47" s="62">
        <f t="shared" ca="1" si="22"/>
        <v>1</v>
      </c>
      <c r="U47" s="105">
        <f t="shared" ca="1" si="23"/>
        <v>1</v>
      </c>
      <c r="V47" s="7"/>
    </row>
    <row r="48" spans="1:23" ht="13.5" customHeight="1">
      <c r="A48" s="230" t="str">
        <f t="shared" ca="1" si="6"/>
        <v>LOG_BR_Rocky</v>
      </c>
      <c r="B48" s="222"/>
      <c r="C48" s="231" t="str">
        <f ca="1">IFERROR(VLOOKUP($A48,자산목록!$B$1:$M$835,6,FALSE),"-")</f>
        <v>Rocky</v>
      </c>
      <c r="D48" s="222"/>
      <c r="E48" s="45">
        <f t="shared" ca="1" si="7"/>
        <v>59</v>
      </c>
      <c r="F48" s="46">
        <f t="shared" ca="1" si="24"/>
        <v>59</v>
      </c>
      <c r="G48" s="45">
        <f t="shared" ca="1" si="9"/>
        <v>59</v>
      </c>
      <c r="H48" s="45">
        <f t="shared" ca="1" si="10"/>
        <v>0</v>
      </c>
      <c r="I48" s="45">
        <f t="shared" ca="1" si="11"/>
        <v>0</v>
      </c>
      <c r="J48" s="45">
        <f t="shared" ca="1" si="12"/>
        <v>0</v>
      </c>
      <c r="K48" s="60">
        <f t="shared" ca="1" si="13"/>
        <v>0</v>
      </c>
      <c r="L48" s="45">
        <f t="shared" ca="1" si="14"/>
        <v>0</v>
      </c>
      <c r="M48" s="45">
        <f t="shared" ca="1" si="15"/>
        <v>0</v>
      </c>
      <c r="N48" s="45">
        <f t="shared" ca="1" si="25"/>
        <v>0</v>
      </c>
      <c r="O48" s="45">
        <f t="shared" ca="1" si="17"/>
        <v>146</v>
      </c>
      <c r="P48" s="45">
        <f t="shared" ca="1" si="18"/>
        <v>146</v>
      </c>
      <c r="Q48" s="45">
        <f t="shared" ca="1" si="19"/>
        <v>146</v>
      </c>
      <c r="R48" s="60">
        <f t="shared" ca="1" si="20"/>
        <v>146</v>
      </c>
      <c r="S48" s="62" t="str">
        <f t="shared" ca="1" si="21"/>
        <v>N/A</v>
      </c>
      <c r="T48" s="62">
        <f t="shared" ca="1" si="22"/>
        <v>1</v>
      </c>
      <c r="U48" s="105">
        <f t="shared" ca="1" si="23"/>
        <v>1</v>
      </c>
      <c r="V48" s="7"/>
    </row>
    <row r="49" spans="1:22" ht="13.5" customHeight="1">
      <c r="A49" s="230" t="str">
        <f t="shared" ca="1" si="6"/>
        <v>DB_BR_Rocky</v>
      </c>
      <c r="B49" s="222"/>
      <c r="C49" s="231" t="str">
        <f ca="1">IFERROR(VLOOKUP($A49,자산목록!$B$1:$M$835,6,FALSE),"-")</f>
        <v>Rocky</v>
      </c>
      <c r="D49" s="222"/>
      <c r="E49" s="45">
        <f t="shared" ca="1" si="7"/>
        <v>59</v>
      </c>
      <c r="F49" s="46">
        <f t="shared" ca="1" si="24"/>
        <v>59</v>
      </c>
      <c r="G49" s="45">
        <f t="shared" ca="1" si="9"/>
        <v>59</v>
      </c>
      <c r="H49" s="45">
        <f t="shared" ca="1" si="10"/>
        <v>0</v>
      </c>
      <c r="I49" s="45">
        <f t="shared" ca="1" si="11"/>
        <v>0</v>
      </c>
      <c r="J49" s="45">
        <f t="shared" ca="1" si="12"/>
        <v>0</v>
      </c>
      <c r="K49" s="60">
        <f t="shared" ca="1" si="13"/>
        <v>0</v>
      </c>
      <c r="L49" s="45">
        <f t="shared" ca="1" si="14"/>
        <v>0</v>
      </c>
      <c r="M49" s="45">
        <f t="shared" ca="1" si="15"/>
        <v>0</v>
      </c>
      <c r="N49" s="45">
        <f t="shared" ca="1" si="25"/>
        <v>0</v>
      </c>
      <c r="O49" s="45">
        <f t="shared" ca="1" si="17"/>
        <v>146</v>
      </c>
      <c r="P49" s="45">
        <f t="shared" ca="1" si="18"/>
        <v>146</v>
      </c>
      <c r="Q49" s="45">
        <f t="shared" ca="1" si="19"/>
        <v>146</v>
      </c>
      <c r="R49" s="60">
        <f t="shared" ca="1" si="20"/>
        <v>146</v>
      </c>
      <c r="S49" s="62" t="str">
        <f t="shared" ca="1" si="21"/>
        <v>N/A</v>
      </c>
      <c r="T49" s="62">
        <f t="shared" ca="1" si="22"/>
        <v>1</v>
      </c>
      <c r="U49" s="105">
        <f t="shared" ca="1" si="23"/>
        <v>1</v>
      </c>
      <c r="V49" s="7"/>
    </row>
    <row r="50" spans="1:22" ht="13.5" customHeight="1">
      <c r="A50" s="230" t="str">
        <f t="shared" ca="1" si="6"/>
        <v>BDB_BR_Rocky</v>
      </c>
      <c r="B50" s="222"/>
      <c r="C50" s="231" t="str">
        <f ca="1">IFERROR(VLOOKUP($A50,자산목록!$B$1:$M$835,6,FALSE),"-")</f>
        <v>Rocky</v>
      </c>
      <c r="D50" s="222"/>
      <c r="E50" s="45">
        <f t="shared" ca="1" si="7"/>
        <v>59</v>
      </c>
      <c r="F50" s="46">
        <f t="shared" ca="1" si="24"/>
        <v>59</v>
      </c>
      <c r="G50" s="45">
        <f t="shared" ca="1" si="9"/>
        <v>59</v>
      </c>
      <c r="H50" s="45">
        <f t="shared" ca="1" si="10"/>
        <v>0</v>
      </c>
      <c r="I50" s="45">
        <f t="shared" ca="1" si="11"/>
        <v>0</v>
      </c>
      <c r="J50" s="45">
        <f t="shared" ca="1" si="12"/>
        <v>0</v>
      </c>
      <c r="K50" s="60">
        <f t="shared" ca="1" si="13"/>
        <v>0</v>
      </c>
      <c r="L50" s="45">
        <f t="shared" ca="1" si="14"/>
        <v>0</v>
      </c>
      <c r="M50" s="45">
        <f t="shared" ca="1" si="15"/>
        <v>0</v>
      </c>
      <c r="N50" s="45">
        <f t="shared" ca="1" si="25"/>
        <v>0</v>
      </c>
      <c r="O50" s="45">
        <f t="shared" ca="1" si="17"/>
        <v>146</v>
      </c>
      <c r="P50" s="45">
        <f t="shared" ca="1" si="18"/>
        <v>146</v>
      </c>
      <c r="Q50" s="45">
        <f t="shared" ca="1" si="19"/>
        <v>146</v>
      </c>
      <c r="R50" s="60">
        <f t="shared" ca="1" si="20"/>
        <v>146</v>
      </c>
      <c r="S50" s="62" t="str">
        <f t="shared" ca="1" si="21"/>
        <v>N/A</v>
      </c>
      <c r="T50" s="62">
        <f t="shared" ca="1" si="22"/>
        <v>1</v>
      </c>
      <c r="U50" s="105">
        <f t="shared" ca="1" si="23"/>
        <v>1</v>
      </c>
      <c r="V50" s="7"/>
    </row>
    <row r="51" spans="1:22" ht="13.5" customHeight="1">
      <c r="A51" s="257" t="str">
        <f t="shared" ref="A51" ca="1" si="26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BLOG_BR_Rocky</v>
      </c>
      <c r="B51" s="258"/>
      <c r="C51" s="259" t="str">
        <f ca="1">IFERROR(VLOOKUP($A51,자산목록!$B$1:$M$835,6,FALSE),"-")</f>
        <v>Rocky</v>
      </c>
      <c r="D51" s="260"/>
      <c r="E51" s="45">
        <f t="shared" ca="1" si="7"/>
        <v>59</v>
      </c>
      <c r="F51" s="46">
        <f t="shared" ca="1" si="8"/>
        <v>59</v>
      </c>
      <c r="G51" s="45">
        <f t="shared" ca="1" si="9"/>
        <v>59</v>
      </c>
      <c r="H51" s="45">
        <f t="shared" ca="1" si="10"/>
        <v>0</v>
      </c>
      <c r="I51" s="45">
        <f t="shared" ca="1" si="11"/>
        <v>0</v>
      </c>
      <c r="J51" s="45">
        <f t="shared" ca="1" si="12"/>
        <v>0</v>
      </c>
      <c r="K51" s="60">
        <f t="shared" ca="1" si="13"/>
        <v>0</v>
      </c>
      <c r="L51" s="45">
        <f t="shared" ca="1" si="14"/>
        <v>0</v>
      </c>
      <c r="M51" s="45">
        <f t="shared" ca="1" si="15"/>
        <v>0</v>
      </c>
      <c r="N51" s="45">
        <f t="shared" ca="1" si="16"/>
        <v>0</v>
      </c>
      <c r="O51" s="45">
        <f t="shared" ca="1" si="17"/>
        <v>146</v>
      </c>
      <c r="P51" s="45">
        <f t="shared" ca="1" si="18"/>
        <v>146</v>
      </c>
      <c r="Q51" s="45">
        <f t="shared" ca="1" si="19"/>
        <v>146</v>
      </c>
      <c r="R51" s="60">
        <f t="shared" ca="1" si="20"/>
        <v>146</v>
      </c>
      <c r="S51" s="62" t="str">
        <f t="shared" ca="1" si="21"/>
        <v>N/A</v>
      </c>
      <c r="T51" s="62">
        <f t="shared" ca="1" si="22"/>
        <v>1</v>
      </c>
      <c r="U51" s="105">
        <f ca="1">IFERROR(INDIRECT(ADDRESS(17,15, 1,TRUE,$A51)),0)</f>
        <v>1</v>
      </c>
      <c r="V51" s="7"/>
    </row>
    <row r="52" spans="1:22" ht="15.95" customHeight="1" thickBot="1">
      <c r="A52" s="232" t="s">
        <v>187</v>
      </c>
      <c r="B52" s="233"/>
      <c r="C52" s="233"/>
      <c r="D52" s="234"/>
      <c r="E52" s="85">
        <f t="shared" ref="E52:R52" ca="1" si="27">SUM(E42:E51)</f>
        <v>590</v>
      </c>
      <c r="F52" s="85">
        <f t="shared" ca="1" si="27"/>
        <v>590</v>
      </c>
      <c r="G52" s="85">
        <f t="shared" ca="1" si="27"/>
        <v>494</v>
      </c>
      <c r="H52" s="85">
        <f t="shared" ca="1" si="27"/>
        <v>96</v>
      </c>
      <c r="I52" s="85">
        <f t="shared" ca="1" si="27"/>
        <v>0</v>
      </c>
      <c r="J52" s="85">
        <f t="shared" ca="1" si="27"/>
        <v>96</v>
      </c>
      <c r="K52" s="85">
        <f t="shared" ca="1" si="27"/>
        <v>0</v>
      </c>
      <c r="L52" s="85">
        <f t="shared" ca="1" si="27"/>
        <v>0</v>
      </c>
      <c r="M52" s="85">
        <f t="shared" ca="1" si="27"/>
        <v>0</v>
      </c>
      <c r="N52" s="85">
        <f t="shared" ca="1" si="27"/>
        <v>0</v>
      </c>
      <c r="O52" s="85">
        <f t="shared" ca="1" si="27"/>
        <v>1460</v>
      </c>
      <c r="P52" s="85">
        <f t="shared" ca="1" si="27"/>
        <v>1460</v>
      </c>
      <c r="Q52" s="85">
        <f t="shared" ca="1" si="27"/>
        <v>1192</v>
      </c>
      <c r="R52" s="85">
        <f t="shared" ca="1" si="27"/>
        <v>1460</v>
      </c>
      <c r="S52" s="106">
        <f ca="1">IFERROR($J52/($H52-(M52-I52)),"N/A")</f>
        <v>1</v>
      </c>
      <c r="T52" s="106">
        <f ca="1">IF($I52=$E52, "N/A", (Q52/O52))</f>
        <v>0.81643835616438354</v>
      </c>
      <c r="U52" s="107">
        <f ca="1">IF(OR($I52=$E52,$E52=$M52),"N/A", ($R52/$P52))</f>
        <v>1</v>
      </c>
      <c r="V52" s="7"/>
    </row>
    <row r="53" spans="1:22">
      <c r="A53" s="2"/>
    </row>
    <row r="54" spans="1:22">
      <c r="A54" s="2"/>
    </row>
    <row r="55" spans="1:22">
      <c r="A55" s="6"/>
    </row>
    <row r="56" spans="1:22">
      <c r="A56" s="6"/>
    </row>
    <row r="57" spans="1:22">
      <c r="A57" s="6"/>
    </row>
    <row r="58" spans="1:22">
      <c r="A58" s="6"/>
    </row>
    <row r="59" spans="1:22">
      <c r="A59" s="6"/>
    </row>
    <row r="60" spans="1:22">
      <c r="A60" s="6"/>
    </row>
    <row r="61" spans="1:22">
      <c r="A61" s="6"/>
    </row>
    <row r="62" spans="1:22">
      <c r="A62" s="6"/>
    </row>
    <row r="63" spans="1:22">
      <c r="A63" s="6"/>
    </row>
    <row r="64" spans="1:22">
      <c r="A64" s="6"/>
    </row>
    <row r="65" spans="1:1">
      <c r="A65" s="6"/>
    </row>
    <row r="66" spans="1:1">
      <c r="A66" s="6"/>
    </row>
    <row r="67" spans="1:1">
      <c r="A67" s="6"/>
    </row>
  </sheetData>
  <mergeCells count="35">
    <mergeCell ref="C48:D48"/>
    <mergeCell ref="A48:B48"/>
    <mergeCell ref="A49:B49"/>
    <mergeCell ref="C49:D49"/>
    <mergeCell ref="A50:B50"/>
    <mergeCell ref="C50:D50"/>
    <mergeCell ref="A52:D52"/>
    <mergeCell ref="A40:D41"/>
    <mergeCell ref="A42:B42"/>
    <mergeCell ref="C42:D42"/>
    <mergeCell ref="A51:B51"/>
    <mergeCell ref="C51:D51"/>
    <mergeCell ref="A43:B43"/>
    <mergeCell ref="C43:D43"/>
    <mergeCell ref="A44:B44"/>
    <mergeCell ref="C44:D44"/>
    <mergeCell ref="A45:B45"/>
    <mergeCell ref="C45:D45"/>
    <mergeCell ref="A46:B46"/>
    <mergeCell ref="C46:D46"/>
    <mergeCell ref="C47:D47"/>
    <mergeCell ref="A47:B47"/>
    <mergeCell ref="O4:U4"/>
    <mergeCell ref="O40:U40"/>
    <mergeCell ref="A4:D5"/>
    <mergeCell ref="E4:I4"/>
    <mergeCell ref="E40:I40"/>
    <mergeCell ref="J4:N4"/>
    <mergeCell ref="J40:N40"/>
    <mergeCell ref="A6:D6"/>
    <mergeCell ref="A7:D7"/>
    <mergeCell ref="A8:D8"/>
    <mergeCell ref="A9:D9"/>
    <mergeCell ref="A10:D10"/>
    <mergeCell ref="A11:D11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43" fitToHeight="0" orientation="portrait" r:id="rId1"/>
  <headerFooter alignWithMargins="0">
    <oddHeader>&amp;L
&amp;R&amp;F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Q72"/>
  <sheetViews>
    <sheetView showGridLines="0" view="pageBreakPreview" zoomScaleNormal="100" zoomScaleSheetLayoutView="100" workbookViewId="0">
      <pane xSplit="4" ySplit="4" topLeftCell="E32" activePane="bottomRight" state="frozen"/>
      <selection pane="topRight"/>
      <selection pane="bottomLeft"/>
      <selection pane="bottomRight" activeCell="E5" sqref="E5"/>
    </sheetView>
  </sheetViews>
  <sheetFormatPr defaultColWidth="8.77734375" defaultRowHeight="11.25"/>
  <cols>
    <col min="1" max="1" width="14.77734375" style="20" bestFit="1" customWidth="1"/>
    <col min="2" max="2" width="6.109375" style="17" customWidth="1"/>
    <col min="3" max="3" width="31.109375" style="22" bestFit="1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3" width="12.44140625" style="39" bestFit="1" customWidth="1"/>
    <col min="14" max="14" width="8.77734375" style="17" customWidth="1"/>
    <col min="15" max="16384" width="8.77734375" style="17"/>
  </cols>
  <sheetData>
    <row r="1" spans="1:17" s="19" customFormat="1" ht="17.100000000000001" customHeight="1">
      <c r="A1" s="16" t="s">
        <v>0</v>
      </c>
      <c r="F1" s="18"/>
      <c r="G1" s="18"/>
      <c r="J1" s="24"/>
      <c r="L1" s="14"/>
      <c r="M1" s="38"/>
    </row>
    <row r="2" spans="1:17" s="19" customFormat="1" ht="14.1" customHeight="1" thickBot="1">
      <c r="A2" s="14"/>
      <c r="C2" s="18"/>
      <c r="D2" s="18"/>
      <c r="E2" s="18"/>
      <c r="F2" s="18"/>
      <c r="G2" s="18"/>
      <c r="H2" s="14"/>
      <c r="I2" s="14"/>
      <c r="J2" s="14"/>
      <c r="L2" s="14"/>
      <c r="M2" s="38"/>
    </row>
    <row r="3" spans="1:17" s="20" customFormat="1" ht="16.350000000000001" customHeight="1" thickBot="1">
      <c r="A3" s="265" t="str">
        <f>ChkList!A4</f>
        <v>분류</v>
      </c>
      <c r="B3" s="247"/>
      <c r="C3" s="262" t="str">
        <f>ChkList!C4</f>
        <v>진단항목</v>
      </c>
      <c r="D3" s="262" t="str">
        <f>ChkList!D4</f>
        <v>중요도</v>
      </c>
      <c r="E3" s="214"/>
      <c r="F3" s="266" t="s">
        <v>202</v>
      </c>
      <c r="G3" s="236"/>
      <c r="H3" s="236"/>
      <c r="I3" s="236"/>
      <c r="J3" s="236"/>
      <c r="K3" s="261" t="s">
        <v>203</v>
      </c>
      <c r="L3" s="213"/>
      <c r="M3" s="113" t="s">
        <v>204</v>
      </c>
      <c r="N3" s="113" t="s">
        <v>204</v>
      </c>
      <c r="O3" s="113" t="s">
        <v>204</v>
      </c>
      <c r="P3" s="113" t="s">
        <v>204</v>
      </c>
      <c r="Q3" s="113" t="s">
        <v>204</v>
      </c>
    </row>
    <row r="4" spans="1:17" s="20" customFormat="1">
      <c r="A4" s="254"/>
      <c r="B4" s="256"/>
      <c r="C4" s="218"/>
      <c r="D4" s="263"/>
      <c r="E4" s="264"/>
      <c r="F4" s="108" t="s">
        <v>205</v>
      </c>
      <c r="G4" s="110" t="s">
        <v>181</v>
      </c>
      <c r="H4" s="109" t="s">
        <v>206</v>
      </c>
      <c r="I4" s="111" t="s">
        <v>182</v>
      </c>
      <c r="J4" s="111" t="s">
        <v>53</v>
      </c>
      <c r="K4" s="111" t="s">
        <v>205</v>
      </c>
      <c r="L4" s="111" t="s">
        <v>207</v>
      </c>
      <c r="M4" s="112" t="str">
        <f ca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WEB-HQ-Ubuntu</v>
      </c>
      <c r="N4" s="112" t="str">
        <f t="shared" ref="N4:Q4" ca="1" si="0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LOG_HQ_Rocky</v>
      </c>
      <c r="O4" s="112" t="str">
        <f t="shared" ca="1" si="0"/>
        <v>DB_HQ_Rocky</v>
      </c>
      <c r="P4" s="112" t="str">
        <f t="shared" ca="1" si="0"/>
        <v>BDB_HQ_Rocky</v>
      </c>
      <c r="Q4" s="112" t="str">
        <f t="shared" ca="1" si="0"/>
        <v>BLOG_HQ_Rocky</v>
      </c>
    </row>
    <row r="5" spans="1:17" ht="14.1" customHeight="1">
      <c r="A5" s="174" t="str">
        <f>ChkList!A5</f>
        <v>계정 관리</v>
      </c>
      <c r="B5" s="174" t="str">
        <f>ChkList!B5</f>
        <v>U-01</v>
      </c>
      <c r="C5" s="174" t="str">
        <f>ChkList!C5</f>
        <v>root 계정 원격 접속 제한</v>
      </c>
      <c r="D5" s="174" t="str">
        <f>ChkList!D5</f>
        <v>H</v>
      </c>
      <c r="E5" s="174">
        <f>ChkList!E5</f>
        <v>3</v>
      </c>
      <c r="F5" s="23">
        <f ca="1">COUNTA($M5:INDIRECT(ADDRESS(ROW(),MATCH("",$4:$4,-1),1,1)))</f>
        <v>5</v>
      </c>
      <c r="G5" s="23">
        <f ca="1">COUNTIF($M5:INDIRECT(ADDRESS(ROW(),MATCH("",$4:$4,-1),1,1)),"조치완료(Y)")+COUNTIF($M5:INDIRECT(ADDRESS(ROW(),MATCH("",$4:$4,-1),1,1)),"Y")</f>
        <v>5</v>
      </c>
      <c r="H5" s="23">
        <f ca="1">COUNTIF($M5:INDIRECT(ADDRESS(ROW(),MATCH("",$4:$4,-1),1,1)),"Y(즉시조치)")+COUNTIF($M5:INDIRECT(ADDRESS(ROW(),MATCH("",$4:$4,-1),1,1)),"조치완료(즉시조치)")</f>
        <v>0</v>
      </c>
      <c r="I5" s="23">
        <f ca="1">COUNTIF($M5:INDIRECT(ADDRESS(ROW(),MATCH("",$4:$4,-1),1,1)),"N")</f>
        <v>0</v>
      </c>
      <c r="J5" s="23">
        <f ca="1">COUNTIF($M5:INDIRECT(ADDRESS(ROW(),MATCH("",$4:$4,-1),1,1)),"N/A")+COUNTIF($M5:INDIRECT(ADDRESS(ROW(),MATCH("",$4:$4,-1),1,1)),"조치완료(N/A)")</f>
        <v>0</v>
      </c>
      <c r="K5" s="23">
        <f ca="1">VLOOKUP($D5,'parm(hidden)'!$B$8:$C$10,2,FALSE)*($F5-$J5)</f>
        <v>15</v>
      </c>
      <c r="L5" s="36">
        <f ca="1">VLOOKUP($D5,'parm(hidden)'!$B$8:$C$10,2,FALSE)*($G5+$H5)</f>
        <v>15</v>
      </c>
      <c r="M5" s="176" t="str">
        <f ca="1">HYPERLINK("[" &amp; MID(CELL("filename"),SEARCH("[",CELL("filename"))+1, SEARCH("]",CELL("filename"))-SEARCH("[",CELL("filename"))-1) &amp; "]" &amp; ADDRESS(ROW()+16,8,1,TRUE,M$4),INDIRECT(ADDRESS(ROW()+16,8,1,TRUE,M$4)))</f>
        <v>Y</v>
      </c>
      <c r="N5" s="48" t="str">
        <f t="shared" ref="M5:Q10" ca="1" si="1">HYPERLINK("[" &amp; MID(CELL("filename"),SEARCH("[",CELL("filename"))+1, SEARCH("]",CELL("filename"))-SEARCH("[",CELL("filename"))-1) &amp; "]" &amp; ADDRESS(ROW()+16,8,1,TRUE,N$4),INDIRECT(ADDRESS(ROW()+16,8,1,TRUE,N$4)))</f>
        <v>Y</v>
      </c>
      <c r="O5" s="48" t="str">
        <f t="shared" ca="1" si="1"/>
        <v>Y</v>
      </c>
      <c r="P5" s="48" t="str">
        <f t="shared" ca="1" si="1"/>
        <v>Y</v>
      </c>
      <c r="Q5" s="48" t="str">
        <f t="shared" ca="1" si="1"/>
        <v>Y</v>
      </c>
    </row>
    <row r="6" spans="1:17" ht="14.1" customHeight="1">
      <c r="A6" s="174" t="str">
        <f>ChkList!A6</f>
        <v>계정 관리</v>
      </c>
      <c r="B6" s="174" t="str">
        <f>ChkList!B6</f>
        <v>U-02</v>
      </c>
      <c r="C6" s="174" t="str">
        <f>ChkList!C6</f>
        <v>비밀번호 관리정책 설정</v>
      </c>
      <c r="D6" s="174" t="str">
        <f>ChkList!D6</f>
        <v>H</v>
      </c>
      <c r="E6" s="174">
        <f>ChkList!E6</f>
        <v>3</v>
      </c>
      <c r="F6" s="23">
        <f ca="1">COUNTA($M6:INDIRECT(ADDRESS(ROW(),MATCH("",$4:$4,-1),1,1)))</f>
        <v>5</v>
      </c>
      <c r="G6" s="23">
        <f ca="1">COUNTIF($M6:INDIRECT(ADDRESS(ROW(),MATCH("",$4:$4,-1),1,1)),"조치완료(Y)")+COUNTIF($M6:INDIRECT(ADDRESS(ROW(),MATCH("",$4:$4,-1),1,1)),"Y")</f>
        <v>2</v>
      </c>
      <c r="H6" s="23">
        <f ca="1">COUNTIF($M6:INDIRECT(ADDRESS(ROW(),MATCH("",$4:$4,-1),1,1)),"Y(즉시조치)")+COUNTIF($M6:INDIRECT(ADDRESS(ROW(),MATCH("",$4:$4,-1),1,1)),"조치완료(즉시조치)")</f>
        <v>0</v>
      </c>
      <c r="I6" s="23">
        <f ca="1">COUNTIF($M6:INDIRECT(ADDRESS(ROW(),MATCH("",$4:$4,-1),1,1)),"N")</f>
        <v>3</v>
      </c>
      <c r="J6" s="23">
        <f ca="1">COUNTIF($M6:INDIRECT(ADDRESS(ROW(),MATCH("",$4:$4,-1),1,1)),"N/A")+COUNTIF($M6:INDIRECT(ADDRESS(ROW(),MATCH("",$4:$4,-1),1,1)),"조치완료(N/A)")</f>
        <v>0</v>
      </c>
      <c r="K6" s="23">
        <f ca="1">VLOOKUP($D6,'parm(hidden)'!$B$8:$C$10,2,FALSE)*($F6-$J6)</f>
        <v>15</v>
      </c>
      <c r="L6" s="36">
        <f ca="1">VLOOKUP($D6,'parm(hidden)'!$B$8:$C$10,2,FALSE)*($G6+$H6)</f>
        <v>6</v>
      </c>
      <c r="M6" s="48" t="str">
        <f t="shared" ca="1" si="1"/>
        <v>N</v>
      </c>
      <c r="N6" s="48" t="str">
        <f t="shared" ca="1" si="1"/>
        <v>Y</v>
      </c>
      <c r="O6" s="48" t="str">
        <f t="shared" ca="1" si="1"/>
        <v>Y</v>
      </c>
      <c r="P6" s="48" t="str">
        <f t="shared" ca="1" si="1"/>
        <v>N</v>
      </c>
      <c r="Q6" s="48" t="str">
        <f t="shared" ca="1" si="1"/>
        <v>N</v>
      </c>
    </row>
    <row r="7" spans="1:17" ht="14.1" customHeight="1">
      <c r="A7" s="174" t="str">
        <f>ChkList!A7</f>
        <v>계정 관리</v>
      </c>
      <c r="B7" s="174" t="str">
        <f>ChkList!B7</f>
        <v>U-03</v>
      </c>
      <c r="C7" s="174" t="str">
        <f>ChkList!C7</f>
        <v>계정 잠금 임계값 설정</v>
      </c>
      <c r="D7" s="174" t="str">
        <f>ChkList!D7</f>
        <v>H</v>
      </c>
      <c r="E7" s="174">
        <f>ChkList!E7</f>
        <v>3</v>
      </c>
      <c r="F7" s="23">
        <f ca="1">COUNTA($M7:INDIRECT(ADDRESS(ROW(),MATCH("",$4:$4,-1),1,1)))</f>
        <v>5</v>
      </c>
      <c r="G7" s="23">
        <f ca="1">COUNTIF($M7:INDIRECT(ADDRESS(ROW(),MATCH("",$4:$4,-1),1,1)),"조치완료(Y)")+COUNTIF($M7:INDIRECT(ADDRESS(ROW(),MATCH("",$4:$4,-1),1,1)),"Y")</f>
        <v>2</v>
      </c>
      <c r="H7" s="23">
        <f ca="1">COUNTIF($M7:INDIRECT(ADDRESS(ROW(),MATCH("",$4:$4,-1),1,1)),"Y(즉시조치)")+COUNTIF($M7:INDIRECT(ADDRESS(ROW(),MATCH("",$4:$4,-1),1,1)),"조치완료(즉시조치)")</f>
        <v>0</v>
      </c>
      <c r="I7" s="23">
        <f ca="1">COUNTIF($M7:INDIRECT(ADDRESS(ROW(),MATCH("",$4:$4,-1),1,1)),"N")</f>
        <v>3</v>
      </c>
      <c r="J7" s="23">
        <f ca="1">COUNTIF($M7:INDIRECT(ADDRESS(ROW(),MATCH("",$4:$4,-1),1,1)),"N/A")+COUNTIF($M7:INDIRECT(ADDRESS(ROW(),MATCH("",$4:$4,-1),1,1)),"조치완료(N/A)")</f>
        <v>0</v>
      </c>
      <c r="K7" s="23">
        <f ca="1">VLOOKUP($D7,'parm(hidden)'!$B$8:$C$10,2,FALSE)*($F7-$J7)</f>
        <v>15</v>
      </c>
      <c r="L7" s="36">
        <f ca="1">VLOOKUP($D7,'parm(hidden)'!$B$8:$C$10,2,FALSE)*($G7+$H7)</f>
        <v>6</v>
      </c>
      <c r="M7" s="48" t="str">
        <f t="shared" ca="1" si="1"/>
        <v>N</v>
      </c>
      <c r="N7" s="48" t="str">
        <f t="shared" ca="1" si="1"/>
        <v>Y</v>
      </c>
      <c r="O7" s="48" t="str">
        <f t="shared" ca="1" si="1"/>
        <v>Y</v>
      </c>
      <c r="P7" s="48" t="str">
        <f t="shared" ca="1" si="1"/>
        <v>N</v>
      </c>
      <c r="Q7" s="48" t="str">
        <f t="shared" ca="1" si="1"/>
        <v>N</v>
      </c>
    </row>
    <row r="8" spans="1:17" ht="14.1" customHeight="1">
      <c r="A8" s="174" t="str">
        <f>ChkList!A8</f>
        <v>계정 관리</v>
      </c>
      <c r="B8" s="174" t="str">
        <f>ChkList!B8</f>
        <v>U-04</v>
      </c>
      <c r="C8" s="174" t="str">
        <f>ChkList!C8</f>
        <v>비밀번호 파일 보호</v>
      </c>
      <c r="D8" s="174" t="str">
        <f>ChkList!D8</f>
        <v>H</v>
      </c>
      <c r="E8" s="174">
        <f>ChkList!E8</f>
        <v>3</v>
      </c>
      <c r="F8" s="23">
        <f ca="1">COUNTA($M8:INDIRECT(ADDRESS(ROW(),MATCH("",$4:$4,-1),1,1)))</f>
        <v>5</v>
      </c>
      <c r="G8" s="23">
        <f ca="1">COUNTIF($M8:INDIRECT(ADDRESS(ROW(),MATCH("",$4:$4,-1),1,1)),"조치완료(Y)")+COUNTIF($M8:INDIRECT(ADDRESS(ROW(),MATCH("",$4:$4,-1),1,1)),"Y")</f>
        <v>5</v>
      </c>
      <c r="H8" s="23">
        <f ca="1">COUNTIF($M8:INDIRECT(ADDRESS(ROW(),MATCH("",$4:$4,-1),1,1)),"Y(즉시조치)")+COUNTIF($M8:INDIRECT(ADDRESS(ROW(),MATCH("",$4:$4,-1),1,1)),"조치완료(즉시조치)")</f>
        <v>0</v>
      </c>
      <c r="I8" s="23">
        <f ca="1">COUNTIF($M8:INDIRECT(ADDRESS(ROW(),MATCH("",$4:$4,-1),1,1)),"N")</f>
        <v>0</v>
      </c>
      <c r="J8" s="23">
        <f ca="1">COUNTIF($M8:INDIRECT(ADDRESS(ROW(),MATCH("",$4:$4,-1),1,1)),"N/A")+COUNTIF($M8:INDIRECT(ADDRESS(ROW(),MATCH("",$4:$4,-1),1,1)),"조치완료(N/A)")</f>
        <v>0</v>
      </c>
      <c r="K8" s="23">
        <f ca="1">VLOOKUP($D8,'parm(hidden)'!$B$8:$C$10,2,FALSE)*($F8-$J8)</f>
        <v>15</v>
      </c>
      <c r="L8" s="36">
        <f ca="1">VLOOKUP($D8,'parm(hidden)'!$B$8:$C$10,2,FALSE)*($G8+$H8)</f>
        <v>15</v>
      </c>
      <c r="M8" s="48" t="str">
        <f t="shared" ca="1" si="1"/>
        <v>Y</v>
      </c>
      <c r="N8" s="48" t="str">
        <f t="shared" ca="1" si="1"/>
        <v>Y</v>
      </c>
      <c r="O8" s="48" t="str">
        <f t="shared" ca="1" si="1"/>
        <v>Y</v>
      </c>
      <c r="P8" s="48" t="str">
        <f t="shared" ca="1" si="1"/>
        <v>Y</v>
      </c>
      <c r="Q8" s="48" t="str">
        <f t="shared" ca="1" si="1"/>
        <v>Y</v>
      </c>
    </row>
    <row r="9" spans="1:17" ht="14.1" customHeight="1">
      <c r="A9" s="174" t="str">
        <f>ChkList!A9</f>
        <v>계정 관리</v>
      </c>
      <c r="B9" s="174" t="str">
        <f>ChkList!B9</f>
        <v>U-05</v>
      </c>
      <c r="C9" s="174" t="str">
        <f>ChkList!C9</f>
        <v>root 이외의 UID가 ‘0’ 금지</v>
      </c>
      <c r="D9" s="174" t="str">
        <f>ChkList!D9</f>
        <v>H</v>
      </c>
      <c r="E9" s="174">
        <f>ChkList!E9</f>
        <v>3</v>
      </c>
      <c r="F9" s="23">
        <f ca="1">COUNTA($M9:INDIRECT(ADDRESS(ROW(),MATCH("",$4:$4,-1),1,1)))</f>
        <v>5</v>
      </c>
      <c r="G9" s="23">
        <f ca="1">COUNTIF($M9:INDIRECT(ADDRESS(ROW(),MATCH("",$4:$4,-1),1,1)),"조치완료(Y)")+COUNTIF($M9:INDIRECT(ADDRESS(ROW(),MATCH("",$4:$4,-1),1,1)),"Y")</f>
        <v>5</v>
      </c>
      <c r="H9" s="23">
        <f ca="1">COUNTIF($M9:INDIRECT(ADDRESS(ROW(),MATCH("",$4:$4,-1),1,1)),"Y(즉시조치)")+COUNTIF($M9:INDIRECT(ADDRESS(ROW(),MATCH("",$4:$4,-1),1,1)),"조치완료(즉시조치)")</f>
        <v>0</v>
      </c>
      <c r="I9" s="23">
        <f ca="1">COUNTIF($M9:INDIRECT(ADDRESS(ROW(),MATCH("",$4:$4,-1),1,1)),"N")</f>
        <v>0</v>
      </c>
      <c r="J9" s="23">
        <f ca="1">COUNTIF($M9:INDIRECT(ADDRESS(ROW(),MATCH("",$4:$4,-1),1,1)),"N/A")+COUNTIF($M9:INDIRECT(ADDRESS(ROW(),MATCH("",$4:$4,-1),1,1)),"조치완료(N/A)")</f>
        <v>0</v>
      </c>
      <c r="K9" s="23">
        <f ca="1">VLOOKUP($D9,'parm(hidden)'!$B$8:$C$10,2,FALSE)*($F9-$J9)</f>
        <v>15</v>
      </c>
      <c r="L9" s="36">
        <f ca="1">VLOOKUP($D9,'parm(hidden)'!$B$8:$C$10,2,FALSE)*($G9+$H9)</f>
        <v>15</v>
      </c>
      <c r="M9" s="48" t="str">
        <f t="shared" ca="1" si="1"/>
        <v>Y</v>
      </c>
      <c r="N9" s="48" t="str">
        <f t="shared" ca="1" si="1"/>
        <v>Y</v>
      </c>
      <c r="O9" s="48" t="str">
        <f t="shared" ca="1" si="1"/>
        <v>Y</v>
      </c>
      <c r="P9" s="48" t="str">
        <f t="shared" ca="1" si="1"/>
        <v>Y</v>
      </c>
      <c r="Q9" s="48" t="str">
        <f t="shared" ca="1" si="1"/>
        <v>Y</v>
      </c>
    </row>
    <row r="10" spans="1:17" ht="14.1" customHeight="1">
      <c r="A10" s="174" t="str">
        <f>ChkList!A10</f>
        <v>계정 관리</v>
      </c>
      <c r="B10" s="174" t="str">
        <f>ChkList!B10</f>
        <v>U-06</v>
      </c>
      <c r="C10" s="174" t="str">
        <f>ChkList!C10</f>
        <v>사용자 계정 su 기능 제한</v>
      </c>
      <c r="D10" s="174" t="str">
        <f>ChkList!D10</f>
        <v>H</v>
      </c>
      <c r="E10" s="174">
        <f>ChkList!E10</f>
        <v>3</v>
      </c>
      <c r="F10" s="23">
        <f ca="1">COUNTA($M10:INDIRECT(ADDRESS(ROW(),MATCH("",$4:$4,-1),1,1)))</f>
        <v>5</v>
      </c>
      <c r="G10" s="23">
        <f ca="1">COUNTIF($M10:INDIRECT(ADDRESS(ROW(),MATCH("",$4:$4,-1),1,1)),"조치완료(Y)")+COUNTIF($M10:INDIRECT(ADDRESS(ROW(),MATCH("",$4:$4,-1),1,1)),"Y")</f>
        <v>5</v>
      </c>
      <c r="H10" s="23">
        <f ca="1">COUNTIF($M10:INDIRECT(ADDRESS(ROW(),MATCH("",$4:$4,-1),1,1)),"Y(즉시조치)")+COUNTIF($M10:INDIRECT(ADDRESS(ROW(),MATCH("",$4:$4,-1),1,1)),"조치완료(즉시조치)")</f>
        <v>0</v>
      </c>
      <c r="I10" s="23">
        <f ca="1">COUNTIF($M10:INDIRECT(ADDRESS(ROW(),MATCH("",$4:$4,-1),1,1)),"N")</f>
        <v>0</v>
      </c>
      <c r="J10" s="23">
        <f ca="1">COUNTIF($M10:INDIRECT(ADDRESS(ROW(),MATCH("",$4:$4,-1),1,1)),"N/A")+COUNTIF($M10:INDIRECT(ADDRESS(ROW(),MATCH("",$4:$4,-1),1,1)),"조치완료(N/A)")</f>
        <v>0</v>
      </c>
      <c r="K10" s="23">
        <f ca="1">VLOOKUP($D10,'parm(hidden)'!$B$8:$C$10,2,FALSE)*($F10-$J10)</f>
        <v>15</v>
      </c>
      <c r="L10" s="36">
        <f ca="1">VLOOKUP($D10,'parm(hidden)'!$B$8:$C$10,2,FALSE)*($G10+$H10)</f>
        <v>15</v>
      </c>
      <c r="M10" s="48" t="str">
        <f t="shared" ca="1" si="1"/>
        <v>Y</v>
      </c>
      <c r="N10" s="48" t="str">
        <f t="shared" ca="1" si="1"/>
        <v>Y</v>
      </c>
      <c r="O10" s="48" t="str">
        <f t="shared" ca="1" si="1"/>
        <v>Y</v>
      </c>
      <c r="P10" s="48" t="str">
        <f t="shared" ref="M10:Q52" ca="1" si="2">HYPERLINK("[" &amp; MID(CELL("filename"),SEARCH("[",CELL("filename"))+1, SEARCH("]",CELL("filename"))-SEARCH("[",CELL("filename"))-1) &amp; "]" &amp; ADDRESS(ROW()+16,8,1,TRUE,P$4),INDIRECT(ADDRESS(ROW()+16,8,1,TRUE,P$4)))</f>
        <v>Y</v>
      </c>
      <c r="Q10" s="48" t="str">
        <f t="shared" ca="1" si="2"/>
        <v>Y</v>
      </c>
    </row>
    <row r="11" spans="1:17" ht="14.1" customHeight="1">
      <c r="A11" s="174" t="str">
        <f>ChkList!A11</f>
        <v>계정 관리</v>
      </c>
      <c r="B11" s="174" t="str">
        <f>ChkList!B11</f>
        <v>U-07</v>
      </c>
      <c r="C11" s="174" t="str">
        <f>ChkList!C11</f>
        <v>불필요한 계정 제거</v>
      </c>
      <c r="D11" s="174" t="str">
        <f>ChkList!D11</f>
        <v>L</v>
      </c>
      <c r="E11" s="174">
        <f>ChkList!E11</f>
        <v>1</v>
      </c>
      <c r="F11" s="23">
        <f ca="1">COUNTA($M11:INDIRECT(ADDRESS(ROW(),MATCH("",$4:$4,-1),1,1)))</f>
        <v>5</v>
      </c>
      <c r="G11" s="23">
        <f ca="1">COUNTIF($M11:INDIRECT(ADDRESS(ROW(),MATCH("",$4:$4,-1),1,1)),"조치완료(Y)")+COUNTIF($M11:INDIRECT(ADDRESS(ROW(),MATCH("",$4:$4,-1),1,1)),"Y")</f>
        <v>5</v>
      </c>
      <c r="H11" s="23">
        <f ca="1">COUNTIF($M11:INDIRECT(ADDRESS(ROW(),MATCH("",$4:$4,-1),1,1)),"Y(즉시조치)")+COUNTIF($M11:INDIRECT(ADDRESS(ROW(),MATCH("",$4:$4,-1),1,1)),"조치완료(즉시조치)")</f>
        <v>0</v>
      </c>
      <c r="I11" s="23">
        <f ca="1">COUNTIF($M11:INDIRECT(ADDRESS(ROW(),MATCH("",$4:$4,-1),1,1)),"N")</f>
        <v>0</v>
      </c>
      <c r="J11" s="23">
        <f ca="1">COUNTIF($M11:INDIRECT(ADDRESS(ROW(),MATCH("",$4:$4,-1),1,1)),"N/A")+COUNTIF($M11:INDIRECT(ADDRESS(ROW(),MATCH("",$4:$4,-1),1,1)),"조치완료(N/A)")</f>
        <v>0</v>
      </c>
      <c r="K11" s="23">
        <f ca="1">VLOOKUP($D11,'parm(hidden)'!$B$8:$C$10,2,FALSE)*($F11-$J11)</f>
        <v>5</v>
      </c>
      <c r="L11" s="36">
        <f ca="1">VLOOKUP($D11,'parm(hidden)'!$B$8:$C$10,2,FALSE)*($G11+$H11)</f>
        <v>5</v>
      </c>
      <c r="M11" s="48" t="str">
        <f t="shared" ca="1" si="2"/>
        <v>Y</v>
      </c>
      <c r="N11" s="48" t="str">
        <f t="shared" ca="1" si="2"/>
        <v>Y</v>
      </c>
      <c r="O11" s="48" t="str">
        <f t="shared" ca="1" si="2"/>
        <v>Y</v>
      </c>
      <c r="P11" s="48" t="str">
        <f t="shared" ca="1" si="2"/>
        <v>Y</v>
      </c>
      <c r="Q11" s="48" t="str">
        <f t="shared" ca="1" si="2"/>
        <v>Y</v>
      </c>
    </row>
    <row r="12" spans="1:17" ht="14.1" customHeight="1">
      <c r="A12" s="174" t="str">
        <f>ChkList!A12</f>
        <v>계정 관리</v>
      </c>
      <c r="B12" s="174" t="str">
        <f>ChkList!B12</f>
        <v>U-08</v>
      </c>
      <c r="C12" s="174" t="str">
        <f>ChkList!C12</f>
        <v>관리자 그룹에 최소한의 계정 포함</v>
      </c>
      <c r="D12" s="174" t="str">
        <f>ChkList!D12</f>
        <v>M</v>
      </c>
      <c r="E12" s="174">
        <f>ChkList!E12</f>
        <v>2</v>
      </c>
      <c r="F12" s="23">
        <f ca="1">COUNTA($M12:INDIRECT(ADDRESS(ROW(),MATCH("",$4:$4,-1),1,1)))</f>
        <v>5</v>
      </c>
      <c r="G12" s="23">
        <f ca="1">COUNTIF($M12:INDIRECT(ADDRESS(ROW(),MATCH("",$4:$4,-1),1,1)),"조치완료(Y)")+COUNTIF($M12:INDIRECT(ADDRESS(ROW(),MATCH("",$4:$4,-1),1,1)),"Y")</f>
        <v>5</v>
      </c>
      <c r="H12" s="23">
        <f ca="1">COUNTIF($M12:INDIRECT(ADDRESS(ROW(),MATCH("",$4:$4,-1),1,1)),"Y(즉시조치)")+COUNTIF($M12:INDIRECT(ADDRESS(ROW(),MATCH("",$4:$4,-1),1,1)),"조치완료(즉시조치)")</f>
        <v>0</v>
      </c>
      <c r="I12" s="23">
        <f ca="1">COUNTIF($M12:INDIRECT(ADDRESS(ROW(),MATCH("",$4:$4,-1),1,1)),"N")</f>
        <v>0</v>
      </c>
      <c r="J12" s="23">
        <f ca="1">COUNTIF($M12:INDIRECT(ADDRESS(ROW(),MATCH("",$4:$4,-1),1,1)),"N/A")+COUNTIF($M12:INDIRECT(ADDRESS(ROW(),MATCH("",$4:$4,-1),1,1)),"조치완료(N/A)")</f>
        <v>0</v>
      </c>
      <c r="K12" s="23">
        <f ca="1">VLOOKUP($D12,'parm(hidden)'!$B$8:$C$10,2,FALSE)*($F12-$J12)</f>
        <v>10</v>
      </c>
      <c r="L12" s="36">
        <f ca="1">VLOOKUP($D12,'parm(hidden)'!$B$8:$C$10,2,FALSE)*($G12+$H12)</f>
        <v>10</v>
      </c>
      <c r="M12" s="48" t="str">
        <f t="shared" ca="1" si="2"/>
        <v>Y</v>
      </c>
      <c r="N12" s="48" t="str">
        <f t="shared" ca="1" si="2"/>
        <v>Y</v>
      </c>
      <c r="O12" s="48" t="str">
        <f t="shared" ca="1" si="2"/>
        <v>Y</v>
      </c>
      <c r="P12" s="48" t="str">
        <f t="shared" ca="1" si="2"/>
        <v>Y</v>
      </c>
      <c r="Q12" s="48" t="str">
        <f t="shared" ca="1" si="2"/>
        <v>Y</v>
      </c>
    </row>
    <row r="13" spans="1:17" ht="14.1" customHeight="1">
      <c r="A13" s="174" t="str">
        <f>ChkList!A13</f>
        <v>계정 관리</v>
      </c>
      <c r="B13" s="174" t="str">
        <f>ChkList!B13</f>
        <v>U-09</v>
      </c>
      <c r="C13" s="174" t="str">
        <f>ChkList!C13</f>
        <v>계정이 존재하지 않는 GID 금지</v>
      </c>
      <c r="D13" s="174" t="str">
        <f>ChkList!D13</f>
        <v>L</v>
      </c>
      <c r="E13" s="174">
        <f>ChkList!E13</f>
        <v>1</v>
      </c>
      <c r="F13" s="23">
        <f ca="1">COUNTA($M13:INDIRECT(ADDRESS(ROW(),MATCH("",$4:$4,-1),1,1)))</f>
        <v>5</v>
      </c>
      <c r="G13" s="23">
        <f ca="1">COUNTIF($M13:INDIRECT(ADDRESS(ROW(),MATCH("",$4:$4,-1),1,1)),"조치완료(Y)")+COUNTIF($M13:INDIRECT(ADDRESS(ROW(),MATCH("",$4:$4,-1),1,1)),"Y")</f>
        <v>5</v>
      </c>
      <c r="H13" s="23">
        <f ca="1">COUNTIF($M13:INDIRECT(ADDRESS(ROW(),MATCH("",$4:$4,-1),1,1)),"Y(즉시조치)")+COUNTIF($M13:INDIRECT(ADDRESS(ROW(),MATCH("",$4:$4,-1),1,1)),"조치완료(즉시조치)")</f>
        <v>0</v>
      </c>
      <c r="I13" s="23">
        <f ca="1">COUNTIF($M13:INDIRECT(ADDRESS(ROW(),MATCH("",$4:$4,-1),1,1)),"N")</f>
        <v>0</v>
      </c>
      <c r="J13" s="23">
        <f ca="1">COUNTIF($M13:INDIRECT(ADDRESS(ROW(),MATCH("",$4:$4,-1),1,1)),"N/A")+COUNTIF($M13:INDIRECT(ADDRESS(ROW(),MATCH("",$4:$4,-1),1,1)),"조치완료(N/A)")</f>
        <v>0</v>
      </c>
      <c r="K13" s="23">
        <f ca="1">VLOOKUP($D13,'parm(hidden)'!$B$8:$C$10,2,FALSE)*($F13-$J13)</f>
        <v>5</v>
      </c>
      <c r="L13" s="36">
        <f ca="1">VLOOKUP($D13,'parm(hidden)'!$B$8:$C$10,2,FALSE)*($G13+$H13)</f>
        <v>5</v>
      </c>
      <c r="M13" s="48" t="str">
        <f t="shared" ca="1" si="2"/>
        <v>Y</v>
      </c>
      <c r="N13" s="48" t="str">
        <f t="shared" ca="1" si="2"/>
        <v>Y</v>
      </c>
      <c r="O13" s="48" t="str">
        <f t="shared" ca="1" si="2"/>
        <v>Y</v>
      </c>
      <c r="P13" s="48" t="str">
        <f t="shared" ca="1" si="2"/>
        <v>Y</v>
      </c>
      <c r="Q13" s="48" t="str">
        <f t="shared" ca="1" si="2"/>
        <v>Y</v>
      </c>
    </row>
    <row r="14" spans="1:17" ht="14.1" customHeight="1">
      <c r="A14" s="174" t="str">
        <f>ChkList!A14</f>
        <v>계정 관리</v>
      </c>
      <c r="B14" s="174" t="str">
        <f>ChkList!B14</f>
        <v>U-10</v>
      </c>
      <c r="C14" s="174" t="str">
        <f>ChkList!C14</f>
        <v>동일한 UID 금지</v>
      </c>
      <c r="D14" s="174" t="str">
        <f>ChkList!D14</f>
        <v>M</v>
      </c>
      <c r="E14" s="174">
        <f>ChkList!E14</f>
        <v>2</v>
      </c>
      <c r="F14" s="23">
        <f ca="1">COUNTA($M14:INDIRECT(ADDRESS(ROW(),MATCH("",$4:$4,-1),1,1)))</f>
        <v>5</v>
      </c>
      <c r="G14" s="23">
        <f ca="1">COUNTIF($M14:INDIRECT(ADDRESS(ROW(),MATCH("",$4:$4,-1),1,1)),"조치완료(Y)")+COUNTIF($M14:INDIRECT(ADDRESS(ROW(),MATCH("",$4:$4,-1),1,1)),"Y")</f>
        <v>5</v>
      </c>
      <c r="H14" s="23">
        <f ca="1">COUNTIF($M14:INDIRECT(ADDRESS(ROW(),MATCH("",$4:$4,-1),1,1)),"Y(즉시조치)")+COUNTIF($M14:INDIRECT(ADDRESS(ROW(),MATCH("",$4:$4,-1),1,1)),"조치완료(즉시조치)")</f>
        <v>0</v>
      </c>
      <c r="I14" s="23">
        <f ca="1">COUNTIF($M14:INDIRECT(ADDRESS(ROW(),MATCH("",$4:$4,-1),1,1)),"N")</f>
        <v>0</v>
      </c>
      <c r="J14" s="23">
        <f ca="1">COUNTIF($M14:INDIRECT(ADDRESS(ROW(),MATCH("",$4:$4,-1),1,1)),"N/A")+COUNTIF($M14:INDIRECT(ADDRESS(ROW(),MATCH("",$4:$4,-1),1,1)),"조치완료(N/A)")</f>
        <v>0</v>
      </c>
      <c r="K14" s="23">
        <f ca="1">VLOOKUP($D14,'parm(hidden)'!$B$8:$C$10,2,FALSE)*($F14-$J14)</f>
        <v>10</v>
      </c>
      <c r="L14" s="36">
        <f ca="1">VLOOKUP($D14,'parm(hidden)'!$B$8:$C$10,2,FALSE)*($G14+$H14)</f>
        <v>10</v>
      </c>
      <c r="M14" s="48" t="str">
        <f t="shared" ca="1" si="2"/>
        <v>Y</v>
      </c>
      <c r="N14" s="48" t="str">
        <f t="shared" ca="1" si="2"/>
        <v>Y</v>
      </c>
      <c r="O14" s="48" t="str">
        <f t="shared" ca="1" si="2"/>
        <v>Y</v>
      </c>
      <c r="P14" s="48" t="str">
        <f t="shared" ca="1" si="2"/>
        <v>Y</v>
      </c>
      <c r="Q14" s="48" t="str">
        <f t="shared" ca="1" si="2"/>
        <v>Y</v>
      </c>
    </row>
    <row r="15" spans="1:17" ht="14.1" customHeight="1">
      <c r="A15" s="174" t="str">
        <f>ChkList!A15</f>
        <v>계정 관리</v>
      </c>
      <c r="B15" s="174" t="str">
        <f>ChkList!B15</f>
        <v>U-11</v>
      </c>
      <c r="C15" s="174" t="str">
        <f>ChkList!C15</f>
        <v>사용자 Shell 점검</v>
      </c>
      <c r="D15" s="174" t="str">
        <f>ChkList!D15</f>
        <v>L</v>
      </c>
      <c r="E15" s="174">
        <f>ChkList!E15</f>
        <v>1</v>
      </c>
      <c r="F15" s="23">
        <f ca="1">COUNTA($M15:INDIRECT(ADDRESS(ROW(),MATCH("",$4:$4,-1),1,1)))</f>
        <v>5</v>
      </c>
      <c r="G15" s="23">
        <f ca="1">COUNTIF($M15:INDIRECT(ADDRESS(ROW(),MATCH("",$4:$4,-1),1,1)),"조치완료(Y)")+COUNTIF($M15:INDIRECT(ADDRESS(ROW(),MATCH("",$4:$4,-1),1,1)),"Y")</f>
        <v>5</v>
      </c>
      <c r="H15" s="23">
        <f ca="1">COUNTIF($M15:INDIRECT(ADDRESS(ROW(),MATCH("",$4:$4,-1),1,1)),"Y(즉시조치)")+COUNTIF($M15:INDIRECT(ADDRESS(ROW(),MATCH("",$4:$4,-1),1,1)),"조치완료(즉시조치)")</f>
        <v>0</v>
      </c>
      <c r="I15" s="23">
        <f ca="1">COUNTIF($M15:INDIRECT(ADDRESS(ROW(),MATCH("",$4:$4,-1),1,1)),"N")</f>
        <v>0</v>
      </c>
      <c r="J15" s="23">
        <f ca="1">COUNTIF($M15:INDIRECT(ADDRESS(ROW(),MATCH("",$4:$4,-1),1,1)),"N/A")+COUNTIF($M15:INDIRECT(ADDRESS(ROW(),MATCH("",$4:$4,-1),1,1)),"조치완료(N/A)")</f>
        <v>0</v>
      </c>
      <c r="K15" s="23">
        <f ca="1">VLOOKUP($D15,'parm(hidden)'!$B$8:$C$10,2,FALSE)*($F15-$J15)</f>
        <v>5</v>
      </c>
      <c r="L15" s="36">
        <f ca="1">VLOOKUP($D15,'parm(hidden)'!$B$8:$C$10,2,FALSE)*($G15+$H15)</f>
        <v>5</v>
      </c>
      <c r="M15" s="48" t="str">
        <f t="shared" ca="1" si="2"/>
        <v>Y</v>
      </c>
      <c r="N15" s="48" t="str">
        <f t="shared" ca="1" si="2"/>
        <v>Y</v>
      </c>
      <c r="O15" s="48" t="str">
        <f t="shared" ca="1" si="2"/>
        <v>Y</v>
      </c>
      <c r="P15" s="48" t="str">
        <f t="shared" ca="1" si="2"/>
        <v>Y</v>
      </c>
      <c r="Q15" s="48" t="str">
        <f t="shared" ca="1" si="2"/>
        <v>Y</v>
      </c>
    </row>
    <row r="16" spans="1:17" ht="14.1" customHeight="1">
      <c r="A16" s="174" t="str">
        <f>ChkList!A16</f>
        <v>계정 관리</v>
      </c>
      <c r="B16" s="174" t="str">
        <f>ChkList!B16</f>
        <v>U-12</v>
      </c>
      <c r="C16" s="174" t="str">
        <f>ChkList!C16</f>
        <v>세션 종료 시간 설정</v>
      </c>
      <c r="D16" s="174" t="str">
        <f>ChkList!D16</f>
        <v>L</v>
      </c>
      <c r="E16" s="174">
        <f>ChkList!E16</f>
        <v>1</v>
      </c>
      <c r="F16" s="23">
        <f ca="1">COUNTA($M16:INDIRECT(ADDRESS(ROW(),MATCH("",$4:$4,-1),1,1)))</f>
        <v>5</v>
      </c>
      <c r="G16" s="23">
        <f ca="1">COUNTIF($M16:INDIRECT(ADDRESS(ROW(),MATCH("",$4:$4,-1),1,1)),"조치완료(Y)")+COUNTIF($M16:INDIRECT(ADDRESS(ROW(),MATCH("",$4:$4,-1),1,1)),"Y")</f>
        <v>5</v>
      </c>
      <c r="H16" s="23">
        <f ca="1">COUNTIF($M16:INDIRECT(ADDRESS(ROW(),MATCH("",$4:$4,-1),1,1)),"Y(즉시조치)")+COUNTIF($M16:INDIRECT(ADDRESS(ROW(),MATCH("",$4:$4,-1),1,1)),"조치완료(즉시조치)")</f>
        <v>0</v>
      </c>
      <c r="I16" s="23">
        <f ca="1">COUNTIF($M16:INDIRECT(ADDRESS(ROW(),MATCH("",$4:$4,-1),1,1)),"N")</f>
        <v>0</v>
      </c>
      <c r="J16" s="23">
        <f ca="1">COUNTIF($M16:INDIRECT(ADDRESS(ROW(),MATCH("",$4:$4,-1),1,1)),"N/A")+COUNTIF($M16:INDIRECT(ADDRESS(ROW(),MATCH("",$4:$4,-1),1,1)),"조치완료(N/A)")</f>
        <v>0</v>
      </c>
      <c r="K16" s="23">
        <f ca="1">VLOOKUP($D16,'parm(hidden)'!$B$8:$C$10,2,FALSE)*($F16-$J16)</f>
        <v>5</v>
      </c>
      <c r="L16" s="36">
        <f ca="1">VLOOKUP($D16,'parm(hidden)'!$B$8:$C$10,2,FALSE)*($G16+$H16)</f>
        <v>5</v>
      </c>
      <c r="M16" s="48" t="str">
        <f t="shared" ca="1" si="2"/>
        <v>Y</v>
      </c>
      <c r="N16" s="48" t="str">
        <f t="shared" ca="1" si="2"/>
        <v>Y</v>
      </c>
      <c r="O16" s="48" t="str">
        <f t="shared" ca="1" si="2"/>
        <v>Y</v>
      </c>
      <c r="P16" s="48" t="str">
        <f t="shared" ca="1" si="2"/>
        <v>Y</v>
      </c>
      <c r="Q16" s="48" t="str">
        <f t="shared" ca="1" si="2"/>
        <v>Y</v>
      </c>
    </row>
    <row r="17" spans="1:17" ht="14.1" customHeight="1">
      <c r="A17" s="174" t="str">
        <f>ChkList!A17</f>
        <v>계정 관리</v>
      </c>
      <c r="B17" s="174" t="str">
        <f>ChkList!B17</f>
        <v>U-13</v>
      </c>
      <c r="C17" s="174" t="str">
        <f>ChkList!C17</f>
        <v>안전한 비밀번호 암호화 알고리즘 사용</v>
      </c>
      <c r="D17" s="174" t="str">
        <f>ChkList!D17</f>
        <v>M</v>
      </c>
      <c r="E17" s="174">
        <f>ChkList!E17</f>
        <v>2</v>
      </c>
      <c r="F17" s="23">
        <f ca="1">COUNTA($M17:INDIRECT(ADDRESS(ROW(),MATCH("",$4:$4,-1),1,1)))</f>
        <v>5</v>
      </c>
      <c r="G17" s="23">
        <f ca="1">COUNTIF($M17:INDIRECT(ADDRESS(ROW(),MATCH("",$4:$4,-1),1,1)),"조치완료(Y)")+COUNTIF($M17:INDIRECT(ADDRESS(ROW(),MATCH("",$4:$4,-1),1,1)),"Y")</f>
        <v>5</v>
      </c>
      <c r="H17" s="23">
        <f ca="1">COUNTIF($M17:INDIRECT(ADDRESS(ROW(),MATCH("",$4:$4,-1),1,1)),"Y(즉시조치)")+COUNTIF($M17:INDIRECT(ADDRESS(ROW(),MATCH("",$4:$4,-1),1,1)),"조치완료(즉시조치)")</f>
        <v>0</v>
      </c>
      <c r="I17" s="23">
        <f ca="1">COUNTIF($M17:INDIRECT(ADDRESS(ROW(),MATCH("",$4:$4,-1),1,1)),"N")</f>
        <v>0</v>
      </c>
      <c r="J17" s="23">
        <f ca="1">COUNTIF($M17:INDIRECT(ADDRESS(ROW(),MATCH("",$4:$4,-1),1,1)),"N/A")+COUNTIF($M17:INDIRECT(ADDRESS(ROW(),MATCH("",$4:$4,-1),1,1)),"조치완료(N/A)")</f>
        <v>0</v>
      </c>
      <c r="K17" s="23">
        <f ca="1">VLOOKUP($D17,'parm(hidden)'!$B$8:$C$10,2,FALSE)*($F17-$J17)</f>
        <v>10</v>
      </c>
      <c r="L17" s="36">
        <f ca="1">VLOOKUP($D17,'parm(hidden)'!$B$8:$C$10,2,FALSE)*($G17+$H17)</f>
        <v>10</v>
      </c>
      <c r="M17" s="48" t="str">
        <f t="shared" ca="1" si="2"/>
        <v>Y</v>
      </c>
      <c r="N17" s="48" t="str">
        <f t="shared" ca="1" si="2"/>
        <v>Y</v>
      </c>
      <c r="O17" s="48" t="str">
        <f t="shared" ca="1" si="2"/>
        <v>Y</v>
      </c>
      <c r="P17" s="48" t="str">
        <f t="shared" ca="1" si="2"/>
        <v>Y</v>
      </c>
      <c r="Q17" s="48" t="str">
        <f t="shared" ca="1" si="2"/>
        <v>Y</v>
      </c>
    </row>
    <row r="18" spans="1:17" ht="14.1" customHeight="1">
      <c r="A18" s="174" t="str">
        <f>ChkList!A18</f>
        <v>파일 및 디렉터리 관리</v>
      </c>
      <c r="B18" s="174" t="str">
        <f>ChkList!B18</f>
        <v>U-14</v>
      </c>
      <c r="C18" s="174" t="str">
        <f>ChkList!C18</f>
        <v>root 홈, 패스 디렉터리 권한 및 패스 설정</v>
      </c>
      <c r="D18" s="174" t="str">
        <f>ChkList!D18</f>
        <v>H</v>
      </c>
      <c r="E18" s="174">
        <f>ChkList!E18</f>
        <v>3</v>
      </c>
      <c r="F18" s="23">
        <f ca="1">COUNTA($M18:INDIRECT(ADDRESS(ROW(),MATCH("",$4:$4,-1),1,1)))</f>
        <v>5</v>
      </c>
      <c r="G18" s="23">
        <f ca="1">COUNTIF($M18:INDIRECT(ADDRESS(ROW(),MATCH("",$4:$4,-1),1,1)),"조치완료(Y)")+COUNTIF($M18:INDIRECT(ADDRESS(ROW(),MATCH("",$4:$4,-1),1,1)),"Y")</f>
        <v>5</v>
      </c>
      <c r="H18" s="23">
        <f ca="1">COUNTIF($M18:INDIRECT(ADDRESS(ROW(),MATCH("",$4:$4,-1),1,1)),"Y(즉시조치)")+COUNTIF($M18:INDIRECT(ADDRESS(ROW(),MATCH("",$4:$4,-1),1,1)),"조치완료(즉시조치)")</f>
        <v>0</v>
      </c>
      <c r="I18" s="23">
        <f ca="1">COUNTIF($M18:INDIRECT(ADDRESS(ROW(),MATCH("",$4:$4,-1),1,1)),"N")</f>
        <v>0</v>
      </c>
      <c r="J18" s="23">
        <f ca="1">COUNTIF($M18:INDIRECT(ADDRESS(ROW(),MATCH("",$4:$4,-1),1,1)),"N/A")+COUNTIF($M18:INDIRECT(ADDRESS(ROW(),MATCH("",$4:$4,-1),1,1)),"조치완료(N/A)")</f>
        <v>0</v>
      </c>
      <c r="K18" s="23">
        <f ca="1">VLOOKUP($D18,'parm(hidden)'!$B$8:$C$10,2,FALSE)*($F18-$J18)</f>
        <v>15</v>
      </c>
      <c r="L18" s="36">
        <f ca="1">VLOOKUP($D18,'parm(hidden)'!$B$8:$C$10,2,FALSE)*($G18+$H18)</f>
        <v>15</v>
      </c>
      <c r="M18" s="48" t="str">
        <f t="shared" ca="1" si="2"/>
        <v>Y</v>
      </c>
      <c r="N18" s="48" t="str">
        <f t="shared" ca="1" si="2"/>
        <v>Y</v>
      </c>
      <c r="O18" s="48" t="str">
        <f t="shared" ca="1" si="2"/>
        <v>Y</v>
      </c>
      <c r="P18" s="48" t="str">
        <f t="shared" ca="1" si="2"/>
        <v>Y</v>
      </c>
      <c r="Q18" s="48" t="str">
        <f t="shared" ca="1" si="2"/>
        <v>Y</v>
      </c>
    </row>
    <row r="19" spans="1:17" ht="14.1" customHeight="1">
      <c r="A19" s="174" t="str">
        <f>ChkList!A19</f>
        <v>파일 및 디렉터리 관리</v>
      </c>
      <c r="B19" s="174" t="str">
        <f>ChkList!B19</f>
        <v>U-15</v>
      </c>
      <c r="C19" s="174" t="str">
        <f>ChkList!C19</f>
        <v>파일 및 디렉터리 소유자 설정</v>
      </c>
      <c r="D19" s="174" t="str">
        <f>ChkList!D19</f>
        <v>H</v>
      </c>
      <c r="E19" s="174">
        <f>ChkList!E19</f>
        <v>3</v>
      </c>
      <c r="F19" s="23">
        <f ca="1">COUNTA($M19:INDIRECT(ADDRESS(ROW(),MATCH("",$4:$4,-1),1,1)))</f>
        <v>5</v>
      </c>
      <c r="G19" s="23">
        <f ca="1">COUNTIF($M19:INDIRECT(ADDRESS(ROW(),MATCH("",$4:$4,-1),1,1)),"조치완료(Y)")+COUNTIF($M19:INDIRECT(ADDRESS(ROW(),MATCH("",$4:$4,-1),1,1)),"Y")</f>
        <v>0</v>
      </c>
      <c r="H19" s="23">
        <f ca="1">COUNTIF($M19:INDIRECT(ADDRESS(ROW(),MATCH("",$4:$4,-1),1,1)),"Y(즉시조치)")+COUNTIF($M19:INDIRECT(ADDRESS(ROW(),MATCH("",$4:$4,-1),1,1)),"조치완료(즉시조치)")</f>
        <v>0</v>
      </c>
      <c r="I19" s="23">
        <f ca="1">COUNTIF($M19:INDIRECT(ADDRESS(ROW(),MATCH("",$4:$4,-1),1,1)),"N")</f>
        <v>5</v>
      </c>
      <c r="J19" s="23">
        <f ca="1">COUNTIF($M19:INDIRECT(ADDRESS(ROW(),MATCH("",$4:$4,-1),1,1)),"N/A")+COUNTIF($M19:INDIRECT(ADDRESS(ROW(),MATCH("",$4:$4,-1),1,1)),"조치완료(N/A)")</f>
        <v>0</v>
      </c>
      <c r="K19" s="23">
        <f ca="1">VLOOKUP($D19,'parm(hidden)'!$B$8:$C$10,2,FALSE)*($F19-$J19)</f>
        <v>15</v>
      </c>
      <c r="L19" s="36">
        <f ca="1">VLOOKUP($D19,'parm(hidden)'!$B$8:$C$10,2,FALSE)*($G19+$H19)</f>
        <v>0</v>
      </c>
      <c r="M19" s="48" t="str">
        <f t="shared" ca="1" si="2"/>
        <v>N</v>
      </c>
      <c r="N19" s="48" t="str">
        <f t="shared" ca="1" si="2"/>
        <v>N</v>
      </c>
      <c r="O19" s="48" t="str">
        <f t="shared" ca="1" si="2"/>
        <v>N</v>
      </c>
      <c r="P19" s="48" t="str">
        <f t="shared" ca="1" si="2"/>
        <v>N</v>
      </c>
      <c r="Q19" s="48" t="str">
        <f t="shared" ca="1" si="2"/>
        <v>N</v>
      </c>
    </row>
    <row r="20" spans="1:17" ht="14.1" customHeight="1">
      <c r="A20" s="174" t="str">
        <f>ChkList!A20</f>
        <v>파일 및 디렉터리 관리</v>
      </c>
      <c r="B20" s="174" t="str">
        <f>ChkList!B20</f>
        <v>U-16</v>
      </c>
      <c r="C20" s="174" t="str">
        <f>ChkList!C20</f>
        <v>/etc/passwd 파일 소유자 및 권한 설정</v>
      </c>
      <c r="D20" s="174" t="str">
        <f>ChkList!D20</f>
        <v>H</v>
      </c>
      <c r="E20" s="174">
        <f>ChkList!E20</f>
        <v>3</v>
      </c>
      <c r="F20" s="23">
        <f ca="1">COUNTA($M20:INDIRECT(ADDRESS(ROW(),MATCH("",$4:$4,-1),1,1)))</f>
        <v>5</v>
      </c>
      <c r="G20" s="23">
        <f ca="1">COUNTIF($M20:INDIRECT(ADDRESS(ROW(),MATCH("",$4:$4,-1),1,1)),"조치완료(Y)")+COUNTIF($M20:INDIRECT(ADDRESS(ROW(),MATCH("",$4:$4,-1),1,1)),"Y")</f>
        <v>5</v>
      </c>
      <c r="H20" s="23">
        <f ca="1">COUNTIF($M20:INDIRECT(ADDRESS(ROW(),MATCH("",$4:$4,-1),1,1)),"Y(즉시조치)")+COUNTIF($M20:INDIRECT(ADDRESS(ROW(),MATCH("",$4:$4,-1),1,1)),"조치완료(즉시조치)")</f>
        <v>0</v>
      </c>
      <c r="I20" s="23">
        <f ca="1">COUNTIF($M20:INDIRECT(ADDRESS(ROW(),MATCH("",$4:$4,-1),1,1)),"N")</f>
        <v>0</v>
      </c>
      <c r="J20" s="23">
        <f ca="1">COUNTIF($M20:INDIRECT(ADDRESS(ROW(),MATCH("",$4:$4,-1),1,1)),"N/A")+COUNTIF($M20:INDIRECT(ADDRESS(ROW(),MATCH("",$4:$4,-1),1,1)),"조치완료(N/A)")</f>
        <v>0</v>
      </c>
      <c r="K20" s="23">
        <f ca="1">VLOOKUP($D20,'parm(hidden)'!$B$8:$C$10,2,FALSE)*($F20-$J20)</f>
        <v>15</v>
      </c>
      <c r="L20" s="36">
        <f ca="1">VLOOKUP($D20,'parm(hidden)'!$B$8:$C$10,2,FALSE)*($G20+$H20)</f>
        <v>15</v>
      </c>
      <c r="M20" s="48" t="str">
        <f t="shared" ca="1" si="2"/>
        <v>Y</v>
      </c>
      <c r="N20" s="48" t="str">
        <f t="shared" ca="1" si="2"/>
        <v>Y</v>
      </c>
      <c r="O20" s="48" t="str">
        <f t="shared" ca="1" si="2"/>
        <v>Y</v>
      </c>
      <c r="P20" s="48" t="str">
        <f t="shared" ca="1" si="2"/>
        <v>Y</v>
      </c>
      <c r="Q20" s="48" t="str">
        <f t="shared" ca="1" si="2"/>
        <v>Y</v>
      </c>
    </row>
    <row r="21" spans="1:17" ht="14.1" customHeight="1">
      <c r="A21" s="174" t="str">
        <f>ChkList!A21</f>
        <v>파일 및 디렉터리 관리</v>
      </c>
      <c r="B21" s="174" t="str">
        <f>ChkList!B21</f>
        <v>U-17</v>
      </c>
      <c r="C21" s="174" t="str">
        <f>ChkList!C21</f>
        <v>시스템 시작 스크립트 권한 설정</v>
      </c>
      <c r="D21" s="174" t="str">
        <f>ChkList!D21</f>
        <v>H</v>
      </c>
      <c r="E21" s="174">
        <f>ChkList!E21</f>
        <v>3</v>
      </c>
      <c r="F21" s="23">
        <f ca="1">COUNTA($M21:INDIRECT(ADDRESS(ROW(),MATCH("",$4:$4,-1),1,1)))</f>
        <v>5</v>
      </c>
      <c r="G21" s="23">
        <f ca="1">COUNTIF($M21:INDIRECT(ADDRESS(ROW(),MATCH("",$4:$4,-1),1,1)),"조치완료(Y)")+COUNTIF($M21:INDIRECT(ADDRESS(ROW(),MATCH("",$4:$4,-1),1,1)),"Y")</f>
        <v>0</v>
      </c>
      <c r="H21" s="23">
        <f ca="1">COUNTIF($M21:INDIRECT(ADDRESS(ROW(),MATCH("",$4:$4,-1),1,1)),"Y(즉시조치)")+COUNTIF($M21:INDIRECT(ADDRESS(ROW(),MATCH("",$4:$4,-1),1,1)),"조치완료(즉시조치)")</f>
        <v>0</v>
      </c>
      <c r="I21" s="23">
        <f ca="1">COUNTIF($M21:INDIRECT(ADDRESS(ROW(),MATCH("",$4:$4,-1),1,1)),"N")</f>
        <v>5</v>
      </c>
      <c r="J21" s="23">
        <f ca="1">COUNTIF($M21:INDIRECT(ADDRESS(ROW(),MATCH("",$4:$4,-1),1,1)),"N/A")+COUNTIF($M21:INDIRECT(ADDRESS(ROW(),MATCH("",$4:$4,-1),1,1)),"조치완료(N/A)")</f>
        <v>0</v>
      </c>
      <c r="K21" s="23">
        <f ca="1">VLOOKUP($D21,'parm(hidden)'!$B$8:$C$10,2,FALSE)*($F21-$J21)</f>
        <v>15</v>
      </c>
      <c r="L21" s="36">
        <f ca="1">VLOOKUP($D21,'parm(hidden)'!$B$8:$C$10,2,FALSE)*($G21+$H21)</f>
        <v>0</v>
      </c>
      <c r="M21" s="48" t="str">
        <f t="shared" ca="1" si="2"/>
        <v>N</v>
      </c>
      <c r="N21" s="48" t="str">
        <f t="shared" ca="1" si="2"/>
        <v>N</v>
      </c>
      <c r="O21" s="48" t="str">
        <f t="shared" ca="1" si="2"/>
        <v>N</v>
      </c>
      <c r="P21" s="48" t="str">
        <f t="shared" ca="1" si="2"/>
        <v>N</v>
      </c>
      <c r="Q21" s="48" t="str">
        <f t="shared" ca="1" si="2"/>
        <v>N</v>
      </c>
    </row>
    <row r="22" spans="1:17" ht="14.1" customHeight="1">
      <c r="A22" s="174" t="str">
        <f>ChkList!A22</f>
        <v>파일 및 디렉터리 관리</v>
      </c>
      <c r="B22" s="174" t="str">
        <f>ChkList!B22</f>
        <v>U-18</v>
      </c>
      <c r="C22" s="174" t="str">
        <f>ChkList!C22</f>
        <v>/etc/shadow 파일 소유자 및 권한 설정</v>
      </c>
      <c r="D22" s="174" t="str">
        <f>ChkList!D22</f>
        <v>H</v>
      </c>
      <c r="E22" s="174">
        <f>ChkList!E22</f>
        <v>3</v>
      </c>
      <c r="F22" s="23">
        <f ca="1">COUNTA($M22:INDIRECT(ADDRESS(ROW(),MATCH("",$4:$4,-1),1,1)))</f>
        <v>5</v>
      </c>
      <c r="G22" s="23">
        <f ca="1">COUNTIF($M22:INDIRECT(ADDRESS(ROW(),MATCH("",$4:$4,-1),1,1)),"조치완료(Y)")+COUNTIF($M22:INDIRECT(ADDRESS(ROW(),MATCH("",$4:$4,-1),1,1)),"Y")</f>
        <v>5</v>
      </c>
      <c r="H22" s="23">
        <f ca="1">COUNTIF($M22:INDIRECT(ADDRESS(ROW(),MATCH("",$4:$4,-1),1,1)),"Y(즉시조치)")+COUNTIF($M22:INDIRECT(ADDRESS(ROW(),MATCH("",$4:$4,-1),1,1)),"조치완료(즉시조치)")</f>
        <v>0</v>
      </c>
      <c r="I22" s="23">
        <f ca="1">COUNTIF($M22:INDIRECT(ADDRESS(ROW(),MATCH("",$4:$4,-1),1,1)),"N")</f>
        <v>0</v>
      </c>
      <c r="J22" s="23">
        <f ca="1">COUNTIF($M22:INDIRECT(ADDRESS(ROW(),MATCH("",$4:$4,-1),1,1)),"N/A")+COUNTIF($M22:INDIRECT(ADDRESS(ROW(),MATCH("",$4:$4,-1),1,1)),"조치완료(N/A)")</f>
        <v>0</v>
      </c>
      <c r="K22" s="23">
        <f ca="1">VLOOKUP($D22,'parm(hidden)'!$B$8:$C$10,2,FALSE)*($F22-$J22)</f>
        <v>15</v>
      </c>
      <c r="L22" s="36">
        <f ca="1">VLOOKUP($D22,'parm(hidden)'!$B$8:$C$10,2,FALSE)*($G22+$H22)</f>
        <v>15</v>
      </c>
      <c r="M22" s="48" t="str">
        <f t="shared" ca="1" si="2"/>
        <v>Y</v>
      </c>
      <c r="N22" s="48" t="str">
        <f t="shared" ca="1" si="2"/>
        <v>Y</v>
      </c>
      <c r="O22" s="48" t="str">
        <f t="shared" ca="1" si="2"/>
        <v>Y</v>
      </c>
      <c r="P22" s="48" t="str">
        <f t="shared" ca="1" si="2"/>
        <v>Y</v>
      </c>
      <c r="Q22" s="48" t="str">
        <f t="shared" ca="1" si="2"/>
        <v>Y</v>
      </c>
    </row>
    <row r="23" spans="1:17" ht="14.1" customHeight="1">
      <c r="A23" s="174" t="str">
        <f>ChkList!A23</f>
        <v>파일 및 디렉터리 관리</v>
      </c>
      <c r="B23" s="174" t="str">
        <f>ChkList!B23</f>
        <v>U-19</v>
      </c>
      <c r="C23" s="174" t="str">
        <f>ChkList!C23</f>
        <v>/etc/hosts 파일 소유자 및 권한 설정</v>
      </c>
      <c r="D23" s="174" t="str">
        <f>ChkList!D23</f>
        <v>H</v>
      </c>
      <c r="E23" s="174">
        <f>ChkList!E23</f>
        <v>3</v>
      </c>
      <c r="F23" s="23">
        <f ca="1">COUNTA($M23:INDIRECT(ADDRESS(ROW(),MATCH("",$4:$4,-1),1,1)))</f>
        <v>5</v>
      </c>
      <c r="G23" s="23">
        <f ca="1">COUNTIF($M23:INDIRECT(ADDRESS(ROW(),MATCH("",$4:$4,-1),1,1)),"조치완료(Y)")+COUNTIF($M23:INDIRECT(ADDRESS(ROW(),MATCH("",$4:$4,-1),1,1)),"Y")</f>
        <v>5</v>
      </c>
      <c r="H23" s="23">
        <f ca="1">COUNTIF($M23:INDIRECT(ADDRESS(ROW(),MATCH("",$4:$4,-1),1,1)),"Y(즉시조치)")+COUNTIF($M23:INDIRECT(ADDRESS(ROW(),MATCH("",$4:$4,-1),1,1)),"조치완료(즉시조치)")</f>
        <v>0</v>
      </c>
      <c r="I23" s="23">
        <f ca="1">COUNTIF($M23:INDIRECT(ADDRESS(ROW(),MATCH("",$4:$4,-1),1,1)),"N")</f>
        <v>0</v>
      </c>
      <c r="J23" s="23">
        <f ca="1">COUNTIF($M23:INDIRECT(ADDRESS(ROW(),MATCH("",$4:$4,-1),1,1)),"N/A")+COUNTIF($M23:INDIRECT(ADDRESS(ROW(),MATCH("",$4:$4,-1),1,1)),"조치완료(N/A)")</f>
        <v>0</v>
      </c>
      <c r="K23" s="23">
        <f ca="1">VLOOKUP($D23,'parm(hidden)'!$B$8:$C$10,2,FALSE)*($F23-$J23)</f>
        <v>15</v>
      </c>
      <c r="L23" s="36">
        <f ca="1">VLOOKUP($D23,'parm(hidden)'!$B$8:$C$10,2,FALSE)*($G23+$H23)</f>
        <v>15</v>
      </c>
      <c r="M23" s="48" t="str">
        <f t="shared" ca="1" si="2"/>
        <v>Y</v>
      </c>
      <c r="N23" s="48" t="str">
        <f t="shared" ca="1" si="2"/>
        <v>Y</v>
      </c>
      <c r="O23" s="48" t="str">
        <f t="shared" ca="1" si="2"/>
        <v>Y</v>
      </c>
      <c r="P23" s="48" t="str">
        <f t="shared" ca="1" si="2"/>
        <v>Y</v>
      </c>
      <c r="Q23" s="48" t="str">
        <f t="shared" ca="1" si="2"/>
        <v>Y</v>
      </c>
    </row>
    <row r="24" spans="1:17" ht="14.1" customHeight="1">
      <c r="A24" s="174" t="str">
        <f>ChkList!A24</f>
        <v>파일 및 디렉터리 관리</v>
      </c>
      <c r="B24" s="174" t="str">
        <f>ChkList!B24</f>
        <v>U-20</v>
      </c>
      <c r="C24" s="174" t="str">
        <f>ChkList!C24</f>
        <v>/etc/(x)inetd.conf 파일 소유자 및 권한 설정</v>
      </c>
      <c r="D24" s="174" t="str">
        <f>ChkList!D24</f>
        <v>H</v>
      </c>
      <c r="E24" s="174">
        <f>ChkList!E24</f>
        <v>3</v>
      </c>
      <c r="F24" s="23">
        <f ca="1">COUNTA($M24:INDIRECT(ADDRESS(ROW(),MATCH("",$4:$4,-1),1,1)))</f>
        <v>5</v>
      </c>
      <c r="G24" s="23">
        <f ca="1">COUNTIF($M24:INDIRECT(ADDRESS(ROW(),MATCH("",$4:$4,-1),1,1)),"조치완료(Y)")+COUNTIF($M24:INDIRECT(ADDRESS(ROW(),MATCH("",$4:$4,-1),1,1)),"Y")</f>
        <v>0</v>
      </c>
      <c r="H24" s="23">
        <f ca="1">COUNTIF($M24:INDIRECT(ADDRESS(ROW(),MATCH("",$4:$4,-1),1,1)),"Y(즉시조치)")+COUNTIF($M24:INDIRECT(ADDRESS(ROW(),MATCH("",$4:$4,-1),1,1)),"조치완료(즉시조치)")</f>
        <v>0</v>
      </c>
      <c r="I24" s="23">
        <f ca="1">COUNTIF($M24:INDIRECT(ADDRESS(ROW(),MATCH("",$4:$4,-1),1,1)),"N")</f>
        <v>5</v>
      </c>
      <c r="J24" s="23">
        <f ca="1">COUNTIF($M24:INDIRECT(ADDRESS(ROW(),MATCH("",$4:$4,-1),1,1)),"N/A")+COUNTIF($M24:INDIRECT(ADDRESS(ROW(),MATCH("",$4:$4,-1),1,1)),"조치완료(N/A)")</f>
        <v>0</v>
      </c>
      <c r="K24" s="23">
        <f ca="1">VLOOKUP($D24,'parm(hidden)'!$B$8:$C$10,2,FALSE)*($F24-$J24)</f>
        <v>15</v>
      </c>
      <c r="L24" s="36">
        <f ca="1">VLOOKUP($D24,'parm(hidden)'!$B$8:$C$10,2,FALSE)*($G24+$H24)</f>
        <v>0</v>
      </c>
      <c r="M24" s="48" t="str">
        <f t="shared" ca="1" si="2"/>
        <v>N</v>
      </c>
      <c r="N24" s="48" t="str">
        <f t="shared" ca="1" si="2"/>
        <v>N</v>
      </c>
      <c r="O24" s="48" t="str">
        <f t="shared" ca="1" si="2"/>
        <v>N</v>
      </c>
      <c r="P24" s="48" t="str">
        <f t="shared" ca="1" si="2"/>
        <v>N</v>
      </c>
      <c r="Q24" s="48" t="str">
        <f t="shared" ca="1" si="2"/>
        <v>N</v>
      </c>
    </row>
    <row r="25" spans="1:17" ht="14.1" customHeight="1">
      <c r="A25" s="174" t="str">
        <f>ChkList!A25</f>
        <v>파일 및 디렉터리 관리</v>
      </c>
      <c r="B25" s="174" t="str">
        <f>ChkList!B25</f>
        <v>U-21</v>
      </c>
      <c r="C25" s="174" t="str">
        <f>ChkList!C25</f>
        <v>/etc/(r)syslog.conf 파일 소유자 및 권한 설정</v>
      </c>
      <c r="D25" s="174" t="str">
        <f>ChkList!D25</f>
        <v>H</v>
      </c>
      <c r="E25" s="174">
        <f>ChkList!E25</f>
        <v>3</v>
      </c>
      <c r="F25" s="23">
        <f ca="1">COUNTA($M25:INDIRECT(ADDRESS(ROW(),MATCH("",$4:$4,-1),1,1)))</f>
        <v>5</v>
      </c>
      <c r="G25" s="23">
        <f ca="1">COUNTIF($M25:INDIRECT(ADDRESS(ROW(),MATCH("",$4:$4,-1),1,1)),"조치완료(Y)")+COUNTIF($M25:INDIRECT(ADDRESS(ROW(),MATCH("",$4:$4,-1),1,1)),"Y")</f>
        <v>0</v>
      </c>
      <c r="H25" s="23">
        <f ca="1">COUNTIF($M25:INDIRECT(ADDRESS(ROW(),MATCH("",$4:$4,-1),1,1)),"Y(즉시조치)")+COUNTIF($M25:INDIRECT(ADDRESS(ROW(),MATCH("",$4:$4,-1),1,1)),"조치완료(즉시조치)")</f>
        <v>0</v>
      </c>
      <c r="I25" s="23">
        <f ca="1">COUNTIF($M25:INDIRECT(ADDRESS(ROW(),MATCH("",$4:$4,-1),1,1)),"N")</f>
        <v>5</v>
      </c>
      <c r="J25" s="23">
        <f ca="1">COUNTIF($M25:INDIRECT(ADDRESS(ROW(),MATCH("",$4:$4,-1),1,1)),"N/A")+COUNTIF($M25:INDIRECT(ADDRESS(ROW(),MATCH("",$4:$4,-1),1,1)),"조치완료(N/A)")</f>
        <v>0</v>
      </c>
      <c r="K25" s="23">
        <f ca="1">VLOOKUP($D25,'parm(hidden)'!$B$8:$C$10,2,FALSE)*($F25-$J25)</f>
        <v>15</v>
      </c>
      <c r="L25" s="36">
        <f ca="1">VLOOKUP($D25,'parm(hidden)'!$B$8:$C$10,2,FALSE)*($G25+$H25)</f>
        <v>0</v>
      </c>
      <c r="M25" s="48" t="str">
        <f t="shared" ca="1" si="2"/>
        <v>N</v>
      </c>
      <c r="N25" s="48" t="str">
        <f t="shared" ca="1" si="2"/>
        <v>N</v>
      </c>
      <c r="O25" s="48" t="str">
        <f t="shared" ca="1" si="2"/>
        <v>N</v>
      </c>
      <c r="P25" s="48" t="str">
        <f t="shared" ca="1" si="2"/>
        <v>N</v>
      </c>
      <c r="Q25" s="48" t="str">
        <f t="shared" ca="1" si="2"/>
        <v>N</v>
      </c>
    </row>
    <row r="26" spans="1:17" ht="14.1" customHeight="1">
      <c r="A26" s="174" t="str">
        <f>ChkList!A26</f>
        <v>파일 및 디렉터리 관리</v>
      </c>
      <c r="B26" s="174" t="str">
        <f>ChkList!B26</f>
        <v>U-22</v>
      </c>
      <c r="C26" s="174" t="str">
        <f>ChkList!C26</f>
        <v>/etc/services 파일 소유자 및 권한 설정</v>
      </c>
      <c r="D26" s="174" t="str">
        <f>ChkList!D26</f>
        <v>H</v>
      </c>
      <c r="E26" s="174">
        <f>ChkList!E26</f>
        <v>3</v>
      </c>
      <c r="F26" s="23">
        <f ca="1">COUNTA($M26:INDIRECT(ADDRESS(ROW(),MATCH("",$4:$4,-1),1,1)))</f>
        <v>5</v>
      </c>
      <c r="G26" s="23">
        <f ca="1">COUNTIF($M26:INDIRECT(ADDRESS(ROW(),MATCH("",$4:$4,-1),1,1)),"조치완료(Y)")+COUNTIF($M26:INDIRECT(ADDRESS(ROW(),MATCH("",$4:$4,-1),1,1)),"Y")</f>
        <v>0</v>
      </c>
      <c r="H26" s="23">
        <f ca="1">COUNTIF($M26:INDIRECT(ADDRESS(ROW(),MATCH("",$4:$4,-1),1,1)),"Y(즉시조치)")+COUNTIF($M26:INDIRECT(ADDRESS(ROW(),MATCH("",$4:$4,-1),1,1)),"조치완료(즉시조치)")</f>
        <v>0</v>
      </c>
      <c r="I26" s="23">
        <f ca="1">COUNTIF($M26:INDIRECT(ADDRESS(ROW(),MATCH("",$4:$4,-1),1,1)),"N")</f>
        <v>5</v>
      </c>
      <c r="J26" s="23">
        <f ca="1">COUNTIF($M26:INDIRECT(ADDRESS(ROW(),MATCH("",$4:$4,-1),1,1)),"N/A")+COUNTIF($M26:INDIRECT(ADDRESS(ROW(),MATCH("",$4:$4,-1),1,1)),"조치완료(N/A)")</f>
        <v>0</v>
      </c>
      <c r="K26" s="23">
        <f ca="1">VLOOKUP($D26,'parm(hidden)'!$B$8:$C$10,2,FALSE)*($F26-$J26)</f>
        <v>15</v>
      </c>
      <c r="L26" s="36">
        <f ca="1">VLOOKUP($D26,'parm(hidden)'!$B$8:$C$10,2,FALSE)*($G26+$H26)</f>
        <v>0</v>
      </c>
      <c r="M26" s="48" t="str">
        <f t="shared" ca="1" si="2"/>
        <v>N</v>
      </c>
      <c r="N26" s="48" t="str">
        <f t="shared" ca="1" si="2"/>
        <v>N</v>
      </c>
      <c r="O26" s="48" t="str">
        <f t="shared" ca="1" si="2"/>
        <v>N</v>
      </c>
      <c r="P26" s="48" t="str">
        <f t="shared" ca="1" si="2"/>
        <v>N</v>
      </c>
      <c r="Q26" s="48" t="str">
        <f t="shared" ca="1" si="2"/>
        <v>N</v>
      </c>
    </row>
    <row r="27" spans="1:17" ht="14.1" customHeight="1">
      <c r="A27" s="174" t="str">
        <f>ChkList!A27</f>
        <v>파일 및 디렉터리 관리</v>
      </c>
      <c r="B27" s="174" t="str">
        <f>ChkList!B27</f>
        <v>U-23</v>
      </c>
      <c r="C27" s="174" t="str">
        <f>ChkList!C27</f>
        <v>SUID, SGID, Sticky bit 설정 파일 점검</v>
      </c>
      <c r="D27" s="174" t="str">
        <f>ChkList!D27</f>
        <v>H</v>
      </c>
      <c r="E27" s="174">
        <f>ChkList!E27</f>
        <v>3</v>
      </c>
      <c r="F27" s="23">
        <f ca="1">COUNTA($M27:INDIRECT(ADDRESS(ROW(),MATCH("",$4:$4,-1),1,1)))</f>
        <v>5</v>
      </c>
      <c r="G27" s="23">
        <f ca="1">COUNTIF($M27:INDIRECT(ADDRESS(ROW(),MATCH("",$4:$4,-1),1,1)),"조치완료(Y)")+COUNTIF($M27:INDIRECT(ADDRESS(ROW(),MATCH("",$4:$4,-1),1,1)),"Y")</f>
        <v>5</v>
      </c>
      <c r="H27" s="23">
        <f ca="1">COUNTIF($M27:INDIRECT(ADDRESS(ROW(),MATCH("",$4:$4,-1),1,1)),"Y(즉시조치)")+COUNTIF($M27:INDIRECT(ADDRESS(ROW(),MATCH("",$4:$4,-1),1,1)),"조치완료(즉시조치)")</f>
        <v>0</v>
      </c>
      <c r="I27" s="23">
        <f ca="1">COUNTIF($M27:INDIRECT(ADDRESS(ROW(),MATCH("",$4:$4,-1),1,1)),"N")</f>
        <v>0</v>
      </c>
      <c r="J27" s="23">
        <f ca="1">COUNTIF($M27:INDIRECT(ADDRESS(ROW(),MATCH("",$4:$4,-1),1,1)),"N/A")+COUNTIF($M27:INDIRECT(ADDRESS(ROW(),MATCH("",$4:$4,-1),1,1)),"조치완료(N/A)")</f>
        <v>0</v>
      </c>
      <c r="K27" s="23">
        <f ca="1">VLOOKUP($D27,'parm(hidden)'!$B$8:$C$10,2,FALSE)*($F27-$J27)</f>
        <v>15</v>
      </c>
      <c r="L27" s="36">
        <f ca="1">VLOOKUP($D27,'parm(hidden)'!$B$8:$C$10,2,FALSE)*($G27+$H27)</f>
        <v>15</v>
      </c>
      <c r="M27" s="48" t="str">
        <f t="shared" ca="1" si="2"/>
        <v>Y</v>
      </c>
      <c r="N27" s="48" t="str">
        <f t="shared" ca="1" si="2"/>
        <v>Y</v>
      </c>
      <c r="O27" s="48" t="str">
        <f t="shared" ca="1" si="2"/>
        <v>Y</v>
      </c>
      <c r="P27" s="48" t="str">
        <f t="shared" ca="1" si="2"/>
        <v>Y</v>
      </c>
      <c r="Q27" s="48" t="str">
        <f t="shared" ca="1" si="2"/>
        <v>Y</v>
      </c>
    </row>
    <row r="28" spans="1:17" ht="14.1" customHeight="1">
      <c r="A28" s="174" t="str">
        <f>ChkList!A28</f>
        <v>파일 및 디렉터리 관리</v>
      </c>
      <c r="B28" s="174" t="str">
        <f>ChkList!B28</f>
        <v>U-24</v>
      </c>
      <c r="C28" s="174" t="str">
        <f>ChkList!C28</f>
        <v>사용자, 시스템 시작파일 및 환경파일 소유자 및 권한 설정</v>
      </c>
      <c r="D28" s="174" t="str">
        <f>ChkList!D28</f>
        <v>H</v>
      </c>
      <c r="E28" s="174">
        <f>ChkList!E28</f>
        <v>3</v>
      </c>
      <c r="F28" s="23">
        <f ca="1">COUNTA($M28:INDIRECT(ADDRESS(ROW(),MATCH("",$4:$4,-1),1,1)))</f>
        <v>5</v>
      </c>
      <c r="G28" s="23">
        <f ca="1">COUNTIF($M28:INDIRECT(ADDRESS(ROW(),MATCH("",$4:$4,-1),1,1)),"조치완료(Y)")+COUNTIF($M28:INDIRECT(ADDRESS(ROW(),MATCH("",$4:$4,-1),1,1)),"Y")</f>
        <v>0</v>
      </c>
      <c r="H28" s="23">
        <f ca="1">COUNTIF($M28:INDIRECT(ADDRESS(ROW(),MATCH("",$4:$4,-1),1,1)),"Y(즉시조치)")+COUNTIF($M28:INDIRECT(ADDRESS(ROW(),MATCH("",$4:$4,-1),1,1)),"조치완료(즉시조치)")</f>
        <v>0</v>
      </c>
      <c r="I28" s="23">
        <f ca="1">COUNTIF($M28:INDIRECT(ADDRESS(ROW(),MATCH("",$4:$4,-1),1,1)),"N")</f>
        <v>5</v>
      </c>
      <c r="J28" s="23">
        <f ca="1">COUNTIF($M28:INDIRECT(ADDRESS(ROW(),MATCH("",$4:$4,-1),1,1)),"N/A")+COUNTIF($M28:INDIRECT(ADDRESS(ROW(),MATCH("",$4:$4,-1),1,1)),"조치완료(N/A)")</f>
        <v>0</v>
      </c>
      <c r="K28" s="23">
        <f ca="1">VLOOKUP($D28,'parm(hidden)'!$B$8:$C$10,2,FALSE)*($F28-$J28)</f>
        <v>15</v>
      </c>
      <c r="L28" s="36">
        <f ca="1">VLOOKUP($D28,'parm(hidden)'!$B$8:$C$10,2,FALSE)*($G28+$H28)</f>
        <v>0</v>
      </c>
      <c r="M28" s="48" t="str">
        <f t="shared" ca="1" si="2"/>
        <v>N</v>
      </c>
      <c r="N28" s="48" t="str">
        <f t="shared" ca="1" si="2"/>
        <v>N</v>
      </c>
      <c r="O28" s="48" t="str">
        <f t="shared" ca="1" si="2"/>
        <v>N</v>
      </c>
      <c r="P28" s="48" t="str">
        <f t="shared" ca="1" si="2"/>
        <v>N</v>
      </c>
      <c r="Q28" s="48" t="str">
        <f t="shared" ca="1" si="2"/>
        <v>N</v>
      </c>
    </row>
    <row r="29" spans="1:17" ht="14.1" customHeight="1">
      <c r="A29" s="174" t="str">
        <f>ChkList!A29</f>
        <v>파일 및 디렉터리 관리</v>
      </c>
      <c r="B29" s="174" t="str">
        <f>ChkList!B29</f>
        <v>U-25</v>
      </c>
      <c r="C29" s="174" t="str">
        <f>ChkList!C29</f>
        <v>world writable 파일 점검</v>
      </c>
      <c r="D29" s="174" t="str">
        <f>ChkList!D29</f>
        <v>H</v>
      </c>
      <c r="E29" s="174">
        <f>ChkList!E29</f>
        <v>3</v>
      </c>
      <c r="F29" s="23">
        <f ca="1">COUNTA($M29:INDIRECT(ADDRESS(ROW(),MATCH("",$4:$4,-1),1,1)))</f>
        <v>5</v>
      </c>
      <c r="G29" s="23">
        <f ca="1">COUNTIF($M29:INDIRECT(ADDRESS(ROW(),MATCH("",$4:$4,-1),1,1)),"조치완료(Y)")+COUNTIF($M29:INDIRECT(ADDRESS(ROW(),MATCH("",$4:$4,-1),1,1)),"Y")</f>
        <v>5</v>
      </c>
      <c r="H29" s="23">
        <f ca="1">COUNTIF($M29:INDIRECT(ADDRESS(ROW(),MATCH("",$4:$4,-1),1,1)),"Y(즉시조치)")+COUNTIF($M29:INDIRECT(ADDRESS(ROW(),MATCH("",$4:$4,-1),1,1)),"조치완료(즉시조치)")</f>
        <v>0</v>
      </c>
      <c r="I29" s="23">
        <f ca="1">COUNTIF($M29:INDIRECT(ADDRESS(ROW(),MATCH("",$4:$4,-1),1,1)),"N")</f>
        <v>0</v>
      </c>
      <c r="J29" s="23">
        <f ca="1">COUNTIF($M29:INDIRECT(ADDRESS(ROW(),MATCH("",$4:$4,-1),1,1)),"N/A")+COUNTIF($M29:INDIRECT(ADDRESS(ROW(),MATCH("",$4:$4,-1),1,1)),"조치완료(N/A)")</f>
        <v>0</v>
      </c>
      <c r="K29" s="23">
        <f ca="1">VLOOKUP($D29,'parm(hidden)'!$B$8:$C$10,2,FALSE)*($F29-$J29)</f>
        <v>15</v>
      </c>
      <c r="L29" s="36">
        <f ca="1">VLOOKUP($D29,'parm(hidden)'!$B$8:$C$10,2,FALSE)*($G29+$H29)</f>
        <v>15</v>
      </c>
      <c r="M29" s="48" t="str">
        <f t="shared" ca="1" si="2"/>
        <v>Y</v>
      </c>
      <c r="N29" s="48" t="str">
        <f t="shared" ca="1" si="2"/>
        <v>Y</v>
      </c>
      <c r="O29" s="48" t="str">
        <f t="shared" ca="1" si="2"/>
        <v>Y</v>
      </c>
      <c r="P29" s="48" t="str">
        <f t="shared" ca="1" si="2"/>
        <v>Y</v>
      </c>
      <c r="Q29" s="48" t="str">
        <f t="shared" ca="1" si="2"/>
        <v>Y</v>
      </c>
    </row>
    <row r="30" spans="1:17" ht="14.1" customHeight="1">
      <c r="A30" s="174" t="str">
        <f>ChkList!A30</f>
        <v>파일 및 디렉터리 관리</v>
      </c>
      <c r="B30" s="174" t="str">
        <f>ChkList!B30</f>
        <v>U-26</v>
      </c>
      <c r="C30" s="174" t="str">
        <f>ChkList!C30</f>
        <v>/dev에 존재하지 않는 device 파일 점검</v>
      </c>
      <c r="D30" s="174" t="str">
        <f>ChkList!D30</f>
        <v>H</v>
      </c>
      <c r="E30" s="174">
        <f>ChkList!E30</f>
        <v>3</v>
      </c>
      <c r="F30" s="23">
        <f ca="1">COUNTA($M30:INDIRECT(ADDRESS(ROW(),MATCH("",$4:$4,-1),1,1)))</f>
        <v>5</v>
      </c>
      <c r="G30" s="23">
        <f ca="1">COUNTIF($M30:INDIRECT(ADDRESS(ROW(),MATCH("",$4:$4,-1),1,1)),"조치완료(Y)")+COUNTIF($M30:INDIRECT(ADDRESS(ROW(),MATCH("",$4:$4,-1),1,1)),"Y")</f>
        <v>0</v>
      </c>
      <c r="H30" s="23">
        <f ca="1">COUNTIF($M30:INDIRECT(ADDRESS(ROW(),MATCH("",$4:$4,-1),1,1)),"Y(즉시조치)")+COUNTIF($M30:INDIRECT(ADDRESS(ROW(),MATCH("",$4:$4,-1),1,1)),"조치완료(즉시조치)")</f>
        <v>0</v>
      </c>
      <c r="I30" s="23">
        <f ca="1">COUNTIF($M30:INDIRECT(ADDRESS(ROW(),MATCH("",$4:$4,-1),1,1)),"N")</f>
        <v>5</v>
      </c>
      <c r="J30" s="23">
        <f ca="1">COUNTIF($M30:INDIRECT(ADDRESS(ROW(),MATCH("",$4:$4,-1),1,1)),"N/A")+COUNTIF($M30:INDIRECT(ADDRESS(ROW(),MATCH("",$4:$4,-1),1,1)),"조치완료(N/A)")</f>
        <v>0</v>
      </c>
      <c r="K30" s="23">
        <f ca="1">VLOOKUP($D30,'parm(hidden)'!$B$8:$C$10,2,FALSE)*($F30-$J30)</f>
        <v>15</v>
      </c>
      <c r="L30" s="36">
        <f ca="1">VLOOKUP($D30,'parm(hidden)'!$B$8:$C$10,2,FALSE)*($G30+$H30)</f>
        <v>0</v>
      </c>
      <c r="M30" s="48" t="str">
        <f t="shared" ca="1" si="2"/>
        <v>N</v>
      </c>
      <c r="N30" s="48" t="str">
        <f t="shared" ca="1" si="2"/>
        <v>N</v>
      </c>
      <c r="O30" s="48" t="str">
        <f t="shared" ca="1" si="2"/>
        <v>N</v>
      </c>
      <c r="P30" s="48" t="str">
        <f t="shared" ca="1" si="2"/>
        <v>N</v>
      </c>
      <c r="Q30" s="48" t="str">
        <f t="shared" ca="1" si="2"/>
        <v>N</v>
      </c>
    </row>
    <row r="31" spans="1:17" ht="14.1" customHeight="1">
      <c r="A31" s="174" t="str">
        <f>ChkList!A31</f>
        <v>파일 및 디렉터리 관리</v>
      </c>
      <c r="B31" s="174" t="str">
        <f>ChkList!B31</f>
        <v>U-27</v>
      </c>
      <c r="C31" s="174" t="str">
        <f>ChkList!C31</f>
        <v>$HOME/.rhosts, hosts.equiv 사용 금지</v>
      </c>
      <c r="D31" s="174" t="str">
        <f>ChkList!D31</f>
        <v>H</v>
      </c>
      <c r="E31" s="174">
        <f>ChkList!E31</f>
        <v>3</v>
      </c>
      <c r="F31" s="23">
        <f ca="1">COUNTA($M31:INDIRECT(ADDRESS(ROW(),MATCH("",$4:$4,-1),1,1)))</f>
        <v>5</v>
      </c>
      <c r="G31" s="23">
        <f ca="1">COUNTIF($M31:INDIRECT(ADDRESS(ROW(),MATCH("",$4:$4,-1),1,1)),"조치완료(Y)")+COUNTIF($M31:INDIRECT(ADDRESS(ROW(),MATCH("",$4:$4,-1),1,1)),"Y")</f>
        <v>0</v>
      </c>
      <c r="H31" s="23">
        <f ca="1">COUNTIF($M31:INDIRECT(ADDRESS(ROW(),MATCH("",$4:$4,-1),1,1)),"Y(즉시조치)")+COUNTIF($M31:INDIRECT(ADDRESS(ROW(),MATCH("",$4:$4,-1),1,1)),"조치완료(즉시조치)")</f>
        <v>0</v>
      </c>
      <c r="I31" s="23">
        <f ca="1">COUNTIF($M31:INDIRECT(ADDRESS(ROW(),MATCH("",$4:$4,-1),1,1)),"N")</f>
        <v>5</v>
      </c>
      <c r="J31" s="23">
        <f ca="1">COUNTIF($M31:INDIRECT(ADDRESS(ROW(),MATCH("",$4:$4,-1),1,1)),"N/A")+COUNTIF($M31:INDIRECT(ADDRESS(ROW(),MATCH("",$4:$4,-1),1,1)),"조치완료(N/A)")</f>
        <v>0</v>
      </c>
      <c r="K31" s="23">
        <f ca="1">VLOOKUP($D31,'parm(hidden)'!$B$8:$C$10,2,FALSE)*($F31-$J31)</f>
        <v>15</v>
      </c>
      <c r="L31" s="36">
        <f ca="1">VLOOKUP($D31,'parm(hidden)'!$B$8:$C$10,2,FALSE)*($G31+$H31)</f>
        <v>0</v>
      </c>
      <c r="M31" s="48" t="str">
        <f t="shared" ca="1" si="2"/>
        <v>N</v>
      </c>
      <c r="N31" s="48" t="str">
        <f t="shared" ca="1" si="2"/>
        <v>N</v>
      </c>
      <c r="O31" s="48" t="str">
        <f t="shared" ca="1" si="2"/>
        <v>N</v>
      </c>
      <c r="P31" s="48" t="str">
        <f t="shared" ca="1" si="2"/>
        <v>N</v>
      </c>
      <c r="Q31" s="48" t="str">
        <f t="shared" ca="1" si="2"/>
        <v>N</v>
      </c>
    </row>
    <row r="32" spans="1:17" ht="14.1" customHeight="1">
      <c r="A32" s="174" t="str">
        <f>ChkList!A32</f>
        <v>파일 및 디렉터리 관리</v>
      </c>
      <c r="B32" s="174" t="str">
        <f>ChkList!B32</f>
        <v>U-28</v>
      </c>
      <c r="C32" s="174" t="str">
        <f>ChkList!C32</f>
        <v>접속 IP 및 포트 제한</v>
      </c>
      <c r="D32" s="174" t="str">
        <f>ChkList!D32</f>
        <v>H</v>
      </c>
      <c r="E32" s="174">
        <f>ChkList!E32</f>
        <v>3</v>
      </c>
      <c r="F32" s="23">
        <f ca="1">COUNTA($M32:INDIRECT(ADDRESS(ROW(),MATCH("",$4:$4,-1),1,1)))</f>
        <v>5</v>
      </c>
      <c r="G32" s="23">
        <f ca="1">COUNTIF($M32:INDIRECT(ADDRESS(ROW(),MATCH("",$4:$4,-1),1,1)),"조치완료(Y)")+COUNTIF($M32:INDIRECT(ADDRESS(ROW(),MATCH("",$4:$4,-1),1,1)),"Y")</f>
        <v>5</v>
      </c>
      <c r="H32" s="23">
        <f ca="1">COUNTIF($M32:INDIRECT(ADDRESS(ROW(),MATCH("",$4:$4,-1),1,1)),"Y(즉시조치)")+COUNTIF($M32:INDIRECT(ADDRESS(ROW(),MATCH("",$4:$4,-1),1,1)),"조치완료(즉시조치)")</f>
        <v>0</v>
      </c>
      <c r="I32" s="23">
        <f ca="1">COUNTIF($M32:INDIRECT(ADDRESS(ROW(),MATCH("",$4:$4,-1),1,1)),"N")</f>
        <v>0</v>
      </c>
      <c r="J32" s="23">
        <f ca="1">COUNTIF($M32:INDIRECT(ADDRESS(ROW(),MATCH("",$4:$4,-1),1,1)),"N/A")+COUNTIF($M32:INDIRECT(ADDRESS(ROW(),MATCH("",$4:$4,-1),1,1)),"조치완료(N/A)")</f>
        <v>0</v>
      </c>
      <c r="K32" s="23">
        <f ca="1">VLOOKUP($D32,'parm(hidden)'!$B$8:$C$10,2,FALSE)*($F32-$J32)</f>
        <v>15</v>
      </c>
      <c r="L32" s="36">
        <f ca="1">VLOOKUP($D32,'parm(hidden)'!$B$8:$C$10,2,FALSE)*($G32+$H32)</f>
        <v>15</v>
      </c>
      <c r="M32" s="48" t="str">
        <f t="shared" ca="1" si="2"/>
        <v>Y</v>
      </c>
      <c r="N32" s="48" t="str">
        <f t="shared" ca="1" si="2"/>
        <v>Y</v>
      </c>
      <c r="O32" s="48" t="str">
        <f t="shared" ca="1" si="2"/>
        <v>Y</v>
      </c>
      <c r="P32" s="48" t="str">
        <f t="shared" ca="1" si="2"/>
        <v>Y</v>
      </c>
      <c r="Q32" s="48" t="str">
        <f t="shared" ca="1" si="2"/>
        <v>Y</v>
      </c>
    </row>
    <row r="33" spans="1:17" ht="14.1" customHeight="1">
      <c r="A33" s="174" t="str">
        <f>ChkList!A33</f>
        <v>파일 및 디렉터리 관리</v>
      </c>
      <c r="B33" s="174" t="str">
        <f>ChkList!B33</f>
        <v>U-29</v>
      </c>
      <c r="C33" s="174" t="str">
        <f>ChkList!C33</f>
        <v>hosts.lpd 파일 소유자 및 권한 설정</v>
      </c>
      <c r="D33" s="174" t="str">
        <f>ChkList!D33</f>
        <v>L</v>
      </c>
      <c r="E33" s="174">
        <f>ChkList!E33</f>
        <v>1</v>
      </c>
      <c r="F33" s="23">
        <f ca="1">COUNTA($M33:INDIRECT(ADDRESS(ROW(),MATCH("",$4:$4,-1),1,1)))</f>
        <v>5</v>
      </c>
      <c r="G33" s="23">
        <f ca="1">COUNTIF($M33:INDIRECT(ADDRESS(ROW(),MATCH("",$4:$4,-1),1,1)),"조치완료(Y)")+COUNTIF($M33:INDIRECT(ADDRESS(ROW(),MATCH("",$4:$4,-1),1,1)),"Y")</f>
        <v>0</v>
      </c>
      <c r="H33" s="23">
        <f ca="1">COUNTIF($M33:INDIRECT(ADDRESS(ROW(),MATCH("",$4:$4,-1),1,1)),"Y(즉시조치)")+COUNTIF($M33:INDIRECT(ADDRESS(ROW(),MATCH("",$4:$4,-1),1,1)),"조치완료(즉시조치)")</f>
        <v>0</v>
      </c>
      <c r="I33" s="23">
        <f ca="1">COUNTIF($M33:INDIRECT(ADDRESS(ROW(),MATCH("",$4:$4,-1),1,1)),"N")</f>
        <v>5</v>
      </c>
      <c r="J33" s="23">
        <f ca="1">COUNTIF($M33:INDIRECT(ADDRESS(ROW(),MATCH("",$4:$4,-1),1,1)),"N/A")+COUNTIF($M33:INDIRECT(ADDRESS(ROW(),MATCH("",$4:$4,-1),1,1)),"조치완료(N/A)")</f>
        <v>0</v>
      </c>
      <c r="K33" s="23">
        <f ca="1">VLOOKUP($D33,'parm(hidden)'!$B$8:$C$10,2,FALSE)*($F33-$J33)</f>
        <v>5</v>
      </c>
      <c r="L33" s="36">
        <f ca="1">VLOOKUP($D33,'parm(hidden)'!$B$8:$C$10,2,FALSE)*($G33+$H33)</f>
        <v>0</v>
      </c>
      <c r="M33" s="48" t="str">
        <f t="shared" ca="1" si="2"/>
        <v>N</v>
      </c>
      <c r="N33" s="48" t="str">
        <f t="shared" ca="1" si="2"/>
        <v>N</v>
      </c>
      <c r="O33" s="48" t="str">
        <f t="shared" ca="1" si="2"/>
        <v>N</v>
      </c>
      <c r="P33" s="48" t="str">
        <f t="shared" ca="1" si="2"/>
        <v>N</v>
      </c>
      <c r="Q33" s="48" t="str">
        <f t="shared" ca="1" si="2"/>
        <v>N</v>
      </c>
    </row>
    <row r="34" spans="1:17" ht="14.1" customHeight="1">
      <c r="A34" s="174" t="str">
        <f>ChkList!A34</f>
        <v>파일 및 디렉터리 관리</v>
      </c>
      <c r="B34" s="174" t="str">
        <f>ChkList!B34</f>
        <v>U-30</v>
      </c>
      <c r="C34" s="174" t="str">
        <f>ChkList!C34</f>
        <v>UMASK 설정 관리</v>
      </c>
      <c r="D34" s="174" t="str">
        <f>ChkList!D34</f>
        <v>M</v>
      </c>
      <c r="E34" s="174">
        <f>ChkList!E34</f>
        <v>2</v>
      </c>
      <c r="F34" s="23">
        <f ca="1">COUNTA($M34:INDIRECT(ADDRESS(ROW(),MATCH("",$4:$4,-1),1,1)))</f>
        <v>5</v>
      </c>
      <c r="G34" s="23">
        <f ca="1">COUNTIF($M34:INDIRECT(ADDRESS(ROW(),MATCH("",$4:$4,-1),1,1)),"조치완료(Y)")+COUNTIF($M34:INDIRECT(ADDRESS(ROW(),MATCH("",$4:$4,-1),1,1)),"Y")</f>
        <v>5</v>
      </c>
      <c r="H34" s="23">
        <f ca="1">COUNTIF($M34:INDIRECT(ADDRESS(ROW(),MATCH("",$4:$4,-1),1,1)),"Y(즉시조치)")+COUNTIF($M34:INDIRECT(ADDRESS(ROW(),MATCH("",$4:$4,-1),1,1)),"조치완료(즉시조치)")</f>
        <v>0</v>
      </c>
      <c r="I34" s="23">
        <f ca="1">COUNTIF($M34:INDIRECT(ADDRESS(ROW(),MATCH("",$4:$4,-1),1,1)),"N")</f>
        <v>0</v>
      </c>
      <c r="J34" s="23">
        <f ca="1">COUNTIF($M34:INDIRECT(ADDRESS(ROW(),MATCH("",$4:$4,-1),1,1)),"N/A")+COUNTIF($M34:INDIRECT(ADDRESS(ROW(),MATCH("",$4:$4,-1),1,1)),"조치완료(N/A)")</f>
        <v>0</v>
      </c>
      <c r="K34" s="23">
        <f ca="1">VLOOKUP($D34,'parm(hidden)'!$B$8:$C$10,2,FALSE)*($F34-$J34)</f>
        <v>10</v>
      </c>
      <c r="L34" s="36">
        <f ca="1">VLOOKUP($D34,'parm(hidden)'!$B$8:$C$10,2,FALSE)*($G34+$H34)</f>
        <v>10</v>
      </c>
      <c r="M34" s="48" t="str">
        <f t="shared" ca="1" si="2"/>
        <v>Y</v>
      </c>
      <c r="N34" s="48" t="str">
        <f t="shared" ca="1" si="2"/>
        <v>Y</v>
      </c>
      <c r="O34" s="48" t="str">
        <f t="shared" ca="1" si="2"/>
        <v>Y</v>
      </c>
      <c r="P34" s="48" t="str">
        <f t="shared" ca="1" si="2"/>
        <v>Y</v>
      </c>
      <c r="Q34" s="48" t="str">
        <f t="shared" ca="1" si="2"/>
        <v>Y</v>
      </c>
    </row>
    <row r="35" spans="1:17" ht="14.1" customHeight="1">
      <c r="A35" s="174" t="str">
        <f>ChkList!A35</f>
        <v>파일 및 디렉터리 관리</v>
      </c>
      <c r="B35" s="174" t="str">
        <f>ChkList!B35</f>
        <v>U-31</v>
      </c>
      <c r="C35" s="174" t="str">
        <f>ChkList!C35</f>
        <v>홈 디렉터리 소유자 및 권한 설정</v>
      </c>
      <c r="D35" s="174" t="str">
        <f>ChkList!D35</f>
        <v>M</v>
      </c>
      <c r="E35" s="174">
        <f>ChkList!E35</f>
        <v>2</v>
      </c>
      <c r="F35" s="23">
        <f ca="1">COUNTA($M35:INDIRECT(ADDRESS(ROW(),MATCH("",$4:$4,-1),1,1)))</f>
        <v>5</v>
      </c>
      <c r="G35" s="23">
        <f ca="1">COUNTIF($M35:INDIRECT(ADDRESS(ROW(),MATCH("",$4:$4,-1),1,1)),"조치완료(Y)")+COUNTIF($M35:INDIRECT(ADDRESS(ROW(),MATCH("",$4:$4,-1),1,1)),"Y")</f>
        <v>5</v>
      </c>
      <c r="H35" s="23">
        <f ca="1">COUNTIF($M35:INDIRECT(ADDRESS(ROW(),MATCH("",$4:$4,-1),1,1)),"Y(즉시조치)")+COUNTIF($M35:INDIRECT(ADDRESS(ROW(),MATCH("",$4:$4,-1),1,1)),"조치완료(즉시조치)")</f>
        <v>0</v>
      </c>
      <c r="I35" s="23">
        <f ca="1">COUNTIF($M35:INDIRECT(ADDRESS(ROW(),MATCH("",$4:$4,-1),1,1)),"N")</f>
        <v>0</v>
      </c>
      <c r="J35" s="23">
        <f ca="1">COUNTIF($M35:INDIRECT(ADDRESS(ROW(),MATCH("",$4:$4,-1),1,1)),"N/A")+COUNTIF($M35:INDIRECT(ADDRESS(ROW(),MATCH("",$4:$4,-1),1,1)),"조치완료(N/A)")</f>
        <v>0</v>
      </c>
      <c r="K35" s="23">
        <f ca="1">VLOOKUP($D35,'parm(hidden)'!$B$8:$C$10,2,FALSE)*($F35-$J35)</f>
        <v>10</v>
      </c>
      <c r="L35" s="36">
        <f ca="1">VLOOKUP($D35,'parm(hidden)'!$B$8:$C$10,2,FALSE)*($G35+$H35)</f>
        <v>10</v>
      </c>
      <c r="M35" s="48" t="str">
        <f t="shared" ca="1" si="2"/>
        <v>Y</v>
      </c>
      <c r="N35" s="48" t="str">
        <f t="shared" ca="1" si="2"/>
        <v>Y</v>
      </c>
      <c r="O35" s="48" t="str">
        <f t="shared" ca="1" si="2"/>
        <v>Y</v>
      </c>
      <c r="P35" s="48" t="str">
        <f t="shared" ca="1" si="2"/>
        <v>Y</v>
      </c>
      <c r="Q35" s="48" t="str">
        <f t="shared" ca="1" si="2"/>
        <v>Y</v>
      </c>
    </row>
    <row r="36" spans="1:17" ht="14.1" customHeight="1">
      <c r="A36" s="174" t="str">
        <f>ChkList!A36</f>
        <v>파일 및 디렉터리 관리</v>
      </c>
      <c r="B36" s="174" t="str">
        <f>ChkList!B36</f>
        <v>U-32</v>
      </c>
      <c r="C36" s="174" t="str">
        <f>ChkList!C36</f>
        <v>홈 디렉터리로 지정한 디렉터리의 존재 관리</v>
      </c>
      <c r="D36" s="174" t="str">
        <f>ChkList!D36</f>
        <v>M</v>
      </c>
      <c r="E36" s="174">
        <f>ChkList!E36</f>
        <v>2</v>
      </c>
      <c r="F36" s="23">
        <f ca="1">COUNTA($M36:INDIRECT(ADDRESS(ROW(),MATCH("",$4:$4,-1),1,1)))</f>
        <v>5</v>
      </c>
      <c r="G36" s="23">
        <f ca="1">COUNTIF($M36:INDIRECT(ADDRESS(ROW(),MATCH("",$4:$4,-1),1,1)),"조치완료(Y)")+COUNTIF($M36:INDIRECT(ADDRESS(ROW(),MATCH("",$4:$4,-1),1,1)),"Y")</f>
        <v>5</v>
      </c>
      <c r="H36" s="23">
        <f ca="1">COUNTIF($M36:INDIRECT(ADDRESS(ROW(),MATCH("",$4:$4,-1),1,1)),"Y(즉시조치)")+COUNTIF($M36:INDIRECT(ADDRESS(ROW(),MATCH("",$4:$4,-1),1,1)),"조치완료(즉시조치)")</f>
        <v>0</v>
      </c>
      <c r="I36" s="23">
        <f ca="1">COUNTIF($M36:INDIRECT(ADDRESS(ROW(),MATCH("",$4:$4,-1),1,1)),"N")</f>
        <v>0</v>
      </c>
      <c r="J36" s="23">
        <f ca="1">COUNTIF($M36:INDIRECT(ADDRESS(ROW(),MATCH("",$4:$4,-1),1,1)),"N/A")+COUNTIF($M36:INDIRECT(ADDRESS(ROW(),MATCH("",$4:$4,-1),1,1)),"조치완료(N/A)")</f>
        <v>0</v>
      </c>
      <c r="K36" s="23">
        <f ca="1">VLOOKUP($D36,'parm(hidden)'!$B$8:$C$10,2,FALSE)*($F36-$J36)</f>
        <v>10</v>
      </c>
      <c r="L36" s="36">
        <f ca="1">VLOOKUP($D36,'parm(hidden)'!$B$8:$C$10,2,FALSE)*($G36+$H36)</f>
        <v>10</v>
      </c>
      <c r="M36" s="48" t="str">
        <f t="shared" ca="1" si="2"/>
        <v>Y</v>
      </c>
      <c r="N36" s="48" t="str">
        <f t="shared" ca="1" si="2"/>
        <v>Y</v>
      </c>
      <c r="O36" s="48" t="str">
        <f t="shared" ca="1" si="2"/>
        <v>Y</v>
      </c>
      <c r="P36" s="48" t="str">
        <f t="shared" ca="1" si="2"/>
        <v>Y</v>
      </c>
      <c r="Q36" s="48" t="str">
        <f t="shared" ca="1" si="2"/>
        <v>Y</v>
      </c>
    </row>
    <row r="37" spans="1:17" ht="14.1" customHeight="1">
      <c r="A37" s="174" t="str">
        <f>ChkList!A37</f>
        <v>파일 및 디렉터리 관리</v>
      </c>
      <c r="B37" s="174" t="str">
        <f>ChkList!B37</f>
        <v>U-33</v>
      </c>
      <c r="C37" s="174" t="str">
        <f>ChkList!C37</f>
        <v>숨겨진 파일 및 디렉터리 검색 및 제거</v>
      </c>
      <c r="D37" s="174" t="str">
        <f>ChkList!D37</f>
        <v>L</v>
      </c>
      <c r="E37" s="174">
        <f>ChkList!E37</f>
        <v>1</v>
      </c>
      <c r="F37" s="23">
        <f ca="1">COUNTA($M37:INDIRECT(ADDRESS(ROW(),MATCH("",$4:$4,-1),1,1)))</f>
        <v>5</v>
      </c>
      <c r="G37" s="23">
        <f ca="1">COUNTIF($M37:INDIRECT(ADDRESS(ROW(),MATCH("",$4:$4,-1),1,1)),"조치완료(Y)")+COUNTIF($M37:INDIRECT(ADDRESS(ROW(),MATCH("",$4:$4,-1),1,1)),"Y")</f>
        <v>5</v>
      </c>
      <c r="H37" s="23">
        <f ca="1">COUNTIF($M37:INDIRECT(ADDRESS(ROW(),MATCH("",$4:$4,-1),1,1)),"Y(즉시조치)")+COUNTIF($M37:INDIRECT(ADDRESS(ROW(),MATCH("",$4:$4,-1),1,1)),"조치완료(즉시조치)")</f>
        <v>0</v>
      </c>
      <c r="I37" s="23">
        <f ca="1">COUNTIF($M37:INDIRECT(ADDRESS(ROW(),MATCH("",$4:$4,-1),1,1)),"N")</f>
        <v>0</v>
      </c>
      <c r="J37" s="23">
        <f ca="1">COUNTIF($M37:INDIRECT(ADDRESS(ROW(),MATCH("",$4:$4,-1),1,1)),"N/A")+COUNTIF($M37:INDIRECT(ADDRESS(ROW(),MATCH("",$4:$4,-1),1,1)),"조치완료(N/A)")</f>
        <v>0</v>
      </c>
      <c r="K37" s="23">
        <f ca="1">VLOOKUP($D37,'parm(hidden)'!$B$8:$C$10,2,FALSE)*($F37-$J37)</f>
        <v>5</v>
      </c>
      <c r="L37" s="36">
        <f ca="1">VLOOKUP($D37,'parm(hidden)'!$B$8:$C$10,2,FALSE)*($G37+$H37)</f>
        <v>5</v>
      </c>
      <c r="M37" s="48" t="str">
        <f t="shared" ca="1" si="2"/>
        <v>Y</v>
      </c>
      <c r="N37" s="48" t="str">
        <f t="shared" ca="1" si="2"/>
        <v>Y</v>
      </c>
      <c r="O37" s="48" t="str">
        <f t="shared" ca="1" si="2"/>
        <v>Y</v>
      </c>
      <c r="P37" s="48" t="str">
        <f t="shared" ca="1" si="2"/>
        <v>Y</v>
      </c>
      <c r="Q37" s="48" t="str">
        <f t="shared" ca="1" si="2"/>
        <v>Y</v>
      </c>
    </row>
    <row r="38" spans="1:17" ht="14.1" customHeight="1">
      <c r="A38" s="174" t="str">
        <f>ChkList!A38</f>
        <v>서비스 관리</v>
      </c>
      <c r="B38" s="174" t="str">
        <f>ChkList!B38</f>
        <v>U-34</v>
      </c>
      <c r="C38" s="174" t="str">
        <f>ChkList!C38</f>
        <v>Finger 서비스 비활성화</v>
      </c>
      <c r="D38" s="174" t="str">
        <f>ChkList!D38</f>
        <v>H</v>
      </c>
      <c r="E38" s="174">
        <f>ChkList!E38</f>
        <v>3</v>
      </c>
      <c r="F38" s="23">
        <f ca="1">COUNTA($M38:INDIRECT(ADDRESS(ROW(),MATCH("",$4:$4,-1),1,1)))</f>
        <v>5</v>
      </c>
      <c r="G38" s="23">
        <f ca="1">COUNTIF($M38:INDIRECT(ADDRESS(ROW(),MATCH("",$4:$4,-1),1,1)),"조치완료(Y)")+COUNTIF($M38:INDIRECT(ADDRESS(ROW(),MATCH("",$4:$4,-1),1,1)),"Y")</f>
        <v>0</v>
      </c>
      <c r="H38" s="23">
        <f ca="1">COUNTIF($M38:INDIRECT(ADDRESS(ROW(),MATCH("",$4:$4,-1),1,1)),"Y(즉시조치)")+COUNTIF($M38:INDIRECT(ADDRESS(ROW(),MATCH("",$4:$4,-1),1,1)),"조치완료(즉시조치)")</f>
        <v>0</v>
      </c>
      <c r="I38" s="23">
        <f ca="1">COUNTIF($M38:INDIRECT(ADDRESS(ROW(),MATCH("",$4:$4,-1),1,1)),"N")</f>
        <v>0</v>
      </c>
      <c r="J38" s="23">
        <f ca="1">COUNTIF($M38:INDIRECT(ADDRESS(ROW(),MATCH("",$4:$4,-1),1,1)),"N/A")+COUNTIF($M38:INDIRECT(ADDRESS(ROW(),MATCH("",$4:$4,-1),1,1)),"조치완료(N/A)")</f>
        <v>0</v>
      </c>
      <c r="K38" s="23">
        <f ca="1">VLOOKUP($D38,'parm(hidden)'!$B$8:$C$10,2,FALSE)*($F38-$J38)</f>
        <v>15</v>
      </c>
      <c r="L38" s="36">
        <f ca="1">VLOOKUP($D38,'parm(hidden)'!$B$8:$C$10,2,FALSE)*($G38+$H38)</f>
        <v>0</v>
      </c>
      <c r="M38" s="48" t="str">
        <f t="shared" ca="1" si="2"/>
        <v>인터뷰</v>
      </c>
      <c r="N38" s="48" t="str">
        <f t="shared" ca="1" si="2"/>
        <v>인터뷰</v>
      </c>
      <c r="O38" s="48" t="str">
        <f t="shared" ca="1" si="2"/>
        <v>인터뷰</v>
      </c>
      <c r="P38" s="48" t="str">
        <f t="shared" ca="1" si="2"/>
        <v>인터뷰</v>
      </c>
      <c r="Q38" s="48" t="str">
        <f t="shared" ca="1" si="2"/>
        <v>인터뷰</v>
      </c>
    </row>
    <row r="39" spans="1:17" ht="14.1" customHeight="1">
      <c r="A39" s="174" t="str">
        <f>ChkList!A39</f>
        <v>서비스 관리</v>
      </c>
      <c r="B39" s="174" t="str">
        <f>ChkList!B39</f>
        <v>U-35</v>
      </c>
      <c r="C39" s="174" t="str">
        <f>ChkList!C39</f>
        <v>공유 서비스에 대한 익명 접근 제한 설정</v>
      </c>
      <c r="D39" s="174" t="str">
        <f>ChkList!D39</f>
        <v>H</v>
      </c>
      <c r="E39" s="174">
        <f>ChkList!E39</f>
        <v>3</v>
      </c>
      <c r="F39" s="23">
        <f ca="1">COUNTA($M39:INDIRECT(ADDRESS(ROW(),MATCH("",$4:$4,-1),1,1)))</f>
        <v>5</v>
      </c>
      <c r="G39" s="23">
        <f ca="1">COUNTIF($M39:INDIRECT(ADDRESS(ROW(),MATCH("",$4:$4,-1),1,1)),"조치완료(Y)")+COUNTIF($M39:INDIRECT(ADDRESS(ROW(),MATCH("",$4:$4,-1),1,1)),"Y")</f>
        <v>5</v>
      </c>
      <c r="H39" s="23">
        <f ca="1">COUNTIF($M39:INDIRECT(ADDRESS(ROW(),MATCH("",$4:$4,-1),1,1)),"Y(즉시조치)")+COUNTIF($M39:INDIRECT(ADDRESS(ROW(),MATCH("",$4:$4,-1),1,1)),"조치완료(즉시조치)")</f>
        <v>0</v>
      </c>
      <c r="I39" s="23">
        <f ca="1">COUNTIF($M39:INDIRECT(ADDRESS(ROW(),MATCH("",$4:$4,-1),1,1)),"N")</f>
        <v>0</v>
      </c>
      <c r="J39" s="23">
        <f ca="1">COUNTIF($M39:INDIRECT(ADDRESS(ROW(),MATCH("",$4:$4,-1),1,1)),"N/A")+COUNTIF($M39:INDIRECT(ADDRESS(ROW(),MATCH("",$4:$4,-1),1,1)),"조치완료(N/A)")</f>
        <v>0</v>
      </c>
      <c r="K39" s="23">
        <f ca="1">VLOOKUP($D39,'parm(hidden)'!$B$8:$C$10,2,FALSE)*($F39-$J39)</f>
        <v>15</v>
      </c>
      <c r="L39" s="36">
        <f ca="1">VLOOKUP($D39,'parm(hidden)'!$B$8:$C$10,2,FALSE)*($G39+$H39)</f>
        <v>15</v>
      </c>
      <c r="M39" s="48" t="str">
        <f t="shared" ca="1" si="2"/>
        <v>Y</v>
      </c>
      <c r="N39" s="48" t="str">
        <f t="shared" ca="1" si="2"/>
        <v>Y</v>
      </c>
      <c r="O39" s="48" t="str">
        <f t="shared" ca="1" si="2"/>
        <v>Y</v>
      </c>
      <c r="P39" s="48" t="str">
        <f t="shared" ca="1" si="2"/>
        <v>Y</v>
      </c>
      <c r="Q39" s="48" t="str">
        <f t="shared" ca="1" si="2"/>
        <v>Y</v>
      </c>
    </row>
    <row r="40" spans="1:17" ht="14.1" customHeight="1">
      <c r="A40" s="174" t="str">
        <f>ChkList!A40</f>
        <v>서비스 관리</v>
      </c>
      <c r="B40" s="174" t="str">
        <f>ChkList!B40</f>
        <v>U-36</v>
      </c>
      <c r="C40" s="174" t="str">
        <f>ChkList!C40</f>
        <v>r 계열 서비스 비활성화</v>
      </c>
      <c r="D40" s="174" t="str">
        <f>ChkList!D40</f>
        <v>H</v>
      </c>
      <c r="E40" s="174">
        <f>ChkList!E40</f>
        <v>3</v>
      </c>
      <c r="F40" s="23">
        <f ca="1">COUNTA($M40:INDIRECT(ADDRESS(ROW(),MATCH("",$4:$4,-1),1,1)))</f>
        <v>5</v>
      </c>
      <c r="G40" s="23">
        <f ca="1">COUNTIF($M40:INDIRECT(ADDRESS(ROW(),MATCH("",$4:$4,-1),1,1)),"조치완료(Y)")+COUNTIF($M40:INDIRECT(ADDRESS(ROW(),MATCH("",$4:$4,-1),1,1)),"Y")</f>
        <v>5</v>
      </c>
      <c r="H40" s="23">
        <f ca="1">COUNTIF($M40:INDIRECT(ADDRESS(ROW(),MATCH("",$4:$4,-1),1,1)),"Y(즉시조치)")+COUNTIF($M40:INDIRECT(ADDRESS(ROW(),MATCH("",$4:$4,-1),1,1)),"조치완료(즉시조치)")</f>
        <v>0</v>
      </c>
      <c r="I40" s="23">
        <f ca="1">COUNTIF($M40:INDIRECT(ADDRESS(ROW(),MATCH("",$4:$4,-1),1,1)),"N")</f>
        <v>0</v>
      </c>
      <c r="J40" s="23">
        <f ca="1">COUNTIF($M40:INDIRECT(ADDRESS(ROW(),MATCH("",$4:$4,-1),1,1)),"N/A")+COUNTIF($M40:INDIRECT(ADDRESS(ROW(),MATCH("",$4:$4,-1),1,1)),"조치완료(N/A)")</f>
        <v>0</v>
      </c>
      <c r="K40" s="23">
        <f ca="1">VLOOKUP($D40,'parm(hidden)'!$B$8:$C$10,2,FALSE)*($F40-$J40)</f>
        <v>15</v>
      </c>
      <c r="L40" s="36">
        <f ca="1">VLOOKUP($D40,'parm(hidden)'!$B$8:$C$10,2,FALSE)*($G40+$H40)</f>
        <v>15</v>
      </c>
      <c r="M40" s="48" t="str">
        <f t="shared" ca="1" si="2"/>
        <v>Y</v>
      </c>
      <c r="N40" s="48" t="str">
        <f t="shared" ca="1" si="2"/>
        <v>Y</v>
      </c>
      <c r="O40" s="48" t="str">
        <f t="shared" ca="1" si="2"/>
        <v>Y</v>
      </c>
      <c r="P40" s="48" t="str">
        <f t="shared" ca="1" si="2"/>
        <v>Y</v>
      </c>
      <c r="Q40" s="48" t="str">
        <f t="shared" ca="1" si="2"/>
        <v>Y</v>
      </c>
    </row>
    <row r="41" spans="1:17" ht="14.1" customHeight="1">
      <c r="A41" s="174" t="str">
        <f>ChkList!A41</f>
        <v>서비스 관리</v>
      </c>
      <c r="B41" s="174" t="str">
        <f>ChkList!B41</f>
        <v>U-37</v>
      </c>
      <c r="C41" s="174" t="str">
        <f>ChkList!C41</f>
        <v>crontab 설정파일 권한 설정 미흡</v>
      </c>
      <c r="D41" s="174" t="str">
        <f>ChkList!D41</f>
        <v>H</v>
      </c>
      <c r="E41" s="174">
        <f>ChkList!E41</f>
        <v>3</v>
      </c>
      <c r="F41" s="23">
        <f ca="1">COUNTA($M41:INDIRECT(ADDRESS(ROW(),MATCH("",$4:$4,-1),1,1)))</f>
        <v>5</v>
      </c>
      <c r="G41" s="23">
        <f ca="1">COUNTIF($M41:INDIRECT(ADDRESS(ROW(),MATCH("",$4:$4,-1),1,1)),"조치완료(Y)")+COUNTIF($M41:INDIRECT(ADDRESS(ROW(),MATCH("",$4:$4,-1),1,1)),"Y")</f>
        <v>5</v>
      </c>
      <c r="H41" s="23">
        <f ca="1">COUNTIF($M41:INDIRECT(ADDRESS(ROW(),MATCH("",$4:$4,-1),1,1)),"Y(즉시조치)")+COUNTIF($M41:INDIRECT(ADDRESS(ROW(),MATCH("",$4:$4,-1),1,1)),"조치완료(즉시조치)")</f>
        <v>0</v>
      </c>
      <c r="I41" s="23">
        <f ca="1">COUNTIF($M41:INDIRECT(ADDRESS(ROW(),MATCH("",$4:$4,-1),1,1)),"N")</f>
        <v>0</v>
      </c>
      <c r="J41" s="23">
        <f ca="1">COUNTIF($M41:INDIRECT(ADDRESS(ROW(),MATCH("",$4:$4,-1),1,1)),"N/A")+COUNTIF($M41:INDIRECT(ADDRESS(ROW(),MATCH("",$4:$4,-1),1,1)),"조치완료(N/A)")</f>
        <v>0</v>
      </c>
      <c r="K41" s="23">
        <f ca="1">VLOOKUP($D41,'parm(hidden)'!$B$8:$C$10,2,FALSE)*($F41-$J41)</f>
        <v>15</v>
      </c>
      <c r="L41" s="36">
        <f ca="1">VLOOKUP($D41,'parm(hidden)'!$B$8:$C$10,2,FALSE)*($G41+$H41)</f>
        <v>15</v>
      </c>
      <c r="M41" s="48" t="str">
        <f t="shared" ca="1" si="2"/>
        <v>Y</v>
      </c>
      <c r="N41" s="48" t="str">
        <f t="shared" ca="1" si="2"/>
        <v>Y</v>
      </c>
      <c r="O41" s="48" t="str">
        <f t="shared" ca="1" si="2"/>
        <v>Y</v>
      </c>
      <c r="P41" s="48" t="str">
        <f t="shared" ca="1" si="2"/>
        <v>Y</v>
      </c>
      <c r="Q41" s="48" t="str">
        <f t="shared" ca="1" si="2"/>
        <v>Y</v>
      </c>
    </row>
    <row r="42" spans="1:17" ht="14.1" customHeight="1">
      <c r="A42" s="174" t="str">
        <f>ChkList!A42</f>
        <v>서비스 관리</v>
      </c>
      <c r="B42" s="174" t="str">
        <f>ChkList!B42</f>
        <v>U-38</v>
      </c>
      <c r="C42" s="174" t="str">
        <f>ChkList!C42</f>
        <v>DoS 공격에 취약한 서비스 비활성화</v>
      </c>
      <c r="D42" s="174" t="str">
        <f>ChkList!D42</f>
        <v>H</v>
      </c>
      <c r="E42" s="174">
        <f>ChkList!E42</f>
        <v>3</v>
      </c>
      <c r="F42" s="23">
        <f ca="1">COUNTA($M42:INDIRECT(ADDRESS(ROW(),MATCH("",$4:$4,-1),1,1)))</f>
        <v>5</v>
      </c>
      <c r="G42" s="23">
        <f ca="1">COUNTIF($M42:INDIRECT(ADDRESS(ROW(),MATCH("",$4:$4,-1),1,1)),"조치완료(Y)")+COUNTIF($M42:INDIRECT(ADDRESS(ROW(),MATCH("",$4:$4,-1),1,1)),"Y")</f>
        <v>0</v>
      </c>
      <c r="H42" s="23">
        <f ca="1">COUNTIF($M42:INDIRECT(ADDRESS(ROW(),MATCH("",$4:$4,-1),1,1)),"Y(즉시조치)")+COUNTIF($M42:INDIRECT(ADDRESS(ROW(),MATCH("",$4:$4,-1),1,1)),"조치완료(즉시조치)")</f>
        <v>0</v>
      </c>
      <c r="I42" s="23">
        <f ca="1">COUNTIF($M42:INDIRECT(ADDRESS(ROW(),MATCH("",$4:$4,-1),1,1)),"N")</f>
        <v>5</v>
      </c>
      <c r="J42" s="23">
        <f ca="1">COUNTIF($M42:INDIRECT(ADDRESS(ROW(),MATCH("",$4:$4,-1),1,1)),"N/A")+COUNTIF($M42:INDIRECT(ADDRESS(ROW(),MATCH("",$4:$4,-1),1,1)),"조치완료(N/A)")</f>
        <v>0</v>
      </c>
      <c r="K42" s="23">
        <f ca="1">VLOOKUP($D42,'parm(hidden)'!$B$8:$C$10,2,FALSE)*($F42-$J42)</f>
        <v>15</v>
      </c>
      <c r="L42" s="36">
        <f ca="1">VLOOKUP($D42,'parm(hidden)'!$B$8:$C$10,2,FALSE)*($G42+$H42)</f>
        <v>0</v>
      </c>
      <c r="M42" s="48" t="str">
        <f t="shared" ca="1" si="2"/>
        <v>N</v>
      </c>
      <c r="N42" s="48" t="str">
        <f t="shared" ca="1" si="2"/>
        <v>N</v>
      </c>
      <c r="O42" s="48" t="str">
        <f t="shared" ca="1" si="2"/>
        <v>N</v>
      </c>
      <c r="P42" s="48" t="str">
        <f t="shared" ca="1" si="2"/>
        <v>N</v>
      </c>
      <c r="Q42" s="48" t="str">
        <f t="shared" ca="1" si="2"/>
        <v>N</v>
      </c>
    </row>
    <row r="43" spans="1:17" ht="14.1" customHeight="1">
      <c r="A43" s="174" t="str">
        <f>ChkList!A43</f>
        <v>서비스 관리</v>
      </c>
      <c r="B43" s="174" t="str">
        <f>ChkList!B43</f>
        <v>U-39</v>
      </c>
      <c r="C43" s="174" t="str">
        <f>ChkList!C43</f>
        <v>불필요한 NFS 서비스 비활성화</v>
      </c>
      <c r="D43" s="174" t="str">
        <f>ChkList!D43</f>
        <v>H</v>
      </c>
      <c r="E43" s="174">
        <f>ChkList!E43</f>
        <v>3</v>
      </c>
      <c r="F43" s="23">
        <f ca="1">COUNTA($M43:INDIRECT(ADDRESS(ROW(),MATCH("",$4:$4,-1),1,1)))</f>
        <v>5</v>
      </c>
      <c r="G43" s="23">
        <f ca="1">COUNTIF($M43:INDIRECT(ADDRESS(ROW(),MATCH("",$4:$4,-1),1,1)),"조치완료(Y)")+COUNTIF($M43:INDIRECT(ADDRESS(ROW(),MATCH("",$4:$4,-1),1,1)),"Y")</f>
        <v>5</v>
      </c>
      <c r="H43" s="23">
        <f ca="1">COUNTIF($M43:INDIRECT(ADDRESS(ROW(),MATCH("",$4:$4,-1),1,1)),"Y(즉시조치)")+COUNTIF($M43:INDIRECT(ADDRESS(ROW(),MATCH("",$4:$4,-1),1,1)),"조치완료(즉시조치)")</f>
        <v>0</v>
      </c>
      <c r="I43" s="23">
        <f ca="1">COUNTIF($M43:INDIRECT(ADDRESS(ROW(),MATCH("",$4:$4,-1),1,1)),"N")</f>
        <v>0</v>
      </c>
      <c r="J43" s="23">
        <f ca="1">COUNTIF($M43:INDIRECT(ADDRESS(ROW(),MATCH("",$4:$4,-1),1,1)),"N/A")+COUNTIF($M43:INDIRECT(ADDRESS(ROW(),MATCH("",$4:$4,-1),1,1)),"조치완료(N/A)")</f>
        <v>0</v>
      </c>
      <c r="K43" s="23">
        <f ca="1">VLOOKUP($D43,'parm(hidden)'!$B$8:$C$10,2,FALSE)*($F43-$J43)</f>
        <v>15</v>
      </c>
      <c r="L43" s="36">
        <f ca="1">VLOOKUP($D43,'parm(hidden)'!$B$8:$C$10,2,FALSE)*($G43+$H43)</f>
        <v>15</v>
      </c>
      <c r="M43" s="48" t="str">
        <f t="shared" ca="1" si="2"/>
        <v>Y</v>
      </c>
      <c r="N43" s="48" t="str">
        <f t="shared" ca="1" si="2"/>
        <v>Y</v>
      </c>
      <c r="O43" s="48" t="str">
        <f t="shared" ca="1" si="2"/>
        <v>Y</v>
      </c>
      <c r="P43" s="48" t="str">
        <f t="shared" ca="1" si="2"/>
        <v>Y</v>
      </c>
      <c r="Q43" s="48" t="str">
        <f t="shared" ca="1" si="2"/>
        <v>Y</v>
      </c>
    </row>
    <row r="44" spans="1:17" ht="14.1" customHeight="1">
      <c r="A44" s="174" t="str">
        <f>ChkList!A44</f>
        <v>서비스 관리</v>
      </c>
      <c r="B44" s="174" t="str">
        <f>ChkList!B44</f>
        <v>U-40</v>
      </c>
      <c r="C44" s="174" t="str">
        <f>ChkList!C44</f>
        <v>NFS 접근 통제</v>
      </c>
      <c r="D44" s="174" t="str">
        <f>ChkList!D44</f>
        <v>H</v>
      </c>
      <c r="E44" s="174">
        <f>ChkList!E44</f>
        <v>3</v>
      </c>
      <c r="F44" s="23">
        <f ca="1">COUNTA($M44:INDIRECT(ADDRESS(ROW(),MATCH("",$4:$4,-1),1,1)))</f>
        <v>5</v>
      </c>
      <c r="G44" s="23">
        <f ca="1">COUNTIF($M44:INDIRECT(ADDRESS(ROW(),MATCH("",$4:$4,-1),1,1)),"조치완료(Y)")+COUNTIF($M44:INDIRECT(ADDRESS(ROW(),MATCH("",$4:$4,-1),1,1)),"Y")</f>
        <v>5</v>
      </c>
      <c r="H44" s="23">
        <f ca="1">COUNTIF($M44:INDIRECT(ADDRESS(ROW(),MATCH("",$4:$4,-1),1,1)),"Y(즉시조치)")+COUNTIF($M44:INDIRECT(ADDRESS(ROW(),MATCH("",$4:$4,-1),1,1)),"조치완료(즉시조치)")</f>
        <v>0</v>
      </c>
      <c r="I44" s="23">
        <f ca="1">COUNTIF($M44:INDIRECT(ADDRESS(ROW(),MATCH("",$4:$4,-1),1,1)),"N")</f>
        <v>0</v>
      </c>
      <c r="J44" s="23">
        <f ca="1">COUNTIF($M44:INDIRECT(ADDRESS(ROW(),MATCH("",$4:$4,-1),1,1)),"N/A")+COUNTIF($M44:INDIRECT(ADDRESS(ROW(),MATCH("",$4:$4,-1),1,1)),"조치완료(N/A)")</f>
        <v>0</v>
      </c>
      <c r="K44" s="23">
        <f ca="1">VLOOKUP($D44,'parm(hidden)'!$B$8:$C$10,2,FALSE)*($F44-$J44)</f>
        <v>15</v>
      </c>
      <c r="L44" s="36">
        <f ca="1">VLOOKUP($D44,'parm(hidden)'!$B$8:$C$10,2,FALSE)*($G44+$H44)</f>
        <v>15</v>
      </c>
      <c r="M44" s="48" t="str">
        <f t="shared" ca="1" si="2"/>
        <v>Y</v>
      </c>
      <c r="N44" s="48" t="str">
        <f t="shared" ca="1" si="2"/>
        <v>Y</v>
      </c>
      <c r="O44" s="48" t="str">
        <f t="shared" ca="1" si="2"/>
        <v>Y</v>
      </c>
      <c r="P44" s="48" t="str">
        <f t="shared" ca="1" si="2"/>
        <v>Y</v>
      </c>
      <c r="Q44" s="48" t="str">
        <f t="shared" ca="1" si="2"/>
        <v>Y</v>
      </c>
    </row>
    <row r="45" spans="1:17" ht="14.1" customHeight="1">
      <c r="A45" s="174" t="str">
        <f>ChkList!A45</f>
        <v>서비스 관리</v>
      </c>
      <c r="B45" s="174" t="str">
        <f>ChkList!B45</f>
        <v>U-41</v>
      </c>
      <c r="C45" s="174" t="str">
        <f>ChkList!C45</f>
        <v>불필요한 automountd 제거</v>
      </c>
      <c r="D45" s="174" t="str">
        <f>ChkList!D45</f>
        <v>H</v>
      </c>
      <c r="E45" s="174">
        <f>ChkList!E45</f>
        <v>3</v>
      </c>
      <c r="F45" s="23">
        <f ca="1">COUNTA($M45:INDIRECT(ADDRESS(ROW(),MATCH("",$4:$4,-1),1,1)))</f>
        <v>5</v>
      </c>
      <c r="G45" s="23">
        <f ca="1">COUNTIF($M45:INDIRECT(ADDRESS(ROW(),MATCH("",$4:$4,-1),1,1)),"조치완료(Y)")+COUNTIF($M45:INDIRECT(ADDRESS(ROW(),MATCH("",$4:$4,-1),1,1)),"Y")</f>
        <v>5</v>
      </c>
      <c r="H45" s="23">
        <f ca="1">COUNTIF($M45:INDIRECT(ADDRESS(ROW(),MATCH("",$4:$4,-1),1,1)),"Y(즉시조치)")+COUNTIF($M45:INDIRECT(ADDRESS(ROW(),MATCH("",$4:$4,-1),1,1)),"조치완료(즉시조치)")</f>
        <v>0</v>
      </c>
      <c r="I45" s="23">
        <f ca="1">COUNTIF($M45:INDIRECT(ADDRESS(ROW(),MATCH("",$4:$4,-1),1,1)),"N")</f>
        <v>0</v>
      </c>
      <c r="J45" s="23">
        <f ca="1">COUNTIF($M45:INDIRECT(ADDRESS(ROW(),MATCH("",$4:$4,-1),1,1)),"N/A")+COUNTIF($M45:INDIRECT(ADDRESS(ROW(),MATCH("",$4:$4,-1),1,1)),"조치완료(N/A)")</f>
        <v>0</v>
      </c>
      <c r="K45" s="23">
        <f ca="1">VLOOKUP($D45,'parm(hidden)'!$B$8:$C$10,2,FALSE)*($F45-$J45)</f>
        <v>15</v>
      </c>
      <c r="L45" s="36">
        <f ca="1">VLOOKUP($D45,'parm(hidden)'!$B$8:$C$10,2,FALSE)*($G45+$H45)</f>
        <v>15</v>
      </c>
      <c r="M45" s="48" t="str">
        <f t="shared" ca="1" si="2"/>
        <v>Y</v>
      </c>
      <c r="N45" s="48" t="str">
        <f t="shared" ca="1" si="2"/>
        <v>Y</v>
      </c>
      <c r="O45" s="48" t="str">
        <f t="shared" ca="1" si="2"/>
        <v>Y</v>
      </c>
      <c r="P45" s="48" t="str">
        <f t="shared" ca="1" si="2"/>
        <v>Y</v>
      </c>
      <c r="Q45" s="48" t="str">
        <f t="shared" ca="1" si="2"/>
        <v>Y</v>
      </c>
    </row>
    <row r="46" spans="1:17" ht="14.1" customHeight="1">
      <c r="A46" s="174" t="str">
        <f>ChkList!A46</f>
        <v>서비스 관리</v>
      </c>
      <c r="B46" s="174" t="str">
        <f>ChkList!B46</f>
        <v>U-42</v>
      </c>
      <c r="C46" s="174" t="str">
        <f>ChkList!C46</f>
        <v>불필요한 RPC 서비스 비활성화</v>
      </c>
      <c r="D46" s="174" t="str">
        <f>ChkList!D46</f>
        <v>H</v>
      </c>
      <c r="E46" s="174">
        <f>ChkList!E46</f>
        <v>3</v>
      </c>
      <c r="F46" s="23">
        <f ca="1">COUNTA($M46:INDIRECT(ADDRESS(ROW(),MATCH("",$4:$4,-1),1,1)))</f>
        <v>5</v>
      </c>
      <c r="G46" s="23">
        <f ca="1">COUNTIF($M46:INDIRECT(ADDRESS(ROW(),MATCH("",$4:$4,-1),1,1)),"조치완료(Y)")+COUNTIF($M46:INDIRECT(ADDRESS(ROW(),MATCH("",$4:$4,-1),1,1)),"Y")</f>
        <v>5</v>
      </c>
      <c r="H46" s="23">
        <f ca="1">COUNTIF($M46:INDIRECT(ADDRESS(ROW(),MATCH("",$4:$4,-1),1,1)),"Y(즉시조치)")+COUNTIF($M46:INDIRECT(ADDRESS(ROW(),MATCH("",$4:$4,-1),1,1)),"조치완료(즉시조치)")</f>
        <v>0</v>
      </c>
      <c r="I46" s="23">
        <f ca="1">COUNTIF($M46:INDIRECT(ADDRESS(ROW(),MATCH("",$4:$4,-1),1,1)),"N")</f>
        <v>0</v>
      </c>
      <c r="J46" s="23">
        <f ca="1">COUNTIF($M46:INDIRECT(ADDRESS(ROW(),MATCH("",$4:$4,-1),1,1)),"N/A")+COUNTIF($M46:INDIRECT(ADDRESS(ROW(),MATCH("",$4:$4,-1),1,1)),"조치완료(N/A)")</f>
        <v>0</v>
      </c>
      <c r="K46" s="23">
        <f ca="1">VLOOKUP($D46,'parm(hidden)'!$B$8:$C$10,2,FALSE)*($F46-$J46)</f>
        <v>15</v>
      </c>
      <c r="L46" s="36">
        <f ca="1">VLOOKUP($D46,'parm(hidden)'!$B$8:$C$10,2,FALSE)*($G46+$H46)</f>
        <v>15</v>
      </c>
      <c r="M46" s="48" t="str">
        <f t="shared" ca="1" si="2"/>
        <v>Y</v>
      </c>
      <c r="N46" s="48" t="str">
        <f t="shared" ca="1" si="2"/>
        <v>Y</v>
      </c>
      <c r="O46" s="48" t="str">
        <f t="shared" ca="1" si="2"/>
        <v>Y</v>
      </c>
      <c r="P46" s="48" t="str">
        <f t="shared" ca="1" si="2"/>
        <v>Y</v>
      </c>
      <c r="Q46" s="48" t="str">
        <f t="shared" ca="1" si="2"/>
        <v>Y</v>
      </c>
    </row>
    <row r="47" spans="1:17" ht="14.1" customHeight="1">
      <c r="A47" s="174" t="str">
        <f>ChkList!A47</f>
        <v>서비스 관리</v>
      </c>
      <c r="B47" s="174" t="str">
        <f>ChkList!B47</f>
        <v>U-43</v>
      </c>
      <c r="C47" s="174" t="str">
        <f>ChkList!C47</f>
        <v>NIS, NIS+ 점검</v>
      </c>
      <c r="D47" s="174" t="str">
        <f>ChkList!D47</f>
        <v>H</v>
      </c>
      <c r="E47" s="174">
        <f>ChkList!E47</f>
        <v>3</v>
      </c>
      <c r="F47" s="23">
        <f ca="1">COUNTA($M47:INDIRECT(ADDRESS(ROW(),MATCH("",$4:$4,-1),1,1)))</f>
        <v>5</v>
      </c>
      <c r="G47" s="23">
        <f ca="1">COUNTIF($M47:INDIRECT(ADDRESS(ROW(),MATCH("",$4:$4,-1),1,1)),"조치완료(Y)")+COUNTIF($M47:INDIRECT(ADDRESS(ROW(),MATCH("",$4:$4,-1),1,1)),"Y")</f>
        <v>5</v>
      </c>
      <c r="H47" s="23">
        <f ca="1">COUNTIF($M47:INDIRECT(ADDRESS(ROW(),MATCH("",$4:$4,-1),1,1)),"Y(즉시조치)")+COUNTIF($M47:INDIRECT(ADDRESS(ROW(),MATCH("",$4:$4,-1),1,1)),"조치완료(즉시조치)")</f>
        <v>0</v>
      </c>
      <c r="I47" s="23">
        <f ca="1">COUNTIF($M47:INDIRECT(ADDRESS(ROW(),MATCH("",$4:$4,-1),1,1)),"N")</f>
        <v>0</v>
      </c>
      <c r="J47" s="23">
        <f ca="1">COUNTIF($M47:INDIRECT(ADDRESS(ROW(),MATCH("",$4:$4,-1),1,1)),"N/A")+COUNTIF($M47:INDIRECT(ADDRESS(ROW(),MATCH("",$4:$4,-1),1,1)),"조치완료(N/A)")</f>
        <v>0</v>
      </c>
      <c r="K47" s="23">
        <f ca="1">VLOOKUP($D47,'parm(hidden)'!$B$8:$C$10,2,FALSE)*($F47-$J47)</f>
        <v>15</v>
      </c>
      <c r="L47" s="36">
        <f ca="1">VLOOKUP($D47,'parm(hidden)'!$B$8:$C$10,2,FALSE)*($G47+$H47)</f>
        <v>15</v>
      </c>
      <c r="M47" s="48" t="str">
        <f t="shared" ca="1" si="2"/>
        <v>Y</v>
      </c>
      <c r="N47" s="48" t="str">
        <f t="shared" ca="1" si="2"/>
        <v>Y</v>
      </c>
      <c r="O47" s="48" t="str">
        <f t="shared" ca="1" si="2"/>
        <v>Y</v>
      </c>
      <c r="P47" s="48" t="str">
        <f t="shared" ca="1" si="2"/>
        <v>Y</v>
      </c>
      <c r="Q47" s="48" t="str">
        <f t="shared" ca="1" si="2"/>
        <v>Y</v>
      </c>
    </row>
    <row r="48" spans="1:17" ht="14.1" customHeight="1">
      <c r="A48" s="174" t="str">
        <f>ChkList!A48</f>
        <v>서비스 관리</v>
      </c>
      <c r="B48" s="174" t="str">
        <f>ChkList!B48</f>
        <v>U-44</v>
      </c>
      <c r="C48" s="174" t="str">
        <f>ChkList!C48</f>
        <v>tftp, talk 서비스 비활성화</v>
      </c>
      <c r="D48" s="174" t="str">
        <f>ChkList!D48</f>
        <v>H</v>
      </c>
      <c r="E48" s="174">
        <f>ChkList!E48</f>
        <v>3</v>
      </c>
      <c r="F48" s="23">
        <f ca="1">COUNTA($M48:INDIRECT(ADDRESS(ROW(),MATCH("",$4:$4,-1),1,1)))</f>
        <v>5</v>
      </c>
      <c r="G48" s="23">
        <f ca="1">COUNTIF($M48:INDIRECT(ADDRESS(ROW(),MATCH("",$4:$4,-1),1,1)),"조치완료(Y)")+COUNTIF($M48:INDIRECT(ADDRESS(ROW(),MATCH("",$4:$4,-1),1,1)),"Y")</f>
        <v>5</v>
      </c>
      <c r="H48" s="23">
        <f ca="1">COUNTIF($M48:INDIRECT(ADDRESS(ROW(),MATCH("",$4:$4,-1),1,1)),"Y(즉시조치)")+COUNTIF($M48:INDIRECT(ADDRESS(ROW(),MATCH("",$4:$4,-1),1,1)),"조치완료(즉시조치)")</f>
        <v>0</v>
      </c>
      <c r="I48" s="23">
        <f ca="1">COUNTIF($M48:INDIRECT(ADDRESS(ROW(),MATCH("",$4:$4,-1),1,1)),"N")</f>
        <v>0</v>
      </c>
      <c r="J48" s="23">
        <f ca="1">COUNTIF($M48:INDIRECT(ADDRESS(ROW(),MATCH("",$4:$4,-1),1,1)),"N/A")+COUNTIF($M48:INDIRECT(ADDRESS(ROW(),MATCH("",$4:$4,-1),1,1)),"조치완료(N/A)")</f>
        <v>0</v>
      </c>
      <c r="K48" s="23">
        <f ca="1">VLOOKUP($D48,'parm(hidden)'!$B$8:$C$10,2,FALSE)*($F48-$J48)</f>
        <v>15</v>
      </c>
      <c r="L48" s="36">
        <f ca="1">VLOOKUP($D48,'parm(hidden)'!$B$8:$C$10,2,FALSE)*($G48+$H48)</f>
        <v>15</v>
      </c>
      <c r="M48" s="48" t="str">
        <f t="shared" ca="1" si="2"/>
        <v>Y</v>
      </c>
      <c r="N48" s="48" t="str">
        <f t="shared" ca="1" si="2"/>
        <v>Y</v>
      </c>
      <c r="O48" s="48" t="str">
        <f t="shared" ca="1" si="2"/>
        <v>Y</v>
      </c>
      <c r="P48" s="48" t="str">
        <f t="shared" ca="1" si="2"/>
        <v>Y</v>
      </c>
      <c r="Q48" s="48" t="str">
        <f t="shared" ca="1" si="2"/>
        <v>Y</v>
      </c>
    </row>
    <row r="49" spans="1:17" ht="14.1" customHeight="1">
      <c r="A49" s="174" t="str">
        <f>ChkList!A49</f>
        <v>서비스 관리</v>
      </c>
      <c r="B49" s="174" t="str">
        <f>ChkList!B49</f>
        <v>U-45</v>
      </c>
      <c r="C49" s="174" t="str">
        <f>ChkList!C49</f>
        <v>메일 서비스 버전 점검</v>
      </c>
      <c r="D49" s="174" t="str">
        <f>ChkList!D49</f>
        <v>H</v>
      </c>
      <c r="E49" s="174">
        <f>ChkList!E49</f>
        <v>3</v>
      </c>
      <c r="F49" s="23">
        <f ca="1">COUNTA($M49:INDIRECT(ADDRESS(ROW(),MATCH("",$4:$4,-1),1,1)))</f>
        <v>5</v>
      </c>
      <c r="G49" s="23">
        <f ca="1">COUNTIF($M49:INDIRECT(ADDRESS(ROW(),MATCH("",$4:$4,-1),1,1)),"조치완료(Y)")+COUNTIF($M49:INDIRECT(ADDRESS(ROW(),MATCH("",$4:$4,-1),1,1)),"Y")</f>
        <v>5</v>
      </c>
      <c r="H49" s="23">
        <f ca="1">COUNTIF($M49:INDIRECT(ADDRESS(ROW(),MATCH("",$4:$4,-1),1,1)),"Y(즉시조치)")+COUNTIF($M49:INDIRECT(ADDRESS(ROW(),MATCH("",$4:$4,-1),1,1)),"조치완료(즉시조치)")</f>
        <v>0</v>
      </c>
      <c r="I49" s="23">
        <f ca="1">COUNTIF($M49:INDIRECT(ADDRESS(ROW(),MATCH("",$4:$4,-1),1,1)),"N")</f>
        <v>0</v>
      </c>
      <c r="J49" s="23">
        <f ca="1">COUNTIF($M49:INDIRECT(ADDRESS(ROW(),MATCH("",$4:$4,-1),1,1)),"N/A")+COUNTIF($M49:INDIRECT(ADDRESS(ROW(),MATCH("",$4:$4,-1),1,1)),"조치완료(N/A)")</f>
        <v>0</v>
      </c>
      <c r="K49" s="23">
        <f ca="1">VLOOKUP($D49,'parm(hidden)'!$B$8:$C$10,2,FALSE)*($F49-$J49)</f>
        <v>15</v>
      </c>
      <c r="L49" s="36">
        <f ca="1">VLOOKUP($D49,'parm(hidden)'!$B$8:$C$10,2,FALSE)*($G49+$H49)</f>
        <v>15</v>
      </c>
      <c r="M49" s="48" t="str">
        <f t="shared" ca="1" si="2"/>
        <v>Y</v>
      </c>
      <c r="N49" s="48" t="str">
        <f t="shared" ca="1" si="2"/>
        <v>Y</v>
      </c>
      <c r="O49" s="48" t="str">
        <f t="shared" ca="1" si="2"/>
        <v>Y</v>
      </c>
      <c r="P49" s="48" t="str">
        <f t="shared" ca="1" si="2"/>
        <v>Y</v>
      </c>
      <c r="Q49" s="48" t="str">
        <f t="shared" ca="1" si="2"/>
        <v>Y</v>
      </c>
    </row>
    <row r="50" spans="1:17" ht="14.1" customHeight="1">
      <c r="A50" s="174" t="str">
        <f>ChkList!A50</f>
        <v>서비스 관리</v>
      </c>
      <c r="B50" s="174" t="str">
        <f>ChkList!B50</f>
        <v>U-46</v>
      </c>
      <c r="C50" s="174" t="str">
        <f>ChkList!C50</f>
        <v>일반 사용자의 메일 서비스 실행 방지</v>
      </c>
      <c r="D50" s="174" t="str">
        <f>ChkList!D50</f>
        <v>H</v>
      </c>
      <c r="E50" s="174">
        <f>ChkList!E50</f>
        <v>3</v>
      </c>
      <c r="F50" s="23">
        <f ca="1">COUNTA($M50:INDIRECT(ADDRESS(ROW(),MATCH("",$4:$4,-1),1,1)))</f>
        <v>5</v>
      </c>
      <c r="G50" s="23">
        <f ca="1">COUNTIF($M50:INDIRECT(ADDRESS(ROW(),MATCH("",$4:$4,-1),1,1)),"조치완료(Y)")+COUNTIF($M50:INDIRECT(ADDRESS(ROW(),MATCH("",$4:$4,-1),1,1)),"Y")</f>
        <v>5</v>
      </c>
      <c r="H50" s="23">
        <f ca="1">COUNTIF($M50:INDIRECT(ADDRESS(ROW(),MATCH("",$4:$4,-1),1,1)),"Y(즉시조치)")+COUNTIF($M50:INDIRECT(ADDRESS(ROW(),MATCH("",$4:$4,-1),1,1)),"조치완료(즉시조치)")</f>
        <v>0</v>
      </c>
      <c r="I50" s="23">
        <f ca="1">COUNTIF($M50:INDIRECT(ADDRESS(ROW(),MATCH("",$4:$4,-1),1,1)),"N")</f>
        <v>0</v>
      </c>
      <c r="J50" s="23">
        <f ca="1">COUNTIF($M50:INDIRECT(ADDRESS(ROW(),MATCH("",$4:$4,-1),1,1)),"N/A")+COUNTIF($M50:INDIRECT(ADDRESS(ROW(),MATCH("",$4:$4,-1),1,1)),"조치완료(N/A)")</f>
        <v>0</v>
      </c>
      <c r="K50" s="23">
        <f ca="1">VLOOKUP($D50,'parm(hidden)'!$B$8:$C$10,2,FALSE)*($F50-$J50)</f>
        <v>15</v>
      </c>
      <c r="L50" s="36">
        <f ca="1">VLOOKUP($D50,'parm(hidden)'!$B$8:$C$10,2,FALSE)*($G50+$H50)</f>
        <v>15</v>
      </c>
      <c r="M50" s="48" t="str">
        <f t="shared" ca="1" si="2"/>
        <v>Y</v>
      </c>
      <c r="N50" s="48" t="str">
        <f t="shared" ca="1" si="2"/>
        <v>Y</v>
      </c>
      <c r="O50" s="48" t="str">
        <f t="shared" ca="1" si="2"/>
        <v>Y</v>
      </c>
      <c r="P50" s="48" t="str">
        <f t="shared" ca="1" si="2"/>
        <v>Y</v>
      </c>
      <c r="Q50" s="48" t="str">
        <f t="shared" ca="1" si="2"/>
        <v>Y</v>
      </c>
    </row>
    <row r="51" spans="1:17" ht="14.1" customHeight="1">
      <c r="A51" s="174" t="str">
        <f>ChkList!A51</f>
        <v>서비스 관리</v>
      </c>
      <c r="B51" s="174" t="str">
        <f>ChkList!B51</f>
        <v>U-47</v>
      </c>
      <c r="C51" s="174" t="str">
        <f>ChkList!C51</f>
        <v>스팸 메일 릴레이 제한</v>
      </c>
      <c r="D51" s="174" t="str">
        <f>ChkList!D51</f>
        <v>H</v>
      </c>
      <c r="E51" s="174">
        <f>ChkList!E51</f>
        <v>3</v>
      </c>
      <c r="F51" s="23">
        <f ca="1">COUNTA($M51:INDIRECT(ADDRESS(ROW(),MATCH("",$4:$4,-1),1,1)))</f>
        <v>5</v>
      </c>
      <c r="G51" s="23">
        <f ca="1">COUNTIF($M51:INDIRECT(ADDRESS(ROW(),MATCH("",$4:$4,-1),1,1)),"조치완료(Y)")+COUNTIF($M51:INDIRECT(ADDRESS(ROW(),MATCH("",$4:$4,-1),1,1)),"Y")</f>
        <v>5</v>
      </c>
      <c r="H51" s="23">
        <f ca="1">COUNTIF($M51:INDIRECT(ADDRESS(ROW(),MATCH("",$4:$4,-1),1,1)),"Y(즉시조치)")+COUNTIF($M51:INDIRECT(ADDRESS(ROW(),MATCH("",$4:$4,-1),1,1)),"조치완료(즉시조치)")</f>
        <v>0</v>
      </c>
      <c r="I51" s="23">
        <f ca="1">COUNTIF($M51:INDIRECT(ADDRESS(ROW(),MATCH("",$4:$4,-1),1,1)),"N")</f>
        <v>0</v>
      </c>
      <c r="J51" s="23">
        <f ca="1">COUNTIF($M51:INDIRECT(ADDRESS(ROW(),MATCH("",$4:$4,-1),1,1)),"N/A")+COUNTIF($M51:INDIRECT(ADDRESS(ROW(),MATCH("",$4:$4,-1),1,1)),"조치완료(N/A)")</f>
        <v>0</v>
      </c>
      <c r="K51" s="23">
        <f ca="1">VLOOKUP($D51,'parm(hidden)'!$B$8:$C$10,2,FALSE)*($F51-$J51)</f>
        <v>15</v>
      </c>
      <c r="L51" s="36">
        <f ca="1">VLOOKUP($D51,'parm(hidden)'!$B$8:$C$10,2,FALSE)*($G51+$H51)</f>
        <v>15</v>
      </c>
      <c r="M51" s="48" t="str">
        <f t="shared" ca="1" si="2"/>
        <v>Y</v>
      </c>
      <c r="N51" s="48" t="str">
        <f t="shared" ca="1" si="2"/>
        <v>Y</v>
      </c>
      <c r="O51" s="48" t="str">
        <f t="shared" ca="1" si="2"/>
        <v>Y</v>
      </c>
      <c r="P51" s="48" t="str">
        <f t="shared" ca="1" si="2"/>
        <v>Y</v>
      </c>
      <c r="Q51" s="48" t="str">
        <f t="shared" ca="1" si="2"/>
        <v>Y</v>
      </c>
    </row>
    <row r="52" spans="1:17" ht="14.1" customHeight="1">
      <c r="A52" s="174" t="str">
        <f>ChkList!A52</f>
        <v>서비스 관리</v>
      </c>
      <c r="B52" s="174" t="str">
        <f>ChkList!B52</f>
        <v>U-48</v>
      </c>
      <c r="C52" s="174" t="str">
        <f>ChkList!C52</f>
        <v>expn, vrfy 명령어 제한</v>
      </c>
      <c r="D52" s="174" t="str">
        <f>ChkList!D52</f>
        <v>M</v>
      </c>
      <c r="E52" s="174">
        <f>ChkList!E52</f>
        <v>2</v>
      </c>
      <c r="F52" s="23">
        <f ca="1">COUNTA($M52:INDIRECT(ADDRESS(ROW(),MATCH("",$4:$4,-1),1,1)))</f>
        <v>5</v>
      </c>
      <c r="G52" s="23">
        <f ca="1">COUNTIF($M52:INDIRECT(ADDRESS(ROW(),MATCH("",$4:$4,-1),1,1)),"조치완료(Y)")+COUNTIF($M52:INDIRECT(ADDRESS(ROW(),MATCH("",$4:$4,-1),1,1)),"Y")</f>
        <v>5</v>
      </c>
      <c r="H52" s="23">
        <f ca="1">COUNTIF($M52:INDIRECT(ADDRESS(ROW(),MATCH("",$4:$4,-1),1,1)),"Y(즉시조치)")+COUNTIF($M52:INDIRECT(ADDRESS(ROW(),MATCH("",$4:$4,-1),1,1)),"조치완료(즉시조치)")</f>
        <v>0</v>
      </c>
      <c r="I52" s="23">
        <f ca="1">COUNTIF($M52:INDIRECT(ADDRESS(ROW(),MATCH("",$4:$4,-1),1,1)),"N")</f>
        <v>0</v>
      </c>
      <c r="J52" s="23">
        <f ca="1">COUNTIF($M52:INDIRECT(ADDRESS(ROW(),MATCH("",$4:$4,-1),1,1)),"N/A")+COUNTIF($M52:INDIRECT(ADDRESS(ROW(),MATCH("",$4:$4,-1),1,1)),"조치완료(N/A)")</f>
        <v>0</v>
      </c>
      <c r="K52" s="23">
        <f ca="1">VLOOKUP($D52,'parm(hidden)'!$B$8:$C$10,2,FALSE)*($F52-$J52)</f>
        <v>10</v>
      </c>
      <c r="L52" s="36">
        <f ca="1">VLOOKUP($D52,'parm(hidden)'!$B$8:$C$10,2,FALSE)*($G52+$H52)</f>
        <v>10</v>
      </c>
      <c r="M52" s="48" t="str">
        <f t="shared" ca="1" si="2"/>
        <v>Y</v>
      </c>
      <c r="N52" s="48" t="str">
        <f t="shared" ca="1" si="2"/>
        <v>Y</v>
      </c>
      <c r="O52" s="48" t="str">
        <f t="shared" ca="1" si="2"/>
        <v>Y</v>
      </c>
      <c r="P52" s="48" t="str">
        <f t="shared" ca="1" si="2"/>
        <v>Y</v>
      </c>
      <c r="Q52" s="48" t="str">
        <f t="shared" ca="1" si="2"/>
        <v>Y</v>
      </c>
    </row>
    <row r="53" spans="1:17" ht="14.1" customHeight="1">
      <c r="A53" s="174" t="str">
        <f>ChkList!A53</f>
        <v>서비스 관리</v>
      </c>
      <c r="B53" s="174" t="str">
        <f>ChkList!B53</f>
        <v>U-49</v>
      </c>
      <c r="C53" s="174" t="str">
        <f>ChkList!C53</f>
        <v>DNS 보안 버전 패치</v>
      </c>
      <c r="D53" s="174" t="str">
        <f>ChkList!D53</f>
        <v>H</v>
      </c>
      <c r="E53" s="174">
        <f>ChkList!E53</f>
        <v>3</v>
      </c>
      <c r="F53" s="23">
        <f ca="1">COUNTA($M53:INDIRECT(ADDRESS(ROW(),MATCH("",$4:$4,-1),1,1)))</f>
        <v>5</v>
      </c>
      <c r="G53" s="23">
        <f ca="1">COUNTIF($M53:INDIRECT(ADDRESS(ROW(),MATCH("",$4:$4,-1),1,1)),"조치완료(Y)")+COUNTIF($M53:INDIRECT(ADDRESS(ROW(),MATCH("",$4:$4,-1),1,1)),"Y")</f>
        <v>5</v>
      </c>
      <c r="H53" s="23">
        <f ca="1">COUNTIF($M53:INDIRECT(ADDRESS(ROW(),MATCH("",$4:$4,-1),1,1)),"Y(즉시조치)")+COUNTIF($M53:INDIRECT(ADDRESS(ROW(),MATCH("",$4:$4,-1),1,1)),"조치완료(즉시조치)")</f>
        <v>0</v>
      </c>
      <c r="I53" s="23">
        <f ca="1">COUNTIF($M53:INDIRECT(ADDRESS(ROW(),MATCH("",$4:$4,-1),1,1)),"N")</f>
        <v>0</v>
      </c>
      <c r="J53" s="23">
        <f ca="1">COUNTIF($M53:INDIRECT(ADDRESS(ROW(),MATCH("",$4:$4,-1),1,1)),"N/A")+COUNTIF($M53:INDIRECT(ADDRESS(ROW(),MATCH("",$4:$4,-1),1,1)),"조치완료(N/A)")</f>
        <v>0</v>
      </c>
      <c r="K53" s="23">
        <f ca="1">VLOOKUP($D53,'parm(hidden)'!$B$8:$C$10,2,FALSE)*($F53-$J53)</f>
        <v>15</v>
      </c>
      <c r="L53" s="36">
        <f ca="1">VLOOKUP($D53,'parm(hidden)'!$B$8:$C$10,2,FALSE)*($G53+$H53)</f>
        <v>15</v>
      </c>
      <c r="M53" s="48" t="str">
        <f t="shared" ref="M53:Q71" ca="1" si="3">HYPERLINK("[" &amp; MID(CELL("filename"),SEARCH("[",CELL("filename"))+1, SEARCH("]",CELL("filename"))-SEARCH("[",CELL("filename"))-1) &amp; "]" &amp; ADDRESS(ROW()+16,8,1,TRUE,M$4),INDIRECT(ADDRESS(ROW()+16,8,1,TRUE,M$4)))</f>
        <v>Y</v>
      </c>
      <c r="N53" s="48" t="str">
        <f t="shared" ca="1" si="3"/>
        <v>Y</v>
      </c>
      <c r="O53" s="48" t="str">
        <f t="shared" ca="1" si="3"/>
        <v>Y</v>
      </c>
      <c r="P53" s="48" t="str">
        <f t="shared" ca="1" si="3"/>
        <v>Y</v>
      </c>
      <c r="Q53" s="48" t="str">
        <f t="shared" ca="1" si="3"/>
        <v>Y</v>
      </c>
    </row>
    <row r="54" spans="1:17" ht="14.1" customHeight="1">
      <c r="A54" s="174" t="str">
        <f>ChkList!A54</f>
        <v>서비스 관리</v>
      </c>
      <c r="B54" s="174" t="str">
        <f>ChkList!B54</f>
        <v>U-50</v>
      </c>
      <c r="C54" s="174" t="str">
        <f>ChkList!C54</f>
        <v>DNS Zone Transfer 설정</v>
      </c>
      <c r="D54" s="174" t="str">
        <f>ChkList!D54</f>
        <v>H</v>
      </c>
      <c r="E54" s="174">
        <f>ChkList!E54</f>
        <v>3</v>
      </c>
      <c r="F54" s="23">
        <f ca="1">COUNTA($M54:INDIRECT(ADDRESS(ROW(),MATCH("",$4:$4,-1),1,1)))</f>
        <v>5</v>
      </c>
      <c r="G54" s="23">
        <f ca="1">COUNTIF($M54:INDIRECT(ADDRESS(ROW(),MATCH("",$4:$4,-1),1,1)),"조치완료(Y)")+COUNTIF($M54:INDIRECT(ADDRESS(ROW(),MATCH("",$4:$4,-1),1,1)),"Y")</f>
        <v>5</v>
      </c>
      <c r="H54" s="23">
        <f ca="1">COUNTIF($M54:INDIRECT(ADDRESS(ROW(),MATCH("",$4:$4,-1),1,1)),"Y(즉시조치)")+COUNTIF($M54:INDIRECT(ADDRESS(ROW(),MATCH("",$4:$4,-1),1,1)),"조치완료(즉시조치)")</f>
        <v>0</v>
      </c>
      <c r="I54" s="23">
        <f ca="1">COUNTIF($M54:INDIRECT(ADDRESS(ROW(),MATCH("",$4:$4,-1),1,1)),"N")</f>
        <v>0</v>
      </c>
      <c r="J54" s="23">
        <f ca="1">COUNTIF($M54:INDIRECT(ADDRESS(ROW(),MATCH("",$4:$4,-1),1,1)),"N/A")+COUNTIF($M54:INDIRECT(ADDRESS(ROW(),MATCH("",$4:$4,-1),1,1)),"조치완료(N/A)")</f>
        <v>0</v>
      </c>
      <c r="K54" s="23">
        <f ca="1">VLOOKUP($D54,'parm(hidden)'!$B$8:$C$10,2,FALSE)*($F54-$J54)</f>
        <v>15</v>
      </c>
      <c r="L54" s="36">
        <f ca="1">VLOOKUP($D54,'parm(hidden)'!$B$8:$C$10,2,FALSE)*($G54+$H54)</f>
        <v>15</v>
      </c>
      <c r="M54" s="48" t="str">
        <f t="shared" ca="1" si="3"/>
        <v>Y</v>
      </c>
      <c r="N54" s="48" t="str">
        <f t="shared" ca="1" si="3"/>
        <v>Y</v>
      </c>
      <c r="O54" s="48" t="str">
        <f t="shared" ca="1" si="3"/>
        <v>Y</v>
      </c>
      <c r="P54" s="48" t="str">
        <f t="shared" ca="1" si="3"/>
        <v>Y</v>
      </c>
      <c r="Q54" s="48" t="str">
        <f t="shared" ca="1" si="3"/>
        <v>Y</v>
      </c>
    </row>
    <row r="55" spans="1:17" ht="14.1" customHeight="1">
      <c r="A55" s="174" t="str">
        <f>ChkList!A55</f>
        <v>서비스 관리</v>
      </c>
      <c r="B55" s="174" t="str">
        <f>ChkList!B55</f>
        <v>U-51</v>
      </c>
      <c r="C55" s="174" t="str">
        <f>ChkList!C55</f>
        <v>DNS 서비스의 취약한 동적 업데이트 설정 금지</v>
      </c>
      <c r="D55" s="174" t="str">
        <f>ChkList!D55</f>
        <v>M</v>
      </c>
      <c r="E55" s="174">
        <f>ChkList!E55</f>
        <v>2</v>
      </c>
      <c r="F55" s="23">
        <f ca="1">COUNTA($M55:INDIRECT(ADDRESS(ROW(),MATCH("",$4:$4,-1),1,1)))</f>
        <v>5</v>
      </c>
      <c r="G55" s="23">
        <f ca="1">COUNTIF($M55:INDIRECT(ADDRESS(ROW(),MATCH("",$4:$4,-1),1,1)),"조치완료(Y)")+COUNTIF($M55:INDIRECT(ADDRESS(ROW(),MATCH("",$4:$4,-1),1,1)),"Y")</f>
        <v>2</v>
      </c>
      <c r="H55" s="23">
        <f ca="1">COUNTIF($M55:INDIRECT(ADDRESS(ROW(),MATCH("",$4:$4,-1),1,1)),"Y(즉시조치)")+COUNTIF($M55:INDIRECT(ADDRESS(ROW(),MATCH("",$4:$4,-1),1,1)),"조치완료(즉시조치)")</f>
        <v>0</v>
      </c>
      <c r="I55" s="23">
        <f ca="1">COUNTIF($M55:INDIRECT(ADDRESS(ROW(),MATCH("",$4:$4,-1),1,1)),"N")</f>
        <v>3</v>
      </c>
      <c r="J55" s="23">
        <f ca="1">COUNTIF($M55:INDIRECT(ADDRESS(ROW(),MATCH("",$4:$4,-1),1,1)),"N/A")+COUNTIF($M55:INDIRECT(ADDRESS(ROW(),MATCH("",$4:$4,-1),1,1)),"조치완료(N/A)")</f>
        <v>0</v>
      </c>
      <c r="K55" s="23">
        <f ca="1">VLOOKUP($D55,'parm(hidden)'!$B$8:$C$10,2,FALSE)*($F55-$J55)</f>
        <v>10</v>
      </c>
      <c r="L55" s="36">
        <f ca="1">VLOOKUP($D55,'parm(hidden)'!$B$8:$C$10,2,FALSE)*($G55+$H55)</f>
        <v>4</v>
      </c>
      <c r="M55" s="48" t="str">
        <f t="shared" ca="1" si="3"/>
        <v>N</v>
      </c>
      <c r="N55" s="48" t="str">
        <f t="shared" ca="1" si="3"/>
        <v>N</v>
      </c>
      <c r="O55" s="48" t="str">
        <f t="shared" ca="1" si="3"/>
        <v>N</v>
      </c>
      <c r="P55" s="48" t="str">
        <f t="shared" ca="1" si="3"/>
        <v>Y</v>
      </c>
      <c r="Q55" s="48" t="str">
        <f t="shared" ca="1" si="3"/>
        <v>Y</v>
      </c>
    </row>
    <row r="56" spans="1:17" ht="14.1" customHeight="1">
      <c r="A56" s="174" t="str">
        <f>ChkList!A56</f>
        <v>서비스 관리</v>
      </c>
      <c r="B56" s="174" t="str">
        <f>ChkList!B56</f>
        <v>U-52</v>
      </c>
      <c r="C56" s="174" t="str">
        <f>ChkList!C56</f>
        <v>Telnet 서비스 비활성화</v>
      </c>
      <c r="D56" s="174" t="str">
        <f>ChkList!D56</f>
        <v>M</v>
      </c>
      <c r="E56" s="174">
        <f>ChkList!E56</f>
        <v>2</v>
      </c>
      <c r="F56" s="23">
        <f ca="1">COUNTA($M56:INDIRECT(ADDRESS(ROW(),MATCH("",$4:$4,-1),1,1)))</f>
        <v>5</v>
      </c>
      <c r="G56" s="23">
        <f ca="1">COUNTIF($M56:INDIRECT(ADDRESS(ROW(),MATCH("",$4:$4,-1),1,1)),"조치완료(Y)")+COUNTIF($M56:INDIRECT(ADDRESS(ROW(),MATCH("",$4:$4,-1),1,1)),"Y")</f>
        <v>5</v>
      </c>
      <c r="H56" s="23">
        <f ca="1">COUNTIF($M56:INDIRECT(ADDRESS(ROW(),MATCH("",$4:$4,-1),1,1)),"Y(즉시조치)")+COUNTIF($M56:INDIRECT(ADDRESS(ROW(),MATCH("",$4:$4,-1),1,1)),"조치완료(즉시조치)")</f>
        <v>0</v>
      </c>
      <c r="I56" s="23">
        <f ca="1">COUNTIF($M56:INDIRECT(ADDRESS(ROW(),MATCH("",$4:$4,-1),1,1)),"N")</f>
        <v>0</v>
      </c>
      <c r="J56" s="23">
        <f ca="1">COUNTIF($M56:INDIRECT(ADDRESS(ROW(),MATCH("",$4:$4,-1),1,1)),"N/A")+COUNTIF($M56:INDIRECT(ADDRESS(ROW(),MATCH("",$4:$4,-1),1,1)),"조치완료(N/A)")</f>
        <v>0</v>
      </c>
      <c r="K56" s="23">
        <f ca="1">VLOOKUP($D56,'parm(hidden)'!$B$8:$C$10,2,FALSE)*($F56-$J56)</f>
        <v>10</v>
      </c>
      <c r="L56" s="36">
        <f ca="1">VLOOKUP($D56,'parm(hidden)'!$B$8:$C$10,2,FALSE)*($G56+$H56)</f>
        <v>10</v>
      </c>
      <c r="M56" s="48" t="str">
        <f t="shared" ca="1" si="3"/>
        <v>Y</v>
      </c>
      <c r="N56" s="48" t="str">
        <f t="shared" ca="1" si="3"/>
        <v>Y</v>
      </c>
      <c r="O56" s="48" t="str">
        <f t="shared" ca="1" si="3"/>
        <v>Y</v>
      </c>
      <c r="P56" s="48" t="str">
        <f t="shared" ca="1" si="3"/>
        <v>Y</v>
      </c>
      <c r="Q56" s="48" t="str">
        <f t="shared" ca="1" si="3"/>
        <v>Y</v>
      </c>
    </row>
    <row r="57" spans="1:17" ht="14.1" customHeight="1">
      <c r="A57" s="174" t="str">
        <f>ChkList!A57</f>
        <v>서비스 관리</v>
      </c>
      <c r="B57" s="174" t="str">
        <f>ChkList!B57</f>
        <v>U-53</v>
      </c>
      <c r="C57" s="174" t="str">
        <f>ChkList!C57</f>
        <v>FTP 서비스 정보 노출 제한</v>
      </c>
      <c r="D57" s="174" t="str">
        <f>ChkList!D57</f>
        <v>L</v>
      </c>
      <c r="E57" s="174">
        <f>ChkList!E57</f>
        <v>1</v>
      </c>
      <c r="F57" s="23">
        <f ca="1">COUNTA($M57:INDIRECT(ADDRESS(ROW(),MATCH("",$4:$4,-1),1,1)))</f>
        <v>5</v>
      </c>
      <c r="G57" s="23">
        <f ca="1">COUNTIF($M57:INDIRECT(ADDRESS(ROW(),MATCH("",$4:$4,-1),1,1)),"조치완료(Y)")+COUNTIF($M57:INDIRECT(ADDRESS(ROW(),MATCH("",$4:$4,-1),1,1)),"Y")</f>
        <v>2</v>
      </c>
      <c r="H57" s="23">
        <f ca="1">COUNTIF($M57:INDIRECT(ADDRESS(ROW(),MATCH("",$4:$4,-1),1,1)),"Y(즉시조치)")+COUNTIF($M57:INDIRECT(ADDRESS(ROW(),MATCH("",$4:$4,-1),1,1)),"조치완료(즉시조치)")</f>
        <v>0</v>
      </c>
      <c r="I57" s="23">
        <f ca="1">COUNTIF($M57:INDIRECT(ADDRESS(ROW(),MATCH("",$4:$4,-1),1,1)),"N")</f>
        <v>3</v>
      </c>
      <c r="J57" s="23">
        <f ca="1">COUNTIF($M57:INDIRECT(ADDRESS(ROW(),MATCH("",$4:$4,-1),1,1)),"N/A")+COUNTIF($M57:INDIRECT(ADDRESS(ROW(),MATCH("",$4:$4,-1),1,1)),"조치완료(N/A)")</f>
        <v>0</v>
      </c>
      <c r="K57" s="23">
        <f ca="1">VLOOKUP($D57,'parm(hidden)'!$B$8:$C$10,2,FALSE)*($F57-$J57)</f>
        <v>5</v>
      </c>
      <c r="L57" s="36">
        <f ca="1">VLOOKUP($D57,'parm(hidden)'!$B$8:$C$10,2,FALSE)*($G57+$H57)</f>
        <v>2</v>
      </c>
      <c r="M57" s="48" t="str">
        <f t="shared" ca="1" si="3"/>
        <v>N</v>
      </c>
      <c r="N57" s="48" t="str">
        <f t="shared" ca="1" si="3"/>
        <v>N</v>
      </c>
      <c r="O57" s="48" t="str">
        <f t="shared" ca="1" si="3"/>
        <v>N</v>
      </c>
      <c r="P57" s="48" t="str">
        <f t="shared" ca="1" si="3"/>
        <v>Y</v>
      </c>
      <c r="Q57" s="48" t="str">
        <f t="shared" ca="1" si="3"/>
        <v>Y</v>
      </c>
    </row>
    <row r="58" spans="1:17" ht="14.1" customHeight="1">
      <c r="A58" s="174" t="str">
        <f>ChkList!A58</f>
        <v>서비스 관리</v>
      </c>
      <c r="B58" s="174" t="str">
        <f>ChkList!B58</f>
        <v>U-54</v>
      </c>
      <c r="C58" s="174" t="str">
        <f>ChkList!C58</f>
        <v>암호화되지 않는 FTP 서비스 비활성화</v>
      </c>
      <c r="D58" s="174" t="str">
        <f>ChkList!D58</f>
        <v>M</v>
      </c>
      <c r="E58" s="174">
        <f>ChkList!E58</f>
        <v>2</v>
      </c>
      <c r="F58" s="23">
        <f ca="1">COUNTA($M58:INDIRECT(ADDRESS(ROW(),MATCH("",$4:$4,-1),1,1)))</f>
        <v>5</v>
      </c>
      <c r="G58" s="23">
        <f ca="1">COUNTIF($M58:INDIRECT(ADDRESS(ROW(),MATCH("",$4:$4,-1),1,1)),"조치완료(Y)")+COUNTIF($M58:INDIRECT(ADDRESS(ROW(),MATCH("",$4:$4,-1),1,1)),"Y")</f>
        <v>2</v>
      </c>
      <c r="H58" s="23">
        <f ca="1">COUNTIF($M58:INDIRECT(ADDRESS(ROW(),MATCH("",$4:$4,-1),1,1)),"Y(즉시조치)")+COUNTIF($M58:INDIRECT(ADDRESS(ROW(),MATCH("",$4:$4,-1),1,1)),"조치완료(즉시조치)")</f>
        <v>0</v>
      </c>
      <c r="I58" s="23">
        <f ca="1">COUNTIF($M58:INDIRECT(ADDRESS(ROW(),MATCH("",$4:$4,-1),1,1)),"N")</f>
        <v>3</v>
      </c>
      <c r="J58" s="23">
        <f ca="1">COUNTIF($M58:INDIRECT(ADDRESS(ROW(),MATCH("",$4:$4,-1),1,1)),"N/A")+COUNTIF($M58:INDIRECT(ADDRESS(ROW(),MATCH("",$4:$4,-1),1,1)),"조치완료(N/A)")</f>
        <v>0</v>
      </c>
      <c r="K58" s="23">
        <f ca="1">VLOOKUP($D58,'parm(hidden)'!$B$8:$C$10,2,FALSE)*($F58-$J58)</f>
        <v>10</v>
      </c>
      <c r="L58" s="36">
        <f ca="1">VLOOKUP($D58,'parm(hidden)'!$B$8:$C$10,2,FALSE)*($G58+$H58)</f>
        <v>4</v>
      </c>
      <c r="M58" s="48" t="str">
        <f t="shared" ca="1" si="3"/>
        <v>N</v>
      </c>
      <c r="N58" s="48" t="str">
        <f t="shared" ca="1" si="3"/>
        <v>N</v>
      </c>
      <c r="O58" s="48" t="str">
        <f t="shared" ca="1" si="3"/>
        <v>N</v>
      </c>
      <c r="P58" s="48" t="str">
        <f t="shared" ca="1" si="3"/>
        <v>Y</v>
      </c>
      <c r="Q58" s="48" t="str">
        <f t="shared" ca="1" si="3"/>
        <v>Y</v>
      </c>
    </row>
    <row r="59" spans="1:17" ht="14.1" customHeight="1">
      <c r="A59" s="174" t="str">
        <f>ChkList!A59</f>
        <v>서비스 관리</v>
      </c>
      <c r="B59" s="174" t="str">
        <f>ChkList!B59</f>
        <v>U-55</v>
      </c>
      <c r="C59" s="174" t="str">
        <f>ChkList!C59</f>
        <v>FTP 계정 Shell 제한</v>
      </c>
      <c r="D59" s="174" t="str">
        <f>ChkList!D59</f>
        <v>M</v>
      </c>
      <c r="E59" s="174">
        <f>ChkList!E59</f>
        <v>2</v>
      </c>
      <c r="F59" s="23">
        <f ca="1">COUNTA($M59:INDIRECT(ADDRESS(ROW(),MATCH("",$4:$4,-1),1,1)))</f>
        <v>5</v>
      </c>
      <c r="G59" s="23">
        <f ca="1">COUNTIF($M59:INDIRECT(ADDRESS(ROW(),MATCH("",$4:$4,-1),1,1)),"조치완료(Y)")+COUNTIF($M59:INDIRECT(ADDRESS(ROW(),MATCH("",$4:$4,-1),1,1)),"Y")</f>
        <v>2</v>
      </c>
      <c r="H59" s="23">
        <f ca="1">COUNTIF($M59:INDIRECT(ADDRESS(ROW(),MATCH("",$4:$4,-1),1,1)),"Y(즉시조치)")+COUNTIF($M59:INDIRECT(ADDRESS(ROW(),MATCH("",$4:$4,-1),1,1)),"조치완료(즉시조치)")</f>
        <v>0</v>
      </c>
      <c r="I59" s="23">
        <f ca="1">COUNTIF($M59:INDIRECT(ADDRESS(ROW(),MATCH("",$4:$4,-1),1,1)),"N")</f>
        <v>3</v>
      </c>
      <c r="J59" s="23">
        <f ca="1">COUNTIF($M59:INDIRECT(ADDRESS(ROW(),MATCH("",$4:$4,-1),1,1)),"N/A")+COUNTIF($M59:INDIRECT(ADDRESS(ROW(),MATCH("",$4:$4,-1),1,1)),"조치완료(N/A)")</f>
        <v>0</v>
      </c>
      <c r="K59" s="23">
        <f ca="1">VLOOKUP($D59,'parm(hidden)'!$B$8:$C$10,2,FALSE)*($F59-$J59)</f>
        <v>10</v>
      </c>
      <c r="L59" s="36">
        <f ca="1">VLOOKUP($D59,'parm(hidden)'!$B$8:$C$10,2,FALSE)*($G59+$H59)</f>
        <v>4</v>
      </c>
      <c r="M59" s="48" t="str">
        <f t="shared" ca="1" si="3"/>
        <v>N</v>
      </c>
      <c r="N59" s="48" t="str">
        <f t="shared" ca="1" si="3"/>
        <v>N</v>
      </c>
      <c r="O59" s="48" t="str">
        <f t="shared" ca="1" si="3"/>
        <v>N</v>
      </c>
      <c r="P59" s="48" t="str">
        <f t="shared" ca="1" si="3"/>
        <v>Y</v>
      </c>
      <c r="Q59" s="48" t="str">
        <f t="shared" ca="1" si="3"/>
        <v>Y</v>
      </c>
    </row>
    <row r="60" spans="1:17" ht="14.1" customHeight="1">
      <c r="A60" s="174" t="str">
        <f>ChkList!A60</f>
        <v>서비스 관리</v>
      </c>
      <c r="B60" s="174" t="str">
        <f>ChkList!B60</f>
        <v>U-56</v>
      </c>
      <c r="C60" s="174" t="str">
        <f>ChkList!C60</f>
        <v>FTP 서비스 접근 제어 설정</v>
      </c>
      <c r="D60" s="174" t="str">
        <f>ChkList!D60</f>
        <v>L</v>
      </c>
      <c r="E60" s="174">
        <f>ChkList!E60</f>
        <v>1</v>
      </c>
      <c r="F60" s="23">
        <f ca="1">COUNTA($M60:INDIRECT(ADDRESS(ROW(),MATCH("",$4:$4,-1),1,1)))</f>
        <v>5</v>
      </c>
      <c r="G60" s="23">
        <f ca="1">COUNTIF($M60:INDIRECT(ADDRESS(ROW(),MATCH("",$4:$4,-1),1,1)),"조치완료(Y)")+COUNTIF($M60:INDIRECT(ADDRESS(ROW(),MATCH("",$4:$4,-1),1,1)),"Y")</f>
        <v>2</v>
      </c>
      <c r="H60" s="23">
        <f ca="1">COUNTIF($M60:INDIRECT(ADDRESS(ROW(),MATCH("",$4:$4,-1),1,1)),"Y(즉시조치)")+COUNTIF($M60:INDIRECT(ADDRESS(ROW(),MATCH("",$4:$4,-1),1,1)),"조치완료(즉시조치)")</f>
        <v>0</v>
      </c>
      <c r="I60" s="23">
        <f ca="1">COUNTIF($M60:INDIRECT(ADDRESS(ROW(),MATCH("",$4:$4,-1),1,1)),"N")</f>
        <v>3</v>
      </c>
      <c r="J60" s="23">
        <f ca="1">COUNTIF($M60:INDIRECT(ADDRESS(ROW(),MATCH("",$4:$4,-1),1,1)),"N/A")+COUNTIF($M60:INDIRECT(ADDRESS(ROW(),MATCH("",$4:$4,-1),1,1)),"조치완료(N/A)")</f>
        <v>0</v>
      </c>
      <c r="K60" s="23">
        <f ca="1">VLOOKUP($D60,'parm(hidden)'!$B$8:$C$10,2,FALSE)*($F60-$J60)</f>
        <v>5</v>
      </c>
      <c r="L60" s="36">
        <f ca="1">VLOOKUP($D60,'parm(hidden)'!$B$8:$C$10,2,FALSE)*($G60+$H60)</f>
        <v>2</v>
      </c>
      <c r="M60" s="48" t="str">
        <f t="shared" ca="1" si="3"/>
        <v>N</v>
      </c>
      <c r="N60" s="48" t="str">
        <f t="shared" ca="1" si="3"/>
        <v>N</v>
      </c>
      <c r="O60" s="48" t="str">
        <f t="shared" ca="1" si="3"/>
        <v>N</v>
      </c>
      <c r="P60" s="48" t="str">
        <f t="shared" ca="1" si="3"/>
        <v>Y</v>
      </c>
      <c r="Q60" s="48" t="str">
        <f t="shared" ca="1" si="3"/>
        <v>Y</v>
      </c>
    </row>
    <row r="61" spans="1:17" ht="14.1" customHeight="1">
      <c r="A61" s="174" t="str">
        <f>ChkList!A61</f>
        <v>서비스 관리</v>
      </c>
      <c r="B61" s="174" t="str">
        <f>ChkList!B61</f>
        <v>U-57</v>
      </c>
      <c r="C61" s="174" t="str">
        <f>ChkList!C61</f>
        <v>Ftpusers 파일 설정</v>
      </c>
      <c r="D61" s="174" t="str">
        <f>ChkList!D61</f>
        <v>M</v>
      </c>
      <c r="E61" s="174">
        <f>ChkList!E61</f>
        <v>2</v>
      </c>
      <c r="F61" s="23">
        <f ca="1">COUNTA($M61:INDIRECT(ADDRESS(ROW(),MATCH("",$4:$4,-1),1,1)))</f>
        <v>5</v>
      </c>
      <c r="G61" s="23">
        <f ca="1">COUNTIF($M61:INDIRECT(ADDRESS(ROW(),MATCH("",$4:$4,-1),1,1)),"조치완료(Y)")+COUNTIF($M61:INDIRECT(ADDRESS(ROW(),MATCH("",$4:$4,-1),1,1)),"Y")</f>
        <v>2</v>
      </c>
      <c r="H61" s="23">
        <f ca="1">COUNTIF($M61:INDIRECT(ADDRESS(ROW(),MATCH("",$4:$4,-1),1,1)),"Y(즉시조치)")+COUNTIF($M61:INDIRECT(ADDRESS(ROW(),MATCH("",$4:$4,-1),1,1)),"조치완료(즉시조치)")</f>
        <v>0</v>
      </c>
      <c r="I61" s="23">
        <f ca="1">COUNTIF($M61:INDIRECT(ADDRESS(ROW(),MATCH("",$4:$4,-1),1,1)),"N")</f>
        <v>3</v>
      </c>
      <c r="J61" s="23">
        <f ca="1">COUNTIF($M61:INDIRECT(ADDRESS(ROW(),MATCH("",$4:$4,-1),1,1)),"N/A")+COUNTIF($M61:INDIRECT(ADDRESS(ROW(),MATCH("",$4:$4,-1),1,1)),"조치완료(N/A)")</f>
        <v>0</v>
      </c>
      <c r="K61" s="23">
        <f ca="1">VLOOKUP($D61,'parm(hidden)'!$B$8:$C$10,2,FALSE)*($F61-$J61)</f>
        <v>10</v>
      </c>
      <c r="L61" s="36">
        <f ca="1">VLOOKUP($D61,'parm(hidden)'!$B$8:$C$10,2,FALSE)*($G61+$H61)</f>
        <v>4</v>
      </c>
      <c r="M61" s="48" t="str">
        <f t="shared" ca="1" si="3"/>
        <v>N</v>
      </c>
      <c r="N61" s="48" t="str">
        <f t="shared" ca="1" si="3"/>
        <v>N</v>
      </c>
      <c r="O61" s="48" t="str">
        <f t="shared" ca="1" si="3"/>
        <v>N</v>
      </c>
      <c r="P61" s="48" t="str">
        <f t="shared" ca="1" si="3"/>
        <v>Y</v>
      </c>
      <c r="Q61" s="48" t="str">
        <f t="shared" ca="1" si="3"/>
        <v>Y</v>
      </c>
    </row>
    <row r="62" spans="1:17" ht="14.1" customHeight="1">
      <c r="A62" s="174" t="str">
        <f>ChkList!A62</f>
        <v>서비스 관리</v>
      </c>
      <c r="B62" s="174" t="str">
        <f>ChkList!B62</f>
        <v>U-58</v>
      </c>
      <c r="C62" s="174" t="str">
        <f>ChkList!C62</f>
        <v>불필요한 SNMP 서비스 구동 점검</v>
      </c>
      <c r="D62" s="174" t="str">
        <f>ChkList!D62</f>
        <v>M</v>
      </c>
      <c r="E62" s="174">
        <f>ChkList!E62</f>
        <v>2</v>
      </c>
      <c r="F62" s="23">
        <f ca="1">COUNTA($M62:INDIRECT(ADDRESS(ROW(),MATCH("",$4:$4,-1),1,1)))</f>
        <v>5</v>
      </c>
      <c r="G62" s="23">
        <f ca="1">COUNTIF($M62:INDIRECT(ADDRESS(ROW(),MATCH("",$4:$4,-1),1,1)),"조치완료(Y)")+COUNTIF($M62:INDIRECT(ADDRESS(ROW(),MATCH("",$4:$4,-1),1,1)),"Y")</f>
        <v>5</v>
      </c>
      <c r="H62" s="23">
        <f ca="1">COUNTIF($M62:INDIRECT(ADDRESS(ROW(),MATCH("",$4:$4,-1),1,1)),"Y(즉시조치)")+COUNTIF($M62:INDIRECT(ADDRESS(ROW(),MATCH("",$4:$4,-1),1,1)),"조치완료(즉시조치)")</f>
        <v>0</v>
      </c>
      <c r="I62" s="23">
        <f ca="1">COUNTIF($M62:INDIRECT(ADDRESS(ROW(),MATCH("",$4:$4,-1),1,1)),"N")</f>
        <v>0</v>
      </c>
      <c r="J62" s="23">
        <f ca="1">COUNTIF($M62:INDIRECT(ADDRESS(ROW(),MATCH("",$4:$4,-1),1,1)),"N/A")+COUNTIF($M62:INDIRECT(ADDRESS(ROW(),MATCH("",$4:$4,-1),1,1)),"조치완료(N/A)")</f>
        <v>0</v>
      </c>
      <c r="K62" s="23">
        <f ca="1">VLOOKUP($D62,'parm(hidden)'!$B$8:$C$10,2,FALSE)*($F62-$J62)</f>
        <v>10</v>
      </c>
      <c r="L62" s="36">
        <f ca="1">VLOOKUP($D62,'parm(hidden)'!$B$8:$C$10,2,FALSE)*($G62+$H62)</f>
        <v>10</v>
      </c>
      <c r="M62" s="48" t="str">
        <f t="shared" ca="1" si="3"/>
        <v>Y</v>
      </c>
      <c r="N62" s="48" t="str">
        <f t="shared" ca="1" si="3"/>
        <v>Y</v>
      </c>
      <c r="O62" s="48" t="str">
        <f t="shared" ca="1" si="3"/>
        <v>Y</v>
      </c>
      <c r="P62" s="48" t="str">
        <f t="shared" ca="1" si="3"/>
        <v>Y</v>
      </c>
      <c r="Q62" s="48" t="str">
        <f t="shared" ca="1" si="3"/>
        <v>Y</v>
      </c>
    </row>
    <row r="63" spans="1:17" ht="14.1" customHeight="1">
      <c r="A63" s="174" t="str">
        <f>ChkList!A63</f>
        <v>서비스 관리</v>
      </c>
      <c r="B63" s="174" t="str">
        <f>ChkList!B63</f>
        <v>U-59</v>
      </c>
      <c r="C63" s="174" t="str">
        <f>ChkList!C63</f>
        <v>안전한 SNMP 버전 사용</v>
      </c>
      <c r="D63" s="174" t="str">
        <f>ChkList!D63</f>
        <v>H</v>
      </c>
      <c r="E63" s="174">
        <f>ChkList!E63</f>
        <v>3</v>
      </c>
      <c r="F63" s="23">
        <f ca="1">COUNTA($M63:INDIRECT(ADDRESS(ROW(),MATCH("",$4:$4,-1),1,1)))</f>
        <v>5</v>
      </c>
      <c r="G63" s="23">
        <f ca="1">COUNTIF($M63:INDIRECT(ADDRESS(ROW(),MATCH("",$4:$4,-1),1,1)),"조치완료(Y)")+COUNTIF($M63:INDIRECT(ADDRESS(ROW(),MATCH("",$4:$4,-1),1,1)),"Y")</f>
        <v>5</v>
      </c>
      <c r="H63" s="23">
        <f ca="1">COUNTIF($M63:INDIRECT(ADDRESS(ROW(),MATCH("",$4:$4,-1),1,1)),"Y(즉시조치)")+COUNTIF($M63:INDIRECT(ADDRESS(ROW(),MATCH("",$4:$4,-1),1,1)),"조치완료(즉시조치)")</f>
        <v>0</v>
      </c>
      <c r="I63" s="23">
        <f ca="1">COUNTIF($M63:INDIRECT(ADDRESS(ROW(),MATCH("",$4:$4,-1),1,1)),"N")</f>
        <v>0</v>
      </c>
      <c r="J63" s="23">
        <f ca="1">COUNTIF($M63:INDIRECT(ADDRESS(ROW(),MATCH("",$4:$4,-1),1,1)),"N/A")+COUNTIF($M63:INDIRECT(ADDRESS(ROW(),MATCH("",$4:$4,-1),1,1)),"조치완료(N/A)")</f>
        <v>0</v>
      </c>
      <c r="K63" s="23">
        <f ca="1">VLOOKUP($D63,'parm(hidden)'!$B$8:$C$10,2,FALSE)*($F63-$J63)</f>
        <v>15</v>
      </c>
      <c r="L63" s="36">
        <f ca="1">VLOOKUP($D63,'parm(hidden)'!$B$8:$C$10,2,FALSE)*($G63+$H63)</f>
        <v>15</v>
      </c>
      <c r="M63" s="48" t="str">
        <f t="shared" ca="1" si="3"/>
        <v>Y</v>
      </c>
      <c r="N63" s="48" t="str">
        <f t="shared" ca="1" si="3"/>
        <v>Y</v>
      </c>
      <c r="O63" s="48" t="str">
        <f t="shared" ca="1" si="3"/>
        <v>Y</v>
      </c>
      <c r="P63" s="48" t="str">
        <f t="shared" ca="1" si="3"/>
        <v>Y</v>
      </c>
      <c r="Q63" s="48" t="str">
        <f t="shared" ca="1" si="3"/>
        <v>Y</v>
      </c>
    </row>
    <row r="64" spans="1:17" ht="14.1" customHeight="1">
      <c r="A64" s="174" t="str">
        <f>ChkList!A64</f>
        <v>서비스 관리</v>
      </c>
      <c r="B64" s="174" t="str">
        <f>ChkList!B64</f>
        <v>U-60</v>
      </c>
      <c r="C64" s="174" t="str">
        <f>ChkList!C64</f>
        <v>SNMP Community String 복잡성 설정</v>
      </c>
      <c r="D64" s="174" t="str">
        <f>ChkList!D64</f>
        <v>M</v>
      </c>
      <c r="E64" s="174">
        <f>ChkList!E64</f>
        <v>2</v>
      </c>
      <c r="F64" s="23">
        <f ca="1">COUNTA($M64:INDIRECT(ADDRESS(ROW(),MATCH("",$4:$4,-1),1,1)))</f>
        <v>5</v>
      </c>
      <c r="G64" s="23">
        <f ca="1">COUNTIF($M64:INDIRECT(ADDRESS(ROW(),MATCH("",$4:$4,-1),1,1)),"조치완료(Y)")+COUNTIF($M64:INDIRECT(ADDRESS(ROW(),MATCH("",$4:$4,-1),1,1)),"Y")</f>
        <v>5</v>
      </c>
      <c r="H64" s="23">
        <f ca="1">COUNTIF($M64:INDIRECT(ADDRESS(ROW(),MATCH("",$4:$4,-1),1,1)),"Y(즉시조치)")+COUNTIF($M64:INDIRECT(ADDRESS(ROW(),MATCH("",$4:$4,-1),1,1)),"조치완료(즉시조치)")</f>
        <v>0</v>
      </c>
      <c r="I64" s="23">
        <f ca="1">COUNTIF($M64:INDIRECT(ADDRESS(ROW(),MATCH("",$4:$4,-1),1,1)),"N")</f>
        <v>0</v>
      </c>
      <c r="J64" s="23">
        <f ca="1">COUNTIF($M64:INDIRECT(ADDRESS(ROW(),MATCH("",$4:$4,-1),1,1)),"N/A")+COUNTIF($M64:INDIRECT(ADDRESS(ROW(),MATCH("",$4:$4,-1),1,1)),"조치완료(N/A)")</f>
        <v>0</v>
      </c>
      <c r="K64" s="23">
        <f ca="1">VLOOKUP($D64,'parm(hidden)'!$B$8:$C$10,2,FALSE)*($F64-$J64)</f>
        <v>10</v>
      </c>
      <c r="L64" s="36">
        <f ca="1">VLOOKUP($D64,'parm(hidden)'!$B$8:$C$10,2,FALSE)*($G64+$H64)</f>
        <v>10</v>
      </c>
      <c r="M64" s="48" t="str">
        <f t="shared" ca="1" si="3"/>
        <v>Y</v>
      </c>
      <c r="N64" s="48" t="str">
        <f t="shared" ca="1" si="3"/>
        <v>Y</v>
      </c>
      <c r="O64" s="48" t="str">
        <f t="shared" ca="1" si="3"/>
        <v>Y</v>
      </c>
      <c r="P64" s="48" t="str">
        <f t="shared" ca="1" si="3"/>
        <v>Y</v>
      </c>
      <c r="Q64" s="48" t="str">
        <f t="shared" ca="1" si="3"/>
        <v>Y</v>
      </c>
    </row>
    <row r="65" spans="1:17" ht="14.1" customHeight="1">
      <c r="A65" s="174" t="str">
        <f>ChkList!A65</f>
        <v>서비스 관리</v>
      </c>
      <c r="B65" s="174" t="str">
        <f>ChkList!B65</f>
        <v>U-61</v>
      </c>
      <c r="C65" s="174" t="str">
        <f>ChkList!C65</f>
        <v>SNMP Access Control 설정</v>
      </c>
      <c r="D65" s="174" t="str">
        <f>ChkList!D65</f>
        <v>H</v>
      </c>
      <c r="E65" s="174">
        <f>ChkList!E65</f>
        <v>3</v>
      </c>
      <c r="F65" s="23">
        <f ca="1">COUNTA($M65:INDIRECT(ADDRESS(ROW(),MATCH("",$4:$4,-1),1,1)))</f>
        <v>5</v>
      </c>
      <c r="G65" s="23">
        <f ca="1">COUNTIF($M65:INDIRECT(ADDRESS(ROW(),MATCH("",$4:$4,-1),1,1)),"조치완료(Y)")+COUNTIF($M65:INDIRECT(ADDRESS(ROW(),MATCH("",$4:$4,-1),1,1)),"Y")</f>
        <v>5</v>
      </c>
      <c r="H65" s="23">
        <f ca="1">COUNTIF($M65:INDIRECT(ADDRESS(ROW(),MATCH("",$4:$4,-1),1,1)),"Y(즉시조치)")+COUNTIF($M65:INDIRECT(ADDRESS(ROW(),MATCH("",$4:$4,-1),1,1)),"조치완료(즉시조치)")</f>
        <v>0</v>
      </c>
      <c r="I65" s="23">
        <f ca="1">COUNTIF($M65:INDIRECT(ADDRESS(ROW(),MATCH("",$4:$4,-1),1,1)),"N")</f>
        <v>0</v>
      </c>
      <c r="J65" s="23">
        <f ca="1">COUNTIF($M65:INDIRECT(ADDRESS(ROW(),MATCH("",$4:$4,-1),1,1)),"N/A")+COUNTIF($M65:INDIRECT(ADDRESS(ROW(),MATCH("",$4:$4,-1),1,1)),"조치완료(N/A)")</f>
        <v>0</v>
      </c>
      <c r="K65" s="23">
        <f ca="1">VLOOKUP($D65,'parm(hidden)'!$B$8:$C$10,2,FALSE)*($F65-$J65)</f>
        <v>15</v>
      </c>
      <c r="L65" s="36">
        <f ca="1">VLOOKUP($D65,'parm(hidden)'!$B$8:$C$10,2,FALSE)*($G65+$H65)</f>
        <v>15</v>
      </c>
      <c r="M65" s="48" t="str">
        <f t="shared" ca="1" si="3"/>
        <v>Y</v>
      </c>
      <c r="N65" s="48" t="str">
        <f t="shared" ca="1" si="3"/>
        <v>Y</v>
      </c>
      <c r="O65" s="48" t="str">
        <f t="shared" ca="1" si="3"/>
        <v>Y</v>
      </c>
      <c r="P65" s="48" t="str">
        <f t="shared" ca="1" si="3"/>
        <v>Y</v>
      </c>
      <c r="Q65" s="48" t="str">
        <f t="shared" ca="1" si="3"/>
        <v>Y</v>
      </c>
    </row>
    <row r="66" spans="1:17" ht="14.1" customHeight="1">
      <c r="A66" s="174" t="str">
        <f>ChkList!A66</f>
        <v>서비스 관리</v>
      </c>
      <c r="B66" s="174" t="str">
        <f>ChkList!B66</f>
        <v>U-62</v>
      </c>
      <c r="C66" s="174" t="str">
        <f>ChkList!C66</f>
        <v>로그인 시 경고 메시지 설정</v>
      </c>
      <c r="D66" s="174" t="str">
        <f>ChkList!D66</f>
        <v>L</v>
      </c>
      <c r="E66" s="174">
        <f>ChkList!E66</f>
        <v>1</v>
      </c>
      <c r="F66" s="23">
        <f ca="1">COUNTA($M66:INDIRECT(ADDRESS(ROW(),MATCH("",$4:$4,-1),1,1)))</f>
        <v>5</v>
      </c>
      <c r="G66" s="23">
        <f ca="1">COUNTIF($M66:INDIRECT(ADDRESS(ROW(),MATCH("",$4:$4,-1),1,1)),"조치완료(Y)")+COUNTIF($M66:INDIRECT(ADDRESS(ROW(),MATCH("",$4:$4,-1),1,1)),"Y")</f>
        <v>5</v>
      </c>
      <c r="H66" s="23">
        <f ca="1">COUNTIF($M66:INDIRECT(ADDRESS(ROW(),MATCH("",$4:$4,-1),1,1)),"Y(즉시조치)")+COUNTIF($M66:INDIRECT(ADDRESS(ROW(),MATCH("",$4:$4,-1),1,1)),"조치완료(즉시조치)")</f>
        <v>0</v>
      </c>
      <c r="I66" s="23">
        <f ca="1">COUNTIF($M66:INDIRECT(ADDRESS(ROW(),MATCH("",$4:$4,-1),1,1)),"N")</f>
        <v>0</v>
      </c>
      <c r="J66" s="23">
        <f ca="1">COUNTIF($M66:INDIRECT(ADDRESS(ROW(),MATCH("",$4:$4,-1),1,1)),"N/A")+COUNTIF($M66:INDIRECT(ADDRESS(ROW(),MATCH("",$4:$4,-1),1,1)),"조치완료(N/A)")</f>
        <v>0</v>
      </c>
      <c r="K66" s="23">
        <f ca="1">VLOOKUP($D66,'parm(hidden)'!$B$8:$C$10,2,FALSE)*($F66-$J66)</f>
        <v>5</v>
      </c>
      <c r="L66" s="36">
        <f ca="1">VLOOKUP($D66,'parm(hidden)'!$B$8:$C$10,2,FALSE)*($G66+$H66)</f>
        <v>5</v>
      </c>
      <c r="M66" s="48" t="str">
        <f t="shared" ca="1" si="3"/>
        <v>Y</v>
      </c>
      <c r="N66" s="48" t="str">
        <f t="shared" ca="1" si="3"/>
        <v>Y</v>
      </c>
      <c r="O66" s="48" t="str">
        <f t="shared" ca="1" si="3"/>
        <v>Y</v>
      </c>
      <c r="P66" s="48" t="str">
        <f t="shared" ca="1" si="3"/>
        <v>Y</v>
      </c>
      <c r="Q66" s="48" t="str">
        <f t="shared" ca="1" si="3"/>
        <v>Y</v>
      </c>
    </row>
    <row r="67" spans="1:17" ht="14.1" customHeight="1">
      <c r="A67" s="174" t="str">
        <f>ChkList!A67</f>
        <v>서비스 관리</v>
      </c>
      <c r="B67" s="174" t="str">
        <f>ChkList!B67</f>
        <v>U-63</v>
      </c>
      <c r="C67" s="174" t="str">
        <f>ChkList!C67</f>
        <v>sudo 명령어 접근 관리</v>
      </c>
      <c r="D67" s="174" t="str">
        <f>ChkList!D67</f>
        <v>M</v>
      </c>
      <c r="E67" s="174">
        <f>ChkList!E67</f>
        <v>2</v>
      </c>
      <c r="F67" s="23">
        <f ca="1">COUNTA($M67:INDIRECT(ADDRESS(ROW(),MATCH("",$4:$4,-1),1,1)))</f>
        <v>5</v>
      </c>
      <c r="G67" s="23">
        <f ca="1">COUNTIF($M67:INDIRECT(ADDRESS(ROW(),MATCH("",$4:$4,-1),1,1)),"조치완료(Y)")+COUNTIF($M67:INDIRECT(ADDRESS(ROW(),MATCH("",$4:$4,-1),1,1)),"Y")</f>
        <v>5</v>
      </c>
      <c r="H67" s="23">
        <f ca="1">COUNTIF($M67:INDIRECT(ADDRESS(ROW(),MATCH("",$4:$4,-1),1,1)),"Y(즉시조치)")+COUNTIF($M67:INDIRECT(ADDRESS(ROW(),MATCH("",$4:$4,-1),1,1)),"조치완료(즉시조치)")</f>
        <v>0</v>
      </c>
      <c r="I67" s="23">
        <f ca="1">COUNTIF($M67:INDIRECT(ADDRESS(ROW(),MATCH("",$4:$4,-1),1,1)),"N")</f>
        <v>0</v>
      </c>
      <c r="J67" s="23">
        <f ca="1">COUNTIF($M67:INDIRECT(ADDRESS(ROW(),MATCH("",$4:$4,-1),1,1)),"N/A")+COUNTIF($M67:INDIRECT(ADDRESS(ROW(),MATCH("",$4:$4,-1),1,1)),"조치완료(N/A)")</f>
        <v>0</v>
      </c>
      <c r="K67" s="23">
        <f ca="1">VLOOKUP($D67,'parm(hidden)'!$B$8:$C$10,2,FALSE)*($F67-$J67)</f>
        <v>10</v>
      </c>
      <c r="L67" s="36">
        <f ca="1">VLOOKUP($D67,'parm(hidden)'!$B$8:$C$10,2,FALSE)*($G67+$H67)</f>
        <v>10</v>
      </c>
      <c r="M67" s="48" t="str">
        <f t="shared" ca="1" si="3"/>
        <v>Y</v>
      </c>
      <c r="N67" s="48" t="str">
        <f t="shared" ca="1" si="3"/>
        <v>Y</v>
      </c>
      <c r="O67" s="48" t="str">
        <f t="shared" ca="1" si="3"/>
        <v>Y</v>
      </c>
      <c r="P67" s="48" t="str">
        <f t="shared" ca="1" si="3"/>
        <v>Y</v>
      </c>
      <c r="Q67" s="48" t="str">
        <f t="shared" ca="1" si="3"/>
        <v>Y</v>
      </c>
    </row>
    <row r="68" spans="1:17" ht="14.1" customHeight="1">
      <c r="A68" s="174" t="str">
        <f>ChkList!A68</f>
        <v>패치 관리</v>
      </c>
      <c r="B68" s="174" t="str">
        <f>ChkList!B68</f>
        <v>U-64</v>
      </c>
      <c r="C68" s="174" t="str">
        <f>ChkList!C68</f>
        <v>주기적 보안 패치 및 벤더 권고사항 적용</v>
      </c>
      <c r="D68" s="174" t="str">
        <f>ChkList!D68</f>
        <v>H</v>
      </c>
      <c r="E68" s="174">
        <f>ChkList!E68</f>
        <v>3</v>
      </c>
      <c r="F68" s="23">
        <f ca="1">COUNTA($M68:INDIRECT(ADDRESS(ROW(),MATCH("",$4:$4,-1),1,1)))</f>
        <v>5</v>
      </c>
      <c r="G68" s="23">
        <f ca="1">COUNTIF($M68:INDIRECT(ADDRESS(ROW(),MATCH("",$4:$4,-1),1,1)),"조치완료(Y)")+COUNTIF($M68:INDIRECT(ADDRESS(ROW(),MATCH("",$4:$4,-1),1,1)),"Y")</f>
        <v>5</v>
      </c>
      <c r="H68" s="23">
        <f ca="1">COUNTIF($M68:INDIRECT(ADDRESS(ROW(),MATCH("",$4:$4,-1),1,1)),"Y(즉시조치)")+COUNTIF($M68:INDIRECT(ADDRESS(ROW(),MATCH("",$4:$4,-1),1,1)),"조치완료(즉시조치)")</f>
        <v>0</v>
      </c>
      <c r="I68" s="23">
        <f ca="1">COUNTIF($M68:INDIRECT(ADDRESS(ROW(),MATCH("",$4:$4,-1),1,1)),"N")</f>
        <v>0</v>
      </c>
      <c r="J68" s="23">
        <f ca="1">COUNTIF($M68:INDIRECT(ADDRESS(ROW(),MATCH("",$4:$4,-1),1,1)),"N/A")+COUNTIF($M68:INDIRECT(ADDRESS(ROW(),MATCH("",$4:$4,-1),1,1)),"조치완료(N/A)")</f>
        <v>0</v>
      </c>
      <c r="K68" s="23">
        <f ca="1">VLOOKUP($D68,'parm(hidden)'!$B$8:$C$10,2,FALSE)*($F68-$J68)</f>
        <v>15</v>
      </c>
      <c r="L68" s="36">
        <f ca="1">VLOOKUP($D68,'parm(hidden)'!$B$8:$C$10,2,FALSE)*($G68+$H68)</f>
        <v>15</v>
      </c>
      <c r="M68" s="48" t="str">
        <f t="shared" ca="1" si="3"/>
        <v>Y</v>
      </c>
      <c r="N68" s="48" t="str">
        <f t="shared" ca="1" si="3"/>
        <v>Y</v>
      </c>
      <c r="O68" s="48" t="str">
        <f t="shared" ca="1" si="3"/>
        <v>Y</v>
      </c>
      <c r="P68" s="48" t="str">
        <f t="shared" ca="1" si="3"/>
        <v>Y</v>
      </c>
      <c r="Q68" s="48" t="str">
        <f t="shared" ca="1" si="3"/>
        <v>Y</v>
      </c>
    </row>
    <row r="69" spans="1:17" ht="14.1" customHeight="1">
      <c r="A69" s="174" t="str">
        <f>ChkList!A69</f>
        <v>로그 관리</v>
      </c>
      <c r="B69" s="174" t="str">
        <f>ChkList!B69</f>
        <v>U-65</v>
      </c>
      <c r="C69" s="174" t="str">
        <f>ChkList!C69</f>
        <v>NTP 및 시각 동기화 설정</v>
      </c>
      <c r="D69" s="174" t="str">
        <f>ChkList!D69</f>
        <v>M</v>
      </c>
      <c r="E69" s="174">
        <f>ChkList!E69</f>
        <v>2</v>
      </c>
      <c r="F69" s="23">
        <f ca="1">COUNTA($M69:INDIRECT(ADDRESS(ROW(),MATCH("",$4:$4,-1),1,1)))</f>
        <v>5</v>
      </c>
      <c r="G69" s="23">
        <f ca="1">COUNTIF($M69:INDIRECT(ADDRESS(ROW(),MATCH("",$4:$4,-1),1,1)),"조치완료(Y)")+COUNTIF($M69:INDIRECT(ADDRESS(ROW(),MATCH("",$4:$4,-1),1,1)),"Y")</f>
        <v>5</v>
      </c>
      <c r="H69" s="23">
        <f ca="1">COUNTIF($M69:INDIRECT(ADDRESS(ROW(),MATCH("",$4:$4,-1),1,1)),"Y(즉시조치)")+COUNTIF($M69:INDIRECT(ADDRESS(ROW(),MATCH("",$4:$4,-1),1,1)),"조치완료(즉시조치)")</f>
        <v>0</v>
      </c>
      <c r="I69" s="23">
        <f ca="1">COUNTIF($M69:INDIRECT(ADDRESS(ROW(),MATCH("",$4:$4,-1),1,1)),"N")</f>
        <v>0</v>
      </c>
      <c r="J69" s="23">
        <f ca="1">COUNTIF($M69:INDIRECT(ADDRESS(ROW(),MATCH("",$4:$4,-1),1,1)),"N/A")+COUNTIF($M69:INDIRECT(ADDRESS(ROW(),MATCH("",$4:$4,-1),1,1)),"조치완료(N/A)")</f>
        <v>0</v>
      </c>
      <c r="K69" s="23">
        <f ca="1">VLOOKUP($D69,'parm(hidden)'!$B$8:$C$10,2,FALSE)*($F69-$J69)</f>
        <v>10</v>
      </c>
      <c r="L69" s="36">
        <f ca="1">VLOOKUP($D69,'parm(hidden)'!$B$8:$C$10,2,FALSE)*($G69+$H69)</f>
        <v>10</v>
      </c>
      <c r="M69" s="48" t="str">
        <f t="shared" ca="1" si="3"/>
        <v>Y</v>
      </c>
      <c r="N69" s="48" t="str">
        <f t="shared" ca="1" si="3"/>
        <v>Y</v>
      </c>
      <c r="O69" s="48" t="str">
        <f t="shared" ca="1" si="3"/>
        <v>Y</v>
      </c>
      <c r="P69" s="48" t="str">
        <f t="shared" ca="1" si="3"/>
        <v>Y</v>
      </c>
      <c r="Q69" s="48" t="str">
        <f t="shared" ca="1" si="3"/>
        <v>Y</v>
      </c>
    </row>
    <row r="70" spans="1:17" ht="14.1" customHeight="1">
      <c r="A70" s="174" t="str">
        <f>ChkList!A70</f>
        <v>로그 관리</v>
      </c>
      <c r="B70" s="174" t="str">
        <f>ChkList!B70</f>
        <v>U-66</v>
      </c>
      <c r="C70" s="174" t="str">
        <f>ChkList!C70</f>
        <v>정책에 따른 시스템 로깅 설정</v>
      </c>
      <c r="D70" s="174" t="str">
        <f>ChkList!D70</f>
        <v>M</v>
      </c>
      <c r="E70" s="174">
        <f>ChkList!E70</f>
        <v>2</v>
      </c>
      <c r="F70" s="23">
        <f ca="1">COUNTA($M70:INDIRECT(ADDRESS(ROW(),MATCH("",$4:$4,-1),1,1)))</f>
        <v>5</v>
      </c>
      <c r="G70" s="23">
        <f ca="1">COUNTIF($M70:INDIRECT(ADDRESS(ROW(),MATCH("",$4:$4,-1),1,1)),"조치완료(Y)")+COUNTIF($M70:INDIRECT(ADDRESS(ROW(),MATCH("",$4:$4,-1),1,1)),"Y")</f>
        <v>5</v>
      </c>
      <c r="H70" s="23">
        <f ca="1">COUNTIF($M70:INDIRECT(ADDRESS(ROW(),MATCH("",$4:$4,-1),1,1)),"Y(즉시조치)")+COUNTIF($M70:INDIRECT(ADDRESS(ROW(),MATCH("",$4:$4,-1),1,1)),"조치완료(즉시조치)")</f>
        <v>0</v>
      </c>
      <c r="I70" s="23">
        <f ca="1">COUNTIF($M70:INDIRECT(ADDRESS(ROW(),MATCH("",$4:$4,-1),1,1)),"N")</f>
        <v>0</v>
      </c>
      <c r="J70" s="23">
        <f ca="1">COUNTIF($M70:INDIRECT(ADDRESS(ROW(),MATCH("",$4:$4,-1),1,1)),"N/A")+COUNTIF($M70:INDIRECT(ADDRESS(ROW(),MATCH("",$4:$4,-1),1,1)),"조치완료(N/A)")</f>
        <v>0</v>
      </c>
      <c r="K70" s="23">
        <f ca="1">VLOOKUP($D70,'parm(hidden)'!$B$8:$C$10,2,FALSE)*($F70-$J70)</f>
        <v>10</v>
      </c>
      <c r="L70" s="36">
        <f ca="1">VLOOKUP($D70,'parm(hidden)'!$B$8:$C$10,2,FALSE)*($G70+$H70)</f>
        <v>10</v>
      </c>
      <c r="M70" s="48" t="str">
        <f t="shared" ca="1" si="3"/>
        <v>Y</v>
      </c>
      <c r="N70" s="48" t="str">
        <f t="shared" ca="1" si="3"/>
        <v>Y</v>
      </c>
      <c r="O70" s="48" t="str">
        <f t="shared" ca="1" si="3"/>
        <v>Y</v>
      </c>
      <c r="P70" s="48" t="str">
        <f t="shared" ca="1" si="3"/>
        <v>Y</v>
      </c>
      <c r="Q70" s="48" t="str">
        <f t="shared" ca="1" si="3"/>
        <v>Y</v>
      </c>
    </row>
    <row r="71" spans="1:17" ht="14.1" customHeight="1">
      <c r="A71" s="174" t="str">
        <f>ChkList!A71</f>
        <v>로그 관리</v>
      </c>
      <c r="B71" s="174" t="str">
        <f>ChkList!B71</f>
        <v>U-67</v>
      </c>
      <c r="C71" s="174" t="str">
        <f>ChkList!C71</f>
        <v>로그 디렉터리 소유자 및 권한 설정</v>
      </c>
      <c r="D71" s="174" t="str">
        <f>ChkList!D71</f>
        <v>M</v>
      </c>
      <c r="E71" s="174">
        <f>ChkList!E71</f>
        <v>2</v>
      </c>
      <c r="F71" s="23">
        <f ca="1">COUNTA($M71:INDIRECT(ADDRESS(ROW(),MATCH("",$4:$4,-1),1,1)))</f>
        <v>5</v>
      </c>
      <c r="G71" s="23">
        <f ca="1">COUNTIF($M71:INDIRECT(ADDRESS(ROW(),MATCH("",$4:$4,-1),1,1)),"조치완료(Y)")+COUNTIF($M71:INDIRECT(ADDRESS(ROW(),MATCH("",$4:$4,-1),1,1)),"Y")</f>
        <v>5</v>
      </c>
      <c r="H71" s="23">
        <f ca="1">COUNTIF($M71:INDIRECT(ADDRESS(ROW(),MATCH("",$4:$4,-1),1,1)),"Y(즉시조치)")+COUNTIF($M71:INDIRECT(ADDRESS(ROW(),MATCH("",$4:$4,-1),1,1)),"조치완료(즉시조치)")</f>
        <v>0</v>
      </c>
      <c r="I71" s="23">
        <f ca="1">COUNTIF($M71:INDIRECT(ADDRESS(ROW(),MATCH("",$4:$4,-1),1,1)),"N")</f>
        <v>0</v>
      </c>
      <c r="J71" s="23">
        <f ca="1">COUNTIF($M71:INDIRECT(ADDRESS(ROW(),MATCH("",$4:$4,-1),1,1)),"N/A")+COUNTIF($M71:INDIRECT(ADDRESS(ROW(),MATCH("",$4:$4,-1),1,1)),"조치완료(N/A)")</f>
        <v>0</v>
      </c>
      <c r="K71" s="23">
        <f ca="1">VLOOKUP($D71,'parm(hidden)'!$B$8:$C$10,2,FALSE)*($F71-$J71)</f>
        <v>10</v>
      </c>
      <c r="L71" s="36">
        <f ca="1">VLOOKUP($D71,'parm(hidden)'!$B$8:$C$10,2,FALSE)*($G71+$H71)</f>
        <v>10</v>
      </c>
      <c r="M71" s="48" t="str">
        <f t="shared" ca="1" si="3"/>
        <v>Y</v>
      </c>
      <c r="N71" s="48" t="str">
        <f t="shared" ca="1" si="3"/>
        <v>Y</v>
      </c>
      <c r="O71" s="48" t="str">
        <f t="shared" ca="1" si="3"/>
        <v>Y</v>
      </c>
      <c r="P71" s="48" t="str">
        <f t="shared" ca="1" si="3"/>
        <v>Y</v>
      </c>
      <c r="Q71" s="48" t="str">
        <f t="shared" ca="1" si="3"/>
        <v>Y</v>
      </c>
    </row>
    <row r="72" spans="1:17" ht="14.1" customHeight="1" thickBot="1">
      <c r="A72" s="84"/>
      <c r="B72" s="116"/>
      <c r="C72" s="117"/>
      <c r="D72" s="117"/>
      <c r="E72" s="117"/>
      <c r="F72" s="118">
        <f t="shared" ref="F72:L72" ca="1" si="4">SUM(F5:F71)</f>
        <v>335</v>
      </c>
      <c r="G72" s="118">
        <f t="shared" ca="1" si="4"/>
        <v>256</v>
      </c>
      <c r="H72" s="118">
        <f t="shared" ca="1" si="4"/>
        <v>0</v>
      </c>
      <c r="I72" s="118">
        <f t="shared" ca="1" si="4"/>
        <v>74</v>
      </c>
      <c r="J72" s="118">
        <f t="shared" ca="1" si="4"/>
        <v>0</v>
      </c>
      <c r="K72" s="118">
        <f t="shared" ca="1" si="4"/>
        <v>825</v>
      </c>
      <c r="L72" s="118">
        <f t="shared" ca="1" si="4"/>
        <v>622</v>
      </c>
      <c r="M72" s="119">
        <f ca="1">COUNTIFS(M$5:M$71,"&lt;&gt;",M$5:M$71,"&lt;&gt;0")</f>
        <v>67</v>
      </c>
      <c r="N72" s="119">
        <f ca="1">COUNTIFS(N$5:N$71,"&lt;&gt;",N$5:N$71,"&lt;&gt;0")</f>
        <v>67</v>
      </c>
      <c r="O72" s="119">
        <f ca="1">COUNTIFS(O$5:O$71,"&lt;&gt;",O$5:O$71,"&lt;&gt;0")</f>
        <v>67</v>
      </c>
      <c r="P72" s="119">
        <f ca="1">COUNTIFS(P$5:P$71,"&lt;&gt;",P$5:P$71,"&lt;&gt;0")</f>
        <v>67</v>
      </c>
      <c r="Q72" s="119">
        <f ca="1">COUNTIFS(Q$5:Q$71,"&lt;&gt;",Q$5:Q$71,"&lt;&gt;0")</f>
        <v>67</v>
      </c>
    </row>
  </sheetData>
  <mergeCells count="5">
    <mergeCell ref="K3:L3"/>
    <mergeCell ref="D3:E4"/>
    <mergeCell ref="A3:B4"/>
    <mergeCell ref="F3:J3"/>
    <mergeCell ref="C3:C4"/>
  </mergeCells>
  <phoneticPr fontId="3" type="noConversion"/>
  <conditionalFormatting sqref="M3:Q3">
    <cfRule type="cellIs" dxfId="420" priority="4" operator="equal">
      <formula>"Y"</formula>
    </cfRule>
    <cfRule type="cellIs" dxfId="419" priority="5" stopIfTrue="1" operator="equal">
      <formula>"인터뷰"</formula>
    </cfRule>
  </conditionalFormatting>
  <conditionalFormatting sqref="M5:Q71">
    <cfRule type="cellIs" dxfId="418" priority="8" operator="equal">
      <formula>"N"</formula>
    </cfRule>
    <cfRule type="cellIs" dxfId="417" priority="9" operator="equal">
      <formula>"기존 취약점"</formula>
    </cfRule>
    <cfRule type="cellIs" dxfId="416" priority="10" stopIfTrue="1" operator="equal">
      <formula>"인터뷰"</formula>
    </cfRule>
    <cfRule type="cellIs" dxfId="415" priority="11" stopIfTrue="1" operator="equal">
      <formula>"N/A"</formula>
    </cfRule>
    <cfRule type="cellIs" dxfId="414" priority="12" stopIfTrue="1" operator="equal">
      <formula>"신규 취약점"</formula>
    </cfRule>
  </conditionalFormatting>
  <printOptions horizontalCentered="1"/>
  <pageMargins left="0.39370078740157483" right="0.39370078740157483" top="0.59055118110236227" bottom="0.59055118110236227" header="0.39370078740157483" footer="0.39370078740157483"/>
  <pageSetup paperSize="9" scale="61" fitToHeight="99" orientation="landscape" horizontalDpi="4294967294" verticalDpi="4294967294" r:id="rId1"/>
  <headerFooter alignWithMargins="0">
    <oddHeader>&amp;L
&amp;R&amp;F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W72"/>
  <sheetViews>
    <sheetView showGridLines="0" view="pageBreakPreview" zoomScaleNormal="100" zoomScaleSheetLayoutView="100" workbookViewId="0">
      <pane xSplit="4" ySplit="4" topLeftCell="E5" activePane="bottomRight" state="frozen"/>
      <selection pane="topRight"/>
      <selection pane="bottomLeft"/>
      <selection pane="bottomRight" activeCell="E5" sqref="E5"/>
    </sheetView>
  </sheetViews>
  <sheetFormatPr defaultColWidth="8.77734375" defaultRowHeight="11.25"/>
  <cols>
    <col min="1" max="1" width="15.5546875" style="20" customWidth="1"/>
    <col min="2" max="2" width="6.109375" style="17" customWidth="1"/>
    <col min="3" max="3" width="27.109375" style="22" bestFit="1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3" width="6.109375" style="20" customWidth="1"/>
    <col min="14" max="14" width="4.6640625" style="20" customWidth="1"/>
    <col min="15" max="18" width="7" style="20" customWidth="1"/>
    <col min="19" max="21" width="9.77734375" style="39" customWidth="1"/>
    <col min="22" max="22" width="8.77734375" style="17" customWidth="1"/>
    <col min="23" max="16384" width="8.77734375" style="17"/>
  </cols>
  <sheetData>
    <row r="1" spans="1:23" s="19" customFormat="1" ht="17.100000000000001" customHeight="1">
      <c r="A1" s="16" t="s">
        <v>0</v>
      </c>
      <c r="F1" s="18"/>
      <c r="G1" s="18"/>
      <c r="J1" s="24"/>
      <c r="K1" s="24"/>
      <c r="L1" s="24"/>
      <c r="M1" s="24"/>
      <c r="N1" s="24"/>
      <c r="Q1" s="14"/>
      <c r="R1" s="14"/>
      <c r="S1" s="38"/>
      <c r="T1" s="38"/>
      <c r="U1" s="38"/>
    </row>
    <row r="2" spans="1:23" s="19" customFormat="1" ht="14.1" customHeight="1" thickBot="1">
      <c r="A2" s="14"/>
      <c r="C2" s="18"/>
      <c r="D2" s="18"/>
      <c r="E2" s="18"/>
      <c r="F2" s="18"/>
      <c r="G2" s="18"/>
      <c r="H2" s="14"/>
      <c r="I2" s="14"/>
      <c r="J2" s="14"/>
      <c r="K2" s="14"/>
      <c r="L2" s="14"/>
      <c r="M2" s="14"/>
      <c r="N2" s="14"/>
      <c r="Q2" s="14"/>
      <c r="R2" s="14"/>
      <c r="S2" s="38"/>
      <c r="T2" s="38"/>
      <c r="U2" s="38"/>
    </row>
    <row r="3" spans="1:23" s="20" customFormat="1" ht="16.350000000000001" customHeight="1" thickBot="1">
      <c r="A3" s="265" t="str">
        <f>ChkList!A4</f>
        <v>분류</v>
      </c>
      <c r="B3" s="247"/>
      <c r="C3" s="267" t="str">
        <f>ChkList!C4</f>
        <v>진단항목</v>
      </c>
      <c r="D3" s="269" t="str">
        <f>ChkList!D4</f>
        <v>중요도</v>
      </c>
      <c r="E3" s="213"/>
      <c r="F3" s="266" t="s">
        <v>202</v>
      </c>
      <c r="G3" s="236"/>
      <c r="H3" s="236"/>
      <c r="I3" s="236"/>
      <c r="J3" s="236"/>
      <c r="K3" s="266" t="s">
        <v>208</v>
      </c>
      <c r="L3" s="236"/>
      <c r="M3" s="236"/>
      <c r="N3" s="236"/>
      <c r="O3" s="266" t="s">
        <v>203</v>
      </c>
      <c r="P3" s="236"/>
      <c r="Q3" s="236"/>
      <c r="R3" s="236"/>
      <c r="S3" s="113" t="s">
        <v>204</v>
      </c>
      <c r="T3" s="123" t="s">
        <v>204</v>
      </c>
      <c r="U3" s="124" t="s">
        <v>204</v>
      </c>
      <c r="V3" s="113" t="s">
        <v>204</v>
      </c>
      <c r="W3" s="123" t="s">
        <v>204</v>
      </c>
    </row>
    <row r="4" spans="1:23" s="20" customFormat="1" ht="15.6" customHeight="1">
      <c r="A4" s="254"/>
      <c r="B4" s="256"/>
      <c r="C4" s="268"/>
      <c r="D4" s="263"/>
      <c r="E4" s="255"/>
      <c r="F4" s="108" t="s">
        <v>205</v>
      </c>
      <c r="G4" s="111" t="s">
        <v>181</v>
      </c>
      <c r="H4" s="110" t="s">
        <v>206</v>
      </c>
      <c r="I4" s="111" t="s">
        <v>182</v>
      </c>
      <c r="J4" s="111" t="s">
        <v>53</v>
      </c>
      <c r="K4" s="110" t="s">
        <v>191</v>
      </c>
      <c r="L4" s="121" t="s">
        <v>192</v>
      </c>
      <c r="M4" s="111" t="s">
        <v>193</v>
      </c>
      <c r="N4" s="111" t="s">
        <v>53</v>
      </c>
      <c r="O4" s="109" t="s">
        <v>209</v>
      </c>
      <c r="P4" s="111" t="s">
        <v>210</v>
      </c>
      <c r="Q4" s="111" t="s">
        <v>211</v>
      </c>
      <c r="R4" s="111" t="s">
        <v>212</v>
      </c>
      <c r="S4" s="122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WEB-HQ-Ubuntu</v>
      </c>
      <c r="T4" s="122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LOG_HQ_Rocky</v>
      </c>
      <c r="U4" s="114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DB_HQ_Rocky</v>
      </c>
      <c r="V4" s="122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BDB_HQ_Rocky</v>
      </c>
      <c r="W4" s="122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BLOG_HQ_Rocky</v>
      </c>
    </row>
    <row r="5" spans="1:23">
      <c r="A5" s="115" t="str">
        <f>ChkList!A5</f>
        <v>계정 관리</v>
      </c>
      <c r="B5" s="28" t="str">
        <f>ChkList!$B5</f>
        <v>U-01</v>
      </c>
      <c r="C5" s="21" t="str">
        <f>ChkList!$C5</f>
        <v>root 계정 원격 접속 제한</v>
      </c>
      <c r="D5" s="31" t="str">
        <f>ChkList!$D5</f>
        <v>H</v>
      </c>
      <c r="E5" s="31">
        <f>ChkList!$E5</f>
        <v>3</v>
      </c>
      <c r="F5" s="23">
        <f ca="1">COUNTA($S5:INDIRECT(ADDRESS(ROW(),MATCH("",$4:$4,-1),1,1)))</f>
        <v>5</v>
      </c>
      <c r="G5" s="23">
        <f ca="1">'취약점 진단 항목별 통계'!G5</f>
        <v>5</v>
      </c>
      <c r="H5" s="23">
        <f ca="1">'취약점 진단 항목별 통계'!H5</f>
        <v>0</v>
      </c>
      <c r="I5" s="23">
        <f ca="1">'취약점 진단 항목별 통계'!I5</f>
        <v>0</v>
      </c>
      <c r="J5" s="23">
        <f ca="1">'취약점 진단 항목별 통계'!J5</f>
        <v>0</v>
      </c>
      <c r="K5" s="23">
        <f ca="1">COUNTIF($S5:INDIRECT(ADDRESS(ROW(),MATCH("",$4:$4,-1),1,1)),"조치")</f>
        <v>0</v>
      </c>
      <c r="L5" s="23">
        <f ca="1">COUNTIF($S5:INDIRECT(ADDRESS(ROW(),MATCH("",$4:$4,-1),1,1)),"미조치")</f>
        <v>0</v>
      </c>
      <c r="M5" s="23">
        <f ca="1">COUNTIF($S5:INDIRECT(ADDRESS(ROW(),MATCH("",$4:$4,-1),1,1)),"위험수용")</f>
        <v>0</v>
      </c>
      <c r="N5" s="23">
        <f ca="1">COUNTIF($S5:INDIRECT(ADDRESS(ROW(),MATCH("",$4:$4,-1),1,1)),"N/A")</f>
        <v>0</v>
      </c>
      <c r="O5" s="23">
        <f ca="1">VLOOKUP($D5,'parm(hidden)'!$B$8:$C$10,2,FALSE)*($F5-$J5)</f>
        <v>15</v>
      </c>
      <c r="P5" s="23">
        <f ca="1">VLOOKUP($D5,'parm(hidden)'!$B$8:$C$10,2,FALSE)*($F5-$N5)</f>
        <v>15</v>
      </c>
      <c r="Q5" s="36">
        <f ca="1">VLOOKUP($D5,'parm(hidden)'!$B$8:$C$10,2,FALSE)*($G5+$H5)</f>
        <v>15</v>
      </c>
      <c r="R5" s="23">
        <f ca="1">VLOOKUP($D5,'parm(hidden)'!$B$8:$C$10,2,FALSE)*($G5+$H5+$K5)</f>
        <v>15</v>
      </c>
      <c r="S5" s="47" t="str">
        <f t="shared" ref="S5:W28" ca="1" si="0">HYPERLINK("[" &amp; MID(CELL("filename"),SEARCH("[",CELL("filename"))+1, SEARCH("]",CELL("filename"))-SEARCH("[",CELL("filename"))-1) &amp; "]" &amp; ADDRESS(ROW()+16,11,1,TRUE,S$4),INDIRECT(ADDRESS(ROW()+16,11,1,TRUE,S$4)))</f>
        <v>Y</v>
      </c>
      <c r="T5" s="47" t="str">
        <f t="shared" ca="1" si="0"/>
        <v>Y</v>
      </c>
      <c r="U5" s="125" t="str">
        <f t="shared" ca="1" si="0"/>
        <v>Y</v>
      </c>
      <c r="V5" s="47" t="str">
        <f t="shared" ca="1" si="0"/>
        <v>Y</v>
      </c>
      <c r="W5" s="47" t="str">
        <f t="shared" ca="1" si="0"/>
        <v>Y</v>
      </c>
    </row>
    <row r="6" spans="1:23">
      <c r="A6" s="115" t="str">
        <f>ChkList!A6</f>
        <v>계정 관리</v>
      </c>
      <c r="B6" s="28" t="str">
        <f>ChkList!$B6</f>
        <v>U-02</v>
      </c>
      <c r="C6" s="21" t="str">
        <f>ChkList!$C6</f>
        <v>비밀번호 관리정책 설정</v>
      </c>
      <c r="D6" s="31" t="str">
        <f>ChkList!$D6</f>
        <v>H</v>
      </c>
      <c r="E6" s="31">
        <f>ChkList!$E6</f>
        <v>3</v>
      </c>
      <c r="F6" s="23">
        <f ca="1">COUNTA($S6:INDIRECT(ADDRESS(ROW(),MATCH("",$4:$4,-1),1,1)))</f>
        <v>5</v>
      </c>
      <c r="G6" s="23">
        <f ca="1">'취약점 진단 항목별 통계'!G6</f>
        <v>2</v>
      </c>
      <c r="H6" s="23">
        <f ca="1">'취약점 진단 항목별 통계'!H6</f>
        <v>0</v>
      </c>
      <c r="I6" s="23">
        <f ca="1">'취약점 진단 항목별 통계'!I6</f>
        <v>3</v>
      </c>
      <c r="J6" s="23">
        <f ca="1">'취약점 진단 항목별 통계'!J6</f>
        <v>0</v>
      </c>
      <c r="K6" s="23">
        <f ca="1">COUNTIF($S6:INDIRECT(ADDRESS(ROW(),MATCH("",$4:$4,-1),1,1)),"조치")</f>
        <v>3</v>
      </c>
      <c r="L6" s="23">
        <f ca="1">COUNTIF($S6:INDIRECT(ADDRESS(ROW(),MATCH("",$4:$4,-1),1,1)),"미조치")</f>
        <v>0</v>
      </c>
      <c r="M6" s="23">
        <f ca="1">COUNTIF($S6:INDIRECT(ADDRESS(ROW(),MATCH("",$4:$4,-1),1,1)),"위험수용")</f>
        <v>0</v>
      </c>
      <c r="N6" s="23">
        <f ca="1">COUNTIF($S6:INDIRECT(ADDRESS(ROW(),MATCH("",$4:$4,-1),1,1)),"N/A")</f>
        <v>0</v>
      </c>
      <c r="O6" s="23">
        <f ca="1">VLOOKUP($D6,'parm(hidden)'!$B$8:$C$10,2,FALSE)*($F6-$J6)</f>
        <v>15</v>
      </c>
      <c r="P6" s="23">
        <f ca="1">VLOOKUP($D6,'parm(hidden)'!$B$8:$C$10,2,FALSE)*($F6-$N6)</f>
        <v>15</v>
      </c>
      <c r="Q6" s="36">
        <f ca="1">VLOOKUP($D6,'parm(hidden)'!$B$8:$C$10,2,FALSE)*($G6+$H6)</f>
        <v>6</v>
      </c>
      <c r="R6" s="23">
        <f ca="1">VLOOKUP($D6,'parm(hidden)'!$B$8:$C$10,2,FALSE)*($G6+$H6+$K6)</f>
        <v>15</v>
      </c>
      <c r="S6" s="47" t="str">
        <f t="shared" ca="1" si="0"/>
        <v>조치</v>
      </c>
      <c r="T6" s="47" t="str">
        <f t="shared" ca="1" si="0"/>
        <v>Y</v>
      </c>
      <c r="U6" s="125" t="str">
        <f t="shared" ca="1" si="0"/>
        <v>Y</v>
      </c>
      <c r="V6" s="47" t="str">
        <f t="shared" ca="1" si="0"/>
        <v>조치</v>
      </c>
      <c r="W6" s="47" t="str">
        <f t="shared" ca="1" si="0"/>
        <v>조치</v>
      </c>
    </row>
    <row r="7" spans="1:23">
      <c r="A7" s="115" t="str">
        <f>ChkList!A7</f>
        <v>계정 관리</v>
      </c>
      <c r="B7" s="28" t="str">
        <f>ChkList!$B7</f>
        <v>U-03</v>
      </c>
      <c r="C7" s="21" t="str">
        <f>ChkList!$C7</f>
        <v>계정 잠금 임계값 설정</v>
      </c>
      <c r="D7" s="31" t="str">
        <f>ChkList!$D7</f>
        <v>H</v>
      </c>
      <c r="E7" s="31">
        <f>ChkList!$E7</f>
        <v>3</v>
      </c>
      <c r="F7" s="23">
        <f ca="1">COUNTA($S7:INDIRECT(ADDRESS(ROW(),MATCH("",$4:$4,-1),1,1)))</f>
        <v>5</v>
      </c>
      <c r="G7" s="23">
        <f ca="1">'취약점 진단 항목별 통계'!G7</f>
        <v>2</v>
      </c>
      <c r="H7" s="23">
        <f ca="1">'취약점 진단 항목별 통계'!H7</f>
        <v>0</v>
      </c>
      <c r="I7" s="23">
        <f ca="1">'취약점 진단 항목별 통계'!I7</f>
        <v>3</v>
      </c>
      <c r="J7" s="23">
        <f ca="1">'취약점 진단 항목별 통계'!J7</f>
        <v>0</v>
      </c>
      <c r="K7" s="23">
        <f ca="1">COUNTIF($S7:INDIRECT(ADDRESS(ROW(),MATCH("",$4:$4,-1),1,1)),"조치")</f>
        <v>3</v>
      </c>
      <c r="L7" s="23">
        <f ca="1">COUNTIF($S7:INDIRECT(ADDRESS(ROW(),MATCH("",$4:$4,-1),1,1)),"미조치")</f>
        <v>0</v>
      </c>
      <c r="M7" s="23">
        <f ca="1">COUNTIF($S7:INDIRECT(ADDRESS(ROW(),MATCH("",$4:$4,-1),1,1)),"위험수용")</f>
        <v>0</v>
      </c>
      <c r="N7" s="23">
        <f ca="1">COUNTIF($S7:INDIRECT(ADDRESS(ROW(),MATCH("",$4:$4,-1),1,1)),"N/A")</f>
        <v>0</v>
      </c>
      <c r="O7" s="23">
        <f ca="1">VLOOKUP($D7,'parm(hidden)'!$B$8:$C$10,2,FALSE)*($F7-$J7)</f>
        <v>15</v>
      </c>
      <c r="P7" s="23">
        <f ca="1">VLOOKUP($D7,'parm(hidden)'!$B$8:$C$10,2,FALSE)*($F7-$N7)</f>
        <v>15</v>
      </c>
      <c r="Q7" s="36">
        <f ca="1">VLOOKUP($D7,'parm(hidden)'!$B$8:$C$10,2,FALSE)*($G7+$H7)</f>
        <v>6</v>
      </c>
      <c r="R7" s="23">
        <f ca="1">VLOOKUP($D7,'parm(hidden)'!$B$8:$C$10,2,FALSE)*($G7+$H7+$K7)</f>
        <v>15</v>
      </c>
      <c r="S7" s="47" t="str">
        <f t="shared" ca="1" si="0"/>
        <v>조치</v>
      </c>
      <c r="T7" s="47" t="str">
        <f t="shared" ca="1" si="0"/>
        <v>Y</v>
      </c>
      <c r="U7" s="125" t="str">
        <f t="shared" ca="1" si="0"/>
        <v>Y</v>
      </c>
      <c r="V7" s="47" t="str">
        <f t="shared" ca="1" si="0"/>
        <v>조치</v>
      </c>
      <c r="W7" s="47" t="str">
        <f t="shared" ca="1" si="0"/>
        <v>조치</v>
      </c>
    </row>
    <row r="8" spans="1:23">
      <c r="A8" s="115" t="str">
        <f>ChkList!A8</f>
        <v>계정 관리</v>
      </c>
      <c r="B8" s="28" t="str">
        <f>ChkList!$B8</f>
        <v>U-04</v>
      </c>
      <c r="C8" s="21" t="str">
        <f>ChkList!$C8</f>
        <v>비밀번호 파일 보호</v>
      </c>
      <c r="D8" s="31" t="str">
        <f>ChkList!$D8</f>
        <v>H</v>
      </c>
      <c r="E8" s="31">
        <f>ChkList!$E8</f>
        <v>3</v>
      </c>
      <c r="F8" s="23">
        <f ca="1">COUNTA($S8:INDIRECT(ADDRESS(ROW(),MATCH("",$4:$4,-1),1,1)))</f>
        <v>5</v>
      </c>
      <c r="G8" s="23">
        <f ca="1">'취약점 진단 항목별 통계'!G8</f>
        <v>5</v>
      </c>
      <c r="H8" s="23">
        <f ca="1">'취약점 진단 항목별 통계'!H8</f>
        <v>0</v>
      </c>
      <c r="I8" s="23">
        <f ca="1">'취약점 진단 항목별 통계'!I8</f>
        <v>0</v>
      </c>
      <c r="J8" s="23">
        <f ca="1">'취약점 진단 항목별 통계'!J8</f>
        <v>0</v>
      </c>
      <c r="K8" s="23">
        <f ca="1">COUNTIF($S8:INDIRECT(ADDRESS(ROW(),MATCH("",$4:$4,-1),1,1)),"조치")</f>
        <v>0</v>
      </c>
      <c r="L8" s="23">
        <f ca="1">COUNTIF($S8:INDIRECT(ADDRESS(ROW(),MATCH("",$4:$4,-1),1,1)),"미조치")</f>
        <v>0</v>
      </c>
      <c r="M8" s="23">
        <f ca="1">COUNTIF($S8:INDIRECT(ADDRESS(ROW(),MATCH("",$4:$4,-1),1,1)),"위험수용")</f>
        <v>0</v>
      </c>
      <c r="N8" s="23">
        <f ca="1">COUNTIF($S8:INDIRECT(ADDRESS(ROW(),MATCH("",$4:$4,-1),1,1)),"N/A")</f>
        <v>0</v>
      </c>
      <c r="O8" s="23">
        <f ca="1">VLOOKUP($D8,'parm(hidden)'!$B$8:$C$10,2,FALSE)*($F8-$J8)</f>
        <v>15</v>
      </c>
      <c r="P8" s="23">
        <f ca="1">VLOOKUP($D8,'parm(hidden)'!$B$8:$C$10,2,FALSE)*($F8-$N8)</f>
        <v>15</v>
      </c>
      <c r="Q8" s="36">
        <f ca="1">VLOOKUP($D8,'parm(hidden)'!$B$8:$C$10,2,FALSE)*($G8+$H8)</f>
        <v>15</v>
      </c>
      <c r="R8" s="23">
        <f ca="1">VLOOKUP($D8,'parm(hidden)'!$B$8:$C$10,2,FALSE)*($G8+$H8+$K8)</f>
        <v>15</v>
      </c>
      <c r="S8" s="47" t="str">
        <f t="shared" ca="1" si="0"/>
        <v>Y</v>
      </c>
      <c r="T8" s="47" t="str">
        <f t="shared" ca="1" si="0"/>
        <v>Y</v>
      </c>
      <c r="U8" s="125" t="str">
        <f t="shared" ca="1" si="0"/>
        <v>Y</v>
      </c>
      <c r="V8" s="47" t="str">
        <f t="shared" ca="1" si="0"/>
        <v>Y</v>
      </c>
      <c r="W8" s="47" t="str">
        <f t="shared" ca="1" si="0"/>
        <v>Y</v>
      </c>
    </row>
    <row r="9" spans="1:23">
      <c r="A9" s="115" t="str">
        <f>ChkList!A9</f>
        <v>계정 관리</v>
      </c>
      <c r="B9" s="28" t="str">
        <f>ChkList!$B9</f>
        <v>U-05</v>
      </c>
      <c r="C9" s="21" t="str">
        <f>ChkList!$C9</f>
        <v>root 이외의 UID가 ‘0’ 금지</v>
      </c>
      <c r="D9" s="31" t="str">
        <f>ChkList!$D9</f>
        <v>H</v>
      </c>
      <c r="E9" s="31">
        <f>ChkList!$E9</f>
        <v>3</v>
      </c>
      <c r="F9" s="23">
        <f ca="1">COUNTA($S9:INDIRECT(ADDRESS(ROW(),MATCH("",$4:$4,-1),1,1)))</f>
        <v>5</v>
      </c>
      <c r="G9" s="23">
        <f ca="1">'취약점 진단 항목별 통계'!G9</f>
        <v>5</v>
      </c>
      <c r="H9" s="23">
        <f ca="1">'취약점 진단 항목별 통계'!H9</f>
        <v>0</v>
      </c>
      <c r="I9" s="23">
        <f ca="1">'취약점 진단 항목별 통계'!I9</f>
        <v>0</v>
      </c>
      <c r="J9" s="23">
        <f ca="1">'취약점 진단 항목별 통계'!J9</f>
        <v>0</v>
      </c>
      <c r="K9" s="23">
        <f ca="1">COUNTIF($S9:INDIRECT(ADDRESS(ROW(),MATCH("",$4:$4,-1),1,1)),"조치")</f>
        <v>0</v>
      </c>
      <c r="L9" s="23">
        <f ca="1">COUNTIF($S9:INDIRECT(ADDRESS(ROW(),MATCH("",$4:$4,-1),1,1)),"미조치")</f>
        <v>0</v>
      </c>
      <c r="M9" s="23">
        <f ca="1">COUNTIF($S9:INDIRECT(ADDRESS(ROW(),MATCH("",$4:$4,-1),1,1)),"위험수용")</f>
        <v>0</v>
      </c>
      <c r="N9" s="23">
        <f ca="1">COUNTIF($S9:INDIRECT(ADDRESS(ROW(),MATCH("",$4:$4,-1),1,1)),"N/A")</f>
        <v>0</v>
      </c>
      <c r="O9" s="23">
        <f ca="1">VLOOKUP($D9,'parm(hidden)'!$B$8:$C$10,2,FALSE)*($F9-$J9)</f>
        <v>15</v>
      </c>
      <c r="P9" s="23">
        <f ca="1">VLOOKUP($D9,'parm(hidden)'!$B$8:$C$10,2,FALSE)*($F9-$N9)</f>
        <v>15</v>
      </c>
      <c r="Q9" s="36">
        <f ca="1">VLOOKUP($D9,'parm(hidden)'!$B$8:$C$10,2,FALSE)*($G9+$H9)</f>
        <v>15</v>
      </c>
      <c r="R9" s="23">
        <f ca="1">VLOOKUP($D9,'parm(hidden)'!$B$8:$C$10,2,FALSE)*($G9+$H9+$K9)</f>
        <v>15</v>
      </c>
      <c r="S9" s="47" t="str">
        <f t="shared" ca="1" si="0"/>
        <v>Y</v>
      </c>
      <c r="T9" s="47" t="str">
        <f t="shared" ca="1" si="0"/>
        <v>Y</v>
      </c>
      <c r="U9" s="125" t="str">
        <f t="shared" ca="1" si="0"/>
        <v>Y</v>
      </c>
      <c r="V9" s="47" t="str">
        <f t="shared" ca="1" si="0"/>
        <v>Y</v>
      </c>
      <c r="W9" s="47" t="str">
        <f t="shared" ca="1" si="0"/>
        <v>Y</v>
      </c>
    </row>
    <row r="10" spans="1:23">
      <c r="A10" s="115" t="str">
        <f>ChkList!A10</f>
        <v>계정 관리</v>
      </c>
      <c r="B10" s="28" t="str">
        <f>ChkList!$B10</f>
        <v>U-06</v>
      </c>
      <c r="C10" s="21" t="str">
        <f>ChkList!$C10</f>
        <v>사용자 계정 su 기능 제한</v>
      </c>
      <c r="D10" s="31" t="str">
        <f>ChkList!$D10</f>
        <v>H</v>
      </c>
      <c r="E10" s="31">
        <f>ChkList!$E10</f>
        <v>3</v>
      </c>
      <c r="F10" s="23">
        <f ca="1">COUNTA($S10:INDIRECT(ADDRESS(ROW(),MATCH("",$4:$4,-1),1,1)))</f>
        <v>5</v>
      </c>
      <c r="G10" s="23">
        <f ca="1">'취약점 진단 항목별 통계'!G10</f>
        <v>5</v>
      </c>
      <c r="H10" s="23">
        <f ca="1">'취약점 진단 항목별 통계'!H10</f>
        <v>0</v>
      </c>
      <c r="I10" s="23">
        <f ca="1">'취약점 진단 항목별 통계'!I10</f>
        <v>0</v>
      </c>
      <c r="J10" s="23">
        <f ca="1">'취약점 진단 항목별 통계'!J10</f>
        <v>0</v>
      </c>
      <c r="K10" s="23">
        <f ca="1">COUNTIF($S10:INDIRECT(ADDRESS(ROW(),MATCH("",$4:$4,-1),1,1)),"조치")</f>
        <v>0</v>
      </c>
      <c r="L10" s="23">
        <f ca="1">COUNTIF($S10:INDIRECT(ADDRESS(ROW(),MATCH("",$4:$4,-1),1,1)),"미조치")</f>
        <v>0</v>
      </c>
      <c r="M10" s="23">
        <f ca="1">COUNTIF($S10:INDIRECT(ADDRESS(ROW(),MATCH("",$4:$4,-1),1,1)),"위험수용")</f>
        <v>0</v>
      </c>
      <c r="N10" s="23">
        <f ca="1">COUNTIF($S10:INDIRECT(ADDRESS(ROW(),MATCH("",$4:$4,-1),1,1)),"N/A")</f>
        <v>0</v>
      </c>
      <c r="O10" s="23">
        <f ca="1">VLOOKUP($D10,'parm(hidden)'!$B$8:$C$10,2,FALSE)*($F10-$J10)</f>
        <v>15</v>
      </c>
      <c r="P10" s="23">
        <f ca="1">VLOOKUP($D10,'parm(hidden)'!$B$8:$C$10,2,FALSE)*($F10-$N10)</f>
        <v>15</v>
      </c>
      <c r="Q10" s="36">
        <f ca="1">VLOOKUP($D10,'parm(hidden)'!$B$8:$C$10,2,FALSE)*($G10+$H10)</f>
        <v>15</v>
      </c>
      <c r="R10" s="23">
        <f ca="1">VLOOKUP($D10,'parm(hidden)'!$B$8:$C$10,2,FALSE)*($G10+$H10+$K10)</f>
        <v>15</v>
      </c>
      <c r="S10" s="47" t="str">
        <f t="shared" ca="1" si="0"/>
        <v>Y</v>
      </c>
      <c r="T10" s="47" t="str">
        <f t="shared" ca="1" si="0"/>
        <v>Y</v>
      </c>
      <c r="U10" s="125" t="str">
        <f t="shared" ca="1" si="0"/>
        <v>Y</v>
      </c>
      <c r="V10" s="47" t="str">
        <f t="shared" ca="1" si="0"/>
        <v>Y</v>
      </c>
      <c r="W10" s="47" t="str">
        <f t="shared" ca="1" si="0"/>
        <v>Y</v>
      </c>
    </row>
    <row r="11" spans="1:23">
      <c r="A11" s="115" t="str">
        <f>ChkList!A11</f>
        <v>계정 관리</v>
      </c>
      <c r="B11" s="28" t="str">
        <f>ChkList!$B11</f>
        <v>U-07</v>
      </c>
      <c r="C11" s="21" t="str">
        <f>ChkList!$C11</f>
        <v>불필요한 계정 제거</v>
      </c>
      <c r="D11" s="31" t="str">
        <f>ChkList!$D11</f>
        <v>L</v>
      </c>
      <c r="E11" s="31">
        <f>ChkList!$E11</f>
        <v>1</v>
      </c>
      <c r="F11" s="23">
        <f ca="1">COUNTA($S11:INDIRECT(ADDRESS(ROW(),MATCH("",$4:$4,-1),1,1)))</f>
        <v>5</v>
      </c>
      <c r="G11" s="23">
        <f ca="1">'취약점 진단 항목별 통계'!G11</f>
        <v>5</v>
      </c>
      <c r="H11" s="23">
        <f ca="1">'취약점 진단 항목별 통계'!H11</f>
        <v>0</v>
      </c>
      <c r="I11" s="23">
        <f ca="1">'취약점 진단 항목별 통계'!I11</f>
        <v>0</v>
      </c>
      <c r="J11" s="23">
        <f ca="1">'취약점 진단 항목별 통계'!J11</f>
        <v>0</v>
      </c>
      <c r="K11" s="23">
        <f ca="1">COUNTIF($S11:INDIRECT(ADDRESS(ROW(),MATCH("",$4:$4,-1),1,1)),"조치")</f>
        <v>0</v>
      </c>
      <c r="L11" s="23">
        <f ca="1">COUNTIF($S11:INDIRECT(ADDRESS(ROW(),MATCH("",$4:$4,-1),1,1)),"미조치")</f>
        <v>0</v>
      </c>
      <c r="M11" s="23">
        <f ca="1">COUNTIF($S11:INDIRECT(ADDRESS(ROW(),MATCH("",$4:$4,-1),1,1)),"위험수용")</f>
        <v>0</v>
      </c>
      <c r="N11" s="23">
        <f ca="1">COUNTIF($S11:INDIRECT(ADDRESS(ROW(),MATCH("",$4:$4,-1),1,1)),"N/A")</f>
        <v>0</v>
      </c>
      <c r="O11" s="23">
        <f ca="1">VLOOKUP($D11,'parm(hidden)'!$B$8:$C$10,2,FALSE)*($F11-$J11)</f>
        <v>5</v>
      </c>
      <c r="P11" s="23">
        <f ca="1">VLOOKUP($D11,'parm(hidden)'!$B$8:$C$10,2,FALSE)*($F11-$N11)</f>
        <v>5</v>
      </c>
      <c r="Q11" s="36">
        <f ca="1">VLOOKUP($D11,'parm(hidden)'!$B$8:$C$10,2,FALSE)*($G11+$H11)</f>
        <v>5</v>
      </c>
      <c r="R11" s="23">
        <f ca="1">VLOOKUP($D11,'parm(hidden)'!$B$8:$C$10,2,FALSE)*($G11+$H11+$K11)</f>
        <v>5</v>
      </c>
      <c r="S11" s="47" t="str">
        <f t="shared" ca="1" si="0"/>
        <v>Y</v>
      </c>
      <c r="T11" s="47" t="str">
        <f t="shared" ca="1" si="0"/>
        <v>Y</v>
      </c>
      <c r="U11" s="125" t="str">
        <f t="shared" ca="1" si="0"/>
        <v>Y</v>
      </c>
      <c r="V11" s="47" t="str">
        <f t="shared" ca="1" si="0"/>
        <v>Y</v>
      </c>
      <c r="W11" s="47" t="str">
        <f t="shared" ca="1" si="0"/>
        <v>Y</v>
      </c>
    </row>
    <row r="12" spans="1:23">
      <c r="A12" s="115" t="str">
        <f>ChkList!A12</f>
        <v>계정 관리</v>
      </c>
      <c r="B12" s="28" t="str">
        <f>ChkList!$B12</f>
        <v>U-08</v>
      </c>
      <c r="C12" s="21" t="str">
        <f>ChkList!$C12</f>
        <v>관리자 그룹에 최소한의 계정 포함</v>
      </c>
      <c r="D12" s="31" t="str">
        <f>ChkList!$D12</f>
        <v>M</v>
      </c>
      <c r="E12" s="31">
        <f>ChkList!$E12</f>
        <v>2</v>
      </c>
      <c r="F12" s="23">
        <f ca="1">COUNTA($S12:INDIRECT(ADDRESS(ROW(),MATCH("",$4:$4,-1),1,1)))</f>
        <v>5</v>
      </c>
      <c r="G12" s="23">
        <f ca="1">'취약점 진단 항목별 통계'!G12</f>
        <v>5</v>
      </c>
      <c r="H12" s="23">
        <f ca="1">'취약점 진단 항목별 통계'!H12</f>
        <v>0</v>
      </c>
      <c r="I12" s="23">
        <f ca="1">'취약점 진단 항목별 통계'!I12</f>
        <v>0</v>
      </c>
      <c r="J12" s="23">
        <f ca="1">'취약점 진단 항목별 통계'!J12</f>
        <v>0</v>
      </c>
      <c r="K12" s="23">
        <f ca="1">COUNTIF($S12:INDIRECT(ADDRESS(ROW(),MATCH("",$4:$4,-1),1,1)),"조치")</f>
        <v>0</v>
      </c>
      <c r="L12" s="23">
        <f ca="1">COUNTIF($S12:INDIRECT(ADDRESS(ROW(),MATCH("",$4:$4,-1),1,1)),"미조치")</f>
        <v>0</v>
      </c>
      <c r="M12" s="23">
        <f ca="1">COUNTIF($S12:INDIRECT(ADDRESS(ROW(),MATCH("",$4:$4,-1),1,1)),"위험수용")</f>
        <v>0</v>
      </c>
      <c r="N12" s="23">
        <f ca="1">COUNTIF($S12:INDIRECT(ADDRESS(ROW(),MATCH("",$4:$4,-1),1,1)),"N/A")</f>
        <v>0</v>
      </c>
      <c r="O12" s="23">
        <f ca="1">VLOOKUP($D12,'parm(hidden)'!$B$8:$C$10,2,FALSE)*($F12-$J12)</f>
        <v>10</v>
      </c>
      <c r="P12" s="23">
        <f ca="1">VLOOKUP($D12,'parm(hidden)'!$B$8:$C$10,2,FALSE)*($F12-$N12)</f>
        <v>10</v>
      </c>
      <c r="Q12" s="36">
        <f ca="1">VLOOKUP($D12,'parm(hidden)'!$B$8:$C$10,2,FALSE)*($G12+$H12)</f>
        <v>10</v>
      </c>
      <c r="R12" s="23">
        <f ca="1">VLOOKUP($D12,'parm(hidden)'!$B$8:$C$10,2,FALSE)*($G12+$H12+$K12)</f>
        <v>10</v>
      </c>
      <c r="S12" s="47" t="str">
        <f t="shared" ca="1" si="0"/>
        <v>Y</v>
      </c>
      <c r="T12" s="47" t="str">
        <f t="shared" ca="1" si="0"/>
        <v>Y</v>
      </c>
      <c r="U12" s="125" t="str">
        <f t="shared" ca="1" si="0"/>
        <v>Y</v>
      </c>
      <c r="V12" s="47" t="str">
        <f t="shared" ca="1" si="0"/>
        <v>Y</v>
      </c>
      <c r="W12" s="47" t="str">
        <f t="shared" ca="1" si="0"/>
        <v>Y</v>
      </c>
    </row>
    <row r="13" spans="1:23">
      <c r="A13" s="115" t="str">
        <f>ChkList!A13</f>
        <v>계정 관리</v>
      </c>
      <c r="B13" s="28" t="str">
        <f>ChkList!$B13</f>
        <v>U-09</v>
      </c>
      <c r="C13" s="21" t="str">
        <f>ChkList!$C13</f>
        <v>계정이 존재하지 않는 GID 금지</v>
      </c>
      <c r="D13" s="31" t="str">
        <f>ChkList!$D13</f>
        <v>L</v>
      </c>
      <c r="E13" s="31">
        <f>ChkList!$E13</f>
        <v>1</v>
      </c>
      <c r="F13" s="23">
        <f ca="1">COUNTA($S13:INDIRECT(ADDRESS(ROW(),MATCH("",$4:$4,-1),1,1)))</f>
        <v>5</v>
      </c>
      <c r="G13" s="23">
        <f ca="1">'취약점 진단 항목별 통계'!G13</f>
        <v>5</v>
      </c>
      <c r="H13" s="23">
        <f ca="1">'취약점 진단 항목별 통계'!H13</f>
        <v>0</v>
      </c>
      <c r="I13" s="23">
        <f ca="1">'취약점 진단 항목별 통계'!I13</f>
        <v>0</v>
      </c>
      <c r="J13" s="23">
        <f ca="1">'취약점 진단 항목별 통계'!J13</f>
        <v>0</v>
      </c>
      <c r="K13" s="23">
        <f ca="1">COUNTIF($S13:INDIRECT(ADDRESS(ROW(),MATCH("",$4:$4,-1),1,1)),"조치")</f>
        <v>0</v>
      </c>
      <c r="L13" s="23">
        <f ca="1">COUNTIF($S13:INDIRECT(ADDRESS(ROW(),MATCH("",$4:$4,-1),1,1)),"미조치")</f>
        <v>0</v>
      </c>
      <c r="M13" s="23">
        <f ca="1">COUNTIF($S13:INDIRECT(ADDRESS(ROW(),MATCH("",$4:$4,-1),1,1)),"위험수용")</f>
        <v>0</v>
      </c>
      <c r="N13" s="23">
        <f ca="1">COUNTIF($S13:INDIRECT(ADDRESS(ROW(),MATCH("",$4:$4,-1),1,1)),"N/A")</f>
        <v>0</v>
      </c>
      <c r="O13" s="23">
        <f ca="1">VLOOKUP($D13,'parm(hidden)'!$B$8:$C$10,2,FALSE)*($F13-$J13)</f>
        <v>5</v>
      </c>
      <c r="P13" s="23">
        <f ca="1">VLOOKUP($D13,'parm(hidden)'!$B$8:$C$10,2,FALSE)*($F13-$N13)</f>
        <v>5</v>
      </c>
      <c r="Q13" s="36">
        <f ca="1">VLOOKUP($D13,'parm(hidden)'!$B$8:$C$10,2,FALSE)*($G13+$H13)</f>
        <v>5</v>
      </c>
      <c r="R13" s="23">
        <f ca="1">VLOOKUP($D13,'parm(hidden)'!$B$8:$C$10,2,FALSE)*($G13+$H13+$K13)</f>
        <v>5</v>
      </c>
      <c r="S13" s="47" t="str">
        <f t="shared" ca="1" si="0"/>
        <v>Y</v>
      </c>
      <c r="T13" s="47" t="str">
        <f t="shared" ca="1" si="0"/>
        <v>Y</v>
      </c>
      <c r="U13" s="125" t="str">
        <f t="shared" ca="1" si="0"/>
        <v>Y</v>
      </c>
      <c r="V13" s="47" t="str">
        <f t="shared" ca="1" si="0"/>
        <v>Y</v>
      </c>
      <c r="W13" s="47" t="str">
        <f t="shared" ca="1" si="0"/>
        <v>Y</v>
      </c>
    </row>
    <row r="14" spans="1:23">
      <c r="A14" s="115" t="str">
        <f>ChkList!A14</f>
        <v>계정 관리</v>
      </c>
      <c r="B14" s="28" t="str">
        <f>ChkList!$B14</f>
        <v>U-10</v>
      </c>
      <c r="C14" s="21" t="str">
        <f>ChkList!$C14</f>
        <v>동일한 UID 금지</v>
      </c>
      <c r="D14" s="31" t="str">
        <f>ChkList!$D14</f>
        <v>M</v>
      </c>
      <c r="E14" s="31">
        <f>ChkList!$E14</f>
        <v>2</v>
      </c>
      <c r="F14" s="23">
        <f ca="1">COUNTA($S14:INDIRECT(ADDRESS(ROW(),MATCH("",$4:$4,-1),1,1)))</f>
        <v>5</v>
      </c>
      <c r="G14" s="23">
        <f ca="1">'취약점 진단 항목별 통계'!G14</f>
        <v>5</v>
      </c>
      <c r="H14" s="23">
        <f ca="1">'취약점 진단 항목별 통계'!H14</f>
        <v>0</v>
      </c>
      <c r="I14" s="23">
        <f ca="1">'취약점 진단 항목별 통계'!I14</f>
        <v>0</v>
      </c>
      <c r="J14" s="23">
        <f ca="1">'취약점 진단 항목별 통계'!J14</f>
        <v>0</v>
      </c>
      <c r="K14" s="23">
        <f ca="1">COUNTIF($S14:INDIRECT(ADDRESS(ROW(),MATCH("",$4:$4,-1),1,1)),"조치")</f>
        <v>0</v>
      </c>
      <c r="L14" s="23">
        <f ca="1">COUNTIF($S14:INDIRECT(ADDRESS(ROW(),MATCH("",$4:$4,-1),1,1)),"미조치")</f>
        <v>0</v>
      </c>
      <c r="M14" s="23">
        <f ca="1">COUNTIF($S14:INDIRECT(ADDRESS(ROW(),MATCH("",$4:$4,-1),1,1)),"위험수용")</f>
        <v>0</v>
      </c>
      <c r="N14" s="23">
        <f ca="1">COUNTIF($S14:INDIRECT(ADDRESS(ROW(),MATCH("",$4:$4,-1),1,1)),"N/A")</f>
        <v>0</v>
      </c>
      <c r="O14" s="23">
        <f ca="1">VLOOKUP($D14,'parm(hidden)'!$B$8:$C$10,2,FALSE)*($F14-$J14)</f>
        <v>10</v>
      </c>
      <c r="P14" s="23">
        <f ca="1">VLOOKUP($D14,'parm(hidden)'!$B$8:$C$10,2,FALSE)*($F14-$N14)</f>
        <v>10</v>
      </c>
      <c r="Q14" s="36">
        <f ca="1">VLOOKUP($D14,'parm(hidden)'!$B$8:$C$10,2,FALSE)*($G14+$H14)</f>
        <v>10</v>
      </c>
      <c r="R14" s="23">
        <f ca="1">VLOOKUP($D14,'parm(hidden)'!$B$8:$C$10,2,FALSE)*($G14+$H14+$K14)</f>
        <v>10</v>
      </c>
      <c r="S14" s="47" t="str">
        <f t="shared" ca="1" si="0"/>
        <v>Y</v>
      </c>
      <c r="T14" s="47" t="str">
        <f t="shared" ca="1" si="0"/>
        <v>Y</v>
      </c>
      <c r="U14" s="125" t="str">
        <f t="shared" ca="1" si="0"/>
        <v>Y</v>
      </c>
      <c r="V14" s="47" t="str">
        <f t="shared" ca="1" si="0"/>
        <v>Y</v>
      </c>
      <c r="W14" s="47" t="str">
        <f t="shared" ca="1" si="0"/>
        <v>Y</v>
      </c>
    </row>
    <row r="15" spans="1:23">
      <c r="A15" s="115" t="str">
        <f>ChkList!A15</f>
        <v>계정 관리</v>
      </c>
      <c r="B15" s="28" t="str">
        <f>ChkList!$B15</f>
        <v>U-11</v>
      </c>
      <c r="C15" s="21" t="str">
        <f>ChkList!$C15</f>
        <v>사용자 Shell 점검</v>
      </c>
      <c r="D15" s="31" t="str">
        <f>ChkList!$D15</f>
        <v>L</v>
      </c>
      <c r="E15" s="31">
        <f>ChkList!$E15</f>
        <v>1</v>
      </c>
      <c r="F15" s="23">
        <f ca="1">COUNTA($S15:INDIRECT(ADDRESS(ROW(),MATCH("",$4:$4,-1),1,1)))</f>
        <v>5</v>
      </c>
      <c r="G15" s="23">
        <f ca="1">'취약점 진단 항목별 통계'!G15</f>
        <v>5</v>
      </c>
      <c r="H15" s="23">
        <f ca="1">'취약점 진단 항목별 통계'!H15</f>
        <v>0</v>
      </c>
      <c r="I15" s="23">
        <f ca="1">'취약점 진단 항목별 통계'!I15</f>
        <v>0</v>
      </c>
      <c r="J15" s="23">
        <f ca="1">'취약점 진단 항목별 통계'!J15</f>
        <v>0</v>
      </c>
      <c r="K15" s="23">
        <f ca="1">COUNTIF($S15:INDIRECT(ADDRESS(ROW(),MATCH("",$4:$4,-1),1,1)),"조치")</f>
        <v>0</v>
      </c>
      <c r="L15" s="23">
        <f ca="1">COUNTIF($S15:INDIRECT(ADDRESS(ROW(),MATCH("",$4:$4,-1),1,1)),"미조치")</f>
        <v>0</v>
      </c>
      <c r="M15" s="23">
        <f ca="1">COUNTIF($S15:INDIRECT(ADDRESS(ROW(),MATCH("",$4:$4,-1),1,1)),"위험수용")</f>
        <v>0</v>
      </c>
      <c r="N15" s="23">
        <f ca="1">COUNTIF($S15:INDIRECT(ADDRESS(ROW(),MATCH("",$4:$4,-1),1,1)),"N/A")</f>
        <v>0</v>
      </c>
      <c r="O15" s="23">
        <f ca="1">VLOOKUP($D15,'parm(hidden)'!$B$8:$C$10,2,FALSE)*($F15-$J15)</f>
        <v>5</v>
      </c>
      <c r="P15" s="23">
        <f ca="1">VLOOKUP($D15,'parm(hidden)'!$B$8:$C$10,2,FALSE)*($F15-$N15)</f>
        <v>5</v>
      </c>
      <c r="Q15" s="36">
        <f ca="1">VLOOKUP($D15,'parm(hidden)'!$B$8:$C$10,2,FALSE)*($G15+$H15)</f>
        <v>5</v>
      </c>
      <c r="R15" s="23">
        <f ca="1">VLOOKUP($D15,'parm(hidden)'!$B$8:$C$10,2,FALSE)*($G15+$H15+$K15)</f>
        <v>5</v>
      </c>
      <c r="S15" s="47" t="str">
        <f t="shared" ca="1" si="0"/>
        <v>Y</v>
      </c>
      <c r="T15" s="47" t="str">
        <f t="shared" ca="1" si="0"/>
        <v>Y</v>
      </c>
      <c r="U15" s="125" t="str">
        <f t="shared" ca="1" si="0"/>
        <v>Y</v>
      </c>
      <c r="V15" s="47" t="str">
        <f t="shared" ca="1" si="0"/>
        <v>Y</v>
      </c>
      <c r="W15" s="47" t="str">
        <f t="shared" ca="1" si="0"/>
        <v>Y</v>
      </c>
    </row>
    <row r="16" spans="1:23">
      <c r="A16" s="115" t="str">
        <f>ChkList!A16</f>
        <v>계정 관리</v>
      </c>
      <c r="B16" s="28" t="str">
        <f>ChkList!$B16</f>
        <v>U-12</v>
      </c>
      <c r="C16" s="21" t="str">
        <f>ChkList!$C16</f>
        <v>세션 종료 시간 설정</v>
      </c>
      <c r="D16" s="31" t="str">
        <f>ChkList!$D16</f>
        <v>L</v>
      </c>
      <c r="E16" s="31">
        <f>ChkList!$E16</f>
        <v>1</v>
      </c>
      <c r="F16" s="23">
        <f ca="1">COUNTA($S16:INDIRECT(ADDRESS(ROW(),MATCH("",$4:$4,-1),1,1)))</f>
        <v>5</v>
      </c>
      <c r="G16" s="23">
        <f ca="1">'취약점 진단 항목별 통계'!G16</f>
        <v>5</v>
      </c>
      <c r="H16" s="23">
        <f ca="1">'취약점 진단 항목별 통계'!H16</f>
        <v>0</v>
      </c>
      <c r="I16" s="23">
        <f ca="1">'취약점 진단 항목별 통계'!I16</f>
        <v>0</v>
      </c>
      <c r="J16" s="23">
        <f ca="1">'취약점 진단 항목별 통계'!J16</f>
        <v>0</v>
      </c>
      <c r="K16" s="23">
        <f ca="1">COUNTIF($S16:INDIRECT(ADDRESS(ROW(),MATCH("",$4:$4,-1),1,1)),"조치")</f>
        <v>0</v>
      </c>
      <c r="L16" s="23">
        <f ca="1">COUNTIF($S16:INDIRECT(ADDRESS(ROW(),MATCH("",$4:$4,-1),1,1)),"미조치")</f>
        <v>0</v>
      </c>
      <c r="M16" s="23">
        <f ca="1">COUNTIF($S16:INDIRECT(ADDRESS(ROW(),MATCH("",$4:$4,-1),1,1)),"위험수용")</f>
        <v>0</v>
      </c>
      <c r="N16" s="23">
        <f ca="1">COUNTIF($S16:INDIRECT(ADDRESS(ROW(),MATCH("",$4:$4,-1),1,1)),"N/A")</f>
        <v>0</v>
      </c>
      <c r="O16" s="23">
        <f ca="1">VLOOKUP($D16,'parm(hidden)'!$B$8:$C$10,2,FALSE)*($F16-$J16)</f>
        <v>5</v>
      </c>
      <c r="P16" s="23">
        <f ca="1">VLOOKUP($D16,'parm(hidden)'!$B$8:$C$10,2,FALSE)*($F16-$N16)</f>
        <v>5</v>
      </c>
      <c r="Q16" s="36">
        <f ca="1">VLOOKUP($D16,'parm(hidden)'!$B$8:$C$10,2,FALSE)*($G16+$H16)</f>
        <v>5</v>
      </c>
      <c r="R16" s="23">
        <f ca="1">VLOOKUP($D16,'parm(hidden)'!$B$8:$C$10,2,FALSE)*($G16+$H16+$K16)</f>
        <v>5</v>
      </c>
      <c r="S16" s="47" t="str">
        <f t="shared" ca="1" si="0"/>
        <v>Y</v>
      </c>
      <c r="T16" s="47" t="str">
        <f t="shared" ca="1" si="0"/>
        <v>Y</v>
      </c>
      <c r="U16" s="125" t="str">
        <f t="shared" ca="1" si="0"/>
        <v>Y</v>
      </c>
      <c r="V16" s="47" t="str">
        <f t="shared" ca="1" si="0"/>
        <v>Y</v>
      </c>
      <c r="W16" s="47" t="str">
        <f t="shared" ca="1" si="0"/>
        <v>Y</v>
      </c>
    </row>
    <row r="17" spans="1:23">
      <c r="A17" s="115" t="str">
        <f>ChkList!A17</f>
        <v>계정 관리</v>
      </c>
      <c r="B17" s="28" t="str">
        <f>ChkList!$B17</f>
        <v>U-13</v>
      </c>
      <c r="C17" s="21" t="str">
        <f>ChkList!$C17</f>
        <v>안전한 비밀번호 암호화 알고리즘 사용</v>
      </c>
      <c r="D17" s="31" t="str">
        <f>ChkList!$D17</f>
        <v>M</v>
      </c>
      <c r="E17" s="31">
        <f>ChkList!$E17</f>
        <v>2</v>
      </c>
      <c r="F17" s="23">
        <f ca="1">COUNTA($S17:INDIRECT(ADDRESS(ROW(),MATCH("",$4:$4,-1),1,1)))</f>
        <v>5</v>
      </c>
      <c r="G17" s="23">
        <f ca="1">'취약점 진단 항목별 통계'!G17</f>
        <v>5</v>
      </c>
      <c r="H17" s="23">
        <f ca="1">'취약점 진단 항목별 통계'!H17</f>
        <v>0</v>
      </c>
      <c r="I17" s="23">
        <f ca="1">'취약점 진단 항목별 통계'!I17</f>
        <v>0</v>
      </c>
      <c r="J17" s="23">
        <f ca="1">'취약점 진단 항목별 통계'!J17</f>
        <v>0</v>
      </c>
      <c r="K17" s="23">
        <f ca="1">COUNTIF($S17:INDIRECT(ADDRESS(ROW(),MATCH("",$4:$4,-1),1,1)),"조치")</f>
        <v>0</v>
      </c>
      <c r="L17" s="23">
        <f ca="1">COUNTIF($S17:INDIRECT(ADDRESS(ROW(),MATCH("",$4:$4,-1),1,1)),"미조치")</f>
        <v>0</v>
      </c>
      <c r="M17" s="23">
        <f ca="1">COUNTIF($S17:INDIRECT(ADDRESS(ROW(),MATCH("",$4:$4,-1),1,1)),"위험수용")</f>
        <v>0</v>
      </c>
      <c r="N17" s="23">
        <f ca="1">COUNTIF($S17:INDIRECT(ADDRESS(ROW(),MATCH("",$4:$4,-1),1,1)),"N/A")</f>
        <v>0</v>
      </c>
      <c r="O17" s="23">
        <f ca="1">VLOOKUP($D17,'parm(hidden)'!$B$8:$C$10,2,FALSE)*($F17-$J17)</f>
        <v>10</v>
      </c>
      <c r="P17" s="23">
        <f ca="1">VLOOKUP($D17,'parm(hidden)'!$B$8:$C$10,2,FALSE)*($F17-$N17)</f>
        <v>10</v>
      </c>
      <c r="Q17" s="36">
        <f ca="1">VLOOKUP($D17,'parm(hidden)'!$B$8:$C$10,2,FALSE)*($G17+$H17)</f>
        <v>10</v>
      </c>
      <c r="R17" s="23">
        <f ca="1">VLOOKUP($D17,'parm(hidden)'!$B$8:$C$10,2,FALSE)*($G17+$H17+$K17)</f>
        <v>10</v>
      </c>
      <c r="S17" s="47" t="str">
        <f t="shared" ca="1" si="0"/>
        <v>Y</v>
      </c>
      <c r="T17" s="47" t="str">
        <f t="shared" ca="1" si="0"/>
        <v>Y</v>
      </c>
      <c r="U17" s="125" t="str">
        <f t="shared" ca="1" si="0"/>
        <v>Y</v>
      </c>
      <c r="V17" s="47" t="str">
        <f t="shared" ca="1" si="0"/>
        <v>Y</v>
      </c>
      <c r="W17" s="47" t="str">
        <f t="shared" ca="1" si="0"/>
        <v>Y</v>
      </c>
    </row>
    <row r="18" spans="1:23">
      <c r="A18" s="115" t="str">
        <f>ChkList!A18</f>
        <v>파일 및 디렉터리 관리</v>
      </c>
      <c r="B18" s="28" t="str">
        <f>ChkList!$B18</f>
        <v>U-14</v>
      </c>
      <c r="C18" s="21" t="str">
        <f>ChkList!$C18</f>
        <v>root 홈, 패스 디렉터리 권한 및 패스 설정</v>
      </c>
      <c r="D18" s="31" t="str">
        <f>ChkList!$D18</f>
        <v>H</v>
      </c>
      <c r="E18" s="31">
        <f>ChkList!$E18</f>
        <v>3</v>
      </c>
      <c r="F18" s="23">
        <f ca="1">COUNTA($S18:INDIRECT(ADDRESS(ROW(),MATCH("",$4:$4,-1),1,1)))</f>
        <v>5</v>
      </c>
      <c r="G18" s="23">
        <f ca="1">'취약점 진단 항목별 통계'!G18</f>
        <v>5</v>
      </c>
      <c r="H18" s="23">
        <f ca="1">'취약점 진단 항목별 통계'!H18</f>
        <v>0</v>
      </c>
      <c r="I18" s="23">
        <f ca="1">'취약점 진단 항목별 통계'!I18</f>
        <v>0</v>
      </c>
      <c r="J18" s="23">
        <f ca="1">'취약점 진단 항목별 통계'!J18</f>
        <v>0</v>
      </c>
      <c r="K18" s="23">
        <f ca="1">COUNTIF($S18:INDIRECT(ADDRESS(ROW(),MATCH("",$4:$4,-1),1,1)),"조치")</f>
        <v>0</v>
      </c>
      <c r="L18" s="23">
        <f ca="1">COUNTIF($S18:INDIRECT(ADDRESS(ROW(),MATCH("",$4:$4,-1),1,1)),"미조치")</f>
        <v>0</v>
      </c>
      <c r="M18" s="23">
        <f ca="1">COUNTIF($S18:INDIRECT(ADDRESS(ROW(),MATCH("",$4:$4,-1),1,1)),"위험수용")</f>
        <v>0</v>
      </c>
      <c r="N18" s="23">
        <f ca="1">COUNTIF($S18:INDIRECT(ADDRESS(ROW(),MATCH("",$4:$4,-1),1,1)),"N/A")</f>
        <v>0</v>
      </c>
      <c r="O18" s="23">
        <f ca="1">VLOOKUP($D18,'parm(hidden)'!$B$8:$C$10,2,FALSE)*($F18-$J18)</f>
        <v>15</v>
      </c>
      <c r="P18" s="23">
        <f ca="1">VLOOKUP($D18,'parm(hidden)'!$B$8:$C$10,2,FALSE)*($F18-$N18)</f>
        <v>15</v>
      </c>
      <c r="Q18" s="36">
        <f ca="1">VLOOKUP($D18,'parm(hidden)'!$B$8:$C$10,2,FALSE)*($G18+$H18)</f>
        <v>15</v>
      </c>
      <c r="R18" s="23">
        <f ca="1">VLOOKUP($D18,'parm(hidden)'!$B$8:$C$10,2,FALSE)*($G18+$H18+$K18)</f>
        <v>15</v>
      </c>
      <c r="S18" s="47" t="str">
        <f t="shared" ca="1" si="0"/>
        <v>Y</v>
      </c>
      <c r="T18" s="47" t="str">
        <f t="shared" ca="1" si="0"/>
        <v>Y</v>
      </c>
      <c r="U18" s="125" t="str">
        <f t="shared" ca="1" si="0"/>
        <v>Y</v>
      </c>
      <c r="V18" s="47" t="str">
        <f t="shared" ca="1" si="0"/>
        <v>Y</v>
      </c>
      <c r="W18" s="47" t="str">
        <f t="shared" ca="1" si="0"/>
        <v>Y</v>
      </c>
    </row>
    <row r="19" spans="1:23">
      <c r="A19" s="115" t="str">
        <f>ChkList!A19</f>
        <v>파일 및 디렉터리 관리</v>
      </c>
      <c r="B19" s="28" t="str">
        <f>ChkList!$B19</f>
        <v>U-15</v>
      </c>
      <c r="C19" s="21" t="str">
        <f>ChkList!$C19</f>
        <v>파일 및 디렉터리 소유자 설정</v>
      </c>
      <c r="D19" s="31" t="str">
        <f>ChkList!$D19</f>
        <v>H</v>
      </c>
      <c r="E19" s="31">
        <f>ChkList!$E19</f>
        <v>3</v>
      </c>
      <c r="F19" s="23">
        <f ca="1">COUNTA($S19:INDIRECT(ADDRESS(ROW(),MATCH("",$4:$4,-1),1,1)))</f>
        <v>5</v>
      </c>
      <c r="G19" s="23">
        <f ca="1">'취약점 진단 항목별 통계'!G19</f>
        <v>0</v>
      </c>
      <c r="H19" s="23">
        <f ca="1">'취약점 진단 항목별 통계'!H19</f>
        <v>0</v>
      </c>
      <c r="I19" s="23">
        <f ca="1">'취약점 진단 항목별 통계'!I19</f>
        <v>5</v>
      </c>
      <c r="J19" s="23">
        <f ca="1">'취약점 진단 항목별 통계'!J19</f>
        <v>0</v>
      </c>
      <c r="K19" s="23">
        <f ca="1">COUNTIF($S19:INDIRECT(ADDRESS(ROW(),MATCH("",$4:$4,-1),1,1)),"조치")</f>
        <v>5</v>
      </c>
      <c r="L19" s="23">
        <f ca="1">COUNTIF($S19:INDIRECT(ADDRESS(ROW(),MATCH("",$4:$4,-1),1,1)),"미조치")</f>
        <v>0</v>
      </c>
      <c r="M19" s="23">
        <f ca="1">COUNTIF($S19:INDIRECT(ADDRESS(ROW(),MATCH("",$4:$4,-1),1,1)),"위험수용")</f>
        <v>0</v>
      </c>
      <c r="N19" s="23">
        <f ca="1">COUNTIF($S19:INDIRECT(ADDRESS(ROW(),MATCH("",$4:$4,-1),1,1)),"N/A")</f>
        <v>0</v>
      </c>
      <c r="O19" s="23">
        <f ca="1">VLOOKUP($D19,'parm(hidden)'!$B$8:$C$10,2,FALSE)*($F19-$J19)</f>
        <v>15</v>
      </c>
      <c r="P19" s="23">
        <f ca="1">VLOOKUP($D19,'parm(hidden)'!$B$8:$C$10,2,FALSE)*($F19-$N19)</f>
        <v>15</v>
      </c>
      <c r="Q19" s="36">
        <f ca="1">VLOOKUP($D19,'parm(hidden)'!$B$8:$C$10,2,FALSE)*($G19+$H19)</f>
        <v>0</v>
      </c>
      <c r="R19" s="23">
        <f ca="1">VLOOKUP($D19,'parm(hidden)'!$B$8:$C$10,2,FALSE)*($G19+$H19+$K19)</f>
        <v>15</v>
      </c>
      <c r="S19" s="47" t="str">
        <f t="shared" ca="1" si="0"/>
        <v>조치</v>
      </c>
      <c r="T19" s="47" t="str">
        <f t="shared" ca="1" si="0"/>
        <v>조치</v>
      </c>
      <c r="U19" s="125" t="str">
        <f t="shared" ca="1" si="0"/>
        <v>조치</v>
      </c>
      <c r="V19" s="47" t="str">
        <f t="shared" ca="1" si="0"/>
        <v>조치</v>
      </c>
      <c r="W19" s="47" t="str">
        <f t="shared" ca="1" si="0"/>
        <v>조치</v>
      </c>
    </row>
    <row r="20" spans="1:23">
      <c r="A20" s="115" t="str">
        <f>ChkList!A20</f>
        <v>파일 및 디렉터리 관리</v>
      </c>
      <c r="B20" s="28" t="str">
        <f>ChkList!$B20</f>
        <v>U-16</v>
      </c>
      <c r="C20" s="21" t="str">
        <f>ChkList!$C20</f>
        <v>/etc/passwd 파일 소유자 및 권한 설정</v>
      </c>
      <c r="D20" s="31" t="str">
        <f>ChkList!$D20</f>
        <v>H</v>
      </c>
      <c r="E20" s="31">
        <f>ChkList!$E20</f>
        <v>3</v>
      </c>
      <c r="F20" s="23">
        <f ca="1">COUNTA($S20:INDIRECT(ADDRESS(ROW(),MATCH("",$4:$4,-1),1,1)))</f>
        <v>5</v>
      </c>
      <c r="G20" s="23">
        <f ca="1">'취약점 진단 항목별 통계'!G20</f>
        <v>5</v>
      </c>
      <c r="H20" s="23">
        <f ca="1">'취약점 진단 항목별 통계'!H20</f>
        <v>0</v>
      </c>
      <c r="I20" s="23">
        <f ca="1">'취약점 진단 항목별 통계'!I20</f>
        <v>0</v>
      </c>
      <c r="J20" s="23">
        <f ca="1">'취약점 진단 항목별 통계'!J20</f>
        <v>0</v>
      </c>
      <c r="K20" s="23">
        <f ca="1">COUNTIF($S20:INDIRECT(ADDRESS(ROW(),MATCH("",$4:$4,-1),1,1)),"조치")</f>
        <v>0</v>
      </c>
      <c r="L20" s="23">
        <f ca="1">COUNTIF($S20:INDIRECT(ADDRESS(ROW(),MATCH("",$4:$4,-1),1,1)),"미조치")</f>
        <v>0</v>
      </c>
      <c r="M20" s="23">
        <f ca="1">COUNTIF($S20:INDIRECT(ADDRESS(ROW(),MATCH("",$4:$4,-1),1,1)),"위험수용")</f>
        <v>0</v>
      </c>
      <c r="N20" s="23">
        <f ca="1">COUNTIF($S20:INDIRECT(ADDRESS(ROW(),MATCH("",$4:$4,-1),1,1)),"N/A")</f>
        <v>0</v>
      </c>
      <c r="O20" s="23">
        <f ca="1">VLOOKUP($D20,'parm(hidden)'!$B$8:$C$10,2,FALSE)*($F20-$J20)</f>
        <v>15</v>
      </c>
      <c r="P20" s="23">
        <f ca="1">VLOOKUP($D20,'parm(hidden)'!$B$8:$C$10,2,FALSE)*($F20-$N20)</f>
        <v>15</v>
      </c>
      <c r="Q20" s="36">
        <f ca="1">VLOOKUP($D20,'parm(hidden)'!$B$8:$C$10,2,FALSE)*($G20+$H20)</f>
        <v>15</v>
      </c>
      <c r="R20" s="23">
        <f ca="1">VLOOKUP($D20,'parm(hidden)'!$B$8:$C$10,2,FALSE)*($G20+$H20+$K20)</f>
        <v>15</v>
      </c>
      <c r="S20" s="47" t="str">
        <f t="shared" ca="1" si="0"/>
        <v>Y</v>
      </c>
      <c r="T20" s="47" t="str">
        <f t="shared" ca="1" si="0"/>
        <v>Y</v>
      </c>
      <c r="U20" s="125" t="str">
        <f t="shared" ca="1" si="0"/>
        <v>Y</v>
      </c>
      <c r="V20" s="47" t="str">
        <f t="shared" ca="1" si="0"/>
        <v>Y</v>
      </c>
      <c r="W20" s="47" t="str">
        <f t="shared" ca="1" si="0"/>
        <v>Y</v>
      </c>
    </row>
    <row r="21" spans="1:23">
      <c r="A21" s="115" t="str">
        <f>ChkList!A21</f>
        <v>파일 및 디렉터리 관리</v>
      </c>
      <c r="B21" s="28" t="str">
        <f>ChkList!$B21</f>
        <v>U-17</v>
      </c>
      <c r="C21" s="21" t="str">
        <f>ChkList!$C21</f>
        <v>시스템 시작 스크립트 권한 설정</v>
      </c>
      <c r="D21" s="31" t="str">
        <f>ChkList!$D21</f>
        <v>H</v>
      </c>
      <c r="E21" s="31">
        <f>ChkList!$E21</f>
        <v>3</v>
      </c>
      <c r="F21" s="23">
        <f ca="1">COUNTA($S21:INDIRECT(ADDRESS(ROW(),MATCH("",$4:$4,-1),1,1)))</f>
        <v>5</v>
      </c>
      <c r="G21" s="23">
        <f ca="1">'취약점 진단 항목별 통계'!G21</f>
        <v>0</v>
      </c>
      <c r="H21" s="23">
        <f ca="1">'취약점 진단 항목별 통계'!H21</f>
        <v>0</v>
      </c>
      <c r="I21" s="23">
        <f ca="1">'취약점 진단 항목별 통계'!I21</f>
        <v>5</v>
      </c>
      <c r="J21" s="23">
        <f ca="1">'취약점 진단 항목별 통계'!J21</f>
        <v>0</v>
      </c>
      <c r="K21" s="23">
        <f ca="1">COUNTIF($S21:INDIRECT(ADDRESS(ROW(),MATCH("",$4:$4,-1),1,1)),"조치")</f>
        <v>5</v>
      </c>
      <c r="L21" s="23">
        <f ca="1">COUNTIF($S21:INDIRECT(ADDRESS(ROW(),MATCH("",$4:$4,-1),1,1)),"미조치")</f>
        <v>0</v>
      </c>
      <c r="M21" s="23">
        <f ca="1">COUNTIF($S21:INDIRECT(ADDRESS(ROW(),MATCH("",$4:$4,-1),1,1)),"위험수용")</f>
        <v>0</v>
      </c>
      <c r="N21" s="23">
        <f ca="1">COUNTIF($S21:INDIRECT(ADDRESS(ROW(),MATCH("",$4:$4,-1),1,1)),"N/A")</f>
        <v>0</v>
      </c>
      <c r="O21" s="23">
        <f ca="1">VLOOKUP($D21,'parm(hidden)'!$B$8:$C$10,2,FALSE)*($F21-$J21)</f>
        <v>15</v>
      </c>
      <c r="P21" s="23">
        <f ca="1">VLOOKUP($D21,'parm(hidden)'!$B$8:$C$10,2,FALSE)*($F21-$N21)</f>
        <v>15</v>
      </c>
      <c r="Q21" s="36">
        <f ca="1">VLOOKUP($D21,'parm(hidden)'!$B$8:$C$10,2,FALSE)*($G21+$H21)</f>
        <v>0</v>
      </c>
      <c r="R21" s="23">
        <f ca="1">VLOOKUP($D21,'parm(hidden)'!$B$8:$C$10,2,FALSE)*($G21+$H21+$K21)</f>
        <v>15</v>
      </c>
      <c r="S21" s="47" t="str">
        <f t="shared" ca="1" si="0"/>
        <v>조치</v>
      </c>
      <c r="T21" s="47" t="str">
        <f t="shared" ca="1" si="0"/>
        <v>조치</v>
      </c>
      <c r="U21" s="125" t="str">
        <f t="shared" ca="1" si="0"/>
        <v>조치</v>
      </c>
      <c r="V21" s="47" t="str">
        <f t="shared" ca="1" si="0"/>
        <v>조치</v>
      </c>
      <c r="W21" s="47" t="str">
        <f t="shared" ca="1" si="0"/>
        <v>조치</v>
      </c>
    </row>
    <row r="22" spans="1:23">
      <c r="A22" s="115" t="str">
        <f>ChkList!A22</f>
        <v>파일 및 디렉터리 관리</v>
      </c>
      <c r="B22" s="28" t="str">
        <f>ChkList!$B22</f>
        <v>U-18</v>
      </c>
      <c r="C22" s="21" t="str">
        <f>ChkList!$C22</f>
        <v>/etc/shadow 파일 소유자 및 권한 설정</v>
      </c>
      <c r="D22" s="31" t="str">
        <f>ChkList!$D22</f>
        <v>H</v>
      </c>
      <c r="E22" s="31">
        <f>ChkList!$E22</f>
        <v>3</v>
      </c>
      <c r="F22" s="23">
        <f ca="1">COUNTA($S22:INDIRECT(ADDRESS(ROW(),MATCH("",$4:$4,-1),1,1)))</f>
        <v>5</v>
      </c>
      <c r="G22" s="23">
        <f ca="1">'취약점 진단 항목별 통계'!G22</f>
        <v>5</v>
      </c>
      <c r="H22" s="23">
        <f ca="1">'취약점 진단 항목별 통계'!H22</f>
        <v>0</v>
      </c>
      <c r="I22" s="23">
        <f ca="1">'취약점 진단 항목별 통계'!I22</f>
        <v>0</v>
      </c>
      <c r="J22" s="23">
        <f ca="1">'취약점 진단 항목별 통계'!J22</f>
        <v>0</v>
      </c>
      <c r="K22" s="23">
        <f ca="1">COUNTIF($S22:INDIRECT(ADDRESS(ROW(),MATCH("",$4:$4,-1),1,1)),"조치")</f>
        <v>0</v>
      </c>
      <c r="L22" s="23">
        <f ca="1">COUNTIF($S22:INDIRECT(ADDRESS(ROW(),MATCH("",$4:$4,-1),1,1)),"미조치")</f>
        <v>0</v>
      </c>
      <c r="M22" s="23">
        <f ca="1">COUNTIF($S22:INDIRECT(ADDRESS(ROW(),MATCH("",$4:$4,-1),1,1)),"위험수용")</f>
        <v>0</v>
      </c>
      <c r="N22" s="23">
        <f ca="1">COUNTIF($S22:INDIRECT(ADDRESS(ROW(),MATCH("",$4:$4,-1),1,1)),"N/A")</f>
        <v>0</v>
      </c>
      <c r="O22" s="23">
        <f ca="1">VLOOKUP($D22,'parm(hidden)'!$B$8:$C$10,2,FALSE)*($F22-$J22)</f>
        <v>15</v>
      </c>
      <c r="P22" s="23">
        <f ca="1">VLOOKUP($D22,'parm(hidden)'!$B$8:$C$10,2,FALSE)*($F22-$N22)</f>
        <v>15</v>
      </c>
      <c r="Q22" s="36">
        <f ca="1">VLOOKUP($D22,'parm(hidden)'!$B$8:$C$10,2,FALSE)*($G22+$H22)</f>
        <v>15</v>
      </c>
      <c r="R22" s="23">
        <f ca="1">VLOOKUP($D22,'parm(hidden)'!$B$8:$C$10,2,FALSE)*($G22+$H22+$K22)</f>
        <v>15</v>
      </c>
      <c r="S22" s="47" t="str">
        <f t="shared" ca="1" si="0"/>
        <v>Y</v>
      </c>
      <c r="T22" s="47" t="str">
        <f t="shared" ca="1" si="0"/>
        <v>Y</v>
      </c>
      <c r="U22" s="125" t="str">
        <f t="shared" ca="1" si="0"/>
        <v>Y</v>
      </c>
      <c r="V22" s="47" t="str">
        <f t="shared" ca="1" si="0"/>
        <v>Y</v>
      </c>
      <c r="W22" s="47" t="str">
        <f t="shared" ca="1" si="0"/>
        <v>Y</v>
      </c>
    </row>
    <row r="23" spans="1:23">
      <c r="A23" s="115" t="str">
        <f>ChkList!A23</f>
        <v>파일 및 디렉터리 관리</v>
      </c>
      <c r="B23" s="28" t="str">
        <f>ChkList!$B23</f>
        <v>U-19</v>
      </c>
      <c r="C23" s="21" t="str">
        <f>ChkList!$C23</f>
        <v>/etc/hosts 파일 소유자 및 권한 설정</v>
      </c>
      <c r="D23" s="31" t="str">
        <f>ChkList!$D23</f>
        <v>H</v>
      </c>
      <c r="E23" s="31">
        <f>ChkList!$E23</f>
        <v>3</v>
      </c>
      <c r="F23" s="23">
        <f ca="1">COUNTA($S23:INDIRECT(ADDRESS(ROW(),MATCH("",$4:$4,-1),1,1)))</f>
        <v>5</v>
      </c>
      <c r="G23" s="23">
        <f ca="1">'취약점 진단 항목별 통계'!G23</f>
        <v>5</v>
      </c>
      <c r="H23" s="23">
        <f ca="1">'취약점 진단 항목별 통계'!H23</f>
        <v>0</v>
      </c>
      <c r="I23" s="23">
        <f ca="1">'취약점 진단 항목별 통계'!I23</f>
        <v>0</v>
      </c>
      <c r="J23" s="23">
        <f ca="1">'취약점 진단 항목별 통계'!J23</f>
        <v>0</v>
      </c>
      <c r="K23" s="23">
        <f ca="1">COUNTIF($S23:INDIRECT(ADDRESS(ROW(),MATCH("",$4:$4,-1),1,1)),"조치")</f>
        <v>0</v>
      </c>
      <c r="L23" s="23">
        <f ca="1">COUNTIF($S23:INDIRECT(ADDRESS(ROW(),MATCH("",$4:$4,-1),1,1)),"미조치")</f>
        <v>0</v>
      </c>
      <c r="M23" s="23">
        <f ca="1">COUNTIF($S23:INDIRECT(ADDRESS(ROW(),MATCH("",$4:$4,-1),1,1)),"위험수용")</f>
        <v>0</v>
      </c>
      <c r="N23" s="23">
        <f ca="1">COUNTIF($S23:INDIRECT(ADDRESS(ROW(),MATCH("",$4:$4,-1),1,1)),"N/A")</f>
        <v>0</v>
      </c>
      <c r="O23" s="23">
        <f ca="1">VLOOKUP($D23,'parm(hidden)'!$B$8:$C$10,2,FALSE)*($F23-$J23)</f>
        <v>15</v>
      </c>
      <c r="P23" s="23">
        <f ca="1">VLOOKUP($D23,'parm(hidden)'!$B$8:$C$10,2,FALSE)*($F23-$N23)</f>
        <v>15</v>
      </c>
      <c r="Q23" s="36">
        <f ca="1">VLOOKUP($D23,'parm(hidden)'!$B$8:$C$10,2,FALSE)*($G23+$H23)</f>
        <v>15</v>
      </c>
      <c r="R23" s="23">
        <f ca="1">VLOOKUP($D23,'parm(hidden)'!$B$8:$C$10,2,FALSE)*($G23+$H23+$K23)</f>
        <v>15</v>
      </c>
      <c r="S23" s="47" t="str">
        <f t="shared" ca="1" si="0"/>
        <v>Y</v>
      </c>
      <c r="T23" s="47" t="str">
        <f t="shared" ca="1" si="0"/>
        <v>Y</v>
      </c>
      <c r="U23" s="125" t="str">
        <f t="shared" ca="1" si="0"/>
        <v>Y</v>
      </c>
      <c r="V23" s="47" t="str">
        <f t="shared" ca="1" si="0"/>
        <v>Y</v>
      </c>
      <c r="W23" s="47" t="str">
        <f t="shared" ca="1" si="0"/>
        <v>Y</v>
      </c>
    </row>
    <row r="24" spans="1:23">
      <c r="A24" s="115" t="str">
        <f>ChkList!A24</f>
        <v>파일 및 디렉터리 관리</v>
      </c>
      <c r="B24" s="28" t="str">
        <f>ChkList!$B24</f>
        <v>U-20</v>
      </c>
      <c r="C24" s="21" t="str">
        <f>ChkList!$C24</f>
        <v>/etc/(x)inetd.conf 파일 소유자 및 권한 설정</v>
      </c>
      <c r="D24" s="31" t="str">
        <f>ChkList!$D24</f>
        <v>H</v>
      </c>
      <c r="E24" s="31">
        <f>ChkList!$E24</f>
        <v>3</v>
      </c>
      <c r="F24" s="23">
        <f ca="1">COUNTA($S24:INDIRECT(ADDRESS(ROW(),MATCH("",$4:$4,-1),1,1)))</f>
        <v>5</v>
      </c>
      <c r="G24" s="23">
        <f ca="1">'취약점 진단 항목별 통계'!G24</f>
        <v>0</v>
      </c>
      <c r="H24" s="23">
        <f ca="1">'취약점 진단 항목별 통계'!H24</f>
        <v>0</v>
      </c>
      <c r="I24" s="23">
        <f ca="1">'취약점 진단 항목별 통계'!I24</f>
        <v>5</v>
      </c>
      <c r="J24" s="23">
        <f ca="1">'취약점 진단 항목별 통계'!J24</f>
        <v>0</v>
      </c>
      <c r="K24" s="23">
        <f ca="1">COUNTIF($S24:INDIRECT(ADDRESS(ROW(),MATCH("",$4:$4,-1),1,1)),"조치")</f>
        <v>5</v>
      </c>
      <c r="L24" s="23">
        <f ca="1">COUNTIF($S24:INDIRECT(ADDRESS(ROW(),MATCH("",$4:$4,-1),1,1)),"미조치")</f>
        <v>0</v>
      </c>
      <c r="M24" s="23">
        <f ca="1">COUNTIF($S24:INDIRECT(ADDRESS(ROW(),MATCH("",$4:$4,-1),1,1)),"위험수용")</f>
        <v>0</v>
      </c>
      <c r="N24" s="23">
        <f ca="1">COUNTIF($S24:INDIRECT(ADDRESS(ROW(),MATCH("",$4:$4,-1),1,1)),"N/A")</f>
        <v>0</v>
      </c>
      <c r="O24" s="23">
        <f ca="1">VLOOKUP($D24,'parm(hidden)'!$B$8:$C$10,2,FALSE)*($F24-$J24)</f>
        <v>15</v>
      </c>
      <c r="P24" s="23">
        <f ca="1">VLOOKUP($D24,'parm(hidden)'!$B$8:$C$10,2,FALSE)*($F24-$N24)</f>
        <v>15</v>
      </c>
      <c r="Q24" s="36">
        <f ca="1">VLOOKUP($D24,'parm(hidden)'!$B$8:$C$10,2,FALSE)*($G24+$H24)</f>
        <v>0</v>
      </c>
      <c r="R24" s="23">
        <f ca="1">VLOOKUP($D24,'parm(hidden)'!$B$8:$C$10,2,FALSE)*($G24+$H24+$K24)</f>
        <v>15</v>
      </c>
      <c r="S24" s="47" t="str">
        <f t="shared" ca="1" si="0"/>
        <v>조치</v>
      </c>
      <c r="T24" s="47" t="str">
        <f t="shared" ca="1" si="0"/>
        <v>조치</v>
      </c>
      <c r="U24" s="125" t="str">
        <f t="shared" ca="1" si="0"/>
        <v>조치</v>
      </c>
      <c r="V24" s="47" t="str">
        <f t="shared" ca="1" si="0"/>
        <v>조치</v>
      </c>
      <c r="W24" s="47" t="str">
        <f t="shared" ca="1" si="0"/>
        <v>조치</v>
      </c>
    </row>
    <row r="25" spans="1:23">
      <c r="A25" s="115" t="str">
        <f>ChkList!A25</f>
        <v>파일 및 디렉터리 관리</v>
      </c>
      <c r="B25" s="28" t="str">
        <f>ChkList!$B25</f>
        <v>U-21</v>
      </c>
      <c r="C25" s="21" t="str">
        <f>ChkList!$C25</f>
        <v>/etc/(r)syslog.conf 파일 소유자 및 권한 설정</v>
      </c>
      <c r="D25" s="31" t="str">
        <f>ChkList!$D25</f>
        <v>H</v>
      </c>
      <c r="E25" s="31">
        <f>ChkList!$E25</f>
        <v>3</v>
      </c>
      <c r="F25" s="23">
        <f ca="1">COUNTA($S25:INDIRECT(ADDRESS(ROW(),MATCH("",$4:$4,-1),1,1)))</f>
        <v>5</v>
      </c>
      <c r="G25" s="23">
        <f ca="1">'취약점 진단 항목별 통계'!G25</f>
        <v>0</v>
      </c>
      <c r="H25" s="23">
        <f ca="1">'취약점 진단 항목별 통계'!H25</f>
        <v>0</v>
      </c>
      <c r="I25" s="23">
        <f ca="1">'취약점 진단 항목별 통계'!I25</f>
        <v>5</v>
      </c>
      <c r="J25" s="23">
        <f ca="1">'취약점 진단 항목별 통계'!J25</f>
        <v>0</v>
      </c>
      <c r="K25" s="23">
        <f ca="1">COUNTIF($S25:INDIRECT(ADDRESS(ROW(),MATCH("",$4:$4,-1),1,1)),"조치")</f>
        <v>5</v>
      </c>
      <c r="L25" s="23">
        <f ca="1">COUNTIF($S25:INDIRECT(ADDRESS(ROW(),MATCH("",$4:$4,-1),1,1)),"미조치")</f>
        <v>0</v>
      </c>
      <c r="M25" s="23">
        <f ca="1">COUNTIF($S25:INDIRECT(ADDRESS(ROW(),MATCH("",$4:$4,-1),1,1)),"위험수용")</f>
        <v>0</v>
      </c>
      <c r="N25" s="23">
        <f ca="1">COUNTIF($S25:INDIRECT(ADDRESS(ROW(),MATCH("",$4:$4,-1),1,1)),"N/A")</f>
        <v>0</v>
      </c>
      <c r="O25" s="23">
        <f ca="1">VLOOKUP($D25,'parm(hidden)'!$B$8:$C$10,2,FALSE)*($F25-$J25)</f>
        <v>15</v>
      </c>
      <c r="P25" s="23">
        <f ca="1">VLOOKUP($D25,'parm(hidden)'!$B$8:$C$10,2,FALSE)*($F25-$N25)</f>
        <v>15</v>
      </c>
      <c r="Q25" s="36">
        <f ca="1">VLOOKUP($D25,'parm(hidden)'!$B$8:$C$10,2,FALSE)*($G25+$H25)</f>
        <v>0</v>
      </c>
      <c r="R25" s="23">
        <f ca="1">VLOOKUP($D25,'parm(hidden)'!$B$8:$C$10,2,FALSE)*($G25+$H25+$K25)</f>
        <v>15</v>
      </c>
      <c r="S25" s="47" t="str">
        <f t="shared" ca="1" si="0"/>
        <v>조치</v>
      </c>
      <c r="T25" s="47" t="str">
        <f t="shared" ca="1" si="0"/>
        <v>조치</v>
      </c>
      <c r="U25" s="125" t="str">
        <f t="shared" ca="1" si="0"/>
        <v>조치</v>
      </c>
      <c r="V25" s="47" t="str">
        <f t="shared" ca="1" si="0"/>
        <v>조치</v>
      </c>
      <c r="W25" s="47" t="str">
        <f t="shared" ca="1" si="0"/>
        <v>조치</v>
      </c>
    </row>
    <row r="26" spans="1:23">
      <c r="A26" s="115" t="str">
        <f>ChkList!A26</f>
        <v>파일 및 디렉터리 관리</v>
      </c>
      <c r="B26" s="28" t="str">
        <f>ChkList!$B26</f>
        <v>U-22</v>
      </c>
      <c r="C26" s="21" t="str">
        <f>ChkList!$C26</f>
        <v>/etc/services 파일 소유자 및 권한 설정</v>
      </c>
      <c r="D26" s="31" t="str">
        <f>ChkList!$D26</f>
        <v>H</v>
      </c>
      <c r="E26" s="31">
        <f>ChkList!$E26</f>
        <v>3</v>
      </c>
      <c r="F26" s="23">
        <f ca="1">COUNTA($S26:INDIRECT(ADDRESS(ROW(),MATCH("",$4:$4,-1),1,1)))</f>
        <v>5</v>
      </c>
      <c r="G26" s="23">
        <f ca="1">'취약점 진단 항목별 통계'!G26</f>
        <v>0</v>
      </c>
      <c r="H26" s="23">
        <f ca="1">'취약점 진단 항목별 통계'!H26</f>
        <v>0</v>
      </c>
      <c r="I26" s="23">
        <f ca="1">'취약점 진단 항목별 통계'!I26</f>
        <v>5</v>
      </c>
      <c r="J26" s="23">
        <f ca="1">'취약점 진단 항목별 통계'!J26</f>
        <v>0</v>
      </c>
      <c r="K26" s="23">
        <f ca="1">COUNTIF($S26:INDIRECT(ADDRESS(ROW(),MATCH("",$4:$4,-1),1,1)),"조치")</f>
        <v>5</v>
      </c>
      <c r="L26" s="23">
        <f ca="1">COUNTIF($S26:INDIRECT(ADDRESS(ROW(),MATCH("",$4:$4,-1),1,1)),"미조치")</f>
        <v>0</v>
      </c>
      <c r="M26" s="23">
        <f ca="1">COUNTIF($S26:INDIRECT(ADDRESS(ROW(),MATCH("",$4:$4,-1),1,1)),"위험수용")</f>
        <v>0</v>
      </c>
      <c r="N26" s="23">
        <f ca="1">COUNTIF($S26:INDIRECT(ADDRESS(ROW(),MATCH("",$4:$4,-1),1,1)),"N/A")</f>
        <v>0</v>
      </c>
      <c r="O26" s="23">
        <f ca="1">VLOOKUP($D26,'parm(hidden)'!$B$8:$C$10,2,FALSE)*($F26-$J26)</f>
        <v>15</v>
      </c>
      <c r="P26" s="23">
        <f ca="1">VLOOKUP($D26,'parm(hidden)'!$B$8:$C$10,2,FALSE)*($F26-$N26)</f>
        <v>15</v>
      </c>
      <c r="Q26" s="36">
        <f ca="1">VLOOKUP($D26,'parm(hidden)'!$B$8:$C$10,2,FALSE)*($G26+$H26)</f>
        <v>0</v>
      </c>
      <c r="R26" s="23">
        <f ca="1">VLOOKUP($D26,'parm(hidden)'!$B$8:$C$10,2,FALSE)*($G26+$H26+$K26)</f>
        <v>15</v>
      </c>
      <c r="S26" s="47" t="str">
        <f t="shared" ca="1" si="0"/>
        <v>조치</v>
      </c>
      <c r="T26" s="47" t="str">
        <f t="shared" ca="1" si="0"/>
        <v>조치</v>
      </c>
      <c r="U26" s="125" t="str">
        <f t="shared" ca="1" si="0"/>
        <v>조치</v>
      </c>
      <c r="V26" s="47" t="str">
        <f t="shared" ca="1" si="0"/>
        <v>조치</v>
      </c>
      <c r="W26" s="47" t="str">
        <f t="shared" ca="1" si="0"/>
        <v>조치</v>
      </c>
    </row>
    <row r="27" spans="1:23">
      <c r="A27" s="115" t="str">
        <f>ChkList!A27</f>
        <v>파일 및 디렉터리 관리</v>
      </c>
      <c r="B27" s="28" t="str">
        <f>ChkList!$B27</f>
        <v>U-23</v>
      </c>
      <c r="C27" s="21" t="str">
        <f>ChkList!$C27</f>
        <v>SUID, SGID, Sticky bit 설정 파일 점검</v>
      </c>
      <c r="D27" s="31" t="str">
        <f>ChkList!$D27</f>
        <v>H</v>
      </c>
      <c r="E27" s="31">
        <f>ChkList!$E27</f>
        <v>3</v>
      </c>
      <c r="F27" s="23">
        <f ca="1">COUNTA($S27:INDIRECT(ADDRESS(ROW(),MATCH("",$4:$4,-1),1,1)))</f>
        <v>5</v>
      </c>
      <c r="G27" s="23">
        <f ca="1">'취약점 진단 항목별 통계'!G27</f>
        <v>5</v>
      </c>
      <c r="H27" s="23">
        <f ca="1">'취약점 진단 항목별 통계'!H27</f>
        <v>0</v>
      </c>
      <c r="I27" s="23">
        <f ca="1">'취약점 진단 항목별 통계'!I27</f>
        <v>0</v>
      </c>
      <c r="J27" s="23">
        <f ca="1">'취약점 진단 항목별 통계'!J27</f>
        <v>0</v>
      </c>
      <c r="K27" s="23">
        <f ca="1">COUNTIF($S27:INDIRECT(ADDRESS(ROW(),MATCH("",$4:$4,-1),1,1)),"조치")</f>
        <v>0</v>
      </c>
      <c r="L27" s="23">
        <f ca="1">COUNTIF($S27:INDIRECT(ADDRESS(ROW(),MATCH("",$4:$4,-1),1,1)),"미조치")</f>
        <v>0</v>
      </c>
      <c r="M27" s="23">
        <f ca="1">COUNTIF($S27:INDIRECT(ADDRESS(ROW(),MATCH("",$4:$4,-1),1,1)),"위험수용")</f>
        <v>0</v>
      </c>
      <c r="N27" s="23">
        <f ca="1">COUNTIF($S27:INDIRECT(ADDRESS(ROW(),MATCH("",$4:$4,-1),1,1)),"N/A")</f>
        <v>0</v>
      </c>
      <c r="O27" s="23">
        <f ca="1">VLOOKUP($D27,'parm(hidden)'!$B$8:$C$10,2,FALSE)*($F27-$J27)</f>
        <v>15</v>
      </c>
      <c r="P27" s="23">
        <f ca="1">VLOOKUP($D27,'parm(hidden)'!$B$8:$C$10,2,FALSE)*($F27-$N27)</f>
        <v>15</v>
      </c>
      <c r="Q27" s="36">
        <f ca="1">VLOOKUP($D27,'parm(hidden)'!$B$8:$C$10,2,FALSE)*($G27+$H27)</f>
        <v>15</v>
      </c>
      <c r="R27" s="23">
        <f ca="1">VLOOKUP($D27,'parm(hidden)'!$B$8:$C$10,2,FALSE)*($G27+$H27+$K27)</f>
        <v>15</v>
      </c>
      <c r="S27" s="47" t="str">
        <f t="shared" ca="1" si="0"/>
        <v>Y</v>
      </c>
      <c r="T27" s="47" t="str">
        <f t="shared" ca="1" si="0"/>
        <v>Y</v>
      </c>
      <c r="U27" s="125" t="str">
        <f t="shared" ca="1" si="0"/>
        <v>Y</v>
      </c>
      <c r="V27" s="47" t="str">
        <f t="shared" ca="1" si="0"/>
        <v>Y</v>
      </c>
      <c r="W27" s="47" t="str">
        <f t="shared" ca="1" si="0"/>
        <v>Y</v>
      </c>
    </row>
    <row r="28" spans="1:23" ht="22.5">
      <c r="A28" s="115" t="str">
        <f>ChkList!A28</f>
        <v>파일 및 디렉터리 관리</v>
      </c>
      <c r="B28" s="28" t="str">
        <f>ChkList!$B28</f>
        <v>U-24</v>
      </c>
      <c r="C28" s="21" t="str">
        <f>ChkList!$C28</f>
        <v>사용자, 시스템 시작파일 및 환경파일 소유자 및 권한 설정</v>
      </c>
      <c r="D28" s="31" t="str">
        <f>ChkList!$D28</f>
        <v>H</v>
      </c>
      <c r="E28" s="31">
        <f>ChkList!$E28</f>
        <v>3</v>
      </c>
      <c r="F28" s="23">
        <f ca="1">COUNTA($S28:INDIRECT(ADDRESS(ROW(),MATCH("",$4:$4,-1),1,1)))</f>
        <v>5</v>
      </c>
      <c r="G28" s="23">
        <f ca="1">'취약점 진단 항목별 통계'!G28</f>
        <v>0</v>
      </c>
      <c r="H28" s="23">
        <f ca="1">'취약점 진단 항목별 통계'!H28</f>
        <v>0</v>
      </c>
      <c r="I28" s="23">
        <f ca="1">'취약점 진단 항목별 통계'!I28</f>
        <v>5</v>
      </c>
      <c r="J28" s="23">
        <f ca="1">'취약점 진단 항목별 통계'!J28</f>
        <v>0</v>
      </c>
      <c r="K28" s="23">
        <f ca="1">COUNTIF($S28:INDIRECT(ADDRESS(ROW(),MATCH("",$4:$4,-1),1,1)),"조치")</f>
        <v>5</v>
      </c>
      <c r="L28" s="23">
        <f ca="1">COUNTIF($S28:INDIRECT(ADDRESS(ROW(),MATCH("",$4:$4,-1),1,1)),"미조치")</f>
        <v>0</v>
      </c>
      <c r="M28" s="23">
        <f ca="1">COUNTIF($S28:INDIRECT(ADDRESS(ROW(),MATCH("",$4:$4,-1),1,1)),"위험수용")</f>
        <v>0</v>
      </c>
      <c r="N28" s="23">
        <f ca="1">COUNTIF($S28:INDIRECT(ADDRESS(ROW(),MATCH("",$4:$4,-1),1,1)),"N/A")</f>
        <v>0</v>
      </c>
      <c r="O28" s="23">
        <f ca="1">VLOOKUP($D28,'parm(hidden)'!$B$8:$C$10,2,FALSE)*($F28-$J28)</f>
        <v>15</v>
      </c>
      <c r="P28" s="23">
        <f ca="1">VLOOKUP($D28,'parm(hidden)'!$B$8:$C$10,2,FALSE)*($F28-$N28)</f>
        <v>15</v>
      </c>
      <c r="Q28" s="36">
        <f ca="1">VLOOKUP($D28,'parm(hidden)'!$B$8:$C$10,2,FALSE)*($G28+$H28)</f>
        <v>0</v>
      </c>
      <c r="R28" s="23">
        <f ca="1">VLOOKUP($D28,'parm(hidden)'!$B$8:$C$10,2,FALSE)*($G28+$H28+$K28)</f>
        <v>15</v>
      </c>
      <c r="S28" s="47" t="str">
        <f t="shared" ca="1" si="0"/>
        <v>조치</v>
      </c>
      <c r="T28" s="47" t="str">
        <f t="shared" ca="1" si="0"/>
        <v>조치</v>
      </c>
      <c r="U28" s="125" t="str">
        <f t="shared" ca="1" si="0"/>
        <v>조치</v>
      </c>
      <c r="V28" s="47" t="str">
        <f t="shared" ref="S28:W70" ca="1" si="1">HYPERLINK("[" &amp; MID(CELL("filename"),SEARCH("[",CELL("filename"))+1, SEARCH("]",CELL("filename"))-SEARCH("[",CELL("filename"))-1) &amp; "]" &amp; ADDRESS(ROW()+16,11,1,TRUE,V$4),INDIRECT(ADDRESS(ROW()+16,11,1,TRUE,V$4)))</f>
        <v>조치</v>
      </c>
      <c r="W28" s="47" t="str">
        <f t="shared" ca="1" si="1"/>
        <v>조치</v>
      </c>
    </row>
    <row r="29" spans="1:23">
      <c r="A29" s="115" t="str">
        <f>ChkList!A29</f>
        <v>파일 및 디렉터리 관리</v>
      </c>
      <c r="B29" s="28" t="str">
        <f>ChkList!$B29</f>
        <v>U-25</v>
      </c>
      <c r="C29" s="21" t="str">
        <f>ChkList!$C29</f>
        <v>world writable 파일 점검</v>
      </c>
      <c r="D29" s="31" t="str">
        <f>ChkList!$D29</f>
        <v>H</v>
      </c>
      <c r="E29" s="31">
        <f>ChkList!$E29</f>
        <v>3</v>
      </c>
      <c r="F29" s="23">
        <f ca="1">COUNTA($S29:INDIRECT(ADDRESS(ROW(),MATCH("",$4:$4,-1),1,1)))</f>
        <v>5</v>
      </c>
      <c r="G29" s="23">
        <f ca="1">'취약점 진단 항목별 통계'!G29</f>
        <v>5</v>
      </c>
      <c r="H29" s="23">
        <f ca="1">'취약점 진단 항목별 통계'!H29</f>
        <v>0</v>
      </c>
      <c r="I29" s="23">
        <f ca="1">'취약점 진단 항목별 통계'!I29</f>
        <v>0</v>
      </c>
      <c r="J29" s="23">
        <f ca="1">'취약점 진단 항목별 통계'!J29</f>
        <v>0</v>
      </c>
      <c r="K29" s="23">
        <f ca="1">COUNTIF($S29:INDIRECT(ADDRESS(ROW(),MATCH("",$4:$4,-1),1,1)),"조치")</f>
        <v>0</v>
      </c>
      <c r="L29" s="23">
        <f ca="1">COUNTIF($S29:INDIRECT(ADDRESS(ROW(),MATCH("",$4:$4,-1),1,1)),"미조치")</f>
        <v>0</v>
      </c>
      <c r="M29" s="23">
        <f ca="1">COUNTIF($S29:INDIRECT(ADDRESS(ROW(),MATCH("",$4:$4,-1),1,1)),"위험수용")</f>
        <v>0</v>
      </c>
      <c r="N29" s="23">
        <f ca="1">COUNTIF($S29:INDIRECT(ADDRESS(ROW(),MATCH("",$4:$4,-1),1,1)),"N/A")</f>
        <v>0</v>
      </c>
      <c r="O29" s="23">
        <f ca="1">VLOOKUP($D29,'parm(hidden)'!$B$8:$C$10,2,FALSE)*($F29-$J29)</f>
        <v>15</v>
      </c>
      <c r="P29" s="23">
        <f ca="1">VLOOKUP($D29,'parm(hidden)'!$B$8:$C$10,2,FALSE)*($F29-$N29)</f>
        <v>15</v>
      </c>
      <c r="Q29" s="36">
        <f ca="1">VLOOKUP($D29,'parm(hidden)'!$B$8:$C$10,2,FALSE)*($G29+$H29)</f>
        <v>15</v>
      </c>
      <c r="R29" s="23">
        <f ca="1">VLOOKUP($D29,'parm(hidden)'!$B$8:$C$10,2,FALSE)*($G29+$H29+$K29)</f>
        <v>15</v>
      </c>
      <c r="S29" s="47" t="str">
        <f t="shared" ca="1" si="1"/>
        <v>Y</v>
      </c>
      <c r="T29" s="47" t="str">
        <f t="shared" ca="1" si="1"/>
        <v>Y</v>
      </c>
      <c r="U29" s="125" t="str">
        <f t="shared" ca="1" si="1"/>
        <v>Y</v>
      </c>
      <c r="V29" s="47" t="str">
        <f t="shared" ca="1" si="1"/>
        <v>Y</v>
      </c>
      <c r="W29" s="47" t="str">
        <f t="shared" ca="1" si="1"/>
        <v>Y</v>
      </c>
    </row>
    <row r="30" spans="1:23">
      <c r="A30" s="115" t="str">
        <f>ChkList!A30</f>
        <v>파일 및 디렉터리 관리</v>
      </c>
      <c r="B30" s="28" t="str">
        <f>ChkList!$B30</f>
        <v>U-26</v>
      </c>
      <c r="C30" s="21" t="str">
        <f>ChkList!$C30</f>
        <v>/dev에 존재하지 않는 device 파일 점검</v>
      </c>
      <c r="D30" s="31" t="str">
        <f>ChkList!$D30</f>
        <v>H</v>
      </c>
      <c r="E30" s="31">
        <f>ChkList!$E30</f>
        <v>3</v>
      </c>
      <c r="F30" s="23">
        <f ca="1">COUNTA($S30:INDIRECT(ADDRESS(ROW(),MATCH("",$4:$4,-1),1,1)))</f>
        <v>5</v>
      </c>
      <c r="G30" s="23">
        <f ca="1">'취약점 진단 항목별 통계'!G30</f>
        <v>0</v>
      </c>
      <c r="H30" s="23">
        <f ca="1">'취약점 진단 항목별 통계'!H30</f>
        <v>0</v>
      </c>
      <c r="I30" s="23">
        <f ca="1">'취약점 진단 항목별 통계'!I30</f>
        <v>5</v>
      </c>
      <c r="J30" s="23">
        <f ca="1">'취약점 진단 항목별 통계'!J30</f>
        <v>0</v>
      </c>
      <c r="K30" s="23">
        <f ca="1">COUNTIF($S30:INDIRECT(ADDRESS(ROW(),MATCH("",$4:$4,-1),1,1)),"조치")</f>
        <v>5</v>
      </c>
      <c r="L30" s="23">
        <f ca="1">COUNTIF($S30:INDIRECT(ADDRESS(ROW(),MATCH("",$4:$4,-1),1,1)),"미조치")</f>
        <v>0</v>
      </c>
      <c r="M30" s="23">
        <f ca="1">COUNTIF($S30:INDIRECT(ADDRESS(ROW(),MATCH("",$4:$4,-1),1,1)),"위험수용")</f>
        <v>0</v>
      </c>
      <c r="N30" s="23">
        <f ca="1">COUNTIF($S30:INDIRECT(ADDRESS(ROW(),MATCH("",$4:$4,-1),1,1)),"N/A")</f>
        <v>0</v>
      </c>
      <c r="O30" s="23">
        <f ca="1">VLOOKUP($D30,'parm(hidden)'!$B$8:$C$10,2,FALSE)*($F30-$J30)</f>
        <v>15</v>
      </c>
      <c r="P30" s="23">
        <f ca="1">VLOOKUP($D30,'parm(hidden)'!$B$8:$C$10,2,FALSE)*($F30-$N30)</f>
        <v>15</v>
      </c>
      <c r="Q30" s="36">
        <f ca="1">VLOOKUP($D30,'parm(hidden)'!$B$8:$C$10,2,FALSE)*($G30+$H30)</f>
        <v>0</v>
      </c>
      <c r="R30" s="23">
        <f ca="1">VLOOKUP($D30,'parm(hidden)'!$B$8:$C$10,2,FALSE)*($G30+$H30+$K30)</f>
        <v>15</v>
      </c>
      <c r="S30" s="47" t="str">
        <f t="shared" ca="1" si="1"/>
        <v>조치</v>
      </c>
      <c r="T30" s="47" t="str">
        <f t="shared" ca="1" si="1"/>
        <v>조치</v>
      </c>
      <c r="U30" s="125" t="str">
        <f t="shared" ca="1" si="1"/>
        <v>조치</v>
      </c>
      <c r="V30" s="47" t="str">
        <f t="shared" ca="1" si="1"/>
        <v>조치</v>
      </c>
      <c r="W30" s="47" t="str">
        <f t="shared" ca="1" si="1"/>
        <v>조치</v>
      </c>
    </row>
    <row r="31" spans="1:23">
      <c r="A31" s="115" t="str">
        <f>ChkList!A31</f>
        <v>파일 및 디렉터리 관리</v>
      </c>
      <c r="B31" s="28" t="str">
        <f>ChkList!$B31</f>
        <v>U-27</v>
      </c>
      <c r="C31" s="21" t="str">
        <f>ChkList!$C31</f>
        <v>$HOME/.rhosts, hosts.equiv 사용 금지</v>
      </c>
      <c r="D31" s="31" t="str">
        <f>ChkList!$D31</f>
        <v>H</v>
      </c>
      <c r="E31" s="31">
        <f>ChkList!$E31</f>
        <v>3</v>
      </c>
      <c r="F31" s="23">
        <f ca="1">COUNTA($S31:INDIRECT(ADDRESS(ROW(),MATCH("",$4:$4,-1),1,1)))</f>
        <v>5</v>
      </c>
      <c r="G31" s="23">
        <f ca="1">'취약점 진단 항목별 통계'!G31</f>
        <v>0</v>
      </c>
      <c r="H31" s="23">
        <f ca="1">'취약점 진단 항목별 통계'!H31</f>
        <v>0</v>
      </c>
      <c r="I31" s="23">
        <f ca="1">'취약점 진단 항목별 통계'!I31</f>
        <v>5</v>
      </c>
      <c r="J31" s="23">
        <f ca="1">'취약점 진단 항목별 통계'!J31</f>
        <v>0</v>
      </c>
      <c r="K31" s="23">
        <f ca="1">COUNTIF($S31:INDIRECT(ADDRESS(ROW(),MATCH("",$4:$4,-1),1,1)),"조치")</f>
        <v>5</v>
      </c>
      <c r="L31" s="23">
        <f ca="1">COUNTIF($S31:INDIRECT(ADDRESS(ROW(),MATCH("",$4:$4,-1),1,1)),"미조치")</f>
        <v>0</v>
      </c>
      <c r="M31" s="23">
        <f ca="1">COUNTIF($S31:INDIRECT(ADDRESS(ROW(),MATCH("",$4:$4,-1),1,1)),"위험수용")</f>
        <v>0</v>
      </c>
      <c r="N31" s="23">
        <f ca="1">COUNTIF($S31:INDIRECT(ADDRESS(ROW(),MATCH("",$4:$4,-1),1,1)),"N/A")</f>
        <v>0</v>
      </c>
      <c r="O31" s="23">
        <f ca="1">VLOOKUP($D31,'parm(hidden)'!$B$8:$C$10,2,FALSE)*($F31-$J31)</f>
        <v>15</v>
      </c>
      <c r="P31" s="23">
        <f ca="1">VLOOKUP($D31,'parm(hidden)'!$B$8:$C$10,2,FALSE)*($F31-$N31)</f>
        <v>15</v>
      </c>
      <c r="Q31" s="36">
        <f ca="1">VLOOKUP($D31,'parm(hidden)'!$B$8:$C$10,2,FALSE)*($G31+$H31)</f>
        <v>0</v>
      </c>
      <c r="R31" s="23">
        <f ca="1">VLOOKUP($D31,'parm(hidden)'!$B$8:$C$10,2,FALSE)*($G31+$H31+$K31)</f>
        <v>15</v>
      </c>
      <c r="S31" s="47" t="str">
        <f t="shared" ca="1" si="1"/>
        <v>조치</v>
      </c>
      <c r="T31" s="47" t="str">
        <f t="shared" ca="1" si="1"/>
        <v>조치</v>
      </c>
      <c r="U31" s="125" t="str">
        <f t="shared" ca="1" si="1"/>
        <v>조치</v>
      </c>
      <c r="V31" s="47" t="str">
        <f t="shared" ca="1" si="1"/>
        <v>조치</v>
      </c>
      <c r="W31" s="47" t="str">
        <f t="shared" ca="1" si="1"/>
        <v>조치</v>
      </c>
    </row>
    <row r="32" spans="1:23">
      <c r="A32" s="115" t="str">
        <f>ChkList!A32</f>
        <v>파일 및 디렉터리 관리</v>
      </c>
      <c r="B32" s="28" t="str">
        <f>ChkList!$B32</f>
        <v>U-28</v>
      </c>
      <c r="C32" s="21" t="str">
        <f>ChkList!$C32</f>
        <v>접속 IP 및 포트 제한</v>
      </c>
      <c r="D32" s="31" t="str">
        <f>ChkList!$D32</f>
        <v>H</v>
      </c>
      <c r="E32" s="31">
        <f>ChkList!$E32</f>
        <v>3</v>
      </c>
      <c r="F32" s="23">
        <f ca="1">COUNTA($S32:INDIRECT(ADDRESS(ROW(),MATCH("",$4:$4,-1),1,1)))</f>
        <v>5</v>
      </c>
      <c r="G32" s="23">
        <f ca="1">'취약점 진단 항목별 통계'!G32</f>
        <v>5</v>
      </c>
      <c r="H32" s="23">
        <f ca="1">'취약점 진단 항목별 통계'!H32</f>
        <v>0</v>
      </c>
      <c r="I32" s="23">
        <f ca="1">'취약점 진단 항목별 통계'!I32</f>
        <v>0</v>
      </c>
      <c r="J32" s="23">
        <f ca="1">'취약점 진단 항목별 통계'!J32</f>
        <v>0</v>
      </c>
      <c r="K32" s="23">
        <f ca="1">COUNTIF($S32:INDIRECT(ADDRESS(ROW(),MATCH("",$4:$4,-1),1,1)),"조치")</f>
        <v>0</v>
      </c>
      <c r="L32" s="23">
        <f ca="1">COUNTIF($S32:INDIRECT(ADDRESS(ROW(),MATCH("",$4:$4,-1),1,1)),"미조치")</f>
        <v>0</v>
      </c>
      <c r="M32" s="23">
        <f ca="1">COUNTIF($S32:INDIRECT(ADDRESS(ROW(),MATCH("",$4:$4,-1),1,1)),"위험수용")</f>
        <v>0</v>
      </c>
      <c r="N32" s="23">
        <f ca="1">COUNTIF($S32:INDIRECT(ADDRESS(ROW(),MATCH("",$4:$4,-1),1,1)),"N/A")</f>
        <v>0</v>
      </c>
      <c r="O32" s="23">
        <f ca="1">VLOOKUP($D32,'parm(hidden)'!$B$8:$C$10,2,FALSE)*($F32-$J32)</f>
        <v>15</v>
      </c>
      <c r="P32" s="23">
        <f ca="1">VLOOKUP($D32,'parm(hidden)'!$B$8:$C$10,2,FALSE)*($F32-$N32)</f>
        <v>15</v>
      </c>
      <c r="Q32" s="36">
        <f ca="1">VLOOKUP($D32,'parm(hidden)'!$B$8:$C$10,2,FALSE)*($G32+$H32)</f>
        <v>15</v>
      </c>
      <c r="R32" s="23">
        <f ca="1">VLOOKUP($D32,'parm(hidden)'!$B$8:$C$10,2,FALSE)*($G32+$H32+$K32)</f>
        <v>15</v>
      </c>
      <c r="S32" s="47" t="str">
        <f t="shared" ca="1" si="1"/>
        <v>Y</v>
      </c>
      <c r="T32" s="47" t="str">
        <f t="shared" ca="1" si="1"/>
        <v>Y</v>
      </c>
      <c r="U32" s="125" t="str">
        <f t="shared" ca="1" si="1"/>
        <v>Y</v>
      </c>
      <c r="V32" s="47" t="str">
        <f t="shared" ca="1" si="1"/>
        <v>Y</v>
      </c>
      <c r="W32" s="47" t="str">
        <f t="shared" ca="1" si="1"/>
        <v>Y</v>
      </c>
    </row>
    <row r="33" spans="1:23">
      <c r="A33" s="115" t="str">
        <f>ChkList!A33</f>
        <v>파일 및 디렉터리 관리</v>
      </c>
      <c r="B33" s="28" t="str">
        <f>ChkList!$B33</f>
        <v>U-29</v>
      </c>
      <c r="C33" s="21" t="str">
        <f>ChkList!$C33</f>
        <v>hosts.lpd 파일 소유자 및 권한 설정</v>
      </c>
      <c r="D33" s="31" t="str">
        <f>ChkList!$D33</f>
        <v>L</v>
      </c>
      <c r="E33" s="31">
        <f>ChkList!$E33</f>
        <v>1</v>
      </c>
      <c r="F33" s="23">
        <f ca="1">COUNTA($S33:INDIRECT(ADDRESS(ROW(),MATCH("",$4:$4,-1),1,1)))</f>
        <v>5</v>
      </c>
      <c r="G33" s="23">
        <f ca="1">'취약점 진단 항목별 통계'!G33</f>
        <v>0</v>
      </c>
      <c r="H33" s="23">
        <f ca="1">'취약점 진단 항목별 통계'!H33</f>
        <v>0</v>
      </c>
      <c r="I33" s="23">
        <f ca="1">'취약점 진단 항목별 통계'!I33</f>
        <v>5</v>
      </c>
      <c r="J33" s="23">
        <f ca="1">'취약점 진단 항목별 통계'!J33</f>
        <v>0</v>
      </c>
      <c r="K33" s="23">
        <f ca="1">COUNTIF($S33:INDIRECT(ADDRESS(ROW(),MATCH("",$4:$4,-1),1,1)),"조치")</f>
        <v>5</v>
      </c>
      <c r="L33" s="23">
        <f ca="1">COUNTIF($S33:INDIRECT(ADDRESS(ROW(),MATCH("",$4:$4,-1),1,1)),"미조치")</f>
        <v>0</v>
      </c>
      <c r="M33" s="23">
        <f ca="1">COUNTIF($S33:INDIRECT(ADDRESS(ROW(),MATCH("",$4:$4,-1),1,1)),"위험수용")</f>
        <v>0</v>
      </c>
      <c r="N33" s="23">
        <f ca="1">COUNTIF($S33:INDIRECT(ADDRESS(ROW(),MATCH("",$4:$4,-1),1,1)),"N/A")</f>
        <v>0</v>
      </c>
      <c r="O33" s="23">
        <f ca="1">VLOOKUP($D33,'parm(hidden)'!$B$8:$C$10,2,FALSE)*($F33-$J33)</f>
        <v>5</v>
      </c>
      <c r="P33" s="23">
        <f ca="1">VLOOKUP($D33,'parm(hidden)'!$B$8:$C$10,2,FALSE)*($F33-$N33)</f>
        <v>5</v>
      </c>
      <c r="Q33" s="36">
        <f ca="1">VLOOKUP($D33,'parm(hidden)'!$B$8:$C$10,2,FALSE)*($G33+$H33)</f>
        <v>0</v>
      </c>
      <c r="R33" s="23">
        <f ca="1">VLOOKUP($D33,'parm(hidden)'!$B$8:$C$10,2,FALSE)*($G33+$H33+$K33)</f>
        <v>5</v>
      </c>
      <c r="S33" s="47" t="str">
        <f t="shared" ca="1" si="1"/>
        <v>조치</v>
      </c>
      <c r="T33" s="47" t="str">
        <f t="shared" ca="1" si="1"/>
        <v>조치</v>
      </c>
      <c r="U33" s="125" t="str">
        <f t="shared" ca="1" si="1"/>
        <v>조치</v>
      </c>
      <c r="V33" s="47" t="str">
        <f t="shared" ca="1" si="1"/>
        <v>조치</v>
      </c>
      <c r="W33" s="47" t="str">
        <f t="shared" ca="1" si="1"/>
        <v>조치</v>
      </c>
    </row>
    <row r="34" spans="1:23">
      <c r="A34" s="115" t="str">
        <f>ChkList!A34</f>
        <v>파일 및 디렉터리 관리</v>
      </c>
      <c r="B34" s="28" t="str">
        <f>ChkList!$B34</f>
        <v>U-30</v>
      </c>
      <c r="C34" s="21" t="str">
        <f>ChkList!$C34</f>
        <v>UMASK 설정 관리</v>
      </c>
      <c r="D34" s="31" t="str">
        <f>ChkList!$D34</f>
        <v>M</v>
      </c>
      <c r="E34" s="31">
        <f>ChkList!$E34</f>
        <v>2</v>
      </c>
      <c r="F34" s="23">
        <f ca="1">COUNTA($S34:INDIRECT(ADDRESS(ROW(),MATCH("",$4:$4,-1),1,1)))</f>
        <v>5</v>
      </c>
      <c r="G34" s="23">
        <f ca="1">'취약점 진단 항목별 통계'!G34</f>
        <v>5</v>
      </c>
      <c r="H34" s="23">
        <f ca="1">'취약점 진단 항목별 통계'!H34</f>
        <v>0</v>
      </c>
      <c r="I34" s="23">
        <f ca="1">'취약점 진단 항목별 통계'!I34</f>
        <v>0</v>
      </c>
      <c r="J34" s="23">
        <f ca="1">'취약점 진단 항목별 통계'!J34</f>
        <v>0</v>
      </c>
      <c r="K34" s="23">
        <f ca="1">COUNTIF($S34:INDIRECT(ADDRESS(ROW(),MATCH("",$4:$4,-1),1,1)),"조치")</f>
        <v>0</v>
      </c>
      <c r="L34" s="23">
        <f ca="1">COUNTIF($S34:INDIRECT(ADDRESS(ROW(),MATCH("",$4:$4,-1),1,1)),"미조치")</f>
        <v>0</v>
      </c>
      <c r="M34" s="23">
        <f ca="1">COUNTIF($S34:INDIRECT(ADDRESS(ROW(),MATCH("",$4:$4,-1),1,1)),"위험수용")</f>
        <v>0</v>
      </c>
      <c r="N34" s="23">
        <f ca="1">COUNTIF($S34:INDIRECT(ADDRESS(ROW(),MATCH("",$4:$4,-1),1,1)),"N/A")</f>
        <v>0</v>
      </c>
      <c r="O34" s="23">
        <f ca="1">VLOOKUP($D34,'parm(hidden)'!$B$8:$C$10,2,FALSE)*($F34-$J34)</f>
        <v>10</v>
      </c>
      <c r="P34" s="23">
        <f ca="1">VLOOKUP($D34,'parm(hidden)'!$B$8:$C$10,2,FALSE)*($F34-$N34)</f>
        <v>10</v>
      </c>
      <c r="Q34" s="36">
        <f ca="1">VLOOKUP($D34,'parm(hidden)'!$B$8:$C$10,2,FALSE)*($G34+$H34)</f>
        <v>10</v>
      </c>
      <c r="R34" s="23">
        <f ca="1">VLOOKUP($D34,'parm(hidden)'!$B$8:$C$10,2,FALSE)*($G34+$H34+$K34)</f>
        <v>10</v>
      </c>
      <c r="S34" s="47" t="str">
        <f t="shared" ca="1" si="1"/>
        <v>Y</v>
      </c>
      <c r="T34" s="47" t="str">
        <f t="shared" ca="1" si="1"/>
        <v>Y</v>
      </c>
      <c r="U34" s="125" t="str">
        <f t="shared" ca="1" si="1"/>
        <v>Y</v>
      </c>
      <c r="V34" s="47" t="str">
        <f t="shared" ca="1" si="1"/>
        <v>Y</v>
      </c>
      <c r="W34" s="47" t="str">
        <f t="shared" ca="1" si="1"/>
        <v>Y</v>
      </c>
    </row>
    <row r="35" spans="1:23">
      <c r="A35" s="115" t="str">
        <f>ChkList!A35</f>
        <v>파일 및 디렉터리 관리</v>
      </c>
      <c r="B35" s="28" t="str">
        <f>ChkList!$B35</f>
        <v>U-31</v>
      </c>
      <c r="C35" s="21" t="str">
        <f>ChkList!$C35</f>
        <v>홈 디렉터리 소유자 및 권한 설정</v>
      </c>
      <c r="D35" s="31" t="str">
        <f>ChkList!$D35</f>
        <v>M</v>
      </c>
      <c r="E35" s="31">
        <f>ChkList!$E35</f>
        <v>2</v>
      </c>
      <c r="F35" s="23">
        <f ca="1">COUNTA($S35:INDIRECT(ADDRESS(ROW(),MATCH("",$4:$4,-1),1,1)))</f>
        <v>5</v>
      </c>
      <c r="G35" s="23">
        <f ca="1">'취약점 진단 항목별 통계'!G35</f>
        <v>5</v>
      </c>
      <c r="H35" s="23">
        <f ca="1">'취약점 진단 항목별 통계'!H35</f>
        <v>0</v>
      </c>
      <c r="I35" s="23">
        <f ca="1">'취약점 진단 항목별 통계'!I35</f>
        <v>0</v>
      </c>
      <c r="J35" s="23">
        <f ca="1">'취약점 진단 항목별 통계'!J35</f>
        <v>0</v>
      </c>
      <c r="K35" s="23">
        <f ca="1">COUNTIF($S35:INDIRECT(ADDRESS(ROW(),MATCH("",$4:$4,-1),1,1)),"조치")</f>
        <v>0</v>
      </c>
      <c r="L35" s="23">
        <f ca="1">COUNTIF($S35:INDIRECT(ADDRESS(ROW(),MATCH("",$4:$4,-1),1,1)),"미조치")</f>
        <v>0</v>
      </c>
      <c r="M35" s="23">
        <f ca="1">COUNTIF($S35:INDIRECT(ADDRESS(ROW(),MATCH("",$4:$4,-1),1,1)),"위험수용")</f>
        <v>0</v>
      </c>
      <c r="N35" s="23">
        <f ca="1">COUNTIF($S35:INDIRECT(ADDRESS(ROW(),MATCH("",$4:$4,-1),1,1)),"N/A")</f>
        <v>0</v>
      </c>
      <c r="O35" s="23">
        <f ca="1">VLOOKUP($D35,'parm(hidden)'!$B$8:$C$10,2,FALSE)*($F35-$J35)</f>
        <v>10</v>
      </c>
      <c r="P35" s="23">
        <f ca="1">VLOOKUP($D35,'parm(hidden)'!$B$8:$C$10,2,FALSE)*($F35-$N35)</f>
        <v>10</v>
      </c>
      <c r="Q35" s="36">
        <f ca="1">VLOOKUP($D35,'parm(hidden)'!$B$8:$C$10,2,FALSE)*($G35+$H35)</f>
        <v>10</v>
      </c>
      <c r="R35" s="23">
        <f ca="1">VLOOKUP($D35,'parm(hidden)'!$B$8:$C$10,2,FALSE)*($G35+$H35+$K35)</f>
        <v>10</v>
      </c>
      <c r="S35" s="47" t="str">
        <f t="shared" ca="1" si="1"/>
        <v>Y</v>
      </c>
      <c r="T35" s="47" t="str">
        <f t="shared" ca="1" si="1"/>
        <v>Y</v>
      </c>
      <c r="U35" s="125" t="str">
        <f t="shared" ca="1" si="1"/>
        <v>Y</v>
      </c>
      <c r="V35" s="47" t="str">
        <f t="shared" ca="1" si="1"/>
        <v>Y</v>
      </c>
      <c r="W35" s="47" t="str">
        <f t="shared" ca="1" si="1"/>
        <v>Y</v>
      </c>
    </row>
    <row r="36" spans="1:23">
      <c r="A36" s="115" t="str">
        <f>ChkList!A36</f>
        <v>파일 및 디렉터리 관리</v>
      </c>
      <c r="B36" s="28" t="str">
        <f>ChkList!$B36</f>
        <v>U-32</v>
      </c>
      <c r="C36" s="21" t="str">
        <f>ChkList!$C36</f>
        <v>홈 디렉터리로 지정한 디렉터리의 존재 관리</v>
      </c>
      <c r="D36" s="31" t="str">
        <f>ChkList!$D36</f>
        <v>M</v>
      </c>
      <c r="E36" s="31">
        <f>ChkList!$E36</f>
        <v>2</v>
      </c>
      <c r="F36" s="23">
        <f ca="1">COUNTA($S36:INDIRECT(ADDRESS(ROW(),MATCH("",$4:$4,-1),1,1)))</f>
        <v>5</v>
      </c>
      <c r="G36" s="23">
        <f ca="1">'취약점 진단 항목별 통계'!G36</f>
        <v>5</v>
      </c>
      <c r="H36" s="23">
        <f ca="1">'취약점 진단 항목별 통계'!H36</f>
        <v>0</v>
      </c>
      <c r="I36" s="23">
        <f ca="1">'취약점 진단 항목별 통계'!I36</f>
        <v>0</v>
      </c>
      <c r="J36" s="23">
        <f ca="1">'취약점 진단 항목별 통계'!J36</f>
        <v>0</v>
      </c>
      <c r="K36" s="23">
        <f ca="1">COUNTIF($S36:INDIRECT(ADDRESS(ROW(),MATCH("",$4:$4,-1),1,1)),"조치")</f>
        <v>0</v>
      </c>
      <c r="L36" s="23">
        <f ca="1">COUNTIF($S36:INDIRECT(ADDRESS(ROW(),MATCH("",$4:$4,-1),1,1)),"미조치")</f>
        <v>0</v>
      </c>
      <c r="M36" s="23">
        <f ca="1">COUNTIF($S36:INDIRECT(ADDRESS(ROW(),MATCH("",$4:$4,-1),1,1)),"위험수용")</f>
        <v>0</v>
      </c>
      <c r="N36" s="23">
        <f ca="1">COUNTIF($S36:INDIRECT(ADDRESS(ROW(),MATCH("",$4:$4,-1),1,1)),"N/A")</f>
        <v>0</v>
      </c>
      <c r="O36" s="23">
        <f ca="1">VLOOKUP($D36,'parm(hidden)'!$B$8:$C$10,2,FALSE)*($F36-$J36)</f>
        <v>10</v>
      </c>
      <c r="P36" s="23">
        <f ca="1">VLOOKUP($D36,'parm(hidden)'!$B$8:$C$10,2,FALSE)*($F36-$N36)</f>
        <v>10</v>
      </c>
      <c r="Q36" s="36">
        <f ca="1">VLOOKUP($D36,'parm(hidden)'!$B$8:$C$10,2,FALSE)*($G36+$H36)</f>
        <v>10</v>
      </c>
      <c r="R36" s="23">
        <f ca="1">VLOOKUP($D36,'parm(hidden)'!$B$8:$C$10,2,FALSE)*($G36+$H36+$K36)</f>
        <v>10</v>
      </c>
      <c r="S36" s="47" t="str">
        <f t="shared" ca="1" si="1"/>
        <v>Y</v>
      </c>
      <c r="T36" s="47" t="str">
        <f t="shared" ca="1" si="1"/>
        <v>Y</v>
      </c>
      <c r="U36" s="125" t="str">
        <f t="shared" ca="1" si="1"/>
        <v>Y</v>
      </c>
      <c r="V36" s="47" t="str">
        <f t="shared" ca="1" si="1"/>
        <v>Y</v>
      </c>
      <c r="W36" s="47" t="str">
        <f t="shared" ca="1" si="1"/>
        <v>Y</v>
      </c>
    </row>
    <row r="37" spans="1:23">
      <c r="A37" s="115" t="str">
        <f>ChkList!A37</f>
        <v>파일 및 디렉터리 관리</v>
      </c>
      <c r="B37" s="28" t="str">
        <f>ChkList!$B37</f>
        <v>U-33</v>
      </c>
      <c r="C37" s="21" t="str">
        <f>ChkList!$C37</f>
        <v>숨겨진 파일 및 디렉터리 검색 및 제거</v>
      </c>
      <c r="D37" s="31" t="str">
        <f>ChkList!$D37</f>
        <v>L</v>
      </c>
      <c r="E37" s="31">
        <f>ChkList!$E37</f>
        <v>1</v>
      </c>
      <c r="F37" s="23">
        <f ca="1">COUNTA($S37:INDIRECT(ADDRESS(ROW(),MATCH("",$4:$4,-1),1,1)))</f>
        <v>5</v>
      </c>
      <c r="G37" s="23">
        <f ca="1">'취약점 진단 항목별 통계'!G37</f>
        <v>5</v>
      </c>
      <c r="H37" s="23">
        <f ca="1">'취약점 진단 항목별 통계'!H37</f>
        <v>0</v>
      </c>
      <c r="I37" s="23">
        <f ca="1">'취약점 진단 항목별 통계'!I37</f>
        <v>0</v>
      </c>
      <c r="J37" s="23">
        <f ca="1">'취약점 진단 항목별 통계'!J37</f>
        <v>0</v>
      </c>
      <c r="K37" s="23">
        <f ca="1">COUNTIF($S37:INDIRECT(ADDRESS(ROW(),MATCH("",$4:$4,-1),1,1)),"조치")</f>
        <v>0</v>
      </c>
      <c r="L37" s="23">
        <f ca="1">COUNTIF($S37:INDIRECT(ADDRESS(ROW(),MATCH("",$4:$4,-1),1,1)),"미조치")</f>
        <v>0</v>
      </c>
      <c r="M37" s="23">
        <f ca="1">COUNTIF($S37:INDIRECT(ADDRESS(ROW(),MATCH("",$4:$4,-1),1,1)),"위험수용")</f>
        <v>0</v>
      </c>
      <c r="N37" s="23">
        <f ca="1">COUNTIF($S37:INDIRECT(ADDRESS(ROW(),MATCH("",$4:$4,-1),1,1)),"N/A")</f>
        <v>0</v>
      </c>
      <c r="O37" s="23">
        <f ca="1">VLOOKUP($D37,'parm(hidden)'!$B$8:$C$10,2,FALSE)*($F37-$J37)</f>
        <v>5</v>
      </c>
      <c r="P37" s="23">
        <f ca="1">VLOOKUP($D37,'parm(hidden)'!$B$8:$C$10,2,FALSE)*($F37-$N37)</f>
        <v>5</v>
      </c>
      <c r="Q37" s="36">
        <f ca="1">VLOOKUP($D37,'parm(hidden)'!$B$8:$C$10,2,FALSE)*($G37+$H37)</f>
        <v>5</v>
      </c>
      <c r="R37" s="23">
        <f ca="1">VLOOKUP($D37,'parm(hidden)'!$B$8:$C$10,2,FALSE)*($G37+$H37+$K37)</f>
        <v>5</v>
      </c>
      <c r="S37" s="47" t="str">
        <f t="shared" ca="1" si="1"/>
        <v>Y</v>
      </c>
      <c r="T37" s="47" t="str">
        <f t="shared" ca="1" si="1"/>
        <v>Y</v>
      </c>
      <c r="U37" s="125" t="str">
        <f t="shared" ca="1" si="1"/>
        <v>Y</v>
      </c>
      <c r="V37" s="47" t="str">
        <f t="shared" ca="1" si="1"/>
        <v>Y</v>
      </c>
      <c r="W37" s="47" t="str">
        <f t="shared" ca="1" si="1"/>
        <v>Y</v>
      </c>
    </row>
    <row r="38" spans="1:23">
      <c r="A38" s="115" t="str">
        <f>ChkList!A38</f>
        <v>서비스 관리</v>
      </c>
      <c r="B38" s="28" t="str">
        <f>ChkList!$B38</f>
        <v>U-34</v>
      </c>
      <c r="C38" s="21" t="str">
        <f>ChkList!$C38</f>
        <v>Finger 서비스 비활성화</v>
      </c>
      <c r="D38" s="31" t="str">
        <f>ChkList!$D38</f>
        <v>H</v>
      </c>
      <c r="E38" s="31">
        <f>ChkList!$E38</f>
        <v>3</v>
      </c>
      <c r="F38" s="23">
        <f ca="1">COUNTA($S38:INDIRECT(ADDRESS(ROW(),MATCH("",$4:$4,-1),1,1)))</f>
        <v>5</v>
      </c>
      <c r="G38" s="23">
        <f ca="1">'취약점 진단 항목별 통계'!G38</f>
        <v>0</v>
      </c>
      <c r="H38" s="23">
        <f ca="1">'취약점 진단 항목별 통계'!H38</f>
        <v>0</v>
      </c>
      <c r="I38" s="23">
        <f ca="1">'취약점 진단 항목별 통계'!I38</f>
        <v>0</v>
      </c>
      <c r="J38" s="23">
        <f ca="1">'취약점 진단 항목별 통계'!J38</f>
        <v>0</v>
      </c>
      <c r="K38" s="23">
        <f ca="1">COUNTIF($S38:INDIRECT(ADDRESS(ROW(),MATCH("",$4:$4,-1),1,1)),"조치")</f>
        <v>0</v>
      </c>
      <c r="L38" s="23">
        <f ca="1">COUNTIF($S38:INDIRECT(ADDRESS(ROW(),MATCH("",$4:$4,-1),1,1)),"미조치")</f>
        <v>0</v>
      </c>
      <c r="M38" s="23">
        <f ca="1">COUNTIF($S38:INDIRECT(ADDRESS(ROW(),MATCH("",$4:$4,-1),1,1)),"위험수용")</f>
        <v>0</v>
      </c>
      <c r="N38" s="23">
        <f ca="1">COUNTIF($S38:INDIRECT(ADDRESS(ROW(),MATCH("",$4:$4,-1),1,1)),"N/A")</f>
        <v>0</v>
      </c>
      <c r="O38" s="23">
        <f ca="1">VLOOKUP($D38,'parm(hidden)'!$B$8:$C$10,2,FALSE)*($F38-$J38)</f>
        <v>15</v>
      </c>
      <c r="P38" s="23">
        <f ca="1">VLOOKUP($D38,'parm(hidden)'!$B$8:$C$10,2,FALSE)*($F38-$N38)</f>
        <v>15</v>
      </c>
      <c r="Q38" s="36">
        <f ca="1">VLOOKUP($D38,'parm(hidden)'!$B$8:$C$10,2,FALSE)*($G38+$H38)</f>
        <v>0</v>
      </c>
      <c r="R38" s="23">
        <f ca="1">VLOOKUP($D38,'parm(hidden)'!$B$8:$C$10,2,FALSE)*($G38+$H38+$K38)</f>
        <v>0</v>
      </c>
      <c r="S38" s="47">
        <f t="shared" ca="1" si="1"/>
        <v>0</v>
      </c>
      <c r="T38" s="47">
        <f t="shared" ca="1" si="1"/>
        <v>0</v>
      </c>
      <c r="U38" s="125">
        <f t="shared" ca="1" si="1"/>
        <v>0</v>
      </c>
      <c r="V38" s="47">
        <f t="shared" ca="1" si="1"/>
        <v>0</v>
      </c>
      <c r="W38" s="47">
        <f t="shared" ca="1" si="1"/>
        <v>0</v>
      </c>
    </row>
    <row r="39" spans="1:23">
      <c r="A39" s="115" t="str">
        <f>ChkList!A39</f>
        <v>서비스 관리</v>
      </c>
      <c r="B39" s="28" t="str">
        <f>ChkList!$B39</f>
        <v>U-35</v>
      </c>
      <c r="C39" s="21" t="str">
        <f>ChkList!$C39</f>
        <v>공유 서비스에 대한 익명 접근 제한 설정</v>
      </c>
      <c r="D39" s="31" t="str">
        <f>ChkList!$D39</f>
        <v>H</v>
      </c>
      <c r="E39" s="31">
        <f>ChkList!$E39</f>
        <v>3</v>
      </c>
      <c r="F39" s="23">
        <f ca="1">COUNTA($S39:INDIRECT(ADDRESS(ROW(),MATCH("",$4:$4,-1),1,1)))</f>
        <v>5</v>
      </c>
      <c r="G39" s="23">
        <f ca="1">'취약점 진단 항목별 통계'!G39</f>
        <v>5</v>
      </c>
      <c r="H39" s="23">
        <f ca="1">'취약점 진단 항목별 통계'!H39</f>
        <v>0</v>
      </c>
      <c r="I39" s="23">
        <f ca="1">'취약점 진단 항목별 통계'!I39</f>
        <v>0</v>
      </c>
      <c r="J39" s="23">
        <f ca="1">'취약점 진단 항목별 통계'!J39</f>
        <v>0</v>
      </c>
      <c r="K39" s="23">
        <f ca="1">COUNTIF($S39:INDIRECT(ADDRESS(ROW(),MATCH("",$4:$4,-1),1,1)),"조치")</f>
        <v>0</v>
      </c>
      <c r="L39" s="23">
        <f ca="1">COUNTIF($S39:INDIRECT(ADDRESS(ROW(),MATCH("",$4:$4,-1),1,1)),"미조치")</f>
        <v>0</v>
      </c>
      <c r="M39" s="23">
        <f ca="1">COUNTIF($S39:INDIRECT(ADDRESS(ROW(),MATCH("",$4:$4,-1),1,1)),"위험수용")</f>
        <v>0</v>
      </c>
      <c r="N39" s="23">
        <f ca="1">COUNTIF($S39:INDIRECT(ADDRESS(ROW(),MATCH("",$4:$4,-1),1,1)),"N/A")</f>
        <v>0</v>
      </c>
      <c r="O39" s="23">
        <f ca="1">VLOOKUP($D39,'parm(hidden)'!$B$8:$C$10,2,FALSE)*($F39-$J39)</f>
        <v>15</v>
      </c>
      <c r="P39" s="23">
        <f ca="1">VLOOKUP($D39,'parm(hidden)'!$B$8:$C$10,2,FALSE)*($F39-$N39)</f>
        <v>15</v>
      </c>
      <c r="Q39" s="36">
        <f ca="1">VLOOKUP($D39,'parm(hidden)'!$B$8:$C$10,2,FALSE)*($G39+$H39)</f>
        <v>15</v>
      </c>
      <c r="R39" s="23">
        <f ca="1">VLOOKUP($D39,'parm(hidden)'!$B$8:$C$10,2,FALSE)*($G39+$H39+$K39)</f>
        <v>15</v>
      </c>
      <c r="S39" s="47" t="str">
        <f t="shared" ca="1" si="1"/>
        <v>Y</v>
      </c>
      <c r="T39" s="47" t="str">
        <f t="shared" ca="1" si="1"/>
        <v>Y</v>
      </c>
      <c r="U39" s="125" t="str">
        <f t="shared" ca="1" si="1"/>
        <v>Y</v>
      </c>
      <c r="V39" s="47" t="str">
        <f t="shared" ca="1" si="1"/>
        <v>Y</v>
      </c>
      <c r="W39" s="47" t="str">
        <f t="shared" ca="1" si="1"/>
        <v>Y</v>
      </c>
    </row>
    <row r="40" spans="1:23">
      <c r="A40" s="115" t="str">
        <f>ChkList!A40</f>
        <v>서비스 관리</v>
      </c>
      <c r="B40" s="28" t="str">
        <f>ChkList!$B40</f>
        <v>U-36</v>
      </c>
      <c r="C40" s="21" t="str">
        <f>ChkList!$C40</f>
        <v>r 계열 서비스 비활성화</v>
      </c>
      <c r="D40" s="31" t="str">
        <f>ChkList!$D40</f>
        <v>H</v>
      </c>
      <c r="E40" s="31">
        <f>ChkList!$E40</f>
        <v>3</v>
      </c>
      <c r="F40" s="23">
        <f ca="1">COUNTA($S40:INDIRECT(ADDRESS(ROW(),MATCH("",$4:$4,-1),1,1)))</f>
        <v>5</v>
      </c>
      <c r="G40" s="23">
        <f ca="1">'취약점 진단 항목별 통계'!G40</f>
        <v>5</v>
      </c>
      <c r="H40" s="23">
        <f ca="1">'취약점 진단 항목별 통계'!H40</f>
        <v>0</v>
      </c>
      <c r="I40" s="23">
        <f ca="1">'취약점 진단 항목별 통계'!I40</f>
        <v>0</v>
      </c>
      <c r="J40" s="23">
        <f ca="1">'취약점 진단 항목별 통계'!J40</f>
        <v>0</v>
      </c>
      <c r="K40" s="23">
        <f ca="1">COUNTIF($S40:INDIRECT(ADDRESS(ROW(),MATCH("",$4:$4,-1),1,1)),"조치")</f>
        <v>0</v>
      </c>
      <c r="L40" s="23">
        <f ca="1">COUNTIF($S40:INDIRECT(ADDRESS(ROW(),MATCH("",$4:$4,-1),1,1)),"미조치")</f>
        <v>0</v>
      </c>
      <c r="M40" s="23">
        <f ca="1">COUNTIF($S40:INDIRECT(ADDRESS(ROW(),MATCH("",$4:$4,-1),1,1)),"위험수용")</f>
        <v>0</v>
      </c>
      <c r="N40" s="23">
        <f ca="1">COUNTIF($S40:INDIRECT(ADDRESS(ROW(),MATCH("",$4:$4,-1),1,1)),"N/A")</f>
        <v>0</v>
      </c>
      <c r="O40" s="23">
        <f ca="1">VLOOKUP($D40,'parm(hidden)'!$B$8:$C$10,2,FALSE)*($F40-$J40)</f>
        <v>15</v>
      </c>
      <c r="P40" s="23">
        <f ca="1">VLOOKUP($D40,'parm(hidden)'!$B$8:$C$10,2,FALSE)*($F40-$N40)</f>
        <v>15</v>
      </c>
      <c r="Q40" s="36">
        <f ca="1">VLOOKUP($D40,'parm(hidden)'!$B$8:$C$10,2,FALSE)*($G40+$H40)</f>
        <v>15</v>
      </c>
      <c r="R40" s="23">
        <f ca="1">VLOOKUP($D40,'parm(hidden)'!$B$8:$C$10,2,FALSE)*($G40+$H40+$K40)</f>
        <v>15</v>
      </c>
      <c r="S40" s="47" t="str">
        <f t="shared" ca="1" si="1"/>
        <v>Y</v>
      </c>
      <c r="T40" s="47" t="str">
        <f t="shared" ca="1" si="1"/>
        <v>Y</v>
      </c>
      <c r="U40" s="125" t="str">
        <f t="shared" ca="1" si="1"/>
        <v>Y</v>
      </c>
      <c r="V40" s="47" t="str">
        <f t="shared" ca="1" si="1"/>
        <v>Y</v>
      </c>
      <c r="W40" s="47" t="str">
        <f t="shared" ca="1" si="1"/>
        <v>Y</v>
      </c>
    </row>
    <row r="41" spans="1:23">
      <c r="A41" s="115" t="str">
        <f>ChkList!A41</f>
        <v>서비스 관리</v>
      </c>
      <c r="B41" s="28" t="str">
        <f>ChkList!$B41</f>
        <v>U-37</v>
      </c>
      <c r="C41" s="21" t="str">
        <f>ChkList!$C41</f>
        <v>crontab 설정파일 권한 설정 미흡</v>
      </c>
      <c r="D41" s="31" t="str">
        <f>ChkList!$D41</f>
        <v>H</v>
      </c>
      <c r="E41" s="31">
        <f>ChkList!$E41</f>
        <v>3</v>
      </c>
      <c r="F41" s="23">
        <f ca="1">COUNTA($S41:INDIRECT(ADDRESS(ROW(),MATCH("",$4:$4,-1),1,1)))</f>
        <v>5</v>
      </c>
      <c r="G41" s="23">
        <f ca="1">'취약점 진단 항목별 통계'!G41</f>
        <v>5</v>
      </c>
      <c r="H41" s="23">
        <f ca="1">'취약점 진단 항목별 통계'!H41</f>
        <v>0</v>
      </c>
      <c r="I41" s="23">
        <f ca="1">'취약점 진단 항목별 통계'!I41</f>
        <v>0</v>
      </c>
      <c r="J41" s="23">
        <f ca="1">'취약점 진단 항목별 통계'!J41</f>
        <v>0</v>
      </c>
      <c r="K41" s="23">
        <f ca="1">COUNTIF($S41:INDIRECT(ADDRESS(ROW(),MATCH("",$4:$4,-1),1,1)),"조치")</f>
        <v>0</v>
      </c>
      <c r="L41" s="23">
        <f ca="1">COUNTIF($S41:INDIRECT(ADDRESS(ROW(),MATCH("",$4:$4,-1),1,1)),"미조치")</f>
        <v>0</v>
      </c>
      <c r="M41" s="23">
        <f ca="1">COUNTIF($S41:INDIRECT(ADDRESS(ROW(),MATCH("",$4:$4,-1),1,1)),"위험수용")</f>
        <v>0</v>
      </c>
      <c r="N41" s="23">
        <f ca="1">COUNTIF($S41:INDIRECT(ADDRESS(ROW(),MATCH("",$4:$4,-1),1,1)),"N/A")</f>
        <v>0</v>
      </c>
      <c r="O41" s="23">
        <f ca="1">VLOOKUP($D41,'parm(hidden)'!$B$8:$C$10,2,FALSE)*($F41-$J41)</f>
        <v>15</v>
      </c>
      <c r="P41" s="23">
        <f ca="1">VLOOKUP($D41,'parm(hidden)'!$B$8:$C$10,2,FALSE)*($F41-$N41)</f>
        <v>15</v>
      </c>
      <c r="Q41" s="36">
        <f ca="1">VLOOKUP($D41,'parm(hidden)'!$B$8:$C$10,2,FALSE)*($G41+$H41)</f>
        <v>15</v>
      </c>
      <c r="R41" s="23">
        <f ca="1">VLOOKUP($D41,'parm(hidden)'!$B$8:$C$10,2,FALSE)*($G41+$H41+$K41)</f>
        <v>15</v>
      </c>
      <c r="S41" s="47" t="str">
        <f t="shared" ca="1" si="1"/>
        <v>Y</v>
      </c>
      <c r="T41" s="47" t="str">
        <f t="shared" ca="1" si="1"/>
        <v>Y</v>
      </c>
      <c r="U41" s="125" t="str">
        <f t="shared" ca="1" si="1"/>
        <v>Y</v>
      </c>
      <c r="V41" s="47" t="str">
        <f t="shared" ca="1" si="1"/>
        <v>Y</v>
      </c>
      <c r="W41" s="47" t="str">
        <f t="shared" ca="1" si="1"/>
        <v>Y</v>
      </c>
    </row>
    <row r="42" spans="1:23">
      <c r="A42" s="115" t="str">
        <f>ChkList!A42</f>
        <v>서비스 관리</v>
      </c>
      <c r="B42" s="28" t="str">
        <f>ChkList!$B42</f>
        <v>U-38</v>
      </c>
      <c r="C42" s="21" t="str">
        <f>ChkList!$C42</f>
        <v>DoS 공격에 취약한 서비스 비활성화</v>
      </c>
      <c r="D42" s="31" t="str">
        <f>ChkList!$D42</f>
        <v>H</v>
      </c>
      <c r="E42" s="31">
        <f>ChkList!$E42</f>
        <v>3</v>
      </c>
      <c r="F42" s="23">
        <f ca="1">COUNTA($S42:INDIRECT(ADDRESS(ROW(),MATCH("",$4:$4,-1),1,1)))</f>
        <v>5</v>
      </c>
      <c r="G42" s="23">
        <f ca="1">'취약점 진단 항목별 통계'!G42</f>
        <v>0</v>
      </c>
      <c r="H42" s="23">
        <f ca="1">'취약점 진단 항목별 통계'!H42</f>
        <v>0</v>
      </c>
      <c r="I42" s="23">
        <f ca="1">'취약점 진단 항목별 통계'!I42</f>
        <v>5</v>
      </c>
      <c r="J42" s="23">
        <f ca="1">'취약점 진단 항목별 통계'!J42</f>
        <v>0</v>
      </c>
      <c r="K42" s="23">
        <f ca="1">COUNTIF($S42:INDIRECT(ADDRESS(ROW(),MATCH("",$4:$4,-1),1,1)),"조치")</f>
        <v>5</v>
      </c>
      <c r="L42" s="23">
        <f ca="1">COUNTIF($S42:INDIRECT(ADDRESS(ROW(),MATCH("",$4:$4,-1),1,1)),"미조치")</f>
        <v>0</v>
      </c>
      <c r="M42" s="23">
        <f ca="1">COUNTIF($S42:INDIRECT(ADDRESS(ROW(),MATCH("",$4:$4,-1),1,1)),"위험수용")</f>
        <v>0</v>
      </c>
      <c r="N42" s="23">
        <f ca="1">COUNTIF($S42:INDIRECT(ADDRESS(ROW(),MATCH("",$4:$4,-1),1,1)),"N/A")</f>
        <v>0</v>
      </c>
      <c r="O42" s="23">
        <f ca="1">VLOOKUP($D42,'parm(hidden)'!$B$8:$C$10,2,FALSE)*($F42-$J42)</f>
        <v>15</v>
      </c>
      <c r="P42" s="23">
        <f ca="1">VLOOKUP($D42,'parm(hidden)'!$B$8:$C$10,2,FALSE)*($F42-$N42)</f>
        <v>15</v>
      </c>
      <c r="Q42" s="36">
        <f ca="1">VLOOKUP($D42,'parm(hidden)'!$B$8:$C$10,2,FALSE)*($G42+$H42)</f>
        <v>0</v>
      </c>
      <c r="R42" s="23">
        <f ca="1">VLOOKUP($D42,'parm(hidden)'!$B$8:$C$10,2,FALSE)*($G42+$H42+$K42)</f>
        <v>15</v>
      </c>
      <c r="S42" s="47" t="str">
        <f t="shared" ca="1" si="1"/>
        <v>조치</v>
      </c>
      <c r="T42" s="47" t="str">
        <f t="shared" ca="1" si="1"/>
        <v>조치</v>
      </c>
      <c r="U42" s="125" t="str">
        <f t="shared" ca="1" si="1"/>
        <v>조치</v>
      </c>
      <c r="V42" s="47" t="str">
        <f t="shared" ca="1" si="1"/>
        <v>조치</v>
      </c>
      <c r="W42" s="47" t="str">
        <f t="shared" ca="1" si="1"/>
        <v>조치</v>
      </c>
    </row>
    <row r="43" spans="1:23">
      <c r="A43" s="115" t="str">
        <f>ChkList!A43</f>
        <v>서비스 관리</v>
      </c>
      <c r="B43" s="28" t="str">
        <f>ChkList!$B43</f>
        <v>U-39</v>
      </c>
      <c r="C43" s="21" t="str">
        <f>ChkList!$C43</f>
        <v>불필요한 NFS 서비스 비활성화</v>
      </c>
      <c r="D43" s="31" t="str">
        <f>ChkList!$D43</f>
        <v>H</v>
      </c>
      <c r="E43" s="31">
        <f>ChkList!$E43</f>
        <v>3</v>
      </c>
      <c r="F43" s="23">
        <f ca="1">COUNTA($S43:INDIRECT(ADDRESS(ROW(),MATCH("",$4:$4,-1),1,1)))</f>
        <v>5</v>
      </c>
      <c r="G43" s="23">
        <f ca="1">'취약점 진단 항목별 통계'!G43</f>
        <v>5</v>
      </c>
      <c r="H43" s="23">
        <f ca="1">'취약점 진단 항목별 통계'!H43</f>
        <v>0</v>
      </c>
      <c r="I43" s="23">
        <f ca="1">'취약점 진단 항목별 통계'!I43</f>
        <v>0</v>
      </c>
      <c r="J43" s="23">
        <f ca="1">'취약점 진단 항목별 통계'!J43</f>
        <v>0</v>
      </c>
      <c r="K43" s="23">
        <f ca="1">COUNTIF($S43:INDIRECT(ADDRESS(ROW(),MATCH("",$4:$4,-1),1,1)),"조치")</f>
        <v>0</v>
      </c>
      <c r="L43" s="23">
        <f ca="1">COUNTIF($S43:INDIRECT(ADDRESS(ROW(),MATCH("",$4:$4,-1),1,1)),"미조치")</f>
        <v>0</v>
      </c>
      <c r="M43" s="23">
        <f ca="1">COUNTIF($S43:INDIRECT(ADDRESS(ROW(),MATCH("",$4:$4,-1),1,1)),"위험수용")</f>
        <v>0</v>
      </c>
      <c r="N43" s="23">
        <f ca="1">COUNTIF($S43:INDIRECT(ADDRESS(ROW(),MATCH("",$4:$4,-1),1,1)),"N/A")</f>
        <v>0</v>
      </c>
      <c r="O43" s="23">
        <f ca="1">VLOOKUP($D43,'parm(hidden)'!$B$8:$C$10,2,FALSE)*($F43-$J43)</f>
        <v>15</v>
      </c>
      <c r="P43" s="23">
        <f ca="1">VLOOKUP($D43,'parm(hidden)'!$B$8:$C$10,2,FALSE)*($F43-$N43)</f>
        <v>15</v>
      </c>
      <c r="Q43" s="36">
        <f ca="1">VLOOKUP($D43,'parm(hidden)'!$B$8:$C$10,2,FALSE)*($G43+$H43)</f>
        <v>15</v>
      </c>
      <c r="R43" s="23">
        <f ca="1">VLOOKUP($D43,'parm(hidden)'!$B$8:$C$10,2,FALSE)*($G43+$H43+$K43)</f>
        <v>15</v>
      </c>
      <c r="S43" s="47" t="str">
        <f t="shared" ca="1" si="1"/>
        <v>Y</v>
      </c>
      <c r="T43" s="47" t="str">
        <f t="shared" ca="1" si="1"/>
        <v>Y</v>
      </c>
      <c r="U43" s="125" t="str">
        <f t="shared" ca="1" si="1"/>
        <v>Y</v>
      </c>
      <c r="V43" s="47" t="str">
        <f t="shared" ca="1" si="1"/>
        <v>Y</v>
      </c>
      <c r="W43" s="47" t="str">
        <f t="shared" ca="1" si="1"/>
        <v>Y</v>
      </c>
    </row>
    <row r="44" spans="1:23">
      <c r="A44" s="115" t="str">
        <f>ChkList!A44</f>
        <v>서비스 관리</v>
      </c>
      <c r="B44" s="28" t="str">
        <f>ChkList!$B44</f>
        <v>U-40</v>
      </c>
      <c r="C44" s="21" t="str">
        <f>ChkList!$C44</f>
        <v>NFS 접근 통제</v>
      </c>
      <c r="D44" s="31" t="str">
        <f>ChkList!$D44</f>
        <v>H</v>
      </c>
      <c r="E44" s="31">
        <f>ChkList!$E44</f>
        <v>3</v>
      </c>
      <c r="F44" s="23">
        <f ca="1">COUNTA($S44:INDIRECT(ADDRESS(ROW(),MATCH("",$4:$4,-1),1,1)))</f>
        <v>5</v>
      </c>
      <c r="G44" s="23">
        <f ca="1">'취약점 진단 항목별 통계'!G44</f>
        <v>5</v>
      </c>
      <c r="H44" s="23">
        <f ca="1">'취약점 진단 항목별 통계'!H44</f>
        <v>0</v>
      </c>
      <c r="I44" s="23">
        <f ca="1">'취약점 진단 항목별 통계'!I44</f>
        <v>0</v>
      </c>
      <c r="J44" s="23">
        <f ca="1">'취약점 진단 항목별 통계'!J44</f>
        <v>0</v>
      </c>
      <c r="K44" s="23">
        <f ca="1">COUNTIF($S44:INDIRECT(ADDRESS(ROW(),MATCH("",$4:$4,-1),1,1)),"조치")</f>
        <v>0</v>
      </c>
      <c r="L44" s="23">
        <f ca="1">COUNTIF($S44:INDIRECT(ADDRESS(ROW(),MATCH("",$4:$4,-1),1,1)),"미조치")</f>
        <v>0</v>
      </c>
      <c r="M44" s="23">
        <f ca="1">COUNTIF($S44:INDIRECT(ADDRESS(ROW(),MATCH("",$4:$4,-1),1,1)),"위험수용")</f>
        <v>0</v>
      </c>
      <c r="N44" s="23">
        <f ca="1">COUNTIF($S44:INDIRECT(ADDRESS(ROW(),MATCH("",$4:$4,-1),1,1)),"N/A")</f>
        <v>0</v>
      </c>
      <c r="O44" s="23">
        <f ca="1">VLOOKUP($D44,'parm(hidden)'!$B$8:$C$10,2,FALSE)*($F44-$J44)</f>
        <v>15</v>
      </c>
      <c r="P44" s="23">
        <f ca="1">VLOOKUP($D44,'parm(hidden)'!$B$8:$C$10,2,FALSE)*($F44-$N44)</f>
        <v>15</v>
      </c>
      <c r="Q44" s="36">
        <f ca="1">VLOOKUP($D44,'parm(hidden)'!$B$8:$C$10,2,FALSE)*($G44+$H44)</f>
        <v>15</v>
      </c>
      <c r="R44" s="23">
        <f ca="1">VLOOKUP($D44,'parm(hidden)'!$B$8:$C$10,2,FALSE)*($G44+$H44+$K44)</f>
        <v>15</v>
      </c>
      <c r="S44" s="47" t="str">
        <f t="shared" ca="1" si="1"/>
        <v>Y</v>
      </c>
      <c r="T44" s="47" t="str">
        <f t="shared" ca="1" si="1"/>
        <v>Y</v>
      </c>
      <c r="U44" s="125" t="str">
        <f t="shared" ca="1" si="1"/>
        <v>Y</v>
      </c>
      <c r="V44" s="47" t="str">
        <f t="shared" ca="1" si="1"/>
        <v>Y</v>
      </c>
      <c r="W44" s="47" t="str">
        <f t="shared" ca="1" si="1"/>
        <v>Y</v>
      </c>
    </row>
    <row r="45" spans="1:23">
      <c r="A45" s="115" t="str">
        <f>ChkList!A45</f>
        <v>서비스 관리</v>
      </c>
      <c r="B45" s="28" t="str">
        <f>ChkList!$B45</f>
        <v>U-41</v>
      </c>
      <c r="C45" s="21" t="str">
        <f>ChkList!$C45</f>
        <v>불필요한 automountd 제거</v>
      </c>
      <c r="D45" s="31" t="str">
        <f>ChkList!$D45</f>
        <v>H</v>
      </c>
      <c r="E45" s="31">
        <f>ChkList!$E45</f>
        <v>3</v>
      </c>
      <c r="F45" s="23">
        <f ca="1">COUNTA($S45:INDIRECT(ADDRESS(ROW(),MATCH("",$4:$4,-1),1,1)))</f>
        <v>5</v>
      </c>
      <c r="G45" s="23">
        <f ca="1">'취약점 진단 항목별 통계'!G45</f>
        <v>5</v>
      </c>
      <c r="H45" s="23">
        <f ca="1">'취약점 진단 항목별 통계'!H45</f>
        <v>0</v>
      </c>
      <c r="I45" s="23">
        <f ca="1">'취약점 진단 항목별 통계'!I45</f>
        <v>0</v>
      </c>
      <c r="J45" s="23">
        <f ca="1">'취약점 진단 항목별 통계'!J45</f>
        <v>0</v>
      </c>
      <c r="K45" s="23">
        <f ca="1">COUNTIF($S45:INDIRECT(ADDRESS(ROW(),MATCH("",$4:$4,-1),1,1)),"조치")</f>
        <v>0</v>
      </c>
      <c r="L45" s="23">
        <f ca="1">COUNTIF($S45:INDIRECT(ADDRESS(ROW(),MATCH("",$4:$4,-1),1,1)),"미조치")</f>
        <v>0</v>
      </c>
      <c r="M45" s="23">
        <f ca="1">COUNTIF($S45:INDIRECT(ADDRESS(ROW(),MATCH("",$4:$4,-1),1,1)),"위험수용")</f>
        <v>0</v>
      </c>
      <c r="N45" s="23">
        <f ca="1">COUNTIF($S45:INDIRECT(ADDRESS(ROW(),MATCH("",$4:$4,-1),1,1)),"N/A")</f>
        <v>0</v>
      </c>
      <c r="O45" s="23">
        <f ca="1">VLOOKUP($D45,'parm(hidden)'!$B$8:$C$10,2,FALSE)*($F45-$J45)</f>
        <v>15</v>
      </c>
      <c r="P45" s="23">
        <f ca="1">VLOOKUP($D45,'parm(hidden)'!$B$8:$C$10,2,FALSE)*($F45-$N45)</f>
        <v>15</v>
      </c>
      <c r="Q45" s="36">
        <f ca="1">VLOOKUP($D45,'parm(hidden)'!$B$8:$C$10,2,FALSE)*($G45+$H45)</f>
        <v>15</v>
      </c>
      <c r="R45" s="23">
        <f ca="1">VLOOKUP($D45,'parm(hidden)'!$B$8:$C$10,2,FALSE)*($G45+$H45+$K45)</f>
        <v>15</v>
      </c>
      <c r="S45" s="47" t="str">
        <f t="shared" ca="1" si="1"/>
        <v>Y</v>
      </c>
      <c r="T45" s="47" t="str">
        <f t="shared" ca="1" si="1"/>
        <v>Y</v>
      </c>
      <c r="U45" s="125" t="str">
        <f t="shared" ca="1" si="1"/>
        <v>Y</v>
      </c>
      <c r="V45" s="47" t="str">
        <f t="shared" ca="1" si="1"/>
        <v>Y</v>
      </c>
      <c r="W45" s="47" t="str">
        <f t="shared" ca="1" si="1"/>
        <v>Y</v>
      </c>
    </row>
    <row r="46" spans="1:23">
      <c r="A46" s="115" t="str">
        <f>ChkList!A46</f>
        <v>서비스 관리</v>
      </c>
      <c r="B46" s="28" t="str">
        <f>ChkList!$B46</f>
        <v>U-42</v>
      </c>
      <c r="C46" s="21" t="str">
        <f>ChkList!$C46</f>
        <v>불필요한 RPC 서비스 비활성화</v>
      </c>
      <c r="D46" s="31" t="str">
        <f>ChkList!$D46</f>
        <v>H</v>
      </c>
      <c r="E46" s="31">
        <f>ChkList!$E46</f>
        <v>3</v>
      </c>
      <c r="F46" s="23">
        <f ca="1">COUNTA($S46:INDIRECT(ADDRESS(ROW(),MATCH("",$4:$4,-1),1,1)))</f>
        <v>5</v>
      </c>
      <c r="G46" s="23">
        <f ca="1">'취약점 진단 항목별 통계'!G46</f>
        <v>5</v>
      </c>
      <c r="H46" s="23">
        <f ca="1">'취약점 진단 항목별 통계'!H46</f>
        <v>0</v>
      </c>
      <c r="I46" s="23">
        <f ca="1">'취약점 진단 항목별 통계'!I46</f>
        <v>0</v>
      </c>
      <c r="J46" s="23">
        <f ca="1">'취약점 진단 항목별 통계'!J46</f>
        <v>0</v>
      </c>
      <c r="K46" s="23">
        <f ca="1">COUNTIF($S46:INDIRECT(ADDRESS(ROW(),MATCH("",$4:$4,-1),1,1)),"조치")</f>
        <v>0</v>
      </c>
      <c r="L46" s="23">
        <f ca="1">COUNTIF($S46:INDIRECT(ADDRESS(ROW(),MATCH("",$4:$4,-1),1,1)),"미조치")</f>
        <v>0</v>
      </c>
      <c r="M46" s="23">
        <f ca="1">COUNTIF($S46:INDIRECT(ADDRESS(ROW(),MATCH("",$4:$4,-1),1,1)),"위험수용")</f>
        <v>0</v>
      </c>
      <c r="N46" s="23">
        <f ca="1">COUNTIF($S46:INDIRECT(ADDRESS(ROW(),MATCH("",$4:$4,-1),1,1)),"N/A")</f>
        <v>0</v>
      </c>
      <c r="O46" s="23">
        <f ca="1">VLOOKUP($D46,'parm(hidden)'!$B$8:$C$10,2,FALSE)*($F46-$J46)</f>
        <v>15</v>
      </c>
      <c r="P46" s="23">
        <f ca="1">VLOOKUP($D46,'parm(hidden)'!$B$8:$C$10,2,FALSE)*($F46-$N46)</f>
        <v>15</v>
      </c>
      <c r="Q46" s="36">
        <f ca="1">VLOOKUP($D46,'parm(hidden)'!$B$8:$C$10,2,FALSE)*($G46+$H46)</f>
        <v>15</v>
      </c>
      <c r="R46" s="23">
        <f ca="1">VLOOKUP($D46,'parm(hidden)'!$B$8:$C$10,2,FALSE)*($G46+$H46+$K46)</f>
        <v>15</v>
      </c>
      <c r="S46" s="47" t="str">
        <f t="shared" ca="1" si="1"/>
        <v>Y</v>
      </c>
      <c r="T46" s="47" t="str">
        <f t="shared" ca="1" si="1"/>
        <v>Y</v>
      </c>
      <c r="U46" s="125" t="str">
        <f t="shared" ca="1" si="1"/>
        <v>Y</v>
      </c>
      <c r="V46" s="47" t="str">
        <f t="shared" ca="1" si="1"/>
        <v>Y</v>
      </c>
      <c r="W46" s="47" t="str">
        <f t="shared" ca="1" si="1"/>
        <v>Y</v>
      </c>
    </row>
    <row r="47" spans="1:23">
      <c r="A47" s="115" t="str">
        <f>ChkList!A47</f>
        <v>서비스 관리</v>
      </c>
      <c r="B47" s="28" t="str">
        <f>ChkList!$B47</f>
        <v>U-43</v>
      </c>
      <c r="C47" s="21" t="str">
        <f>ChkList!$C47</f>
        <v>NIS, NIS+ 점검</v>
      </c>
      <c r="D47" s="31" t="str">
        <f>ChkList!$D47</f>
        <v>H</v>
      </c>
      <c r="E47" s="31">
        <f>ChkList!$E47</f>
        <v>3</v>
      </c>
      <c r="F47" s="23">
        <f ca="1">COUNTA($S47:INDIRECT(ADDRESS(ROW(),MATCH("",$4:$4,-1),1,1)))</f>
        <v>5</v>
      </c>
      <c r="G47" s="23">
        <f ca="1">'취약점 진단 항목별 통계'!G47</f>
        <v>5</v>
      </c>
      <c r="H47" s="23">
        <f ca="1">'취약점 진단 항목별 통계'!H47</f>
        <v>0</v>
      </c>
      <c r="I47" s="23">
        <f ca="1">'취약점 진단 항목별 통계'!I47</f>
        <v>0</v>
      </c>
      <c r="J47" s="23">
        <f ca="1">'취약점 진단 항목별 통계'!J47</f>
        <v>0</v>
      </c>
      <c r="K47" s="23">
        <f ca="1">COUNTIF($S47:INDIRECT(ADDRESS(ROW(),MATCH("",$4:$4,-1),1,1)),"조치")</f>
        <v>0</v>
      </c>
      <c r="L47" s="23">
        <f ca="1">COUNTIF($S47:INDIRECT(ADDRESS(ROW(),MATCH("",$4:$4,-1),1,1)),"미조치")</f>
        <v>0</v>
      </c>
      <c r="M47" s="23">
        <f ca="1">COUNTIF($S47:INDIRECT(ADDRESS(ROW(),MATCH("",$4:$4,-1),1,1)),"위험수용")</f>
        <v>0</v>
      </c>
      <c r="N47" s="23">
        <f ca="1">COUNTIF($S47:INDIRECT(ADDRESS(ROW(),MATCH("",$4:$4,-1),1,1)),"N/A")</f>
        <v>0</v>
      </c>
      <c r="O47" s="23">
        <f ca="1">VLOOKUP($D47,'parm(hidden)'!$B$8:$C$10,2,FALSE)*($F47-$J47)</f>
        <v>15</v>
      </c>
      <c r="P47" s="23">
        <f ca="1">VLOOKUP($D47,'parm(hidden)'!$B$8:$C$10,2,FALSE)*($F47-$N47)</f>
        <v>15</v>
      </c>
      <c r="Q47" s="36">
        <f ca="1">VLOOKUP($D47,'parm(hidden)'!$B$8:$C$10,2,FALSE)*($G47+$H47)</f>
        <v>15</v>
      </c>
      <c r="R47" s="23">
        <f ca="1">VLOOKUP($D47,'parm(hidden)'!$B$8:$C$10,2,FALSE)*($G47+$H47+$K47)</f>
        <v>15</v>
      </c>
      <c r="S47" s="47" t="str">
        <f t="shared" ca="1" si="1"/>
        <v>Y</v>
      </c>
      <c r="T47" s="47" t="str">
        <f t="shared" ca="1" si="1"/>
        <v>Y</v>
      </c>
      <c r="U47" s="125" t="str">
        <f t="shared" ca="1" si="1"/>
        <v>Y</v>
      </c>
      <c r="V47" s="47" t="str">
        <f t="shared" ca="1" si="1"/>
        <v>Y</v>
      </c>
      <c r="W47" s="47" t="str">
        <f t="shared" ca="1" si="1"/>
        <v>Y</v>
      </c>
    </row>
    <row r="48" spans="1:23">
      <c r="A48" s="115" t="str">
        <f>ChkList!A48</f>
        <v>서비스 관리</v>
      </c>
      <c r="B48" s="28" t="str">
        <f>ChkList!$B48</f>
        <v>U-44</v>
      </c>
      <c r="C48" s="21" t="str">
        <f>ChkList!$C48</f>
        <v>tftp, talk 서비스 비활성화</v>
      </c>
      <c r="D48" s="31" t="str">
        <f>ChkList!$D48</f>
        <v>H</v>
      </c>
      <c r="E48" s="31">
        <f>ChkList!$E48</f>
        <v>3</v>
      </c>
      <c r="F48" s="23">
        <f ca="1">COUNTA($S48:INDIRECT(ADDRESS(ROW(),MATCH("",$4:$4,-1),1,1)))</f>
        <v>5</v>
      </c>
      <c r="G48" s="23">
        <f ca="1">'취약점 진단 항목별 통계'!G48</f>
        <v>5</v>
      </c>
      <c r="H48" s="23">
        <f ca="1">'취약점 진단 항목별 통계'!H48</f>
        <v>0</v>
      </c>
      <c r="I48" s="23">
        <f ca="1">'취약점 진단 항목별 통계'!I48</f>
        <v>0</v>
      </c>
      <c r="J48" s="23">
        <f ca="1">'취약점 진단 항목별 통계'!J48</f>
        <v>0</v>
      </c>
      <c r="K48" s="23">
        <f ca="1">COUNTIF($S48:INDIRECT(ADDRESS(ROW(),MATCH("",$4:$4,-1),1,1)),"조치")</f>
        <v>0</v>
      </c>
      <c r="L48" s="23">
        <f ca="1">COUNTIF($S48:INDIRECT(ADDRESS(ROW(),MATCH("",$4:$4,-1),1,1)),"미조치")</f>
        <v>0</v>
      </c>
      <c r="M48" s="23">
        <f ca="1">COUNTIF($S48:INDIRECT(ADDRESS(ROW(),MATCH("",$4:$4,-1),1,1)),"위험수용")</f>
        <v>0</v>
      </c>
      <c r="N48" s="23">
        <f ca="1">COUNTIF($S48:INDIRECT(ADDRESS(ROW(),MATCH("",$4:$4,-1),1,1)),"N/A")</f>
        <v>0</v>
      </c>
      <c r="O48" s="23">
        <f ca="1">VLOOKUP($D48,'parm(hidden)'!$B$8:$C$10,2,FALSE)*($F48-$J48)</f>
        <v>15</v>
      </c>
      <c r="P48" s="23">
        <f ca="1">VLOOKUP($D48,'parm(hidden)'!$B$8:$C$10,2,FALSE)*($F48-$N48)</f>
        <v>15</v>
      </c>
      <c r="Q48" s="36">
        <f ca="1">VLOOKUP($D48,'parm(hidden)'!$B$8:$C$10,2,FALSE)*($G48+$H48)</f>
        <v>15</v>
      </c>
      <c r="R48" s="23">
        <f ca="1">VLOOKUP($D48,'parm(hidden)'!$B$8:$C$10,2,FALSE)*($G48+$H48+$K48)</f>
        <v>15</v>
      </c>
      <c r="S48" s="47" t="str">
        <f t="shared" ca="1" si="1"/>
        <v>Y</v>
      </c>
      <c r="T48" s="47" t="str">
        <f t="shared" ca="1" si="1"/>
        <v>Y</v>
      </c>
      <c r="U48" s="125" t="str">
        <f t="shared" ca="1" si="1"/>
        <v>Y</v>
      </c>
      <c r="V48" s="47" t="str">
        <f t="shared" ca="1" si="1"/>
        <v>Y</v>
      </c>
      <c r="W48" s="47" t="str">
        <f t="shared" ca="1" si="1"/>
        <v>Y</v>
      </c>
    </row>
    <row r="49" spans="1:23">
      <c r="A49" s="115" t="str">
        <f>ChkList!A49</f>
        <v>서비스 관리</v>
      </c>
      <c r="B49" s="28" t="str">
        <f>ChkList!$B49</f>
        <v>U-45</v>
      </c>
      <c r="C49" s="21" t="str">
        <f>ChkList!$C49</f>
        <v>메일 서비스 버전 점검</v>
      </c>
      <c r="D49" s="31" t="str">
        <f>ChkList!$D49</f>
        <v>H</v>
      </c>
      <c r="E49" s="31">
        <f>ChkList!$E49</f>
        <v>3</v>
      </c>
      <c r="F49" s="23">
        <f ca="1">COUNTA($S49:INDIRECT(ADDRESS(ROW(),MATCH("",$4:$4,-1),1,1)))</f>
        <v>5</v>
      </c>
      <c r="G49" s="23">
        <f ca="1">'취약점 진단 항목별 통계'!G49</f>
        <v>5</v>
      </c>
      <c r="H49" s="23">
        <f ca="1">'취약점 진단 항목별 통계'!H49</f>
        <v>0</v>
      </c>
      <c r="I49" s="23">
        <f ca="1">'취약점 진단 항목별 통계'!I49</f>
        <v>0</v>
      </c>
      <c r="J49" s="23">
        <f ca="1">'취약점 진단 항목별 통계'!J49</f>
        <v>0</v>
      </c>
      <c r="K49" s="23">
        <f ca="1">COUNTIF($S49:INDIRECT(ADDRESS(ROW(),MATCH("",$4:$4,-1),1,1)),"조치")</f>
        <v>0</v>
      </c>
      <c r="L49" s="23">
        <f ca="1">COUNTIF($S49:INDIRECT(ADDRESS(ROW(),MATCH("",$4:$4,-1),1,1)),"미조치")</f>
        <v>0</v>
      </c>
      <c r="M49" s="23">
        <f ca="1">COUNTIF($S49:INDIRECT(ADDRESS(ROW(),MATCH("",$4:$4,-1),1,1)),"위험수용")</f>
        <v>0</v>
      </c>
      <c r="N49" s="23">
        <f ca="1">COUNTIF($S49:INDIRECT(ADDRESS(ROW(),MATCH("",$4:$4,-1),1,1)),"N/A")</f>
        <v>0</v>
      </c>
      <c r="O49" s="23">
        <f ca="1">VLOOKUP($D49,'parm(hidden)'!$B$8:$C$10,2,FALSE)*($F49-$J49)</f>
        <v>15</v>
      </c>
      <c r="P49" s="23">
        <f ca="1">VLOOKUP($D49,'parm(hidden)'!$B$8:$C$10,2,FALSE)*($F49-$N49)</f>
        <v>15</v>
      </c>
      <c r="Q49" s="36">
        <f ca="1">VLOOKUP($D49,'parm(hidden)'!$B$8:$C$10,2,FALSE)*($G49+$H49)</f>
        <v>15</v>
      </c>
      <c r="R49" s="23">
        <f ca="1">VLOOKUP($D49,'parm(hidden)'!$B$8:$C$10,2,FALSE)*($G49+$H49+$K49)</f>
        <v>15</v>
      </c>
      <c r="S49" s="47" t="str">
        <f t="shared" ca="1" si="1"/>
        <v>Y</v>
      </c>
      <c r="T49" s="47" t="str">
        <f t="shared" ca="1" si="1"/>
        <v>Y</v>
      </c>
      <c r="U49" s="125" t="str">
        <f t="shared" ca="1" si="1"/>
        <v>Y</v>
      </c>
      <c r="V49" s="47" t="str">
        <f t="shared" ca="1" si="1"/>
        <v>Y</v>
      </c>
      <c r="W49" s="47" t="str">
        <f t="shared" ca="1" si="1"/>
        <v>Y</v>
      </c>
    </row>
    <row r="50" spans="1:23">
      <c r="A50" s="115" t="str">
        <f>ChkList!A50</f>
        <v>서비스 관리</v>
      </c>
      <c r="B50" s="28" t="str">
        <f>ChkList!$B50</f>
        <v>U-46</v>
      </c>
      <c r="C50" s="21" t="str">
        <f>ChkList!$C50</f>
        <v>일반 사용자의 메일 서비스 실행 방지</v>
      </c>
      <c r="D50" s="31" t="str">
        <f>ChkList!$D50</f>
        <v>H</v>
      </c>
      <c r="E50" s="31">
        <f>ChkList!$E50</f>
        <v>3</v>
      </c>
      <c r="F50" s="23">
        <f ca="1">COUNTA($S50:INDIRECT(ADDRESS(ROW(),MATCH("",$4:$4,-1),1,1)))</f>
        <v>5</v>
      </c>
      <c r="G50" s="23">
        <f ca="1">'취약점 진단 항목별 통계'!G50</f>
        <v>5</v>
      </c>
      <c r="H50" s="23">
        <f ca="1">'취약점 진단 항목별 통계'!H50</f>
        <v>0</v>
      </c>
      <c r="I50" s="23">
        <f ca="1">'취약점 진단 항목별 통계'!I50</f>
        <v>0</v>
      </c>
      <c r="J50" s="23">
        <f ca="1">'취약점 진단 항목별 통계'!J50</f>
        <v>0</v>
      </c>
      <c r="K50" s="23">
        <f ca="1">COUNTIF($S50:INDIRECT(ADDRESS(ROW(),MATCH("",$4:$4,-1),1,1)),"조치")</f>
        <v>0</v>
      </c>
      <c r="L50" s="23">
        <f ca="1">COUNTIF($S50:INDIRECT(ADDRESS(ROW(),MATCH("",$4:$4,-1),1,1)),"미조치")</f>
        <v>0</v>
      </c>
      <c r="M50" s="23">
        <f ca="1">COUNTIF($S50:INDIRECT(ADDRESS(ROW(),MATCH("",$4:$4,-1),1,1)),"위험수용")</f>
        <v>0</v>
      </c>
      <c r="N50" s="23">
        <f ca="1">COUNTIF($S50:INDIRECT(ADDRESS(ROW(),MATCH("",$4:$4,-1),1,1)),"N/A")</f>
        <v>0</v>
      </c>
      <c r="O50" s="23">
        <f ca="1">VLOOKUP($D50,'parm(hidden)'!$B$8:$C$10,2,FALSE)*($F50-$J50)</f>
        <v>15</v>
      </c>
      <c r="P50" s="23">
        <f ca="1">VLOOKUP($D50,'parm(hidden)'!$B$8:$C$10,2,FALSE)*($F50-$N50)</f>
        <v>15</v>
      </c>
      <c r="Q50" s="36">
        <f ca="1">VLOOKUP($D50,'parm(hidden)'!$B$8:$C$10,2,FALSE)*($G50+$H50)</f>
        <v>15</v>
      </c>
      <c r="R50" s="23">
        <f ca="1">VLOOKUP($D50,'parm(hidden)'!$B$8:$C$10,2,FALSE)*($G50+$H50+$K50)</f>
        <v>15</v>
      </c>
      <c r="S50" s="47" t="str">
        <f t="shared" ca="1" si="1"/>
        <v>Y</v>
      </c>
      <c r="T50" s="47" t="str">
        <f t="shared" ca="1" si="1"/>
        <v>Y</v>
      </c>
      <c r="U50" s="125" t="str">
        <f t="shared" ca="1" si="1"/>
        <v>Y</v>
      </c>
      <c r="V50" s="47" t="str">
        <f t="shared" ca="1" si="1"/>
        <v>Y</v>
      </c>
      <c r="W50" s="47" t="str">
        <f t="shared" ca="1" si="1"/>
        <v>Y</v>
      </c>
    </row>
    <row r="51" spans="1:23">
      <c r="A51" s="115" t="str">
        <f>ChkList!A51</f>
        <v>서비스 관리</v>
      </c>
      <c r="B51" s="28" t="str">
        <f>ChkList!$B51</f>
        <v>U-47</v>
      </c>
      <c r="C51" s="21" t="str">
        <f>ChkList!$C51</f>
        <v>스팸 메일 릴레이 제한</v>
      </c>
      <c r="D51" s="31" t="str">
        <f>ChkList!$D51</f>
        <v>H</v>
      </c>
      <c r="E51" s="31">
        <f>ChkList!$E51</f>
        <v>3</v>
      </c>
      <c r="F51" s="23">
        <f ca="1">COUNTA($S51:INDIRECT(ADDRESS(ROW(),MATCH("",$4:$4,-1),1,1)))</f>
        <v>5</v>
      </c>
      <c r="G51" s="23">
        <f ca="1">'취약점 진단 항목별 통계'!G51</f>
        <v>5</v>
      </c>
      <c r="H51" s="23">
        <f ca="1">'취약점 진단 항목별 통계'!H51</f>
        <v>0</v>
      </c>
      <c r="I51" s="23">
        <f ca="1">'취약점 진단 항목별 통계'!I51</f>
        <v>0</v>
      </c>
      <c r="J51" s="23">
        <f ca="1">'취약점 진단 항목별 통계'!J51</f>
        <v>0</v>
      </c>
      <c r="K51" s="23">
        <f ca="1">COUNTIF($S51:INDIRECT(ADDRESS(ROW(),MATCH("",$4:$4,-1),1,1)),"조치")</f>
        <v>0</v>
      </c>
      <c r="L51" s="23">
        <f ca="1">COUNTIF($S51:INDIRECT(ADDRESS(ROW(),MATCH("",$4:$4,-1),1,1)),"미조치")</f>
        <v>0</v>
      </c>
      <c r="M51" s="23">
        <f ca="1">COUNTIF($S51:INDIRECT(ADDRESS(ROW(),MATCH("",$4:$4,-1),1,1)),"위험수용")</f>
        <v>0</v>
      </c>
      <c r="N51" s="23">
        <f ca="1">COUNTIF($S51:INDIRECT(ADDRESS(ROW(),MATCH("",$4:$4,-1),1,1)),"N/A")</f>
        <v>0</v>
      </c>
      <c r="O51" s="23">
        <f ca="1">VLOOKUP($D51,'parm(hidden)'!$B$8:$C$10,2,FALSE)*($F51-$J51)</f>
        <v>15</v>
      </c>
      <c r="P51" s="23">
        <f ca="1">VLOOKUP($D51,'parm(hidden)'!$B$8:$C$10,2,FALSE)*($F51-$N51)</f>
        <v>15</v>
      </c>
      <c r="Q51" s="36">
        <f ca="1">VLOOKUP($D51,'parm(hidden)'!$B$8:$C$10,2,FALSE)*($G51+$H51)</f>
        <v>15</v>
      </c>
      <c r="R51" s="23">
        <f ca="1">VLOOKUP($D51,'parm(hidden)'!$B$8:$C$10,2,FALSE)*($G51+$H51+$K51)</f>
        <v>15</v>
      </c>
      <c r="S51" s="47" t="str">
        <f t="shared" ca="1" si="1"/>
        <v>Y</v>
      </c>
      <c r="T51" s="47" t="str">
        <f t="shared" ca="1" si="1"/>
        <v>Y</v>
      </c>
      <c r="U51" s="125" t="str">
        <f t="shared" ca="1" si="1"/>
        <v>Y</v>
      </c>
      <c r="V51" s="47" t="str">
        <f t="shared" ca="1" si="1"/>
        <v>Y</v>
      </c>
      <c r="W51" s="47" t="str">
        <f t="shared" ca="1" si="1"/>
        <v>Y</v>
      </c>
    </row>
    <row r="52" spans="1:23">
      <c r="A52" s="115" t="str">
        <f>ChkList!A52</f>
        <v>서비스 관리</v>
      </c>
      <c r="B52" s="28" t="str">
        <f>ChkList!$B52</f>
        <v>U-48</v>
      </c>
      <c r="C52" s="21" t="str">
        <f>ChkList!$C52</f>
        <v>expn, vrfy 명령어 제한</v>
      </c>
      <c r="D52" s="31" t="str">
        <f>ChkList!$D52</f>
        <v>M</v>
      </c>
      <c r="E52" s="31">
        <f>ChkList!$E52</f>
        <v>2</v>
      </c>
      <c r="F52" s="23">
        <f ca="1">COUNTA($S52:INDIRECT(ADDRESS(ROW(),MATCH("",$4:$4,-1),1,1)))</f>
        <v>5</v>
      </c>
      <c r="G52" s="23">
        <f ca="1">'취약점 진단 항목별 통계'!G52</f>
        <v>5</v>
      </c>
      <c r="H52" s="23">
        <f ca="1">'취약점 진단 항목별 통계'!H52</f>
        <v>0</v>
      </c>
      <c r="I52" s="23">
        <f ca="1">'취약점 진단 항목별 통계'!I52</f>
        <v>0</v>
      </c>
      <c r="J52" s="23">
        <f ca="1">'취약점 진단 항목별 통계'!J52</f>
        <v>0</v>
      </c>
      <c r="K52" s="23">
        <f ca="1">COUNTIF($S52:INDIRECT(ADDRESS(ROW(),MATCH("",$4:$4,-1),1,1)),"조치")</f>
        <v>0</v>
      </c>
      <c r="L52" s="23">
        <f ca="1">COUNTIF($S52:INDIRECT(ADDRESS(ROW(),MATCH("",$4:$4,-1),1,1)),"미조치")</f>
        <v>0</v>
      </c>
      <c r="M52" s="23">
        <f ca="1">COUNTIF($S52:INDIRECT(ADDRESS(ROW(),MATCH("",$4:$4,-1),1,1)),"위험수용")</f>
        <v>0</v>
      </c>
      <c r="N52" s="23">
        <f ca="1">COUNTIF($S52:INDIRECT(ADDRESS(ROW(),MATCH("",$4:$4,-1),1,1)),"N/A")</f>
        <v>0</v>
      </c>
      <c r="O52" s="23">
        <f ca="1">VLOOKUP($D52,'parm(hidden)'!$B$8:$C$10,2,FALSE)*($F52-$J52)</f>
        <v>10</v>
      </c>
      <c r="P52" s="23">
        <f ca="1">VLOOKUP($D52,'parm(hidden)'!$B$8:$C$10,2,FALSE)*($F52-$N52)</f>
        <v>10</v>
      </c>
      <c r="Q52" s="36">
        <f ca="1">VLOOKUP($D52,'parm(hidden)'!$B$8:$C$10,2,FALSE)*($G52+$H52)</f>
        <v>10</v>
      </c>
      <c r="R52" s="23">
        <f ca="1">VLOOKUP($D52,'parm(hidden)'!$B$8:$C$10,2,FALSE)*($G52+$H52+$K52)</f>
        <v>10</v>
      </c>
      <c r="S52" s="47" t="str">
        <f t="shared" ca="1" si="1"/>
        <v>Y</v>
      </c>
      <c r="T52" s="47" t="str">
        <f t="shared" ca="1" si="1"/>
        <v>Y</v>
      </c>
      <c r="U52" s="125" t="str">
        <f t="shared" ca="1" si="1"/>
        <v>Y</v>
      </c>
      <c r="V52" s="47" t="str">
        <f t="shared" ca="1" si="1"/>
        <v>Y</v>
      </c>
      <c r="W52" s="47" t="str">
        <f t="shared" ca="1" si="1"/>
        <v>Y</v>
      </c>
    </row>
    <row r="53" spans="1:23">
      <c r="A53" s="115" t="str">
        <f>ChkList!A53</f>
        <v>서비스 관리</v>
      </c>
      <c r="B53" s="28" t="str">
        <f>ChkList!$B53</f>
        <v>U-49</v>
      </c>
      <c r="C53" s="21" t="str">
        <f>ChkList!$C53</f>
        <v>DNS 보안 버전 패치</v>
      </c>
      <c r="D53" s="31" t="str">
        <f>ChkList!$D53</f>
        <v>H</v>
      </c>
      <c r="E53" s="31">
        <f>ChkList!$E53</f>
        <v>3</v>
      </c>
      <c r="F53" s="23">
        <f ca="1">COUNTA($S53:INDIRECT(ADDRESS(ROW(),MATCH("",$4:$4,-1),1,1)))</f>
        <v>5</v>
      </c>
      <c r="G53" s="23">
        <f ca="1">'취약점 진단 항목별 통계'!G53</f>
        <v>5</v>
      </c>
      <c r="H53" s="23">
        <f ca="1">'취약점 진단 항목별 통계'!H53</f>
        <v>0</v>
      </c>
      <c r="I53" s="23">
        <f ca="1">'취약점 진단 항목별 통계'!I53</f>
        <v>0</v>
      </c>
      <c r="J53" s="23">
        <f ca="1">'취약점 진단 항목별 통계'!J53</f>
        <v>0</v>
      </c>
      <c r="K53" s="23">
        <f ca="1">COUNTIF($S53:INDIRECT(ADDRESS(ROW(),MATCH("",$4:$4,-1),1,1)),"조치")</f>
        <v>0</v>
      </c>
      <c r="L53" s="23">
        <f ca="1">COUNTIF($S53:INDIRECT(ADDRESS(ROW(),MATCH("",$4:$4,-1),1,1)),"미조치")</f>
        <v>0</v>
      </c>
      <c r="M53" s="23">
        <f ca="1">COUNTIF($S53:INDIRECT(ADDRESS(ROW(),MATCH("",$4:$4,-1),1,1)),"위험수용")</f>
        <v>0</v>
      </c>
      <c r="N53" s="23">
        <f ca="1">COUNTIF($S53:INDIRECT(ADDRESS(ROW(),MATCH("",$4:$4,-1),1,1)),"N/A")</f>
        <v>0</v>
      </c>
      <c r="O53" s="23">
        <f ca="1">VLOOKUP($D53,'parm(hidden)'!$B$8:$C$10,2,FALSE)*($F53-$J53)</f>
        <v>15</v>
      </c>
      <c r="P53" s="23">
        <f ca="1">VLOOKUP($D53,'parm(hidden)'!$B$8:$C$10,2,FALSE)*($F53-$N53)</f>
        <v>15</v>
      </c>
      <c r="Q53" s="36">
        <f ca="1">VLOOKUP($D53,'parm(hidden)'!$B$8:$C$10,2,FALSE)*($G53+$H53)</f>
        <v>15</v>
      </c>
      <c r="R53" s="23">
        <f ca="1">VLOOKUP($D53,'parm(hidden)'!$B$8:$C$10,2,FALSE)*($G53+$H53+$K53)</f>
        <v>15</v>
      </c>
      <c r="S53" s="47" t="str">
        <f t="shared" ca="1" si="1"/>
        <v>Y</v>
      </c>
      <c r="T53" s="47" t="str">
        <f t="shared" ca="1" si="1"/>
        <v>Y</v>
      </c>
      <c r="U53" s="125" t="str">
        <f t="shared" ca="1" si="1"/>
        <v>Y</v>
      </c>
      <c r="V53" s="47" t="str">
        <f t="shared" ca="1" si="1"/>
        <v>Y</v>
      </c>
      <c r="W53" s="47" t="str">
        <f t="shared" ca="1" si="1"/>
        <v>Y</v>
      </c>
    </row>
    <row r="54" spans="1:23">
      <c r="A54" s="115" t="str">
        <f>ChkList!A54</f>
        <v>서비스 관리</v>
      </c>
      <c r="B54" s="28" t="str">
        <f>ChkList!$B54</f>
        <v>U-50</v>
      </c>
      <c r="C54" s="21" t="str">
        <f>ChkList!$C54</f>
        <v>DNS Zone Transfer 설정</v>
      </c>
      <c r="D54" s="31" t="str">
        <f>ChkList!$D54</f>
        <v>H</v>
      </c>
      <c r="E54" s="31">
        <f>ChkList!$E54</f>
        <v>3</v>
      </c>
      <c r="F54" s="23">
        <f ca="1">COUNTA($S54:INDIRECT(ADDRESS(ROW(),MATCH("",$4:$4,-1),1,1)))</f>
        <v>5</v>
      </c>
      <c r="G54" s="23">
        <f ca="1">'취약점 진단 항목별 통계'!G54</f>
        <v>5</v>
      </c>
      <c r="H54" s="23">
        <f ca="1">'취약점 진단 항목별 통계'!H54</f>
        <v>0</v>
      </c>
      <c r="I54" s="23">
        <f ca="1">'취약점 진단 항목별 통계'!I54</f>
        <v>0</v>
      </c>
      <c r="J54" s="23">
        <f ca="1">'취약점 진단 항목별 통계'!J54</f>
        <v>0</v>
      </c>
      <c r="K54" s="23">
        <f ca="1">COUNTIF($S54:INDIRECT(ADDRESS(ROW(),MATCH("",$4:$4,-1),1,1)),"조치")</f>
        <v>0</v>
      </c>
      <c r="L54" s="23">
        <f ca="1">COUNTIF($S54:INDIRECT(ADDRESS(ROW(),MATCH("",$4:$4,-1),1,1)),"미조치")</f>
        <v>0</v>
      </c>
      <c r="M54" s="23">
        <f ca="1">COUNTIF($S54:INDIRECT(ADDRESS(ROW(),MATCH("",$4:$4,-1),1,1)),"위험수용")</f>
        <v>0</v>
      </c>
      <c r="N54" s="23">
        <f ca="1">COUNTIF($S54:INDIRECT(ADDRESS(ROW(),MATCH("",$4:$4,-1),1,1)),"N/A")</f>
        <v>0</v>
      </c>
      <c r="O54" s="23">
        <f ca="1">VLOOKUP($D54,'parm(hidden)'!$B$8:$C$10,2,FALSE)*($F54-$J54)</f>
        <v>15</v>
      </c>
      <c r="P54" s="23">
        <f ca="1">VLOOKUP($D54,'parm(hidden)'!$B$8:$C$10,2,FALSE)*($F54-$N54)</f>
        <v>15</v>
      </c>
      <c r="Q54" s="36">
        <f ca="1">VLOOKUP($D54,'parm(hidden)'!$B$8:$C$10,2,FALSE)*($G54+$H54)</f>
        <v>15</v>
      </c>
      <c r="R54" s="23">
        <f ca="1">VLOOKUP($D54,'parm(hidden)'!$B$8:$C$10,2,FALSE)*($G54+$H54+$K54)</f>
        <v>15</v>
      </c>
      <c r="S54" s="47" t="str">
        <f t="shared" ca="1" si="1"/>
        <v>Y</v>
      </c>
      <c r="T54" s="47" t="str">
        <f t="shared" ca="1" si="1"/>
        <v>Y</v>
      </c>
      <c r="U54" s="125" t="str">
        <f t="shared" ca="1" si="1"/>
        <v>Y</v>
      </c>
      <c r="V54" s="47" t="str">
        <f t="shared" ca="1" si="1"/>
        <v>Y</v>
      </c>
      <c r="W54" s="47" t="str">
        <f t="shared" ca="1" si="1"/>
        <v>Y</v>
      </c>
    </row>
    <row r="55" spans="1:23">
      <c r="A55" s="115" t="str">
        <f>ChkList!A55</f>
        <v>서비스 관리</v>
      </c>
      <c r="B55" s="28" t="str">
        <f>ChkList!$B55</f>
        <v>U-51</v>
      </c>
      <c r="C55" s="21" t="str">
        <f>ChkList!$C55</f>
        <v>DNS 서비스의 취약한 동적 업데이트 설정 금지</v>
      </c>
      <c r="D55" s="31" t="str">
        <f>ChkList!$D55</f>
        <v>M</v>
      </c>
      <c r="E55" s="31">
        <f>ChkList!$E55</f>
        <v>2</v>
      </c>
      <c r="F55" s="23">
        <f ca="1">COUNTA($S55:INDIRECT(ADDRESS(ROW(),MATCH("",$4:$4,-1),1,1)))</f>
        <v>5</v>
      </c>
      <c r="G55" s="23">
        <f ca="1">'취약점 진단 항목별 통계'!G55</f>
        <v>2</v>
      </c>
      <c r="H55" s="23">
        <f ca="1">'취약점 진단 항목별 통계'!H55</f>
        <v>0</v>
      </c>
      <c r="I55" s="23">
        <f ca="1">'취약점 진단 항목별 통계'!I55</f>
        <v>3</v>
      </c>
      <c r="J55" s="23">
        <f ca="1">'취약점 진단 항목별 통계'!J55</f>
        <v>0</v>
      </c>
      <c r="K55" s="23">
        <f ca="1">COUNTIF($S55:INDIRECT(ADDRESS(ROW(),MATCH("",$4:$4,-1),1,1)),"조치")</f>
        <v>3</v>
      </c>
      <c r="L55" s="23">
        <f ca="1">COUNTIF($S55:INDIRECT(ADDRESS(ROW(),MATCH("",$4:$4,-1),1,1)),"미조치")</f>
        <v>0</v>
      </c>
      <c r="M55" s="23">
        <f ca="1">COUNTIF($S55:INDIRECT(ADDRESS(ROW(),MATCH("",$4:$4,-1),1,1)),"위험수용")</f>
        <v>0</v>
      </c>
      <c r="N55" s="23">
        <f ca="1">COUNTIF($S55:INDIRECT(ADDRESS(ROW(),MATCH("",$4:$4,-1),1,1)),"N/A")</f>
        <v>0</v>
      </c>
      <c r="O55" s="23">
        <f ca="1">VLOOKUP($D55,'parm(hidden)'!$B$8:$C$10,2,FALSE)*($F55-$J55)</f>
        <v>10</v>
      </c>
      <c r="P55" s="23">
        <f ca="1">VLOOKUP($D55,'parm(hidden)'!$B$8:$C$10,2,FALSE)*($F55-$N55)</f>
        <v>10</v>
      </c>
      <c r="Q55" s="36">
        <f ca="1">VLOOKUP($D55,'parm(hidden)'!$B$8:$C$10,2,FALSE)*($G55+$H55)</f>
        <v>4</v>
      </c>
      <c r="R55" s="23">
        <f ca="1">VLOOKUP($D55,'parm(hidden)'!$B$8:$C$10,2,FALSE)*($G55+$H55+$K55)</f>
        <v>10</v>
      </c>
      <c r="S55" s="47" t="str">
        <f t="shared" ca="1" si="1"/>
        <v>조치</v>
      </c>
      <c r="T55" s="47" t="str">
        <f t="shared" ca="1" si="1"/>
        <v>조치</v>
      </c>
      <c r="U55" s="125" t="str">
        <f t="shared" ca="1" si="1"/>
        <v>조치</v>
      </c>
      <c r="V55" s="47" t="str">
        <f t="shared" ca="1" si="1"/>
        <v>Y</v>
      </c>
      <c r="W55" s="47" t="str">
        <f t="shared" ca="1" si="1"/>
        <v>Y</v>
      </c>
    </row>
    <row r="56" spans="1:23">
      <c r="A56" s="115" t="str">
        <f>ChkList!A56</f>
        <v>서비스 관리</v>
      </c>
      <c r="B56" s="28" t="str">
        <f>ChkList!$B56</f>
        <v>U-52</v>
      </c>
      <c r="C56" s="21" t="str">
        <f>ChkList!$C56</f>
        <v>Telnet 서비스 비활성화</v>
      </c>
      <c r="D56" s="31" t="str">
        <f>ChkList!$D56</f>
        <v>M</v>
      </c>
      <c r="E56" s="31">
        <f>ChkList!$E56</f>
        <v>2</v>
      </c>
      <c r="F56" s="23">
        <f ca="1">COUNTA($S56:INDIRECT(ADDRESS(ROW(),MATCH("",$4:$4,-1),1,1)))</f>
        <v>5</v>
      </c>
      <c r="G56" s="23">
        <f ca="1">'취약점 진단 항목별 통계'!G56</f>
        <v>5</v>
      </c>
      <c r="H56" s="23">
        <f ca="1">'취약점 진단 항목별 통계'!H56</f>
        <v>0</v>
      </c>
      <c r="I56" s="23">
        <f ca="1">'취약점 진단 항목별 통계'!I56</f>
        <v>0</v>
      </c>
      <c r="J56" s="23">
        <f ca="1">'취약점 진단 항목별 통계'!J56</f>
        <v>0</v>
      </c>
      <c r="K56" s="23">
        <f ca="1">COUNTIF($S56:INDIRECT(ADDRESS(ROW(),MATCH("",$4:$4,-1),1,1)),"조치")</f>
        <v>0</v>
      </c>
      <c r="L56" s="23">
        <f ca="1">COUNTIF($S56:INDIRECT(ADDRESS(ROW(),MATCH("",$4:$4,-1),1,1)),"미조치")</f>
        <v>0</v>
      </c>
      <c r="M56" s="23">
        <f ca="1">COUNTIF($S56:INDIRECT(ADDRESS(ROW(),MATCH("",$4:$4,-1),1,1)),"위험수용")</f>
        <v>0</v>
      </c>
      <c r="N56" s="23">
        <f ca="1">COUNTIF($S56:INDIRECT(ADDRESS(ROW(),MATCH("",$4:$4,-1),1,1)),"N/A")</f>
        <v>0</v>
      </c>
      <c r="O56" s="23">
        <f ca="1">VLOOKUP($D56,'parm(hidden)'!$B$8:$C$10,2,FALSE)*($F56-$J56)</f>
        <v>10</v>
      </c>
      <c r="P56" s="23">
        <f ca="1">VLOOKUP($D56,'parm(hidden)'!$B$8:$C$10,2,FALSE)*($F56-$N56)</f>
        <v>10</v>
      </c>
      <c r="Q56" s="36">
        <f ca="1">VLOOKUP($D56,'parm(hidden)'!$B$8:$C$10,2,FALSE)*($G56+$H56)</f>
        <v>10</v>
      </c>
      <c r="R56" s="23">
        <f ca="1">VLOOKUP($D56,'parm(hidden)'!$B$8:$C$10,2,FALSE)*($G56+$H56+$K56)</f>
        <v>10</v>
      </c>
      <c r="S56" s="47" t="str">
        <f t="shared" ca="1" si="1"/>
        <v>Y</v>
      </c>
      <c r="T56" s="47" t="str">
        <f t="shared" ca="1" si="1"/>
        <v>Y</v>
      </c>
      <c r="U56" s="125" t="str">
        <f t="shared" ca="1" si="1"/>
        <v>Y</v>
      </c>
      <c r="V56" s="47" t="str">
        <f t="shared" ca="1" si="1"/>
        <v>Y</v>
      </c>
      <c r="W56" s="47" t="str">
        <f t="shared" ca="1" si="1"/>
        <v>Y</v>
      </c>
    </row>
    <row r="57" spans="1:23">
      <c r="A57" s="115" t="str">
        <f>ChkList!A57</f>
        <v>서비스 관리</v>
      </c>
      <c r="B57" s="28" t="str">
        <f>ChkList!$B57</f>
        <v>U-53</v>
      </c>
      <c r="C57" s="21" t="str">
        <f>ChkList!$C57</f>
        <v>FTP 서비스 정보 노출 제한</v>
      </c>
      <c r="D57" s="31" t="str">
        <f>ChkList!$D57</f>
        <v>L</v>
      </c>
      <c r="E57" s="31">
        <f>ChkList!$E57</f>
        <v>1</v>
      </c>
      <c r="F57" s="23">
        <f ca="1">COUNTA($S57:INDIRECT(ADDRESS(ROW(),MATCH("",$4:$4,-1),1,1)))</f>
        <v>5</v>
      </c>
      <c r="G57" s="23">
        <f ca="1">'취약점 진단 항목별 통계'!G57</f>
        <v>2</v>
      </c>
      <c r="H57" s="23">
        <f ca="1">'취약점 진단 항목별 통계'!H57</f>
        <v>0</v>
      </c>
      <c r="I57" s="23">
        <f ca="1">'취약점 진단 항목별 통계'!I57</f>
        <v>3</v>
      </c>
      <c r="J57" s="23">
        <f ca="1">'취약점 진단 항목별 통계'!J57</f>
        <v>0</v>
      </c>
      <c r="K57" s="23">
        <f ca="1">COUNTIF($S57:INDIRECT(ADDRESS(ROW(),MATCH("",$4:$4,-1),1,1)),"조치")</f>
        <v>3</v>
      </c>
      <c r="L57" s="23">
        <f ca="1">COUNTIF($S57:INDIRECT(ADDRESS(ROW(),MATCH("",$4:$4,-1),1,1)),"미조치")</f>
        <v>0</v>
      </c>
      <c r="M57" s="23">
        <f ca="1">COUNTIF($S57:INDIRECT(ADDRESS(ROW(),MATCH("",$4:$4,-1),1,1)),"위험수용")</f>
        <v>0</v>
      </c>
      <c r="N57" s="23">
        <f ca="1">COUNTIF($S57:INDIRECT(ADDRESS(ROW(),MATCH("",$4:$4,-1),1,1)),"N/A")</f>
        <v>0</v>
      </c>
      <c r="O57" s="23">
        <f ca="1">VLOOKUP($D57,'parm(hidden)'!$B$8:$C$10,2,FALSE)*($F57-$J57)</f>
        <v>5</v>
      </c>
      <c r="P57" s="23">
        <f ca="1">VLOOKUP($D57,'parm(hidden)'!$B$8:$C$10,2,FALSE)*($F57-$N57)</f>
        <v>5</v>
      </c>
      <c r="Q57" s="36">
        <f ca="1">VLOOKUP($D57,'parm(hidden)'!$B$8:$C$10,2,FALSE)*($G57+$H57)</f>
        <v>2</v>
      </c>
      <c r="R57" s="23">
        <f ca="1">VLOOKUP($D57,'parm(hidden)'!$B$8:$C$10,2,FALSE)*($G57+$H57+$K57)</f>
        <v>5</v>
      </c>
      <c r="S57" s="47" t="str">
        <f t="shared" ca="1" si="1"/>
        <v>조치</v>
      </c>
      <c r="T57" s="47" t="str">
        <f t="shared" ca="1" si="1"/>
        <v>조치</v>
      </c>
      <c r="U57" s="125" t="str">
        <f t="shared" ca="1" si="1"/>
        <v>조치</v>
      </c>
      <c r="V57" s="47" t="str">
        <f t="shared" ca="1" si="1"/>
        <v>Y</v>
      </c>
      <c r="W57" s="47" t="str">
        <f t="shared" ca="1" si="1"/>
        <v>Y</v>
      </c>
    </row>
    <row r="58" spans="1:23">
      <c r="A58" s="115" t="str">
        <f>ChkList!A58</f>
        <v>서비스 관리</v>
      </c>
      <c r="B58" s="28" t="str">
        <f>ChkList!$B58</f>
        <v>U-54</v>
      </c>
      <c r="C58" s="21" t="str">
        <f>ChkList!$C58</f>
        <v>암호화되지 않는 FTP 서비스 비활성화</v>
      </c>
      <c r="D58" s="31" t="str">
        <f>ChkList!$D58</f>
        <v>M</v>
      </c>
      <c r="E58" s="31">
        <f>ChkList!$E58</f>
        <v>2</v>
      </c>
      <c r="F58" s="23">
        <f ca="1">COUNTA($S58:INDIRECT(ADDRESS(ROW(),MATCH("",$4:$4,-1),1,1)))</f>
        <v>5</v>
      </c>
      <c r="G58" s="23">
        <f ca="1">'취약점 진단 항목별 통계'!G58</f>
        <v>2</v>
      </c>
      <c r="H58" s="23">
        <f ca="1">'취약점 진단 항목별 통계'!H58</f>
        <v>0</v>
      </c>
      <c r="I58" s="23">
        <f ca="1">'취약점 진단 항목별 통계'!I58</f>
        <v>3</v>
      </c>
      <c r="J58" s="23">
        <f ca="1">'취약점 진단 항목별 통계'!J58</f>
        <v>0</v>
      </c>
      <c r="K58" s="23">
        <f ca="1">COUNTIF($S58:INDIRECT(ADDRESS(ROW(),MATCH("",$4:$4,-1),1,1)),"조치")</f>
        <v>3</v>
      </c>
      <c r="L58" s="23">
        <f ca="1">COUNTIF($S58:INDIRECT(ADDRESS(ROW(),MATCH("",$4:$4,-1),1,1)),"미조치")</f>
        <v>0</v>
      </c>
      <c r="M58" s="23">
        <f ca="1">COUNTIF($S58:INDIRECT(ADDRESS(ROW(),MATCH("",$4:$4,-1),1,1)),"위험수용")</f>
        <v>0</v>
      </c>
      <c r="N58" s="23">
        <f ca="1">COUNTIF($S58:INDIRECT(ADDRESS(ROW(),MATCH("",$4:$4,-1),1,1)),"N/A")</f>
        <v>0</v>
      </c>
      <c r="O58" s="23">
        <f ca="1">VLOOKUP($D58,'parm(hidden)'!$B$8:$C$10,2,FALSE)*($F58-$J58)</f>
        <v>10</v>
      </c>
      <c r="P58" s="23">
        <f ca="1">VLOOKUP($D58,'parm(hidden)'!$B$8:$C$10,2,FALSE)*($F58-$N58)</f>
        <v>10</v>
      </c>
      <c r="Q58" s="36">
        <f ca="1">VLOOKUP($D58,'parm(hidden)'!$B$8:$C$10,2,FALSE)*($G58+$H58)</f>
        <v>4</v>
      </c>
      <c r="R58" s="23">
        <f ca="1">VLOOKUP($D58,'parm(hidden)'!$B$8:$C$10,2,FALSE)*($G58+$H58+$K58)</f>
        <v>10</v>
      </c>
      <c r="S58" s="47" t="str">
        <f t="shared" ca="1" si="1"/>
        <v>조치</v>
      </c>
      <c r="T58" s="47" t="str">
        <f t="shared" ca="1" si="1"/>
        <v>조치</v>
      </c>
      <c r="U58" s="125" t="str">
        <f t="shared" ca="1" si="1"/>
        <v>조치</v>
      </c>
      <c r="V58" s="47" t="str">
        <f t="shared" ca="1" si="1"/>
        <v>Y</v>
      </c>
      <c r="W58" s="47" t="str">
        <f t="shared" ca="1" si="1"/>
        <v>Y</v>
      </c>
    </row>
    <row r="59" spans="1:23">
      <c r="A59" s="115" t="str">
        <f>ChkList!A59</f>
        <v>서비스 관리</v>
      </c>
      <c r="B59" s="28" t="str">
        <f>ChkList!$B59</f>
        <v>U-55</v>
      </c>
      <c r="C59" s="21" t="str">
        <f>ChkList!$C59</f>
        <v>FTP 계정 Shell 제한</v>
      </c>
      <c r="D59" s="31" t="str">
        <f>ChkList!$D59</f>
        <v>M</v>
      </c>
      <c r="E59" s="31">
        <f>ChkList!$E59</f>
        <v>2</v>
      </c>
      <c r="F59" s="23">
        <f ca="1">COUNTA($S59:INDIRECT(ADDRESS(ROW(),MATCH("",$4:$4,-1),1,1)))</f>
        <v>5</v>
      </c>
      <c r="G59" s="23">
        <f ca="1">'취약점 진단 항목별 통계'!G59</f>
        <v>2</v>
      </c>
      <c r="H59" s="23">
        <f ca="1">'취약점 진단 항목별 통계'!H59</f>
        <v>0</v>
      </c>
      <c r="I59" s="23">
        <f ca="1">'취약점 진단 항목별 통계'!I59</f>
        <v>3</v>
      </c>
      <c r="J59" s="23">
        <f ca="1">'취약점 진단 항목별 통계'!J59</f>
        <v>0</v>
      </c>
      <c r="K59" s="23">
        <f ca="1">COUNTIF($S59:INDIRECT(ADDRESS(ROW(),MATCH("",$4:$4,-1),1,1)),"조치")</f>
        <v>3</v>
      </c>
      <c r="L59" s="23">
        <f ca="1">COUNTIF($S59:INDIRECT(ADDRESS(ROW(),MATCH("",$4:$4,-1),1,1)),"미조치")</f>
        <v>0</v>
      </c>
      <c r="M59" s="23">
        <f ca="1">COUNTIF($S59:INDIRECT(ADDRESS(ROW(),MATCH("",$4:$4,-1),1,1)),"위험수용")</f>
        <v>0</v>
      </c>
      <c r="N59" s="23">
        <f ca="1">COUNTIF($S59:INDIRECT(ADDRESS(ROW(),MATCH("",$4:$4,-1),1,1)),"N/A")</f>
        <v>0</v>
      </c>
      <c r="O59" s="23">
        <f ca="1">VLOOKUP($D59,'parm(hidden)'!$B$8:$C$10,2,FALSE)*($F59-$J59)</f>
        <v>10</v>
      </c>
      <c r="P59" s="23">
        <f ca="1">VLOOKUP($D59,'parm(hidden)'!$B$8:$C$10,2,FALSE)*($F59-$N59)</f>
        <v>10</v>
      </c>
      <c r="Q59" s="36">
        <f ca="1">VLOOKUP($D59,'parm(hidden)'!$B$8:$C$10,2,FALSE)*($G59+$H59)</f>
        <v>4</v>
      </c>
      <c r="R59" s="23">
        <f ca="1">VLOOKUP($D59,'parm(hidden)'!$B$8:$C$10,2,FALSE)*($G59+$H59+$K59)</f>
        <v>10</v>
      </c>
      <c r="S59" s="47" t="str">
        <f t="shared" ca="1" si="1"/>
        <v>조치</v>
      </c>
      <c r="T59" s="47" t="str">
        <f t="shared" ca="1" si="1"/>
        <v>조치</v>
      </c>
      <c r="U59" s="125" t="str">
        <f t="shared" ca="1" si="1"/>
        <v>조치</v>
      </c>
      <c r="V59" s="47" t="str">
        <f t="shared" ca="1" si="1"/>
        <v>Y</v>
      </c>
      <c r="W59" s="47" t="str">
        <f t="shared" ca="1" si="1"/>
        <v>Y</v>
      </c>
    </row>
    <row r="60" spans="1:23">
      <c r="A60" s="115" t="str">
        <f>ChkList!A60</f>
        <v>서비스 관리</v>
      </c>
      <c r="B60" s="28" t="str">
        <f>ChkList!$B60</f>
        <v>U-56</v>
      </c>
      <c r="C60" s="21" t="str">
        <f>ChkList!$C60</f>
        <v>FTP 서비스 접근 제어 설정</v>
      </c>
      <c r="D60" s="31" t="str">
        <f>ChkList!$D60</f>
        <v>L</v>
      </c>
      <c r="E60" s="31">
        <f>ChkList!$E60</f>
        <v>1</v>
      </c>
      <c r="F60" s="23">
        <f ca="1">COUNTA($S60:INDIRECT(ADDRESS(ROW(),MATCH("",$4:$4,-1),1,1)))</f>
        <v>5</v>
      </c>
      <c r="G60" s="23">
        <f ca="1">'취약점 진단 항목별 통계'!G60</f>
        <v>2</v>
      </c>
      <c r="H60" s="23">
        <f ca="1">'취약점 진단 항목별 통계'!H60</f>
        <v>0</v>
      </c>
      <c r="I60" s="23">
        <f ca="1">'취약점 진단 항목별 통계'!I60</f>
        <v>3</v>
      </c>
      <c r="J60" s="23">
        <f ca="1">'취약점 진단 항목별 통계'!J60</f>
        <v>0</v>
      </c>
      <c r="K60" s="23">
        <f ca="1">COUNTIF($S60:INDIRECT(ADDRESS(ROW(),MATCH("",$4:$4,-1),1,1)),"조치")</f>
        <v>3</v>
      </c>
      <c r="L60" s="23">
        <f ca="1">COUNTIF($S60:INDIRECT(ADDRESS(ROW(),MATCH("",$4:$4,-1),1,1)),"미조치")</f>
        <v>0</v>
      </c>
      <c r="M60" s="23">
        <f ca="1">COUNTIF($S60:INDIRECT(ADDRESS(ROW(),MATCH("",$4:$4,-1),1,1)),"위험수용")</f>
        <v>0</v>
      </c>
      <c r="N60" s="23">
        <f ca="1">COUNTIF($S60:INDIRECT(ADDRESS(ROW(),MATCH("",$4:$4,-1),1,1)),"N/A")</f>
        <v>0</v>
      </c>
      <c r="O60" s="23">
        <f ca="1">VLOOKUP($D60,'parm(hidden)'!$B$8:$C$10,2,FALSE)*($F60-$J60)</f>
        <v>5</v>
      </c>
      <c r="P60" s="23">
        <f ca="1">VLOOKUP($D60,'parm(hidden)'!$B$8:$C$10,2,FALSE)*($F60-$N60)</f>
        <v>5</v>
      </c>
      <c r="Q60" s="36">
        <f ca="1">VLOOKUP($D60,'parm(hidden)'!$B$8:$C$10,2,FALSE)*($G60+$H60)</f>
        <v>2</v>
      </c>
      <c r="R60" s="23">
        <f ca="1">VLOOKUP($D60,'parm(hidden)'!$B$8:$C$10,2,FALSE)*($G60+$H60+$K60)</f>
        <v>5</v>
      </c>
      <c r="S60" s="47" t="str">
        <f t="shared" ca="1" si="1"/>
        <v>조치</v>
      </c>
      <c r="T60" s="47" t="str">
        <f t="shared" ca="1" si="1"/>
        <v>조치</v>
      </c>
      <c r="U60" s="125" t="str">
        <f t="shared" ca="1" si="1"/>
        <v>조치</v>
      </c>
      <c r="V60" s="47" t="str">
        <f t="shared" ca="1" si="1"/>
        <v>Y</v>
      </c>
      <c r="W60" s="47" t="str">
        <f t="shared" ca="1" si="1"/>
        <v>Y</v>
      </c>
    </row>
    <row r="61" spans="1:23">
      <c r="A61" s="115" t="str">
        <f>ChkList!A61</f>
        <v>서비스 관리</v>
      </c>
      <c r="B61" s="28" t="str">
        <f>ChkList!$B61</f>
        <v>U-57</v>
      </c>
      <c r="C61" s="21" t="str">
        <f>ChkList!$C61</f>
        <v>Ftpusers 파일 설정</v>
      </c>
      <c r="D61" s="31" t="str">
        <f>ChkList!$D61</f>
        <v>M</v>
      </c>
      <c r="E61" s="31">
        <f>ChkList!$E61</f>
        <v>2</v>
      </c>
      <c r="F61" s="23">
        <f ca="1">COUNTA($S61:INDIRECT(ADDRESS(ROW(),MATCH("",$4:$4,-1),1,1)))</f>
        <v>5</v>
      </c>
      <c r="G61" s="23">
        <f ca="1">'취약점 진단 항목별 통계'!G61</f>
        <v>2</v>
      </c>
      <c r="H61" s="23">
        <f ca="1">'취약점 진단 항목별 통계'!H61</f>
        <v>0</v>
      </c>
      <c r="I61" s="23">
        <f ca="1">'취약점 진단 항목별 통계'!I61</f>
        <v>3</v>
      </c>
      <c r="J61" s="23">
        <f ca="1">'취약점 진단 항목별 통계'!J61</f>
        <v>0</v>
      </c>
      <c r="K61" s="23">
        <f ca="1">COUNTIF($S61:INDIRECT(ADDRESS(ROW(),MATCH("",$4:$4,-1),1,1)),"조치")</f>
        <v>3</v>
      </c>
      <c r="L61" s="23">
        <f ca="1">COUNTIF($S61:INDIRECT(ADDRESS(ROW(),MATCH("",$4:$4,-1),1,1)),"미조치")</f>
        <v>0</v>
      </c>
      <c r="M61" s="23">
        <f ca="1">COUNTIF($S61:INDIRECT(ADDRESS(ROW(),MATCH("",$4:$4,-1),1,1)),"위험수용")</f>
        <v>0</v>
      </c>
      <c r="N61" s="23">
        <f ca="1">COUNTIF($S61:INDIRECT(ADDRESS(ROW(),MATCH("",$4:$4,-1),1,1)),"N/A")</f>
        <v>0</v>
      </c>
      <c r="O61" s="23">
        <f ca="1">VLOOKUP($D61,'parm(hidden)'!$B$8:$C$10,2,FALSE)*($F61-$J61)</f>
        <v>10</v>
      </c>
      <c r="P61" s="23">
        <f ca="1">VLOOKUP($D61,'parm(hidden)'!$B$8:$C$10,2,FALSE)*($F61-$N61)</f>
        <v>10</v>
      </c>
      <c r="Q61" s="36">
        <f ca="1">VLOOKUP($D61,'parm(hidden)'!$B$8:$C$10,2,FALSE)*($G61+$H61)</f>
        <v>4</v>
      </c>
      <c r="R61" s="23">
        <f ca="1">VLOOKUP($D61,'parm(hidden)'!$B$8:$C$10,2,FALSE)*($G61+$H61+$K61)</f>
        <v>10</v>
      </c>
      <c r="S61" s="47" t="str">
        <f t="shared" ca="1" si="1"/>
        <v>조치</v>
      </c>
      <c r="T61" s="47" t="str">
        <f t="shared" ca="1" si="1"/>
        <v>조치</v>
      </c>
      <c r="U61" s="125" t="str">
        <f t="shared" ca="1" si="1"/>
        <v>조치</v>
      </c>
      <c r="V61" s="47" t="str">
        <f t="shared" ca="1" si="1"/>
        <v>Y</v>
      </c>
      <c r="W61" s="47" t="str">
        <f t="shared" ca="1" si="1"/>
        <v>Y</v>
      </c>
    </row>
    <row r="62" spans="1:23">
      <c r="A62" s="115" t="str">
        <f>ChkList!A62</f>
        <v>서비스 관리</v>
      </c>
      <c r="B62" s="28" t="str">
        <f>ChkList!$B62</f>
        <v>U-58</v>
      </c>
      <c r="C62" s="21" t="str">
        <f>ChkList!$C62</f>
        <v>불필요한 SNMP 서비스 구동 점검</v>
      </c>
      <c r="D62" s="31" t="str">
        <f>ChkList!$D62</f>
        <v>M</v>
      </c>
      <c r="E62" s="31">
        <f>ChkList!$E62</f>
        <v>2</v>
      </c>
      <c r="F62" s="23">
        <f ca="1">COUNTA($S62:INDIRECT(ADDRESS(ROW(),MATCH("",$4:$4,-1),1,1)))</f>
        <v>5</v>
      </c>
      <c r="G62" s="23">
        <f ca="1">'취약점 진단 항목별 통계'!G62</f>
        <v>5</v>
      </c>
      <c r="H62" s="23">
        <f ca="1">'취약점 진단 항목별 통계'!H62</f>
        <v>0</v>
      </c>
      <c r="I62" s="23">
        <f ca="1">'취약점 진단 항목별 통계'!I62</f>
        <v>0</v>
      </c>
      <c r="J62" s="23">
        <f ca="1">'취약점 진단 항목별 통계'!J62</f>
        <v>0</v>
      </c>
      <c r="K62" s="23">
        <f ca="1">COUNTIF($S62:INDIRECT(ADDRESS(ROW(),MATCH("",$4:$4,-1),1,1)),"조치")</f>
        <v>0</v>
      </c>
      <c r="L62" s="23">
        <f ca="1">COUNTIF($S62:INDIRECT(ADDRESS(ROW(),MATCH("",$4:$4,-1),1,1)),"미조치")</f>
        <v>0</v>
      </c>
      <c r="M62" s="23">
        <f ca="1">COUNTIF($S62:INDIRECT(ADDRESS(ROW(),MATCH("",$4:$4,-1),1,1)),"위험수용")</f>
        <v>0</v>
      </c>
      <c r="N62" s="23">
        <f ca="1">COUNTIF($S62:INDIRECT(ADDRESS(ROW(),MATCH("",$4:$4,-1),1,1)),"N/A")</f>
        <v>0</v>
      </c>
      <c r="O62" s="23">
        <f ca="1">VLOOKUP($D62,'parm(hidden)'!$B$8:$C$10,2,FALSE)*($F62-$J62)</f>
        <v>10</v>
      </c>
      <c r="P62" s="23">
        <f ca="1">VLOOKUP($D62,'parm(hidden)'!$B$8:$C$10,2,FALSE)*($F62-$N62)</f>
        <v>10</v>
      </c>
      <c r="Q62" s="36">
        <f ca="1">VLOOKUP($D62,'parm(hidden)'!$B$8:$C$10,2,FALSE)*($G62+$H62)</f>
        <v>10</v>
      </c>
      <c r="R62" s="23">
        <f ca="1">VLOOKUP($D62,'parm(hidden)'!$B$8:$C$10,2,FALSE)*($G62+$H62+$K62)</f>
        <v>10</v>
      </c>
      <c r="S62" s="47" t="str">
        <f t="shared" ca="1" si="1"/>
        <v>Y</v>
      </c>
      <c r="T62" s="47" t="str">
        <f t="shared" ca="1" si="1"/>
        <v>Y</v>
      </c>
      <c r="U62" s="125" t="str">
        <f t="shared" ca="1" si="1"/>
        <v>Y</v>
      </c>
      <c r="V62" s="47" t="str">
        <f t="shared" ca="1" si="1"/>
        <v>Y</v>
      </c>
      <c r="W62" s="47" t="str">
        <f t="shared" ca="1" si="1"/>
        <v>Y</v>
      </c>
    </row>
    <row r="63" spans="1:23">
      <c r="A63" s="115" t="str">
        <f>ChkList!A63</f>
        <v>서비스 관리</v>
      </c>
      <c r="B63" s="28" t="str">
        <f>ChkList!$B63</f>
        <v>U-59</v>
      </c>
      <c r="C63" s="21" t="str">
        <f>ChkList!$C63</f>
        <v>안전한 SNMP 버전 사용</v>
      </c>
      <c r="D63" s="31" t="str">
        <f>ChkList!$D63</f>
        <v>H</v>
      </c>
      <c r="E63" s="31">
        <f>ChkList!$E63</f>
        <v>3</v>
      </c>
      <c r="F63" s="23">
        <f ca="1">COUNTA($S63:INDIRECT(ADDRESS(ROW(),MATCH("",$4:$4,-1),1,1)))</f>
        <v>5</v>
      </c>
      <c r="G63" s="23">
        <f ca="1">'취약점 진단 항목별 통계'!G63</f>
        <v>5</v>
      </c>
      <c r="H63" s="23">
        <f ca="1">'취약점 진단 항목별 통계'!H63</f>
        <v>0</v>
      </c>
      <c r="I63" s="23">
        <f ca="1">'취약점 진단 항목별 통계'!I63</f>
        <v>0</v>
      </c>
      <c r="J63" s="23">
        <f ca="1">'취약점 진단 항목별 통계'!J63</f>
        <v>0</v>
      </c>
      <c r="K63" s="23">
        <f ca="1">COUNTIF($S63:INDIRECT(ADDRESS(ROW(),MATCH("",$4:$4,-1),1,1)),"조치")</f>
        <v>0</v>
      </c>
      <c r="L63" s="23">
        <f ca="1">COUNTIF($S63:INDIRECT(ADDRESS(ROW(),MATCH("",$4:$4,-1),1,1)),"미조치")</f>
        <v>0</v>
      </c>
      <c r="M63" s="23">
        <f ca="1">COUNTIF($S63:INDIRECT(ADDRESS(ROW(),MATCH("",$4:$4,-1),1,1)),"위험수용")</f>
        <v>0</v>
      </c>
      <c r="N63" s="23">
        <f ca="1">COUNTIF($S63:INDIRECT(ADDRESS(ROW(),MATCH("",$4:$4,-1),1,1)),"N/A")</f>
        <v>0</v>
      </c>
      <c r="O63" s="23">
        <f ca="1">VLOOKUP($D63,'parm(hidden)'!$B$8:$C$10,2,FALSE)*($F63-$J63)</f>
        <v>15</v>
      </c>
      <c r="P63" s="23">
        <f ca="1">VLOOKUP($D63,'parm(hidden)'!$B$8:$C$10,2,FALSE)*($F63-$N63)</f>
        <v>15</v>
      </c>
      <c r="Q63" s="36">
        <f ca="1">VLOOKUP($D63,'parm(hidden)'!$B$8:$C$10,2,FALSE)*($G63+$H63)</f>
        <v>15</v>
      </c>
      <c r="R63" s="23">
        <f ca="1">VLOOKUP($D63,'parm(hidden)'!$B$8:$C$10,2,FALSE)*($G63+$H63+$K63)</f>
        <v>15</v>
      </c>
      <c r="S63" s="47" t="str">
        <f t="shared" ca="1" si="1"/>
        <v>Y</v>
      </c>
      <c r="T63" s="47" t="str">
        <f t="shared" ca="1" si="1"/>
        <v>Y</v>
      </c>
      <c r="U63" s="125" t="str">
        <f t="shared" ca="1" si="1"/>
        <v>Y</v>
      </c>
      <c r="V63" s="47" t="str">
        <f t="shared" ca="1" si="1"/>
        <v>Y</v>
      </c>
      <c r="W63" s="47" t="str">
        <f t="shared" ca="1" si="1"/>
        <v>Y</v>
      </c>
    </row>
    <row r="64" spans="1:23">
      <c r="A64" s="115" t="str">
        <f>ChkList!A64</f>
        <v>서비스 관리</v>
      </c>
      <c r="B64" s="28" t="str">
        <f>ChkList!$B64</f>
        <v>U-60</v>
      </c>
      <c r="C64" s="21" t="str">
        <f>ChkList!$C64</f>
        <v>SNMP Community String 복잡성 설정</v>
      </c>
      <c r="D64" s="31" t="str">
        <f>ChkList!$D64</f>
        <v>M</v>
      </c>
      <c r="E64" s="31">
        <f>ChkList!$E64</f>
        <v>2</v>
      </c>
      <c r="F64" s="23">
        <f ca="1">COUNTA($S64:INDIRECT(ADDRESS(ROW(),MATCH("",$4:$4,-1),1,1)))</f>
        <v>5</v>
      </c>
      <c r="G64" s="23">
        <f ca="1">'취약점 진단 항목별 통계'!G64</f>
        <v>5</v>
      </c>
      <c r="H64" s="23">
        <f ca="1">'취약점 진단 항목별 통계'!H64</f>
        <v>0</v>
      </c>
      <c r="I64" s="23">
        <f ca="1">'취약점 진단 항목별 통계'!I64</f>
        <v>0</v>
      </c>
      <c r="J64" s="23">
        <f ca="1">'취약점 진단 항목별 통계'!J64</f>
        <v>0</v>
      </c>
      <c r="K64" s="23">
        <f ca="1">COUNTIF($S64:INDIRECT(ADDRESS(ROW(),MATCH("",$4:$4,-1),1,1)),"조치")</f>
        <v>0</v>
      </c>
      <c r="L64" s="23">
        <f ca="1">COUNTIF($S64:INDIRECT(ADDRESS(ROW(),MATCH("",$4:$4,-1),1,1)),"미조치")</f>
        <v>0</v>
      </c>
      <c r="M64" s="23">
        <f ca="1">COUNTIF($S64:INDIRECT(ADDRESS(ROW(),MATCH("",$4:$4,-1),1,1)),"위험수용")</f>
        <v>0</v>
      </c>
      <c r="N64" s="23">
        <f ca="1">COUNTIF($S64:INDIRECT(ADDRESS(ROW(),MATCH("",$4:$4,-1),1,1)),"N/A")</f>
        <v>0</v>
      </c>
      <c r="O64" s="23">
        <f ca="1">VLOOKUP($D64,'parm(hidden)'!$B$8:$C$10,2,FALSE)*($F64-$J64)</f>
        <v>10</v>
      </c>
      <c r="P64" s="23">
        <f ca="1">VLOOKUP($D64,'parm(hidden)'!$B$8:$C$10,2,FALSE)*($F64-$N64)</f>
        <v>10</v>
      </c>
      <c r="Q64" s="36">
        <f ca="1">VLOOKUP($D64,'parm(hidden)'!$B$8:$C$10,2,FALSE)*($G64+$H64)</f>
        <v>10</v>
      </c>
      <c r="R64" s="23">
        <f ca="1">VLOOKUP($D64,'parm(hidden)'!$B$8:$C$10,2,FALSE)*($G64+$H64+$K64)</f>
        <v>10</v>
      </c>
      <c r="S64" s="47" t="str">
        <f t="shared" ca="1" si="1"/>
        <v>Y</v>
      </c>
      <c r="T64" s="47" t="str">
        <f t="shared" ca="1" si="1"/>
        <v>Y</v>
      </c>
      <c r="U64" s="125" t="str">
        <f t="shared" ca="1" si="1"/>
        <v>Y</v>
      </c>
      <c r="V64" s="47" t="str">
        <f t="shared" ca="1" si="1"/>
        <v>Y</v>
      </c>
      <c r="W64" s="47" t="str">
        <f t="shared" ca="1" si="1"/>
        <v>Y</v>
      </c>
    </row>
    <row r="65" spans="1:23">
      <c r="A65" s="115" t="str">
        <f>ChkList!A65</f>
        <v>서비스 관리</v>
      </c>
      <c r="B65" s="28" t="str">
        <f>ChkList!$B65</f>
        <v>U-61</v>
      </c>
      <c r="C65" s="21" t="str">
        <f>ChkList!$C65</f>
        <v>SNMP Access Control 설정</v>
      </c>
      <c r="D65" s="31" t="str">
        <f>ChkList!$D65</f>
        <v>H</v>
      </c>
      <c r="E65" s="31">
        <f>ChkList!$E65</f>
        <v>3</v>
      </c>
      <c r="F65" s="23">
        <f ca="1">COUNTA($S65:INDIRECT(ADDRESS(ROW(),MATCH("",$4:$4,-1),1,1)))</f>
        <v>5</v>
      </c>
      <c r="G65" s="23">
        <f ca="1">'취약점 진단 항목별 통계'!G65</f>
        <v>5</v>
      </c>
      <c r="H65" s="23">
        <f ca="1">'취약점 진단 항목별 통계'!H65</f>
        <v>0</v>
      </c>
      <c r="I65" s="23">
        <f ca="1">'취약점 진단 항목별 통계'!I65</f>
        <v>0</v>
      </c>
      <c r="J65" s="23">
        <f ca="1">'취약점 진단 항목별 통계'!J65</f>
        <v>0</v>
      </c>
      <c r="K65" s="23">
        <f ca="1">COUNTIF($S65:INDIRECT(ADDRESS(ROW(),MATCH("",$4:$4,-1),1,1)),"조치")</f>
        <v>0</v>
      </c>
      <c r="L65" s="23">
        <f ca="1">COUNTIF($S65:INDIRECT(ADDRESS(ROW(),MATCH("",$4:$4,-1),1,1)),"미조치")</f>
        <v>0</v>
      </c>
      <c r="M65" s="23">
        <f ca="1">COUNTIF($S65:INDIRECT(ADDRESS(ROW(),MATCH("",$4:$4,-1),1,1)),"위험수용")</f>
        <v>0</v>
      </c>
      <c r="N65" s="23">
        <f ca="1">COUNTIF($S65:INDIRECT(ADDRESS(ROW(),MATCH("",$4:$4,-1),1,1)),"N/A")</f>
        <v>0</v>
      </c>
      <c r="O65" s="23">
        <f ca="1">VLOOKUP($D65,'parm(hidden)'!$B$8:$C$10,2,FALSE)*($F65-$J65)</f>
        <v>15</v>
      </c>
      <c r="P65" s="23">
        <f ca="1">VLOOKUP($D65,'parm(hidden)'!$B$8:$C$10,2,FALSE)*($F65-$N65)</f>
        <v>15</v>
      </c>
      <c r="Q65" s="36">
        <f ca="1">VLOOKUP($D65,'parm(hidden)'!$B$8:$C$10,2,FALSE)*($G65+$H65)</f>
        <v>15</v>
      </c>
      <c r="R65" s="23">
        <f ca="1">VLOOKUP($D65,'parm(hidden)'!$B$8:$C$10,2,FALSE)*($G65+$H65+$K65)</f>
        <v>15</v>
      </c>
      <c r="S65" s="47" t="str">
        <f t="shared" ca="1" si="1"/>
        <v>Y</v>
      </c>
      <c r="T65" s="47" t="str">
        <f t="shared" ca="1" si="1"/>
        <v>Y</v>
      </c>
      <c r="U65" s="125" t="str">
        <f t="shared" ca="1" si="1"/>
        <v>Y</v>
      </c>
      <c r="V65" s="47" t="str">
        <f t="shared" ca="1" si="1"/>
        <v>Y</v>
      </c>
      <c r="W65" s="47" t="str">
        <f t="shared" ca="1" si="1"/>
        <v>Y</v>
      </c>
    </row>
    <row r="66" spans="1:23">
      <c r="A66" s="115" t="str">
        <f>ChkList!A66</f>
        <v>서비스 관리</v>
      </c>
      <c r="B66" s="28" t="str">
        <f>ChkList!$B66</f>
        <v>U-62</v>
      </c>
      <c r="C66" s="21" t="str">
        <f>ChkList!$C66</f>
        <v>로그인 시 경고 메시지 설정</v>
      </c>
      <c r="D66" s="31" t="str">
        <f>ChkList!$D66</f>
        <v>L</v>
      </c>
      <c r="E66" s="31">
        <f>ChkList!$E66</f>
        <v>1</v>
      </c>
      <c r="F66" s="23">
        <f ca="1">COUNTA($S66:INDIRECT(ADDRESS(ROW(),MATCH("",$4:$4,-1),1,1)))</f>
        <v>5</v>
      </c>
      <c r="G66" s="23">
        <f ca="1">'취약점 진단 항목별 통계'!G66</f>
        <v>5</v>
      </c>
      <c r="H66" s="23">
        <f ca="1">'취약점 진단 항목별 통계'!H66</f>
        <v>0</v>
      </c>
      <c r="I66" s="23">
        <f ca="1">'취약점 진단 항목별 통계'!I66</f>
        <v>0</v>
      </c>
      <c r="J66" s="23">
        <f ca="1">'취약점 진단 항목별 통계'!J66</f>
        <v>0</v>
      </c>
      <c r="K66" s="23">
        <f ca="1">COUNTIF($S66:INDIRECT(ADDRESS(ROW(),MATCH("",$4:$4,-1),1,1)),"조치")</f>
        <v>0</v>
      </c>
      <c r="L66" s="23">
        <f ca="1">COUNTIF($S66:INDIRECT(ADDRESS(ROW(),MATCH("",$4:$4,-1),1,1)),"미조치")</f>
        <v>0</v>
      </c>
      <c r="M66" s="23">
        <f ca="1">COUNTIF($S66:INDIRECT(ADDRESS(ROW(),MATCH("",$4:$4,-1),1,1)),"위험수용")</f>
        <v>0</v>
      </c>
      <c r="N66" s="23">
        <f ca="1">COUNTIF($S66:INDIRECT(ADDRESS(ROW(),MATCH("",$4:$4,-1),1,1)),"N/A")</f>
        <v>0</v>
      </c>
      <c r="O66" s="23">
        <f ca="1">VLOOKUP($D66,'parm(hidden)'!$B$8:$C$10,2,FALSE)*($F66-$J66)</f>
        <v>5</v>
      </c>
      <c r="P66" s="23">
        <f ca="1">VLOOKUP($D66,'parm(hidden)'!$B$8:$C$10,2,FALSE)*($F66-$N66)</f>
        <v>5</v>
      </c>
      <c r="Q66" s="36">
        <f ca="1">VLOOKUP($D66,'parm(hidden)'!$B$8:$C$10,2,FALSE)*($G66+$H66)</f>
        <v>5</v>
      </c>
      <c r="R66" s="23">
        <f ca="1">VLOOKUP($D66,'parm(hidden)'!$B$8:$C$10,2,FALSE)*($G66+$H66+$K66)</f>
        <v>5</v>
      </c>
      <c r="S66" s="47" t="str">
        <f t="shared" ca="1" si="1"/>
        <v>Y</v>
      </c>
      <c r="T66" s="47" t="str">
        <f t="shared" ca="1" si="1"/>
        <v>Y</v>
      </c>
      <c r="U66" s="125" t="str">
        <f t="shared" ca="1" si="1"/>
        <v>Y</v>
      </c>
      <c r="V66" s="47" t="str">
        <f t="shared" ca="1" si="1"/>
        <v>Y</v>
      </c>
      <c r="W66" s="47" t="str">
        <f t="shared" ca="1" si="1"/>
        <v>Y</v>
      </c>
    </row>
    <row r="67" spans="1:23">
      <c r="A67" s="115" t="str">
        <f>ChkList!A67</f>
        <v>서비스 관리</v>
      </c>
      <c r="B67" s="28" t="str">
        <f>ChkList!$B67</f>
        <v>U-63</v>
      </c>
      <c r="C67" s="21" t="str">
        <f>ChkList!$C67</f>
        <v>sudo 명령어 접근 관리</v>
      </c>
      <c r="D67" s="31" t="str">
        <f>ChkList!$D67</f>
        <v>M</v>
      </c>
      <c r="E67" s="31">
        <f>ChkList!$E67</f>
        <v>2</v>
      </c>
      <c r="F67" s="23">
        <f ca="1">COUNTA($S67:INDIRECT(ADDRESS(ROW(),MATCH("",$4:$4,-1),1,1)))</f>
        <v>5</v>
      </c>
      <c r="G67" s="23">
        <f ca="1">'취약점 진단 항목별 통계'!G67</f>
        <v>5</v>
      </c>
      <c r="H67" s="23">
        <f ca="1">'취약점 진단 항목별 통계'!H67</f>
        <v>0</v>
      </c>
      <c r="I67" s="23">
        <f ca="1">'취약점 진단 항목별 통계'!I67</f>
        <v>0</v>
      </c>
      <c r="J67" s="23">
        <f ca="1">'취약점 진단 항목별 통계'!J67</f>
        <v>0</v>
      </c>
      <c r="K67" s="23">
        <f ca="1">COUNTIF($S67:INDIRECT(ADDRESS(ROW(),MATCH("",$4:$4,-1),1,1)),"조치")</f>
        <v>0</v>
      </c>
      <c r="L67" s="23">
        <f ca="1">COUNTIF($S67:INDIRECT(ADDRESS(ROW(),MATCH("",$4:$4,-1),1,1)),"미조치")</f>
        <v>0</v>
      </c>
      <c r="M67" s="23">
        <f ca="1">COUNTIF($S67:INDIRECT(ADDRESS(ROW(),MATCH("",$4:$4,-1),1,1)),"위험수용")</f>
        <v>0</v>
      </c>
      <c r="N67" s="23">
        <f ca="1">COUNTIF($S67:INDIRECT(ADDRESS(ROW(),MATCH("",$4:$4,-1),1,1)),"N/A")</f>
        <v>0</v>
      </c>
      <c r="O67" s="23">
        <f ca="1">VLOOKUP($D67,'parm(hidden)'!$B$8:$C$10,2,FALSE)*($F67-$J67)</f>
        <v>10</v>
      </c>
      <c r="P67" s="23">
        <f ca="1">VLOOKUP($D67,'parm(hidden)'!$B$8:$C$10,2,FALSE)*($F67-$N67)</f>
        <v>10</v>
      </c>
      <c r="Q67" s="36">
        <f ca="1">VLOOKUP($D67,'parm(hidden)'!$B$8:$C$10,2,FALSE)*($G67+$H67)</f>
        <v>10</v>
      </c>
      <c r="R67" s="23">
        <f ca="1">VLOOKUP($D67,'parm(hidden)'!$B$8:$C$10,2,FALSE)*($G67+$H67+$K67)</f>
        <v>10</v>
      </c>
      <c r="S67" s="47" t="str">
        <f t="shared" ca="1" si="1"/>
        <v>Y</v>
      </c>
      <c r="T67" s="47" t="str">
        <f t="shared" ca="1" si="1"/>
        <v>Y</v>
      </c>
      <c r="U67" s="125" t="str">
        <f t="shared" ca="1" si="1"/>
        <v>Y</v>
      </c>
      <c r="V67" s="47" t="str">
        <f t="shared" ca="1" si="1"/>
        <v>Y</v>
      </c>
      <c r="W67" s="47" t="str">
        <f t="shared" ca="1" si="1"/>
        <v>Y</v>
      </c>
    </row>
    <row r="68" spans="1:23">
      <c r="A68" s="115" t="str">
        <f>ChkList!A68</f>
        <v>패치 관리</v>
      </c>
      <c r="B68" s="28" t="str">
        <f>ChkList!$B68</f>
        <v>U-64</v>
      </c>
      <c r="C68" s="21" t="str">
        <f>ChkList!$C68</f>
        <v>주기적 보안 패치 및 벤더 권고사항 적용</v>
      </c>
      <c r="D68" s="31" t="str">
        <f>ChkList!$D68</f>
        <v>H</v>
      </c>
      <c r="E68" s="31">
        <f>ChkList!$E68</f>
        <v>3</v>
      </c>
      <c r="F68" s="23">
        <f ca="1">COUNTA($S68:INDIRECT(ADDRESS(ROW(),MATCH("",$4:$4,-1),1,1)))</f>
        <v>5</v>
      </c>
      <c r="G68" s="23">
        <f ca="1">'취약점 진단 항목별 통계'!G68</f>
        <v>5</v>
      </c>
      <c r="H68" s="23">
        <f ca="1">'취약점 진단 항목별 통계'!H68</f>
        <v>0</v>
      </c>
      <c r="I68" s="23">
        <f ca="1">'취약점 진단 항목별 통계'!I68</f>
        <v>0</v>
      </c>
      <c r="J68" s="23">
        <f ca="1">'취약점 진단 항목별 통계'!J68</f>
        <v>0</v>
      </c>
      <c r="K68" s="23">
        <f ca="1">COUNTIF($S68:INDIRECT(ADDRESS(ROW(),MATCH("",$4:$4,-1),1,1)),"조치")</f>
        <v>0</v>
      </c>
      <c r="L68" s="23">
        <f ca="1">COUNTIF($S68:INDIRECT(ADDRESS(ROW(),MATCH("",$4:$4,-1),1,1)),"미조치")</f>
        <v>0</v>
      </c>
      <c r="M68" s="23">
        <f ca="1">COUNTIF($S68:INDIRECT(ADDRESS(ROW(),MATCH("",$4:$4,-1),1,1)),"위험수용")</f>
        <v>0</v>
      </c>
      <c r="N68" s="23">
        <f ca="1">COUNTIF($S68:INDIRECT(ADDRESS(ROW(),MATCH("",$4:$4,-1),1,1)),"N/A")</f>
        <v>0</v>
      </c>
      <c r="O68" s="23">
        <f ca="1">VLOOKUP($D68,'parm(hidden)'!$B$8:$C$10,2,FALSE)*($F68-$J68)</f>
        <v>15</v>
      </c>
      <c r="P68" s="23">
        <f ca="1">VLOOKUP($D68,'parm(hidden)'!$B$8:$C$10,2,FALSE)*($F68-$N68)</f>
        <v>15</v>
      </c>
      <c r="Q68" s="36">
        <f ca="1">VLOOKUP($D68,'parm(hidden)'!$B$8:$C$10,2,FALSE)*($G68+$H68)</f>
        <v>15</v>
      </c>
      <c r="R68" s="23">
        <f ca="1">VLOOKUP($D68,'parm(hidden)'!$B$8:$C$10,2,FALSE)*($G68+$H68+$K68)</f>
        <v>15</v>
      </c>
      <c r="S68" s="47" t="str">
        <f t="shared" ca="1" si="1"/>
        <v>Y</v>
      </c>
      <c r="T68" s="47" t="str">
        <f t="shared" ca="1" si="1"/>
        <v>Y</v>
      </c>
      <c r="U68" s="125" t="str">
        <f t="shared" ca="1" si="1"/>
        <v>Y</v>
      </c>
      <c r="V68" s="47" t="str">
        <f t="shared" ca="1" si="1"/>
        <v>Y</v>
      </c>
      <c r="W68" s="47" t="str">
        <f t="shared" ca="1" si="1"/>
        <v>Y</v>
      </c>
    </row>
    <row r="69" spans="1:23">
      <c r="A69" s="115" t="str">
        <f>ChkList!A69</f>
        <v>로그 관리</v>
      </c>
      <c r="B69" s="28" t="str">
        <f>ChkList!$B69</f>
        <v>U-65</v>
      </c>
      <c r="C69" s="21" t="str">
        <f>ChkList!$C69</f>
        <v>NTP 및 시각 동기화 설정</v>
      </c>
      <c r="D69" s="31" t="str">
        <f>ChkList!$D69</f>
        <v>M</v>
      </c>
      <c r="E69" s="31">
        <f>ChkList!$E69</f>
        <v>2</v>
      </c>
      <c r="F69" s="23">
        <f ca="1">COUNTA($S69:INDIRECT(ADDRESS(ROW(),MATCH("",$4:$4,-1),1,1)))</f>
        <v>5</v>
      </c>
      <c r="G69" s="23">
        <f ca="1">'취약점 진단 항목별 통계'!G69</f>
        <v>5</v>
      </c>
      <c r="H69" s="23">
        <f ca="1">'취약점 진단 항목별 통계'!H69</f>
        <v>0</v>
      </c>
      <c r="I69" s="23">
        <f ca="1">'취약점 진단 항목별 통계'!I69</f>
        <v>0</v>
      </c>
      <c r="J69" s="23">
        <f ca="1">'취약점 진단 항목별 통계'!J69</f>
        <v>0</v>
      </c>
      <c r="K69" s="23">
        <f ca="1">COUNTIF($S69:INDIRECT(ADDRESS(ROW(),MATCH("",$4:$4,-1),1,1)),"조치")</f>
        <v>0</v>
      </c>
      <c r="L69" s="23">
        <f ca="1">COUNTIF($S69:INDIRECT(ADDRESS(ROW(),MATCH("",$4:$4,-1),1,1)),"미조치")</f>
        <v>0</v>
      </c>
      <c r="M69" s="23">
        <f ca="1">COUNTIF($S69:INDIRECT(ADDRESS(ROW(),MATCH("",$4:$4,-1),1,1)),"위험수용")</f>
        <v>0</v>
      </c>
      <c r="N69" s="23">
        <f ca="1">COUNTIF($S69:INDIRECT(ADDRESS(ROW(),MATCH("",$4:$4,-1),1,1)),"N/A")</f>
        <v>0</v>
      </c>
      <c r="O69" s="23">
        <f ca="1">VLOOKUP($D69,'parm(hidden)'!$B$8:$C$10,2,FALSE)*($F69-$J69)</f>
        <v>10</v>
      </c>
      <c r="P69" s="23">
        <f ca="1">VLOOKUP($D69,'parm(hidden)'!$B$8:$C$10,2,FALSE)*($F69-$N69)</f>
        <v>10</v>
      </c>
      <c r="Q69" s="36">
        <f ca="1">VLOOKUP($D69,'parm(hidden)'!$B$8:$C$10,2,FALSE)*($G69+$H69)</f>
        <v>10</v>
      </c>
      <c r="R69" s="23">
        <f ca="1">VLOOKUP($D69,'parm(hidden)'!$B$8:$C$10,2,FALSE)*($G69+$H69+$K69)</f>
        <v>10</v>
      </c>
      <c r="S69" s="47" t="str">
        <f t="shared" ca="1" si="1"/>
        <v>Y</v>
      </c>
      <c r="T69" s="47" t="str">
        <f t="shared" ca="1" si="1"/>
        <v>Y</v>
      </c>
      <c r="U69" s="125" t="str">
        <f t="shared" ca="1" si="1"/>
        <v>Y</v>
      </c>
      <c r="V69" s="47" t="str">
        <f t="shared" ca="1" si="1"/>
        <v>Y</v>
      </c>
      <c r="W69" s="47" t="str">
        <f t="shared" ca="1" si="1"/>
        <v>Y</v>
      </c>
    </row>
    <row r="70" spans="1:23">
      <c r="A70" s="115" t="str">
        <f>ChkList!A70</f>
        <v>로그 관리</v>
      </c>
      <c r="B70" s="28" t="str">
        <f>ChkList!$B70</f>
        <v>U-66</v>
      </c>
      <c r="C70" s="21" t="str">
        <f>ChkList!$C70</f>
        <v>정책에 따른 시스템 로깅 설정</v>
      </c>
      <c r="D70" s="31" t="str">
        <f>ChkList!$D70</f>
        <v>M</v>
      </c>
      <c r="E70" s="31">
        <f>ChkList!$E70</f>
        <v>2</v>
      </c>
      <c r="F70" s="23">
        <f ca="1">COUNTA($S70:INDIRECT(ADDRESS(ROW(),MATCH("",$4:$4,-1),1,1)))</f>
        <v>5</v>
      </c>
      <c r="G70" s="23">
        <f ca="1">'취약점 진단 항목별 통계'!G70</f>
        <v>5</v>
      </c>
      <c r="H70" s="23">
        <f ca="1">'취약점 진단 항목별 통계'!H70</f>
        <v>0</v>
      </c>
      <c r="I70" s="23">
        <f ca="1">'취약점 진단 항목별 통계'!I70</f>
        <v>0</v>
      </c>
      <c r="J70" s="23">
        <f ca="1">'취약점 진단 항목별 통계'!J70</f>
        <v>0</v>
      </c>
      <c r="K70" s="23">
        <f ca="1">COUNTIF($S70:INDIRECT(ADDRESS(ROW(),MATCH("",$4:$4,-1),1,1)),"조치")</f>
        <v>0</v>
      </c>
      <c r="L70" s="23">
        <f ca="1">COUNTIF($S70:INDIRECT(ADDRESS(ROW(),MATCH("",$4:$4,-1),1,1)),"미조치")</f>
        <v>0</v>
      </c>
      <c r="M70" s="23">
        <f ca="1">COUNTIF($S70:INDIRECT(ADDRESS(ROW(),MATCH("",$4:$4,-1),1,1)),"위험수용")</f>
        <v>0</v>
      </c>
      <c r="N70" s="23">
        <f ca="1">COUNTIF($S70:INDIRECT(ADDRESS(ROW(),MATCH("",$4:$4,-1),1,1)),"N/A")</f>
        <v>0</v>
      </c>
      <c r="O70" s="23">
        <f ca="1">VLOOKUP($D70,'parm(hidden)'!$B$8:$C$10,2,FALSE)*($F70-$J70)</f>
        <v>10</v>
      </c>
      <c r="P70" s="23">
        <f ca="1">VLOOKUP($D70,'parm(hidden)'!$B$8:$C$10,2,FALSE)*($F70-$N70)</f>
        <v>10</v>
      </c>
      <c r="Q70" s="36">
        <f ca="1">VLOOKUP($D70,'parm(hidden)'!$B$8:$C$10,2,FALSE)*($G70+$H70)</f>
        <v>10</v>
      </c>
      <c r="R70" s="23">
        <f ca="1">VLOOKUP($D70,'parm(hidden)'!$B$8:$C$10,2,FALSE)*($G70+$H70+$K70)</f>
        <v>10</v>
      </c>
      <c r="S70" s="47" t="str">
        <f t="shared" ca="1" si="1"/>
        <v>Y</v>
      </c>
      <c r="T70" s="47" t="str">
        <f t="shared" ca="1" si="1"/>
        <v>Y</v>
      </c>
      <c r="U70" s="125" t="str">
        <f t="shared" ca="1" si="1"/>
        <v>Y</v>
      </c>
      <c r="V70" s="47" t="str">
        <f t="shared" ca="1" si="1"/>
        <v>Y</v>
      </c>
      <c r="W70" s="47" t="str">
        <f t="shared" ca="1" si="1"/>
        <v>Y</v>
      </c>
    </row>
    <row r="71" spans="1:23">
      <c r="A71" s="115" t="str">
        <f>ChkList!A71</f>
        <v>로그 관리</v>
      </c>
      <c r="B71" s="28" t="str">
        <f>ChkList!$B71</f>
        <v>U-67</v>
      </c>
      <c r="C71" s="21" t="str">
        <f>ChkList!$C71</f>
        <v>로그 디렉터리 소유자 및 권한 설정</v>
      </c>
      <c r="D71" s="31" t="str">
        <f>ChkList!$D71</f>
        <v>M</v>
      </c>
      <c r="E71" s="31">
        <f>ChkList!$E71</f>
        <v>2</v>
      </c>
      <c r="F71" s="23">
        <f ca="1">COUNTA($S71:INDIRECT(ADDRESS(ROW(),MATCH("",$4:$4,-1),1,1)))</f>
        <v>5</v>
      </c>
      <c r="G71" s="23">
        <f ca="1">'취약점 진단 항목별 통계'!G71</f>
        <v>5</v>
      </c>
      <c r="H71" s="23">
        <f ca="1">'취약점 진단 항목별 통계'!H71</f>
        <v>0</v>
      </c>
      <c r="I71" s="23">
        <f ca="1">'취약점 진단 항목별 통계'!I71</f>
        <v>0</v>
      </c>
      <c r="J71" s="23">
        <f ca="1">'취약점 진단 항목별 통계'!J71</f>
        <v>0</v>
      </c>
      <c r="K71" s="23">
        <f ca="1">COUNTIF($S71:INDIRECT(ADDRESS(ROW(),MATCH("",$4:$4,-1),1,1)),"조치")</f>
        <v>0</v>
      </c>
      <c r="L71" s="23">
        <f ca="1">COUNTIF($S71:INDIRECT(ADDRESS(ROW(),MATCH("",$4:$4,-1),1,1)),"미조치")</f>
        <v>0</v>
      </c>
      <c r="M71" s="23">
        <f ca="1">COUNTIF($S71:INDIRECT(ADDRESS(ROW(),MATCH("",$4:$4,-1),1,1)),"위험수용")</f>
        <v>0</v>
      </c>
      <c r="N71" s="23">
        <f ca="1">COUNTIF($S71:INDIRECT(ADDRESS(ROW(),MATCH("",$4:$4,-1),1,1)),"N/A")</f>
        <v>0</v>
      </c>
      <c r="O71" s="23">
        <f ca="1">VLOOKUP($D71,'parm(hidden)'!$B$8:$C$10,2,FALSE)*($F71-$J71)</f>
        <v>10</v>
      </c>
      <c r="P71" s="23">
        <f ca="1">VLOOKUP($D71,'parm(hidden)'!$B$8:$C$10,2,FALSE)*($F71-$N71)</f>
        <v>10</v>
      </c>
      <c r="Q71" s="36">
        <f ca="1">VLOOKUP($D71,'parm(hidden)'!$B$8:$C$10,2,FALSE)*($G71+$H71)</f>
        <v>10</v>
      </c>
      <c r="R71" s="23">
        <f ca="1">VLOOKUP($D71,'parm(hidden)'!$B$8:$C$10,2,FALSE)*($G71+$H71+$K71)</f>
        <v>10</v>
      </c>
      <c r="S71" s="47" t="str">
        <f t="shared" ref="S71:W71" ca="1" si="2">HYPERLINK("[" &amp; MID(CELL("filename"),SEARCH("[",CELL("filename"))+1, SEARCH("]",CELL("filename"))-SEARCH("[",CELL("filename"))-1) &amp; "]" &amp; ADDRESS(ROW()+16,11,1,TRUE,S$4),INDIRECT(ADDRESS(ROW()+16,11,1,TRUE,S$4)))</f>
        <v>Y</v>
      </c>
      <c r="T71" s="47" t="str">
        <f t="shared" ca="1" si="2"/>
        <v>Y</v>
      </c>
      <c r="U71" s="125" t="str">
        <f t="shared" ca="1" si="2"/>
        <v>Y</v>
      </c>
      <c r="V71" s="47" t="str">
        <f t="shared" ca="1" si="2"/>
        <v>Y</v>
      </c>
      <c r="W71" s="47" t="str">
        <f t="shared" ca="1" si="2"/>
        <v>Y</v>
      </c>
    </row>
    <row r="72" spans="1:23" ht="14.1" customHeight="1" thickBot="1">
      <c r="A72" s="84"/>
      <c r="B72" s="116"/>
      <c r="C72" s="117"/>
      <c r="D72" s="117"/>
      <c r="E72" s="117"/>
      <c r="F72" s="118">
        <f t="shared" ref="F72:R72" ca="1" si="3">SUM(F5:F71)</f>
        <v>335</v>
      </c>
      <c r="G72" s="118">
        <f t="shared" ca="1" si="3"/>
        <v>256</v>
      </c>
      <c r="H72" s="118">
        <f t="shared" ca="1" si="3"/>
        <v>0</v>
      </c>
      <c r="I72" s="118">
        <f t="shared" ca="1" si="3"/>
        <v>74</v>
      </c>
      <c r="J72" s="118">
        <f t="shared" ca="1" si="3"/>
        <v>0</v>
      </c>
      <c r="K72" s="118">
        <f t="shared" ca="1" si="3"/>
        <v>74</v>
      </c>
      <c r="L72" s="118">
        <f t="shared" ca="1" si="3"/>
        <v>0</v>
      </c>
      <c r="M72" s="118">
        <f t="shared" ca="1" si="3"/>
        <v>0</v>
      </c>
      <c r="N72" s="118">
        <f t="shared" ca="1" si="3"/>
        <v>0</v>
      </c>
      <c r="O72" s="118">
        <f t="shared" ca="1" si="3"/>
        <v>825</v>
      </c>
      <c r="P72" s="118">
        <f t="shared" ca="1" si="3"/>
        <v>825</v>
      </c>
      <c r="Q72" s="118">
        <f t="shared" ca="1" si="3"/>
        <v>622</v>
      </c>
      <c r="R72" s="118">
        <f t="shared" ca="1" si="3"/>
        <v>810</v>
      </c>
      <c r="S72" s="119">
        <f ca="1">COUNTIFS(S$5:S$71,"&lt;&gt;",S$5:S$71,"&lt;&gt;0")</f>
        <v>66</v>
      </c>
      <c r="T72" s="119">
        <f ca="1">COUNTIFS(T$5:T$71,"&lt;&gt;",T$5:T$71,"&lt;&gt;0")</f>
        <v>66</v>
      </c>
      <c r="U72" s="120">
        <f ca="1">COUNTIFS(U$5:U$71,"&lt;&gt;",U$5:U$71,"&lt;&gt;0")</f>
        <v>66</v>
      </c>
      <c r="V72" s="119">
        <f ca="1">COUNTIFS(V$5:V$71,"&lt;&gt;",V$5:V$71,"&lt;&gt;0")</f>
        <v>66</v>
      </c>
      <c r="W72" s="119">
        <f ca="1">COUNTIFS(W$5:W$71,"&lt;&gt;",W$5:W$71,"&lt;&gt;0")</f>
        <v>66</v>
      </c>
    </row>
  </sheetData>
  <mergeCells count="6">
    <mergeCell ref="O3:R3"/>
    <mergeCell ref="F3:J3"/>
    <mergeCell ref="A3:B4"/>
    <mergeCell ref="C3:C4"/>
    <mergeCell ref="D3:E4"/>
    <mergeCell ref="K3:N3"/>
  </mergeCells>
  <phoneticPr fontId="3" type="noConversion"/>
  <conditionalFormatting sqref="S1:U3 V3:W3">
    <cfRule type="cellIs" dxfId="413" priority="1" operator="equal">
      <formula>"Y"</formula>
    </cfRule>
    <cfRule type="cellIs" dxfId="412" priority="2" stopIfTrue="1" operator="equal">
      <formula>"인터뷰"</formula>
    </cfRule>
  </conditionalFormatting>
  <conditionalFormatting sqref="S5:W71">
    <cfRule type="containsText" dxfId="411" priority="45" operator="containsText" text="위험수용">
      <formula>NOT(ISERROR(SEARCH("위험수용",S5)))</formula>
    </cfRule>
    <cfRule type="containsText" dxfId="410" priority="46" operator="containsText" text="미조치">
      <formula>NOT(ISERROR(SEARCH("미조치",S5)))</formula>
    </cfRule>
    <cfRule type="cellIs" dxfId="409" priority="47" stopIfTrue="1" operator="equal">
      <formula>"인터뷰"</formula>
    </cfRule>
    <cfRule type="cellIs" dxfId="408" priority="48" stopIfTrue="1" operator="equal">
      <formula>"N/A"</formula>
    </cfRule>
    <cfRule type="cellIs" dxfId="407" priority="49" stopIfTrue="1" operator="equal">
      <formula>"N"</formula>
    </cfRule>
  </conditionalFormatting>
  <conditionalFormatting sqref="V72:W72 S72:U1048576">
    <cfRule type="cellIs" dxfId="406" priority="50" operator="equal">
      <formula>"Y"</formula>
    </cfRule>
    <cfRule type="cellIs" dxfId="405" priority="51" stopIfTrue="1" operator="equal">
      <formula>"인터뷰"</formula>
    </cfRule>
  </conditionalFormatting>
  <printOptions horizontalCentered="1"/>
  <pageMargins left="0.39370078740157483" right="0.39370078740157483" top="0.59055118110236227" bottom="0.59055118110236227" header="0.39370078740157483" footer="0.39370078740157483"/>
  <pageSetup paperSize="9" scale="61" fitToHeight="99" orientation="landscape" horizontalDpi="4294967294" verticalDpi="4294967294" r:id="rId1"/>
  <headerFooter alignWithMargins="0">
    <oddHeader>&amp;L
&amp;R&amp;F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Y87"/>
  <sheetViews>
    <sheetView showGridLines="0" view="pageBreakPreview" topLeftCell="A25" zoomScaleNormal="85" zoomScaleSheetLayoutView="100" workbookViewId="0">
      <selection activeCell="I22" sqref="I22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4" t="s">
        <v>213</v>
      </c>
      <c r="B3" s="54"/>
      <c r="C3" s="54"/>
      <c r="D3" s="54"/>
      <c r="E3" s="54"/>
      <c r="F3" s="54"/>
      <c r="G3" s="54"/>
      <c r="H3" s="5"/>
      <c r="I3" s="5"/>
      <c r="R3" s="5" t="s">
        <v>214</v>
      </c>
      <c r="X3" s="5"/>
      <c r="Y3" s="5"/>
    </row>
    <row r="4" spans="1:25" ht="17.100000000000001" customHeight="1" thickBot="1">
      <c r="A4" s="126" t="s">
        <v>215</v>
      </c>
      <c r="B4" s="307" t="str">
        <f ca="1">REPLACE(CELL("filename",A1),1,FIND("]",CELL("filename",A1)),"")</f>
        <v>WEB-HQ-Ubuntu</v>
      </c>
      <c r="C4" s="247"/>
      <c r="D4" s="308" t="s">
        <v>216</v>
      </c>
      <c r="E4" s="250"/>
      <c r="F4" s="310" t="str">
        <f ca="1">IFERROR(VLOOKUP($B$4,자산목록!$B$1:$Q$835,8,FALSE),"N/A")</f>
        <v>Web 서버 / 딩동독 서비스</v>
      </c>
      <c r="G4" s="311"/>
      <c r="H4" s="63"/>
      <c r="I4" s="55"/>
      <c r="R4" s="25" t="s">
        <v>15</v>
      </c>
      <c r="S4" s="41">
        <f ca="1">IFERROR(VLOOKUP($B$4,자산목록!$B$1:$Q$835,13,FALSE),"N/A")</f>
        <v>3</v>
      </c>
      <c r="T4" s="309" t="s">
        <v>217</v>
      </c>
      <c r="U4" s="287" t="str">
        <f ca="1">IFERROR(VLOOKUP($B$4,자산목록!$B$1:$Q$835,16,FALSE),"N/A")</f>
        <v>H</v>
      </c>
      <c r="X4" s="5"/>
      <c r="Y4" s="5"/>
    </row>
    <row r="5" spans="1:25" ht="17.100000000000001" customHeight="1" thickBot="1">
      <c r="A5" s="127" t="s">
        <v>218</v>
      </c>
      <c r="B5" s="301" t="str">
        <f ca="1">IFERROR(VLOOKUP($B$4,자산목록!$B$1:$Q$835,6,FALSE)&amp;" "&amp;VLOOKUP($B$4,자산목록!$B$1:$Q$835,7,FALSE),"N/A")</f>
        <v>Ubuntu 24.04.2 LTS</v>
      </c>
      <c r="C5" s="222"/>
      <c r="D5" s="302" t="s">
        <v>219</v>
      </c>
      <c r="E5" s="303"/>
      <c r="F5" s="301" t="str">
        <f ca="1">IFERROR(VLOOKUP($B$4,자산목록!$B$1:$Q$835,2,FALSE),"N/A")</f>
        <v>10.10.40.1</v>
      </c>
      <c r="G5" s="222"/>
      <c r="H5" s="63"/>
      <c r="I5" s="55"/>
      <c r="R5" s="25" t="s">
        <v>16</v>
      </c>
      <c r="S5" s="41">
        <f ca="1">IFERROR(VLOOKUP($B$4,자산목록!$B$1:$Q$835,14,FALSE),"N/A")</f>
        <v>3</v>
      </c>
      <c r="T5" s="226"/>
      <c r="U5" s="226"/>
      <c r="X5" s="5"/>
      <c r="Y5" s="5"/>
    </row>
    <row r="6" spans="1:25" ht="17.100000000000001" customHeight="1" thickBot="1">
      <c r="A6" s="128" t="s">
        <v>12</v>
      </c>
      <c r="B6" s="304" t="str">
        <f ca="1">IFERROR(VLOOKUP($B$4,자산목록!$B$1:$Q$835,11,FALSE),"N/A")</f>
        <v>김민준</v>
      </c>
      <c r="C6" s="234"/>
      <c r="D6" s="305" t="s">
        <v>220</v>
      </c>
      <c r="E6" s="306"/>
      <c r="F6" s="304" t="str">
        <f ca="1">IFERROR(VLOOKUP($B$4,자산목록!$B$1:$Q$835,9,FALSE),"N/A")</f>
        <v xml:space="preserve">본사 DMZ망 </v>
      </c>
      <c r="G6" s="234"/>
      <c r="H6" s="63"/>
      <c r="I6" s="55"/>
      <c r="R6" s="25" t="s">
        <v>17</v>
      </c>
      <c r="S6" s="41">
        <f ca="1">IFERROR(VLOOKUP($B$4,자산목록!$B$1:$Q$835,15,FALSE),"N/A")</f>
        <v>3</v>
      </c>
      <c r="T6" s="225"/>
      <c r="U6" s="22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6" t="s">
        <v>222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 thickBot="1">
      <c r="A10" s="297" t="s">
        <v>77</v>
      </c>
      <c r="B10" s="213"/>
      <c r="C10" s="213"/>
      <c r="D10" s="296" t="s">
        <v>223</v>
      </c>
      <c r="E10" s="236"/>
      <c r="F10" s="236"/>
      <c r="G10" s="236"/>
      <c r="H10" s="236"/>
      <c r="I10" s="298" t="s">
        <v>224</v>
      </c>
      <c r="J10" s="300" t="s">
        <v>190</v>
      </c>
      <c r="K10" s="236"/>
      <c r="L10" s="236"/>
      <c r="M10" s="236"/>
      <c r="N10" s="236"/>
      <c r="O10" s="245"/>
      <c r="R10" s="289" t="s">
        <v>225</v>
      </c>
      <c r="S10" s="221"/>
      <c r="T10" s="221"/>
      <c r="U10" s="222"/>
      <c r="V10" s="283" t="s">
        <v>224</v>
      </c>
      <c r="W10" s="221"/>
      <c r="X10" s="221"/>
      <c r="Y10" s="222"/>
    </row>
    <row r="11" spans="1:25" ht="20.100000000000001" customHeight="1">
      <c r="A11" s="254"/>
      <c r="B11" s="255"/>
      <c r="C11" s="255"/>
      <c r="D11" s="129" t="s">
        <v>205</v>
      </c>
      <c r="E11" s="130" t="s">
        <v>181</v>
      </c>
      <c r="F11" s="131" t="s">
        <v>182</v>
      </c>
      <c r="G11" s="132" t="s">
        <v>53</v>
      </c>
      <c r="H11" s="157" t="s">
        <v>226</v>
      </c>
      <c r="I11" s="299"/>
      <c r="J11" s="143" t="s">
        <v>191</v>
      </c>
      <c r="K11" s="133" t="s">
        <v>192</v>
      </c>
      <c r="L11" s="134" t="s">
        <v>193</v>
      </c>
      <c r="M11" s="134" t="s">
        <v>53</v>
      </c>
      <c r="N11" s="134" t="s">
        <v>199</v>
      </c>
      <c r="O11" s="135" t="s">
        <v>226</v>
      </c>
      <c r="R11" s="49" t="s">
        <v>227</v>
      </c>
      <c r="S11" s="50" t="s">
        <v>228</v>
      </c>
      <c r="T11" s="50" t="s">
        <v>229</v>
      </c>
      <c r="U11" s="52" t="s">
        <v>230</v>
      </c>
      <c r="V11" s="288" t="s">
        <v>77</v>
      </c>
      <c r="W11" s="222"/>
      <c r="X11" s="11" t="s">
        <v>223</v>
      </c>
      <c r="Y11" s="11" t="s">
        <v>190</v>
      </c>
    </row>
    <row r="12" spans="1:25" ht="32.1" customHeight="1">
      <c r="A12" s="276" t="str">
        <f>ChkList!A6</f>
        <v>계정 관리</v>
      </c>
      <c r="B12" s="221"/>
      <c r="C12" s="222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11</v>
      </c>
      <c r="F12" s="41">
        <f ca="1">COUNTIFS($A$21:INDIRECT(ADDRESS(MATCH("",$A:$A,-1),1,1,1)),$A12&amp;"*",$H$21:INDIRECT(ADDRESS(MATCH("",$A:$A,-1),8,1,1)),"N")</f>
        <v>2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0.7857142857142857</v>
      </c>
      <c r="I12" s="290"/>
      <c r="J12" s="61">
        <f ca="1">COUNTIFS($A$21:INDIRECT(ADDRESS(MATCH("",$A:$A,-1),1,1,1)),$A12,$K$21:INDIRECT(ADDRESS(MATCH("",$B:$B,-1),11,1,1)),"조치")</f>
        <v>2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>
        <f ca="1">IFERROR($J12/($F12-(M12-G12)),"N/A")</f>
        <v>1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22</v>
      </c>
      <c r="T12" s="41">
        <f t="shared" ref="T12:U16" si="1">SUMIF($A$21:$A$995, $A12, $R$21:$R$995)</f>
        <v>28</v>
      </c>
      <c r="U12" s="41">
        <f t="shared" si="1"/>
        <v>28</v>
      </c>
      <c r="V12" s="287">
        <f>B12</f>
        <v>0</v>
      </c>
      <c r="W12" s="222"/>
      <c r="X12" s="64">
        <f ca="1">H12</f>
        <v>0.7857142857142857</v>
      </c>
      <c r="Y12" s="64">
        <f t="shared" ref="Y12:Y17" ca="1" si="2">O12</f>
        <v>1</v>
      </c>
    </row>
    <row r="13" spans="1:25" ht="32.1" customHeight="1">
      <c r="A13" s="276" t="str">
        <f>ChkList!A20</f>
        <v>파일 및 디렉터리 관리</v>
      </c>
      <c r="B13" s="221"/>
      <c r="C13" s="222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11</v>
      </c>
      <c r="F13" s="41">
        <f ca="1">COUNTIFS($A$21:INDIRECT(ADDRESS(MATCH("",$A:$A,-1),1,1,1)),$A13&amp;"*",$H$21:INDIRECT(ADDRESS(MATCH("",$A:$A,-1),8,1,1)),"N")</f>
        <v>9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0.52830188679245282</v>
      </c>
      <c r="I13" s="291"/>
      <c r="J13" s="61">
        <f ca="1">COUNTIFS($A$21:INDIRECT(ADDRESS(MATCH("",$A:$A,-1),1,1,1)),$A13,$K$21:INDIRECT(ADDRESS(MATCH("",$B:$B,-1),11,1,1)),"조치")</f>
        <v>9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>
        <f ca="1">IFERROR($J13/($F13-(M13-G13)),"N/A")</f>
        <v>1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28</v>
      </c>
      <c r="T13" s="41">
        <f t="shared" si="1"/>
        <v>53</v>
      </c>
      <c r="U13" s="41">
        <f t="shared" si="1"/>
        <v>53</v>
      </c>
      <c r="V13" s="287">
        <f>B13</f>
        <v>0</v>
      </c>
      <c r="W13" s="222"/>
      <c r="X13" s="64">
        <f t="shared" ref="X13:X17" ca="1" si="3">H13</f>
        <v>0.52830188679245282</v>
      </c>
      <c r="Y13" s="64">
        <f t="shared" ca="1" si="2"/>
        <v>1</v>
      </c>
    </row>
    <row r="14" spans="1:25" ht="32.1" customHeight="1">
      <c r="A14" s="276" t="str">
        <f>ChkList!A37</f>
        <v>파일 및 디렉터리 관리</v>
      </c>
      <c r="B14" s="221"/>
      <c r="C14" s="222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11</v>
      </c>
      <c r="F14" s="41">
        <f ca="1">COUNTIFS($A$21:INDIRECT(ADDRESS(MATCH("",$A:$A,-1),1,1,1)),$A14&amp;"*",$H$21:INDIRECT(ADDRESS(MATCH("",$A:$A,-1),8,1,1)),"N")</f>
        <v>9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0.52830188679245282</v>
      </c>
      <c r="I14" s="291"/>
      <c r="J14" s="61">
        <f ca="1">COUNTIFS($A$21:INDIRECT(ADDRESS(MATCH("",$A:$A,-1),1,1,1)),$A14,$K$21:INDIRECT(ADDRESS(MATCH("",$B:$B,-1),11,1,1)),"조치")</f>
        <v>9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>
        <f ca="1">IFERROR($J14/($F14-(M14-G14)),"N/A")</f>
        <v>1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28</v>
      </c>
      <c r="T14" s="41">
        <f t="shared" si="1"/>
        <v>53</v>
      </c>
      <c r="U14" s="41">
        <f t="shared" si="1"/>
        <v>53</v>
      </c>
      <c r="V14" s="287">
        <f>B14</f>
        <v>0</v>
      </c>
      <c r="W14" s="222"/>
      <c r="X14" s="64">
        <f t="shared" ca="1" si="3"/>
        <v>0.52830188679245282</v>
      </c>
      <c r="Y14" s="64">
        <f t="shared" ca="1" si="2"/>
        <v>1</v>
      </c>
    </row>
    <row r="15" spans="1:25" ht="32.1" customHeight="1">
      <c r="A15" s="276" t="str">
        <f>ChkList!A69</f>
        <v>로그 관리</v>
      </c>
      <c r="B15" s="221"/>
      <c r="C15" s="222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91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87">
        <f>B15</f>
        <v>0</v>
      </c>
      <c r="W15" s="222"/>
      <c r="X15" s="64">
        <f t="shared" ca="1" si="3"/>
        <v>1</v>
      </c>
      <c r="Y15" s="64">
        <f t="shared" ca="1" si="2"/>
        <v>1</v>
      </c>
    </row>
    <row r="16" spans="1:25" ht="32.1" customHeight="1" thickBot="1">
      <c r="A16" s="276" t="str">
        <f>ChkList!A70</f>
        <v>로그 관리</v>
      </c>
      <c r="B16" s="221"/>
      <c r="C16" s="222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91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85">
        <f>B16</f>
        <v>0</v>
      </c>
      <c r="W16" s="286"/>
      <c r="X16" s="68">
        <f t="shared" ca="1" si="3"/>
        <v>1</v>
      </c>
      <c r="Y16" s="68">
        <f t="shared" ca="1" si="2"/>
        <v>1</v>
      </c>
    </row>
    <row r="17" spans="1:25" ht="20.100000000000001" customHeight="1" thickTop="1" thickBot="1">
      <c r="A17" s="293" t="s">
        <v>231</v>
      </c>
      <c r="B17" s="294"/>
      <c r="C17" s="295"/>
      <c r="D17" s="138">
        <f ca="1">SUM(D12:D16)</f>
        <v>59</v>
      </c>
      <c r="E17" s="138">
        <f ca="1">SUM(E12:E16)</f>
        <v>39</v>
      </c>
      <c r="F17" s="138">
        <f ca="1">SUM(F12:F16)</f>
        <v>20</v>
      </c>
      <c r="G17" s="139">
        <f ca="1">SUM(G12:G16)</f>
        <v>0</v>
      </c>
      <c r="H17" s="140">
        <f t="shared" ca="1" si="0"/>
        <v>0.61643835616438358</v>
      </c>
      <c r="I17" s="292"/>
      <c r="J17" s="137">
        <f ca="1">SUM(J12:J16)</f>
        <v>20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>
        <f ca="1">IF($O17="N/A","N/A",IFERROR($J17/($F17-(M17-G17)),"N/A"))</f>
        <v>1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90</v>
      </c>
      <c r="T17" s="44">
        <f>SUM(T12:T16)</f>
        <v>146</v>
      </c>
      <c r="U17" s="43">
        <f>SUM(U12:U16)</f>
        <v>146</v>
      </c>
      <c r="V17" s="284" t="s">
        <v>232</v>
      </c>
      <c r="W17" s="256"/>
      <c r="X17" s="67">
        <f t="shared" ca="1" si="3"/>
        <v>0.61643835616438358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 thickBot="1">
      <c r="A19" s="9" t="s">
        <v>233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234</v>
      </c>
      <c r="S19" s="17"/>
    </row>
    <row r="20" spans="1:25" ht="21.95" customHeight="1">
      <c r="A20" s="277" t="s">
        <v>77</v>
      </c>
      <c r="B20" s="278"/>
      <c r="C20" s="279" t="s">
        <v>235</v>
      </c>
      <c r="D20" s="280"/>
      <c r="E20" s="280"/>
      <c r="F20" s="281" t="s">
        <v>41</v>
      </c>
      <c r="G20" s="280"/>
      <c r="H20" s="158" t="s">
        <v>178</v>
      </c>
      <c r="I20" s="144" t="s">
        <v>236</v>
      </c>
      <c r="J20" s="195" t="s">
        <v>190</v>
      </c>
      <c r="K20" s="144" t="s">
        <v>237</v>
      </c>
      <c r="L20" s="282" t="s">
        <v>238</v>
      </c>
      <c r="M20" s="280"/>
      <c r="N20" s="280"/>
      <c r="O20" s="280"/>
      <c r="P20" s="278"/>
      <c r="Q20" s="145" t="s">
        <v>76</v>
      </c>
      <c r="R20" s="53" t="s">
        <v>239</v>
      </c>
      <c r="S20" s="52" t="s">
        <v>228</v>
      </c>
      <c r="T20" s="25" t="s">
        <v>229</v>
      </c>
      <c r="U20" s="52" t="s">
        <v>230</v>
      </c>
      <c r="V20" s="275" t="s">
        <v>190</v>
      </c>
      <c r="W20" s="222"/>
      <c r="Y20" s="69"/>
    </row>
    <row r="21" spans="1:25" ht="36">
      <c r="A21" s="31" t="str">
        <f>ChkList!A5</f>
        <v>계정 관리</v>
      </c>
      <c r="B21" s="31" t="str">
        <f>ChkList!B5</f>
        <v>U-01</v>
      </c>
      <c r="C21" s="270" t="str">
        <f>ChkList!C5</f>
        <v>root 계정 원격 접속 제한</v>
      </c>
      <c r="D21" s="221"/>
      <c r="E21" s="222"/>
      <c r="F21" s="31" t="str">
        <f>ChkList!D5</f>
        <v>H</v>
      </c>
      <c r="G21" s="31">
        <f>ChkList!E5</f>
        <v>3</v>
      </c>
      <c r="H21" s="168" t="s">
        <v>50</v>
      </c>
      <c r="I21" s="167" t="s">
        <v>240</v>
      </c>
      <c r="J21" s="28" t="s">
        <v>50</v>
      </c>
      <c r="K21" s="28" t="str">
        <f t="shared" ref="K21:K52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70" t="s">
        <v>373</v>
      </c>
      <c r="M21" s="221"/>
      <c r="N21" s="221"/>
      <c r="O21" s="221"/>
      <c r="P21" s="222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12" t="s">
        <v>241</v>
      </c>
      <c r="W21" s="12" t="s">
        <v>42</v>
      </c>
    </row>
    <row r="22" spans="1:25" ht="36">
      <c r="A22" s="31" t="str">
        <f>ChkList!A6</f>
        <v>계정 관리</v>
      </c>
      <c r="B22" s="31" t="str">
        <f>ChkList!B6</f>
        <v>U-02</v>
      </c>
      <c r="C22" s="270" t="str">
        <f>ChkList!C6</f>
        <v>비밀번호 관리정책 설정</v>
      </c>
      <c r="D22" s="221"/>
      <c r="E22" s="222"/>
      <c r="F22" s="31" t="str">
        <f>ChkList!D6</f>
        <v>H</v>
      </c>
      <c r="G22" s="31">
        <f>ChkList!E6</f>
        <v>3</v>
      </c>
      <c r="H22" s="168" t="s">
        <v>51</v>
      </c>
      <c r="I22" s="167" t="s">
        <v>242</v>
      </c>
      <c r="J22" s="28" t="s">
        <v>50</v>
      </c>
      <c r="K22" s="28" t="str">
        <f t="shared" si="4"/>
        <v>조치</v>
      </c>
      <c r="L22" s="270" t="s">
        <v>243</v>
      </c>
      <c r="M22" s="221"/>
      <c r="N22" s="221"/>
      <c r="O22" s="221"/>
      <c r="P22" s="222"/>
      <c r="Q22" s="21" t="str">
        <f>IF($J22="",IF(OR($H22="N",$H22="인터뷰"), ChkList!$F7, ""), IF(OR($J22="N",$J22="인터뷰"), ChkList!$F7,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0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12" t="s">
        <v>191</v>
      </c>
      <c r="W22" s="12">
        <v>1</v>
      </c>
    </row>
    <row r="23" spans="1:25" ht="36">
      <c r="A23" s="31" t="str">
        <f>ChkList!A7</f>
        <v>계정 관리</v>
      </c>
      <c r="B23" s="31" t="str">
        <f>ChkList!B7</f>
        <v>U-03</v>
      </c>
      <c r="C23" s="270" t="str">
        <f>ChkList!C7</f>
        <v>계정 잠금 임계값 설정</v>
      </c>
      <c r="D23" s="221"/>
      <c r="E23" s="222"/>
      <c r="F23" s="31" t="str">
        <f>ChkList!D7</f>
        <v>H</v>
      </c>
      <c r="G23" s="31">
        <f>ChkList!E7</f>
        <v>3</v>
      </c>
      <c r="H23" s="168" t="s">
        <v>51</v>
      </c>
      <c r="I23" s="167" t="s">
        <v>244</v>
      </c>
      <c r="J23" s="28" t="s">
        <v>50</v>
      </c>
      <c r="K23" s="28" t="str">
        <f t="shared" si="4"/>
        <v>조치</v>
      </c>
      <c r="L23" s="270" t="s">
        <v>245</v>
      </c>
      <c r="M23" s="221"/>
      <c r="N23" s="221"/>
      <c r="O23" s="221"/>
      <c r="P23" s="222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0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12" t="s">
        <v>192</v>
      </c>
      <c r="W23" s="12">
        <v>0</v>
      </c>
    </row>
    <row r="24" spans="1:25" ht="36">
      <c r="A24" s="31" t="str">
        <f>ChkList!A8</f>
        <v>계정 관리</v>
      </c>
      <c r="B24" s="31" t="str">
        <f>ChkList!B8</f>
        <v>U-04</v>
      </c>
      <c r="C24" s="270" t="str">
        <f>ChkList!C8</f>
        <v>비밀번호 파일 보호</v>
      </c>
      <c r="D24" s="221"/>
      <c r="E24" s="222"/>
      <c r="F24" s="31" t="str">
        <f>ChkList!D8</f>
        <v>H</v>
      </c>
      <c r="G24" s="31">
        <f>ChkList!E8</f>
        <v>3</v>
      </c>
      <c r="H24" s="168" t="s">
        <v>50</v>
      </c>
      <c r="I24" s="167" t="s">
        <v>246</v>
      </c>
      <c r="J24" s="28" t="s">
        <v>50</v>
      </c>
      <c r="K24" s="28" t="str">
        <f t="shared" si="4"/>
        <v>Y</v>
      </c>
      <c r="L24" s="270" t="s">
        <v>324</v>
      </c>
      <c r="M24" s="221"/>
      <c r="N24" s="221"/>
      <c r="O24" s="221"/>
      <c r="P24" s="222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12" t="s">
        <v>193</v>
      </c>
      <c r="W24" s="12">
        <v>0</v>
      </c>
    </row>
    <row r="25" spans="1:25" ht="36">
      <c r="A25" s="31" t="str">
        <f>ChkList!A9</f>
        <v>계정 관리</v>
      </c>
      <c r="B25" s="31" t="str">
        <f>ChkList!B9</f>
        <v>U-05</v>
      </c>
      <c r="C25" s="270" t="str">
        <f>ChkList!C9</f>
        <v>root 이외의 UID가 ‘0’ 금지</v>
      </c>
      <c r="D25" s="221"/>
      <c r="E25" s="222"/>
      <c r="F25" s="31" t="str">
        <f>ChkList!D9</f>
        <v>H</v>
      </c>
      <c r="G25" s="31">
        <f>ChkList!E9</f>
        <v>3</v>
      </c>
      <c r="H25" s="168" t="s">
        <v>50</v>
      </c>
      <c r="I25" s="167" t="s">
        <v>247</v>
      </c>
      <c r="J25" s="28" t="s">
        <v>50</v>
      </c>
      <c r="K25" s="28" t="str">
        <f t="shared" si="4"/>
        <v>Y</v>
      </c>
      <c r="L25" s="270" t="s">
        <v>372</v>
      </c>
      <c r="M25" s="221"/>
      <c r="N25" s="221"/>
      <c r="O25" s="221"/>
      <c r="P25" s="222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12" t="s">
        <v>53</v>
      </c>
      <c r="W25" s="12">
        <v>0</v>
      </c>
    </row>
    <row r="26" spans="1:25" ht="36">
      <c r="A26" s="31" t="str">
        <f>ChkList!A10</f>
        <v>계정 관리</v>
      </c>
      <c r="B26" s="31" t="str">
        <f>ChkList!B10</f>
        <v>U-06</v>
      </c>
      <c r="C26" s="270" t="str">
        <f>ChkList!C10</f>
        <v>사용자 계정 su 기능 제한</v>
      </c>
      <c r="D26" s="221"/>
      <c r="E26" s="222"/>
      <c r="F26" s="31" t="str">
        <f>ChkList!D10</f>
        <v>H</v>
      </c>
      <c r="G26" s="31">
        <f>ChkList!E10</f>
        <v>3</v>
      </c>
      <c r="H26" s="168" t="s">
        <v>50</v>
      </c>
      <c r="I26" s="167" t="s">
        <v>248</v>
      </c>
      <c r="J26" s="28" t="s">
        <v>50</v>
      </c>
      <c r="K26" s="28" t="str">
        <f t="shared" si="4"/>
        <v>Y</v>
      </c>
      <c r="L26" s="270" t="s">
        <v>371</v>
      </c>
      <c r="M26" s="221"/>
      <c r="N26" s="221"/>
      <c r="O26" s="221"/>
      <c r="P26" s="222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12" t="s">
        <v>50</v>
      </c>
      <c r="W26" s="12">
        <v>1</v>
      </c>
    </row>
    <row r="27" spans="1:25" ht="36">
      <c r="A27" s="31" t="str">
        <f>ChkList!A11</f>
        <v>계정 관리</v>
      </c>
      <c r="B27" s="31" t="str">
        <f>ChkList!B11</f>
        <v>U-07</v>
      </c>
      <c r="C27" s="270" t="str">
        <f>ChkList!C11</f>
        <v>불필요한 계정 제거</v>
      </c>
      <c r="D27" s="221"/>
      <c r="E27" s="222"/>
      <c r="F27" s="31" t="str">
        <f>ChkList!D11</f>
        <v>L</v>
      </c>
      <c r="G27" s="31">
        <f>ChkList!E11</f>
        <v>1</v>
      </c>
      <c r="H27" s="168" t="s">
        <v>50</v>
      </c>
      <c r="I27" s="167" t="s">
        <v>249</v>
      </c>
      <c r="J27" s="28" t="s">
        <v>50</v>
      </c>
      <c r="K27" s="28" t="str">
        <f t="shared" si="4"/>
        <v>Y</v>
      </c>
      <c r="L27" s="270" t="s">
        <v>370</v>
      </c>
      <c r="M27" s="221"/>
      <c r="N27" s="221"/>
      <c r="O27" s="221"/>
      <c r="P27" s="222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12" t="s">
        <v>55</v>
      </c>
      <c r="W27" s="12">
        <v>1</v>
      </c>
    </row>
    <row r="28" spans="1:25" ht="36">
      <c r="A28" s="31" t="str">
        <f>ChkList!A12</f>
        <v>계정 관리</v>
      </c>
      <c r="B28" s="31" t="str">
        <f>ChkList!B12</f>
        <v>U-08</v>
      </c>
      <c r="C28" s="270" t="str">
        <f>ChkList!C12</f>
        <v>관리자 그룹에 최소한의 계정 포함</v>
      </c>
      <c r="D28" s="221"/>
      <c r="E28" s="222"/>
      <c r="F28" s="31" t="str">
        <f>ChkList!D12</f>
        <v>M</v>
      </c>
      <c r="G28" s="31">
        <f>ChkList!E12</f>
        <v>2</v>
      </c>
      <c r="H28" s="168" t="s">
        <v>50</v>
      </c>
      <c r="I28" s="167" t="s">
        <v>250</v>
      </c>
      <c r="J28" s="28" t="s">
        <v>50</v>
      </c>
      <c r="K28" s="28" t="str">
        <f t="shared" si="4"/>
        <v>Y</v>
      </c>
      <c r="L28" s="270" t="s">
        <v>369</v>
      </c>
      <c r="M28" s="221"/>
      <c r="N28" s="221"/>
      <c r="O28" s="221"/>
      <c r="P28" s="222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</row>
    <row r="29" spans="1:25" ht="36">
      <c r="A29" s="31" t="str">
        <f>ChkList!A13</f>
        <v>계정 관리</v>
      </c>
      <c r="B29" s="31" t="str">
        <f>ChkList!B13</f>
        <v>U-09</v>
      </c>
      <c r="C29" s="270" t="str">
        <f>ChkList!C13</f>
        <v>계정이 존재하지 않는 GID 금지</v>
      </c>
      <c r="D29" s="221"/>
      <c r="E29" s="222"/>
      <c r="F29" s="31" t="str">
        <f>ChkList!D13</f>
        <v>L</v>
      </c>
      <c r="G29" s="31">
        <f>ChkList!E13</f>
        <v>1</v>
      </c>
      <c r="H29" s="168" t="s">
        <v>50</v>
      </c>
      <c r="I29" s="167" t="s">
        <v>251</v>
      </c>
      <c r="J29" s="28" t="s">
        <v>334</v>
      </c>
      <c r="K29" s="28" t="str">
        <f t="shared" si="4"/>
        <v>Y</v>
      </c>
      <c r="L29" s="270" t="s">
        <v>368</v>
      </c>
      <c r="M29" s="221"/>
      <c r="N29" s="221"/>
      <c r="O29" s="221"/>
      <c r="P29" s="222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</row>
    <row r="30" spans="1:25" ht="36">
      <c r="A30" s="31" t="str">
        <f>ChkList!A14</f>
        <v>계정 관리</v>
      </c>
      <c r="B30" s="31" t="str">
        <f>ChkList!B14</f>
        <v>U-10</v>
      </c>
      <c r="C30" s="270" t="str">
        <f>ChkList!C14</f>
        <v>동일한 UID 금지</v>
      </c>
      <c r="D30" s="221"/>
      <c r="E30" s="222"/>
      <c r="F30" s="31" t="str">
        <f>ChkList!D14</f>
        <v>M</v>
      </c>
      <c r="G30" s="31">
        <f>ChkList!E14</f>
        <v>2</v>
      </c>
      <c r="H30" s="168" t="s">
        <v>50</v>
      </c>
      <c r="I30" s="167" t="s">
        <v>252</v>
      </c>
      <c r="J30" s="28" t="s">
        <v>50</v>
      </c>
      <c r="K30" s="28" t="str">
        <f t="shared" si="4"/>
        <v>Y</v>
      </c>
      <c r="L30" s="270" t="s">
        <v>367</v>
      </c>
      <c r="M30" s="221"/>
      <c r="N30" s="221"/>
      <c r="O30" s="221"/>
      <c r="P30" s="222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</row>
    <row r="31" spans="1:25" ht="36">
      <c r="A31" s="31" t="str">
        <f>ChkList!A15</f>
        <v>계정 관리</v>
      </c>
      <c r="B31" s="31" t="str">
        <f>ChkList!B15</f>
        <v>U-11</v>
      </c>
      <c r="C31" s="270" t="str">
        <f>ChkList!C15</f>
        <v>사용자 Shell 점검</v>
      </c>
      <c r="D31" s="221"/>
      <c r="E31" s="222"/>
      <c r="F31" s="31" t="str">
        <f>ChkList!D15</f>
        <v>L</v>
      </c>
      <c r="G31" s="31">
        <f>ChkList!E15</f>
        <v>1</v>
      </c>
      <c r="H31" s="168" t="s">
        <v>50</v>
      </c>
      <c r="I31" s="167" t="s">
        <v>253</v>
      </c>
      <c r="J31" s="28" t="s">
        <v>50</v>
      </c>
      <c r="K31" s="28" t="str">
        <f t="shared" si="4"/>
        <v>Y</v>
      </c>
      <c r="L31" s="270" t="s">
        <v>366</v>
      </c>
      <c r="M31" s="221"/>
      <c r="N31" s="221"/>
      <c r="O31" s="221"/>
      <c r="P31" s="222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</row>
    <row r="32" spans="1:25" ht="36">
      <c r="A32" s="31" t="str">
        <f>ChkList!A16</f>
        <v>계정 관리</v>
      </c>
      <c r="B32" s="31" t="str">
        <f>ChkList!B16</f>
        <v>U-12</v>
      </c>
      <c r="C32" s="270" t="str">
        <f>ChkList!C16</f>
        <v>세션 종료 시간 설정</v>
      </c>
      <c r="D32" s="221"/>
      <c r="E32" s="222"/>
      <c r="F32" s="31" t="str">
        <f>ChkList!D16</f>
        <v>L</v>
      </c>
      <c r="G32" s="31">
        <f>ChkList!E16</f>
        <v>1</v>
      </c>
      <c r="H32" s="168" t="s">
        <v>50</v>
      </c>
      <c r="I32" s="167" t="s">
        <v>254</v>
      </c>
      <c r="J32" s="28" t="s">
        <v>334</v>
      </c>
      <c r="K32" s="28" t="str">
        <f t="shared" si="4"/>
        <v>Y</v>
      </c>
      <c r="L32" s="270" t="s">
        <v>365</v>
      </c>
      <c r="M32" s="221"/>
      <c r="N32" s="221"/>
      <c r="O32" s="221"/>
      <c r="P32" s="222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</row>
    <row r="33" spans="1:21" ht="36">
      <c r="A33" s="31" t="str">
        <f>ChkList!A17</f>
        <v>계정 관리</v>
      </c>
      <c r="B33" s="31" t="str">
        <f>ChkList!B17</f>
        <v>U-13</v>
      </c>
      <c r="C33" s="270" t="str">
        <f>ChkList!C17</f>
        <v>안전한 비밀번호 암호화 알고리즘 사용</v>
      </c>
      <c r="D33" s="221"/>
      <c r="E33" s="222"/>
      <c r="F33" s="31" t="str">
        <f>ChkList!D17</f>
        <v>M</v>
      </c>
      <c r="G33" s="31">
        <f>ChkList!E17</f>
        <v>2</v>
      </c>
      <c r="H33" s="168" t="s">
        <v>50</v>
      </c>
      <c r="I33" s="167" t="s">
        <v>255</v>
      </c>
      <c r="J33" s="28" t="s">
        <v>50</v>
      </c>
      <c r="K33" s="28" t="str">
        <f t="shared" si="4"/>
        <v>Y</v>
      </c>
      <c r="L33" s="270" t="s">
        <v>364</v>
      </c>
      <c r="M33" s="221"/>
      <c r="N33" s="221"/>
      <c r="O33" s="221"/>
      <c r="P33" s="222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</row>
    <row r="34" spans="1:21" ht="36">
      <c r="A34" s="31" t="str">
        <f>ChkList!A18</f>
        <v>파일 및 디렉터리 관리</v>
      </c>
      <c r="B34" s="31" t="str">
        <f>ChkList!B18</f>
        <v>U-14</v>
      </c>
      <c r="C34" s="270" t="str">
        <f>ChkList!C18</f>
        <v>root 홈, 패스 디렉터리 권한 및 패스 설정</v>
      </c>
      <c r="D34" s="221"/>
      <c r="E34" s="222"/>
      <c r="F34" s="31" t="str">
        <f>ChkList!D18</f>
        <v>H</v>
      </c>
      <c r="G34" s="31">
        <f>ChkList!E18</f>
        <v>3</v>
      </c>
      <c r="H34" s="168" t="s">
        <v>50</v>
      </c>
      <c r="I34" s="167" t="s">
        <v>256</v>
      </c>
      <c r="J34" s="28" t="s">
        <v>50</v>
      </c>
      <c r="K34" s="28" t="str">
        <f t="shared" si="4"/>
        <v>Y</v>
      </c>
      <c r="L34" s="270" t="s">
        <v>363</v>
      </c>
      <c r="M34" s="221"/>
      <c r="N34" s="221"/>
      <c r="O34" s="221"/>
      <c r="P34" s="222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</row>
    <row r="35" spans="1:21" ht="36">
      <c r="A35" s="31" t="str">
        <f>ChkList!A19</f>
        <v>파일 및 디렉터리 관리</v>
      </c>
      <c r="B35" s="31" t="str">
        <f>ChkList!B19</f>
        <v>U-15</v>
      </c>
      <c r="C35" s="270" t="str">
        <f>ChkList!C19</f>
        <v>파일 및 디렉터리 소유자 설정</v>
      </c>
      <c r="D35" s="221"/>
      <c r="E35" s="222"/>
      <c r="F35" s="31" t="str">
        <f>ChkList!D19</f>
        <v>H</v>
      </c>
      <c r="G35" s="31">
        <f>ChkList!E19</f>
        <v>3</v>
      </c>
      <c r="H35" s="168" t="s">
        <v>51</v>
      </c>
      <c r="I35" s="167" t="s">
        <v>257</v>
      </c>
      <c r="J35" s="28" t="s">
        <v>50</v>
      </c>
      <c r="K35" s="28" t="str">
        <f t="shared" si="4"/>
        <v>조치</v>
      </c>
      <c r="L35" s="270" t="s">
        <v>258</v>
      </c>
      <c r="M35" s="221"/>
      <c r="N35" s="221"/>
      <c r="O35" s="221"/>
      <c r="P35" s="222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</row>
    <row r="36" spans="1:21" ht="36">
      <c r="A36" s="31" t="str">
        <f>ChkList!A20</f>
        <v>파일 및 디렉터리 관리</v>
      </c>
      <c r="B36" s="31" t="str">
        <f>ChkList!B20</f>
        <v>U-16</v>
      </c>
      <c r="C36" s="270" t="str">
        <f>ChkList!C20</f>
        <v>/etc/passwd 파일 소유자 및 권한 설정</v>
      </c>
      <c r="D36" s="221"/>
      <c r="E36" s="222"/>
      <c r="F36" s="31" t="str">
        <f>ChkList!D20</f>
        <v>H</v>
      </c>
      <c r="G36" s="31">
        <f>ChkList!E20</f>
        <v>3</v>
      </c>
      <c r="H36" s="168" t="s">
        <v>50</v>
      </c>
      <c r="I36" s="167" t="s">
        <v>259</v>
      </c>
      <c r="J36" s="28" t="s">
        <v>50</v>
      </c>
      <c r="K36" s="28" t="str">
        <f t="shared" si="4"/>
        <v>Y</v>
      </c>
      <c r="L36" s="271" t="s">
        <v>362</v>
      </c>
      <c r="M36" s="272"/>
      <c r="N36" s="272"/>
      <c r="O36" s="272"/>
      <c r="P36" s="273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</row>
    <row r="37" spans="1:21" ht="36">
      <c r="A37" s="31" t="str">
        <f>ChkList!A21</f>
        <v>파일 및 디렉터리 관리</v>
      </c>
      <c r="B37" s="31" t="str">
        <f>ChkList!B21</f>
        <v>U-17</v>
      </c>
      <c r="C37" s="270" t="str">
        <f>ChkList!C21</f>
        <v>시스템 시작 스크립트 권한 설정</v>
      </c>
      <c r="D37" s="221"/>
      <c r="E37" s="222"/>
      <c r="F37" s="31" t="str">
        <f>ChkList!D21</f>
        <v>H</v>
      </c>
      <c r="G37" s="31">
        <f>ChkList!E21</f>
        <v>3</v>
      </c>
      <c r="H37" s="168" t="s">
        <v>51</v>
      </c>
      <c r="I37" s="167" t="s">
        <v>260</v>
      </c>
      <c r="J37" s="28" t="s">
        <v>50</v>
      </c>
      <c r="K37" s="28" t="str">
        <f t="shared" si="4"/>
        <v>조치</v>
      </c>
      <c r="L37" s="270" t="s">
        <v>261</v>
      </c>
      <c r="M37" s="221"/>
      <c r="N37" s="221"/>
      <c r="O37" s="221"/>
      <c r="P37" s="222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</row>
    <row r="38" spans="1:21" ht="36">
      <c r="A38" s="31" t="str">
        <f>ChkList!A22</f>
        <v>파일 및 디렉터리 관리</v>
      </c>
      <c r="B38" s="31" t="str">
        <f>ChkList!B22</f>
        <v>U-18</v>
      </c>
      <c r="C38" s="270" t="str">
        <f>ChkList!C22</f>
        <v>/etc/shadow 파일 소유자 및 권한 설정</v>
      </c>
      <c r="D38" s="221"/>
      <c r="E38" s="222"/>
      <c r="F38" s="31" t="str">
        <f>ChkList!D22</f>
        <v>H</v>
      </c>
      <c r="G38" s="31">
        <f>ChkList!E22</f>
        <v>3</v>
      </c>
      <c r="H38" s="168" t="s">
        <v>50</v>
      </c>
      <c r="I38" s="167" t="s">
        <v>262</v>
      </c>
      <c r="J38" s="28" t="s">
        <v>50</v>
      </c>
      <c r="K38" s="28" t="str">
        <f t="shared" si="4"/>
        <v>Y</v>
      </c>
      <c r="L38" s="270" t="s">
        <v>361</v>
      </c>
      <c r="M38" s="221"/>
      <c r="N38" s="221"/>
      <c r="O38" s="221"/>
      <c r="P38" s="222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</row>
    <row r="39" spans="1:21" ht="36">
      <c r="A39" s="31" t="str">
        <f>ChkList!A23</f>
        <v>파일 및 디렉터리 관리</v>
      </c>
      <c r="B39" s="31" t="str">
        <f>ChkList!B23</f>
        <v>U-19</v>
      </c>
      <c r="C39" s="270" t="str">
        <f>ChkList!C23</f>
        <v>/etc/hosts 파일 소유자 및 권한 설정</v>
      </c>
      <c r="D39" s="221"/>
      <c r="E39" s="222"/>
      <c r="F39" s="31" t="str">
        <f>ChkList!D23</f>
        <v>H</v>
      </c>
      <c r="G39" s="31">
        <f>ChkList!E23</f>
        <v>3</v>
      </c>
      <c r="H39" s="168" t="s">
        <v>50</v>
      </c>
      <c r="I39" s="167" t="s">
        <v>263</v>
      </c>
      <c r="J39" s="28" t="s">
        <v>50</v>
      </c>
      <c r="K39" s="28" t="str">
        <f t="shared" si="4"/>
        <v>Y</v>
      </c>
      <c r="L39" s="270" t="s">
        <v>360</v>
      </c>
      <c r="M39" s="221"/>
      <c r="N39" s="221"/>
      <c r="O39" s="221"/>
      <c r="P39" s="222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</row>
    <row r="40" spans="1:21" ht="36" customHeight="1">
      <c r="A40" s="31" t="str">
        <f>ChkList!A24</f>
        <v>파일 및 디렉터리 관리</v>
      </c>
      <c r="B40" s="31" t="str">
        <f>ChkList!B24</f>
        <v>U-20</v>
      </c>
      <c r="C40" s="270" t="str">
        <f>ChkList!C24</f>
        <v>/etc/(x)inetd.conf 파일 소유자 및 권한 설정</v>
      </c>
      <c r="D40" s="221"/>
      <c r="E40" s="222"/>
      <c r="F40" s="31" t="str">
        <f>ChkList!D24</f>
        <v>H</v>
      </c>
      <c r="G40" s="31">
        <f>ChkList!E24</f>
        <v>3</v>
      </c>
      <c r="H40" s="168" t="s">
        <v>51</v>
      </c>
      <c r="I40" s="167" t="s">
        <v>264</v>
      </c>
      <c r="J40" s="168" t="s">
        <v>50</v>
      </c>
      <c r="K40" s="28" t="str">
        <f t="shared" si="4"/>
        <v>조치</v>
      </c>
      <c r="L40" s="271" t="s">
        <v>265</v>
      </c>
      <c r="M40" s="272"/>
      <c r="N40" s="272"/>
      <c r="O40" s="272"/>
      <c r="P40" s="273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</row>
    <row r="41" spans="1:21" ht="36" customHeight="1">
      <c r="A41" s="31" t="str">
        <f>ChkList!A25</f>
        <v>파일 및 디렉터리 관리</v>
      </c>
      <c r="B41" s="31" t="str">
        <f>ChkList!B25</f>
        <v>U-21</v>
      </c>
      <c r="C41" s="270" t="str">
        <f>ChkList!C25</f>
        <v>/etc/(r)syslog.conf 파일 소유자 및 권한 설정</v>
      </c>
      <c r="D41" s="221"/>
      <c r="E41" s="222"/>
      <c r="F41" s="31" t="str">
        <f>ChkList!D25</f>
        <v>H</v>
      </c>
      <c r="G41" s="31">
        <f>ChkList!E25</f>
        <v>3</v>
      </c>
      <c r="H41" s="168" t="s">
        <v>51</v>
      </c>
      <c r="I41" s="167" t="s">
        <v>266</v>
      </c>
      <c r="J41" s="168" t="s">
        <v>50</v>
      </c>
      <c r="K41" s="28" t="str">
        <f t="shared" si="4"/>
        <v>조치</v>
      </c>
      <c r="L41" s="271" t="s">
        <v>267</v>
      </c>
      <c r="M41" s="272"/>
      <c r="N41" s="272"/>
      <c r="O41" s="272"/>
      <c r="P41" s="273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</row>
    <row r="42" spans="1:21" ht="36" customHeight="1">
      <c r="A42" s="31" t="str">
        <f>ChkList!A26</f>
        <v>파일 및 디렉터리 관리</v>
      </c>
      <c r="B42" s="31" t="str">
        <f>ChkList!B26</f>
        <v>U-22</v>
      </c>
      <c r="C42" s="270" t="str">
        <f>ChkList!C26</f>
        <v>/etc/services 파일 소유자 및 권한 설정</v>
      </c>
      <c r="D42" s="221"/>
      <c r="E42" s="222"/>
      <c r="F42" s="31" t="str">
        <f>ChkList!D26</f>
        <v>H</v>
      </c>
      <c r="G42" s="31">
        <f>ChkList!E26</f>
        <v>3</v>
      </c>
      <c r="H42" s="168" t="s">
        <v>51</v>
      </c>
      <c r="I42" s="167" t="s">
        <v>268</v>
      </c>
      <c r="J42" s="168" t="s">
        <v>50</v>
      </c>
      <c r="K42" s="28" t="str">
        <f t="shared" si="4"/>
        <v>조치</v>
      </c>
      <c r="L42" s="271" t="s">
        <v>269</v>
      </c>
      <c r="M42" s="272"/>
      <c r="N42" s="272"/>
      <c r="O42" s="272"/>
      <c r="P42" s="273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</row>
    <row r="43" spans="1:21" ht="36">
      <c r="A43" s="31" t="str">
        <f>ChkList!A27</f>
        <v>파일 및 디렉터리 관리</v>
      </c>
      <c r="B43" s="31" t="str">
        <f>ChkList!B27</f>
        <v>U-23</v>
      </c>
      <c r="C43" s="270" t="str">
        <f>ChkList!C27</f>
        <v>SUID, SGID, Sticky bit 설정 파일 점검</v>
      </c>
      <c r="D43" s="221"/>
      <c r="E43" s="222"/>
      <c r="F43" s="31" t="str">
        <f>ChkList!D27</f>
        <v>H</v>
      </c>
      <c r="G43" s="31">
        <f>ChkList!E27</f>
        <v>3</v>
      </c>
      <c r="H43" s="168" t="s">
        <v>50</v>
      </c>
      <c r="I43" s="167" t="s">
        <v>270</v>
      </c>
      <c r="J43" s="28" t="s">
        <v>50</v>
      </c>
      <c r="K43" s="28" t="str">
        <f t="shared" si="4"/>
        <v>Y</v>
      </c>
      <c r="L43" s="270" t="s">
        <v>358</v>
      </c>
      <c r="M43" s="221"/>
      <c r="N43" s="221"/>
      <c r="O43" s="221"/>
      <c r="P43" s="222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</row>
    <row r="44" spans="1:21" ht="36">
      <c r="A44" s="31" t="str">
        <f>ChkList!A28</f>
        <v>파일 및 디렉터리 관리</v>
      </c>
      <c r="B44" s="31" t="str">
        <f>ChkList!B28</f>
        <v>U-24</v>
      </c>
      <c r="C44" s="270" t="str">
        <f>ChkList!C28</f>
        <v>사용자, 시스템 시작파일 및 환경파일 소유자 및 권한 설정</v>
      </c>
      <c r="D44" s="221"/>
      <c r="E44" s="222"/>
      <c r="F44" s="31" t="str">
        <f>ChkList!D28</f>
        <v>H</v>
      </c>
      <c r="G44" s="31">
        <f>ChkList!E28</f>
        <v>3</v>
      </c>
      <c r="H44" s="168" t="s">
        <v>51</v>
      </c>
      <c r="I44" s="167" t="s">
        <v>271</v>
      </c>
      <c r="J44" s="168" t="s">
        <v>50</v>
      </c>
      <c r="K44" s="28" t="str">
        <f t="shared" si="4"/>
        <v>조치</v>
      </c>
      <c r="L44" s="270" t="s">
        <v>359</v>
      </c>
      <c r="M44" s="221"/>
      <c r="N44" s="221"/>
      <c r="O44" s="221"/>
      <c r="P44" s="222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</row>
    <row r="45" spans="1:21" ht="43.5" customHeight="1">
      <c r="A45" s="31" t="str">
        <f>ChkList!A29</f>
        <v>파일 및 디렉터리 관리</v>
      </c>
      <c r="B45" s="31" t="str">
        <f>ChkList!B29</f>
        <v>U-25</v>
      </c>
      <c r="C45" s="270" t="str">
        <f>ChkList!C29</f>
        <v>world writable 파일 점검</v>
      </c>
      <c r="D45" s="221"/>
      <c r="E45" s="222"/>
      <c r="F45" s="31" t="str">
        <f>ChkList!D29</f>
        <v>H</v>
      </c>
      <c r="G45" s="31">
        <f>ChkList!E29</f>
        <v>3</v>
      </c>
      <c r="H45" s="168" t="s">
        <v>50</v>
      </c>
      <c r="I45" s="167" t="s">
        <v>272</v>
      </c>
      <c r="J45" s="28" t="s">
        <v>50</v>
      </c>
      <c r="K45" s="28" t="str">
        <f t="shared" si="4"/>
        <v>Y</v>
      </c>
      <c r="L45" s="270" t="s">
        <v>355</v>
      </c>
      <c r="M45" s="221"/>
      <c r="N45" s="221"/>
      <c r="O45" s="221"/>
      <c r="P45" s="222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</row>
    <row r="46" spans="1:21" ht="36">
      <c r="A46" s="31" t="str">
        <f>ChkList!A30</f>
        <v>파일 및 디렉터리 관리</v>
      </c>
      <c r="B46" s="31" t="str">
        <f>ChkList!B30</f>
        <v>U-26</v>
      </c>
      <c r="C46" s="270" t="str">
        <f>ChkList!C30</f>
        <v>/dev에 존재하지 않는 device 파일 점검</v>
      </c>
      <c r="D46" s="221"/>
      <c r="E46" s="222"/>
      <c r="F46" s="31" t="str">
        <f>ChkList!D30</f>
        <v>H</v>
      </c>
      <c r="G46" s="31">
        <f>ChkList!E30</f>
        <v>3</v>
      </c>
      <c r="H46" s="168" t="s">
        <v>51</v>
      </c>
      <c r="I46" s="167" t="s">
        <v>273</v>
      </c>
      <c r="J46" s="168" t="s">
        <v>50</v>
      </c>
      <c r="K46" s="28" t="str">
        <f t="shared" si="4"/>
        <v>조치</v>
      </c>
      <c r="L46" s="270" t="s">
        <v>274</v>
      </c>
      <c r="M46" s="221"/>
      <c r="N46" s="221"/>
      <c r="O46" s="221"/>
      <c r="P46" s="222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0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</row>
    <row r="47" spans="1:21" ht="36">
      <c r="A47" s="31" t="str">
        <f>ChkList!A31</f>
        <v>파일 및 디렉터리 관리</v>
      </c>
      <c r="B47" s="31" t="str">
        <f>ChkList!B31</f>
        <v>U-27</v>
      </c>
      <c r="C47" s="270" t="str">
        <f>ChkList!C31</f>
        <v>$HOME/.rhosts, hosts.equiv 사용 금지</v>
      </c>
      <c r="D47" s="221"/>
      <c r="E47" s="222"/>
      <c r="F47" s="31" t="str">
        <f>ChkList!D31</f>
        <v>H</v>
      </c>
      <c r="G47" s="31">
        <f>ChkList!E31</f>
        <v>3</v>
      </c>
      <c r="H47" s="168" t="s">
        <v>51</v>
      </c>
      <c r="I47" s="167" t="s">
        <v>275</v>
      </c>
      <c r="J47" s="168" t="s">
        <v>50</v>
      </c>
      <c r="K47" s="28" t="str">
        <f t="shared" si="4"/>
        <v>조치</v>
      </c>
      <c r="L47" s="270" t="s">
        <v>276</v>
      </c>
      <c r="M47" s="221"/>
      <c r="N47" s="221"/>
      <c r="O47" s="221"/>
      <c r="P47" s="222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0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</row>
    <row r="48" spans="1:21" ht="36">
      <c r="A48" s="31" t="str">
        <f>ChkList!A32</f>
        <v>파일 및 디렉터리 관리</v>
      </c>
      <c r="B48" s="31" t="str">
        <f>ChkList!B32</f>
        <v>U-28</v>
      </c>
      <c r="C48" s="270" t="str">
        <f>ChkList!C32</f>
        <v>접속 IP 및 포트 제한</v>
      </c>
      <c r="D48" s="221"/>
      <c r="E48" s="222"/>
      <c r="F48" s="31" t="str">
        <f>ChkList!D32</f>
        <v>H</v>
      </c>
      <c r="G48" s="31">
        <f>ChkList!E32</f>
        <v>3</v>
      </c>
      <c r="H48" s="168" t="s">
        <v>50</v>
      </c>
      <c r="I48" s="167" t="s">
        <v>277</v>
      </c>
      <c r="J48" s="28" t="s">
        <v>50</v>
      </c>
      <c r="K48" s="28" t="str">
        <f t="shared" si="4"/>
        <v>Y</v>
      </c>
      <c r="L48" s="270" t="s">
        <v>357</v>
      </c>
      <c r="M48" s="221"/>
      <c r="N48" s="221"/>
      <c r="O48" s="221"/>
      <c r="P48" s="222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</row>
    <row r="49" spans="1:21" ht="36">
      <c r="A49" s="31" t="str">
        <f>ChkList!A33</f>
        <v>파일 및 디렉터리 관리</v>
      </c>
      <c r="B49" s="31" t="str">
        <f>ChkList!B33</f>
        <v>U-29</v>
      </c>
      <c r="C49" s="270" t="str">
        <f>ChkList!C33</f>
        <v>hosts.lpd 파일 소유자 및 권한 설정</v>
      </c>
      <c r="D49" s="221"/>
      <c r="E49" s="222"/>
      <c r="F49" s="31" t="str">
        <f>ChkList!D33</f>
        <v>L</v>
      </c>
      <c r="G49" s="31">
        <f>ChkList!E33</f>
        <v>1</v>
      </c>
      <c r="H49" s="168" t="s">
        <v>51</v>
      </c>
      <c r="I49" s="167" t="s">
        <v>278</v>
      </c>
      <c r="J49" s="168" t="s">
        <v>50</v>
      </c>
      <c r="K49" s="28" t="str">
        <f t="shared" si="4"/>
        <v>조치</v>
      </c>
      <c r="L49" s="270" t="s">
        <v>279</v>
      </c>
      <c r="M49" s="221"/>
      <c r="N49" s="221"/>
      <c r="O49" s="221"/>
      <c r="P49" s="222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0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</row>
    <row r="50" spans="1:21" ht="36">
      <c r="A50" s="31" t="str">
        <f>ChkList!A34</f>
        <v>파일 및 디렉터리 관리</v>
      </c>
      <c r="B50" s="31" t="str">
        <f>ChkList!B34</f>
        <v>U-30</v>
      </c>
      <c r="C50" s="270" t="str">
        <f>ChkList!C34</f>
        <v>UMASK 설정 관리</v>
      </c>
      <c r="D50" s="221"/>
      <c r="E50" s="222"/>
      <c r="F50" s="31" t="str">
        <f>ChkList!D34</f>
        <v>M</v>
      </c>
      <c r="G50" s="31">
        <f>ChkList!E34</f>
        <v>2</v>
      </c>
      <c r="H50" s="168" t="s">
        <v>50</v>
      </c>
      <c r="I50" s="167" t="s">
        <v>280</v>
      </c>
      <c r="J50" s="28" t="s">
        <v>50</v>
      </c>
      <c r="K50" s="28" t="str">
        <f t="shared" si="4"/>
        <v>Y</v>
      </c>
      <c r="L50" s="270" t="s">
        <v>327</v>
      </c>
      <c r="M50" s="221"/>
      <c r="N50" s="221"/>
      <c r="O50" s="221"/>
      <c r="P50" s="222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</row>
    <row r="51" spans="1:21" ht="36">
      <c r="A51" s="31" t="str">
        <f>ChkList!A35</f>
        <v>파일 및 디렉터리 관리</v>
      </c>
      <c r="B51" s="31" t="str">
        <f>ChkList!B35</f>
        <v>U-31</v>
      </c>
      <c r="C51" s="270" t="str">
        <f>ChkList!C35</f>
        <v>홈 디렉터리 소유자 및 권한 설정</v>
      </c>
      <c r="D51" s="221"/>
      <c r="E51" s="222"/>
      <c r="F51" s="31" t="str">
        <f>ChkList!D35</f>
        <v>M</v>
      </c>
      <c r="G51" s="31">
        <f>ChkList!E35</f>
        <v>2</v>
      </c>
      <c r="H51" s="168" t="s">
        <v>50</v>
      </c>
      <c r="I51" s="167" t="s">
        <v>281</v>
      </c>
      <c r="J51" s="28" t="s">
        <v>50</v>
      </c>
      <c r="K51" s="28" t="str">
        <f t="shared" si="4"/>
        <v>Y</v>
      </c>
      <c r="L51" s="270" t="s">
        <v>356</v>
      </c>
      <c r="M51" s="221"/>
      <c r="N51" s="221"/>
      <c r="O51" s="221"/>
      <c r="P51" s="222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</row>
    <row r="52" spans="1:21" ht="36">
      <c r="A52" s="31" t="str">
        <f>ChkList!A36</f>
        <v>파일 및 디렉터리 관리</v>
      </c>
      <c r="B52" s="31" t="str">
        <f>ChkList!B36</f>
        <v>U-32</v>
      </c>
      <c r="C52" s="270" t="str">
        <f>ChkList!C36</f>
        <v>홈 디렉터리로 지정한 디렉터리의 존재 관리</v>
      </c>
      <c r="D52" s="221"/>
      <c r="E52" s="222"/>
      <c r="F52" s="31" t="str">
        <f>ChkList!D36</f>
        <v>M</v>
      </c>
      <c r="G52" s="31">
        <f>ChkList!E36</f>
        <v>2</v>
      </c>
      <c r="H52" s="168" t="s">
        <v>50</v>
      </c>
      <c r="I52" s="167" t="s">
        <v>272</v>
      </c>
      <c r="J52" s="28" t="s">
        <v>50</v>
      </c>
      <c r="K52" s="28" t="str">
        <f t="shared" si="4"/>
        <v>Y</v>
      </c>
      <c r="L52" s="270" t="s">
        <v>355</v>
      </c>
      <c r="M52" s="221"/>
      <c r="N52" s="221"/>
      <c r="O52" s="221"/>
      <c r="P52" s="222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</row>
    <row r="53" spans="1:21" ht="36">
      <c r="A53" s="31" t="str">
        <f>ChkList!A37</f>
        <v>파일 및 디렉터리 관리</v>
      </c>
      <c r="B53" s="31" t="str">
        <f>ChkList!B37</f>
        <v>U-33</v>
      </c>
      <c r="C53" s="270" t="str">
        <f>ChkList!C37</f>
        <v>숨겨진 파일 및 디렉터리 검색 및 제거</v>
      </c>
      <c r="D53" s="221"/>
      <c r="E53" s="222"/>
      <c r="F53" s="31" t="str">
        <f>ChkList!D37</f>
        <v>L</v>
      </c>
      <c r="G53" s="31">
        <f>ChkList!E37</f>
        <v>1</v>
      </c>
      <c r="H53" s="168" t="s">
        <v>50</v>
      </c>
      <c r="I53" s="167" t="s">
        <v>282</v>
      </c>
      <c r="J53" s="28" t="s">
        <v>50</v>
      </c>
      <c r="K53" s="28" t="str">
        <f t="shared" ref="K53:K87" si="5">IF($J53="", "", IF(OR($H53="Y", $H53="N/A",$H53="Y(즉시조치)"), $H53, IF(AND($H53="N", $J53="Y"), "조치", IF(AND($H53="N",$J53="N/A"), "N/A", IF(IFERROR(FIND("위험수용", $L53), 0), "위험수용", "미조치")))))</f>
        <v>Y</v>
      </c>
      <c r="L53" s="270" t="s">
        <v>354</v>
      </c>
      <c r="M53" s="221"/>
      <c r="N53" s="221"/>
      <c r="O53" s="221"/>
      <c r="P53" s="222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</row>
    <row r="54" spans="1:21" ht="23.1" customHeight="1">
      <c r="A54" s="31" t="str">
        <f>ChkList!A38</f>
        <v>서비스 관리</v>
      </c>
      <c r="B54" s="31" t="str">
        <f>ChkList!B38</f>
        <v>U-34</v>
      </c>
      <c r="C54" s="270" t="str">
        <f>ChkList!C38</f>
        <v>Finger 서비스 비활성화</v>
      </c>
      <c r="D54" s="221"/>
      <c r="E54" s="222"/>
      <c r="F54" s="31" t="str">
        <f>ChkList!D38</f>
        <v>H</v>
      </c>
      <c r="G54" s="31">
        <f>ChkList!E38</f>
        <v>3</v>
      </c>
      <c r="H54" s="170" t="s">
        <v>283</v>
      </c>
      <c r="I54" s="167" t="s">
        <v>283</v>
      </c>
      <c r="J54" s="28" t="s">
        <v>283</v>
      </c>
      <c r="K54" s="28"/>
      <c r="L54" s="270" t="s">
        <v>284</v>
      </c>
      <c r="M54" s="221"/>
      <c r="N54" s="221"/>
      <c r="O54" s="221"/>
      <c r="P54" s="222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</row>
    <row r="55" spans="1:21" ht="36">
      <c r="A55" s="31" t="str">
        <f>ChkList!A39</f>
        <v>서비스 관리</v>
      </c>
      <c r="B55" s="31" t="str">
        <f>ChkList!B39</f>
        <v>U-35</v>
      </c>
      <c r="C55" s="270" t="str">
        <f>ChkList!C39</f>
        <v>공유 서비스에 대한 익명 접근 제한 설정</v>
      </c>
      <c r="D55" s="221"/>
      <c r="E55" s="222"/>
      <c r="F55" s="31" t="str">
        <f>ChkList!D39</f>
        <v>H</v>
      </c>
      <c r="G55" s="31">
        <f>ChkList!E39</f>
        <v>3</v>
      </c>
      <c r="H55" s="168" t="s">
        <v>50</v>
      </c>
      <c r="I55" s="167" t="s">
        <v>285</v>
      </c>
      <c r="J55" s="28" t="s">
        <v>50</v>
      </c>
      <c r="K55" s="28" t="str">
        <f t="shared" si="5"/>
        <v>Y</v>
      </c>
      <c r="L55" s="270" t="s">
        <v>328</v>
      </c>
      <c r="M55" s="221"/>
      <c r="N55" s="221"/>
      <c r="O55" s="221"/>
      <c r="P55" s="222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</row>
    <row r="56" spans="1:21" ht="36">
      <c r="A56" s="31" t="str">
        <f>ChkList!A40</f>
        <v>서비스 관리</v>
      </c>
      <c r="B56" s="31" t="str">
        <f>ChkList!B40</f>
        <v>U-36</v>
      </c>
      <c r="C56" s="270" t="str">
        <f>ChkList!C40</f>
        <v>r 계열 서비스 비활성화</v>
      </c>
      <c r="D56" s="221"/>
      <c r="E56" s="222"/>
      <c r="F56" s="31" t="str">
        <f>ChkList!D40</f>
        <v>H</v>
      </c>
      <c r="G56" s="31">
        <f>ChkList!E40</f>
        <v>3</v>
      </c>
      <c r="H56" s="168" t="s">
        <v>50</v>
      </c>
      <c r="I56" s="167" t="s">
        <v>286</v>
      </c>
      <c r="J56" s="28" t="s">
        <v>50</v>
      </c>
      <c r="K56" s="28" t="str">
        <f t="shared" si="5"/>
        <v>Y</v>
      </c>
      <c r="L56" s="270" t="s">
        <v>352</v>
      </c>
      <c r="M56" s="221"/>
      <c r="N56" s="221"/>
      <c r="O56" s="221"/>
      <c r="P56" s="222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</row>
    <row r="57" spans="1:21" ht="36">
      <c r="A57" s="31" t="str">
        <f>ChkList!A41</f>
        <v>서비스 관리</v>
      </c>
      <c r="B57" s="31" t="str">
        <f>ChkList!B41</f>
        <v>U-37</v>
      </c>
      <c r="C57" s="270" t="str">
        <f>ChkList!C41</f>
        <v>crontab 설정파일 권한 설정 미흡</v>
      </c>
      <c r="D57" s="221"/>
      <c r="E57" s="222"/>
      <c r="F57" s="31" t="str">
        <f>ChkList!D41</f>
        <v>H</v>
      </c>
      <c r="G57" s="31">
        <f>ChkList!E41</f>
        <v>3</v>
      </c>
      <c r="H57" s="168" t="s">
        <v>50</v>
      </c>
      <c r="I57" s="167" t="s">
        <v>287</v>
      </c>
      <c r="J57" s="28" t="s">
        <v>50</v>
      </c>
      <c r="K57" s="28" t="str">
        <f t="shared" si="5"/>
        <v>Y</v>
      </c>
      <c r="L57" s="270" t="s">
        <v>353</v>
      </c>
      <c r="M57" s="221"/>
      <c r="N57" s="221"/>
      <c r="O57" s="221"/>
      <c r="P57" s="222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</row>
    <row r="58" spans="1:21" ht="36">
      <c r="A58" s="31" t="str">
        <f>ChkList!A42</f>
        <v>서비스 관리</v>
      </c>
      <c r="B58" s="31" t="str">
        <f>ChkList!B42</f>
        <v>U-38</v>
      </c>
      <c r="C58" s="270" t="str">
        <f>ChkList!C42</f>
        <v>DoS 공격에 취약한 서비스 비활성화</v>
      </c>
      <c r="D58" s="221"/>
      <c r="E58" s="222"/>
      <c r="F58" s="31" t="str">
        <f>ChkList!D42</f>
        <v>H</v>
      </c>
      <c r="G58" s="31">
        <f>ChkList!E42</f>
        <v>3</v>
      </c>
      <c r="H58" s="168" t="s">
        <v>51</v>
      </c>
      <c r="I58" s="167" t="s">
        <v>288</v>
      </c>
      <c r="J58" s="168" t="s">
        <v>50</v>
      </c>
      <c r="K58" s="28" t="str">
        <f t="shared" si="5"/>
        <v>조치</v>
      </c>
      <c r="L58" s="270" t="s">
        <v>289</v>
      </c>
      <c r="M58" s="221"/>
      <c r="N58" s="221"/>
      <c r="O58" s="221"/>
      <c r="P58" s="222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0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</row>
    <row r="59" spans="1:21" ht="36">
      <c r="A59" s="31" t="str">
        <f>ChkList!A43</f>
        <v>서비스 관리</v>
      </c>
      <c r="B59" s="31" t="str">
        <f>ChkList!B43</f>
        <v>U-39</v>
      </c>
      <c r="C59" s="270" t="str">
        <f>ChkList!C43</f>
        <v>불필요한 NFS 서비스 비활성화</v>
      </c>
      <c r="D59" s="221"/>
      <c r="E59" s="222"/>
      <c r="F59" s="31" t="str">
        <f>ChkList!D43</f>
        <v>H</v>
      </c>
      <c r="G59" s="31">
        <f>ChkList!E43</f>
        <v>3</v>
      </c>
      <c r="H59" s="168" t="s">
        <v>50</v>
      </c>
      <c r="I59" s="167" t="s">
        <v>290</v>
      </c>
      <c r="J59" s="28" t="s">
        <v>50</v>
      </c>
      <c r="K59" s="28" t="str">
        <f t="shared" si="5"/>
        <v>Y</v>
      </c>
      <c r="L59" s="271" t="s">
        <v>329</v>
      </c>
      <c r="M59" s="272"/>
      <c r="N59" s="272"/>
      <c r="O59" s="272"/>
      <c r="P59" s="273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1" ht="36">
      <c r="A60" s="31" t="str">
        <f>ChkList!A44</f>
        <v>서비스 관리</v>
      </c>
      <c r="B60" s="31" t="str">
        <f>ChkList!B44</f>
        <v>U-40</v>
      </c>
      <c r="C60" s="270" t="str">
        <f>ChkList!C44</f>
        <v>NFS 접근 통제</v>
      </c>
      <c r="D60" s="221"/>
      <c r="E60" s="222"/>
      <c r="F60" s="31" t="str">
        <f>ChkList!D44</f>
        <v>H</v>
      </c>
      <c r="G60" s="31">
        <f>ChkList!E44</f>
        <v>3</v>
      </c>
      <c r="H60" s="168" t="s">
        <v>50</v>
      </c>
      <c r="I60" s="167" t="s">
        <v>291</v>
      </c>
      <c r="J60" s="28" t="s">
        <v>50</v>
      </c>
      <c r="K60" s="28" t="str">
        <f t="shared" si="5"/>
        <v>Y</v>
      </c>
      <c r="L60" s="271" t="s">
        <v>344</v>
      </c>
      <c r="M60" s="272"/>
      <c r="N60" s="272"/>
      <c r="O60" s="272"/>
      <c r="P60" s="273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1" ht="36">
      <c r="A61" s="31" t="str">
        <f>ChkList!A45</f>
        <v>서비스 관리</v>
      </c>
      <c r="B61" s="31" t="str">
        <f>ChkList!B45</f>
        <v>U-41</v>
      </c>
      <c r="C61" s="270" t="str">
        <f>ChkList!C45</f>
        <v>불필요한 automountd 제거</v>
      </c>
      <c r="D61" s="221"/>
      <c r="E61" s="222"/>
      <c r="F61" s="31" t="str">
        <f>ChkList!D45</f>
        <v>H</v>
      </c>
      <c r="G61" s="31">
        <f>ChkList!E45</f>
        <v>3</v>
      </c>
      <c r="H61" s="168" t="s">
        <v>50</v>
      </c>
      <c r="I61" s="167" t="s">
        <v>291</v>
      </c>
      <c r="J61" s="28" t="s">
        <v>50</v>
      </c>
      <c r="K61" s="28" t="str">
        <f t="shared" si="5"/>
        <v>Y</v>
      </c>
      <c r="L61" s="271" t="s">
        <v>344</v>
      </c>
      <c r="M61" s="272"/>
      <c r="N61" s="272"/>
      <c r="O61" s="272"/>
      <c r="P61" s="273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1" ht="36">
      <c r="A62" s="31" t="str">
        <f>ChkList!A46</f>
        <v>서비스 관리</v>
      </c>
      <c r="B62" s="31" t="str">
        <f>ChkList!B46</f>
        <v>U-42</v>
      </c>
      <c r="C62" s="270" t="str">
        <f>ChkList!C46</f>
        <v>불필요한 RPC 서비스 비활성화</v>
      </c>
      <c r="D62" s="221"/>
      <c r="E62" s="222"/>
      <c r="F62" s="31" t="str">
        <f>ChkList!D46</f>
        <v>H</v>
      </c>
      <c r="G62" s="31">
        <f>ChkList!E46</f>
        <v>3</v>
      </c>
      <c r="H62" s="168" t="s">
        <v>50</v>
      </c>
      <c r="I62" s="167" t="s">
        <v>292</v>
      </c>
      <c r="J62" s="28" t="s">
        <v>50</v>
      </c>
      <c r="K62" s="28" t="str">
        <f t="shared" si="5"/>
        <v>Y</v>
      </c>
      <c r="L62" s="271" t="s">
        <v>345</v>
      </c>
      <c r="M62" s="272"/>
      <c r="N62" s="272"/>
      <c r="O62" s="272"/>
      <c r="P62" s="273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1" ht="36">
      <c r="A63" s="31" t="str">
        <f>ChkList!A47</f>
        <v>서비스 관리</v>
      </c>
      <c r="B63" s="31" t="str">
        <f>ChkList!B47</f>
        <v>U-43</v>
      </c>
      <c r="C63" s="270" t="str">
        <f>ChkList!C47</f>
        <v>NIS, NIS+ 점검</v>
      </c>
      <c r="D63" s="221"/>
      <c r="E63" s="222"/>
      <c r="F63" s="31" t="str">
        <f>ChkList!D47</f>
        <v>H</v>
      </c>
      <c r="G63" s="31">
        <f>ChkList!E47</f>
        <v>3</v>
      </c>
      <c r="H63" s="168" t="s">
        <v>50</v>
      </c>
      <c r="I63" s="167" t="s">
        <v>293</v>
      </c>
      <c r="J63" s="28" t="s">
        <v>50</v>
      </c>
      <c r="K63" s="28" t="str">
        <f t="shared" si="5"/>
        <v>Y</v>
      </c>
      <c r="L63" s="271" t="s">
        <v>346</v>
      </c>
      <c r="M63" s="272"/>
      <c r="N63" s="272"/>
      <c r="O63" s="272"/>
      <c r="P63" s="273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1" ht="36">
      <c r="A64" s="31" t="str">
        <f>ChkList!A48</f>
        <v>서비스 관리</v>
      </c>
      <c r="B64" s="31" t="str">
        <f>ChkList!B48</f>
        <v>U-44</v>
      </c>
      <c r="C64" s="270" t="str">
        <f>ChkList!C48</f>
        <v>tftp, talk 서비스 비활성화</v>
      </c>
      <c r="D64" s="221"/>
      <c r="E64" s="222"/>
      <c r="F64" s="31" t="str">
        <f>ChkList!D48</f>
        <v>H</v>
      </c>
      <c r="G64" s="31">
        <f>ChkList!E48</f>
        <v>3</v>
      </c>
      <c r="H64" s="168" t="s">
        <v>50</v>
      </c>
      <c r="I64" s="167" t="s">
        <v>294</v>
      </c>
      <c r="J64" s="28" t="s">
        <v>50</v>
      </c>
      <c r="K64" s="28" t="str">
        <f t="shared" si="5"/>
        <v>Y</v>
      </c>
      <c r="L64" s="271" t="s">
        <v>347</v>
      </c>
      <c r="M64" s="272"/>
      <c r="N64" s="272"/>
      <c r="O64" s="272"/>
      <c r="P64" s="273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>
      <c r="A65" s="31" t="str">
        <f>ChkList!A49</f>
        <v>서비스 관리</v>
      </c>
      <c r="B65" s="31" t="str">
        <f>ChkList!B49</f>
        <v>U-45</v>
      </c>
      <c r="C65" s="270" t="str">
        <f>ChkList!C49</f>
        <v>메일 서비스 버전 점검</v>
      </c>
      <c r="D65" s="221"/>
      <c r="E65" s="222"/>
      <c r="F65" s="31" t="str">
        <f>ChkList!D49</f>
        <v>H</v>
      </c>
      <c r="G65" s="31">
        <f>ChkList!E49</f>
        <v>3</v>
      </c>
      <c r="H65" s="168" t="s">
        <v>50</v>
      </c>
      <c r="I65" s="167" t="s">
        <v>295</v>
      </c>
      <c r="J65" s="28" t="s">
        <v>50</v>
      </c>
      <c r="K65" s="28" t="str">
        <f t="shared" si="5"/>
        <v>Y</v>
      </c>
      <c r="L65" s="271" t="s">
        <v>348</v>
      </c>
      <c r="M65" s="272"/>
      <c r="N65" s="272"/>
      <c r="O65" s="272"/>
      <c r="P65" s="273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>
      <c r="A66" s="31" t="str">
        <f>ChkList!A50</f>
        <v>서비스 관리</v>
      </c>
      <c r="B66" s="31" t="str">
        <f>ChkList!B50</f>
        <v>U-46</v>
      </c>
      <c r="C66" s="270" t="str">
        <f>ChkList!C50</f>
        <v>일반 사용자의 메일 서비스 실행 방지</v>
      </c>
      <c r="D66" s="221"/>
      <c r="E66" s="222"/>
      <c r="F66" s="31" t="str">
        <f>ChkList!D50</f>
        <v>H</v>
      </c>
      <c r="G66" s="31">
        <f>ChkList!E50</f>
        <v>3</v>
      </c>
      <c r="H66" s="168" t="s">
        <v>50</v>
      </c>
      <c r="I66" s="167" t="s">
        <v>296</v>
      </c>
      <c r="J66" s="28" t="s">
        <v>50</v>
      </c>
      <c r="K66" s="28" t="str">
        <f t="shared" si="5"/>
        <v>Y</v>
      </c>
      <c r="L66" s="271" t="s">
        <v>296</v>
      </c>
      <c r="M66" s="272"/>
      <c r="N66" s="272"/>
      <c r="O66" s="272"/>
      <c r="P66" s="273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>
      <c r="A67" s="31" t="str">
        <f>ChkList!A51</f>
        <v>서비스 관리</v>
      </c>
      <c r="B67" s="31" t="str">
        <f>ChkList!B51</f>
        <v>U-47</v>
      </c>
      <c r="C67" s="270" t="str">
        <f>ChkList!C51</f>
        <v>스팸 메일 릴레이 제한</v>
      </c>
      <c r="D67" s="221"/>
      <c r="E67" s="222"/>
      <c r="F67" s="31" t="str">
        <f>ChkList!D51</f>
        <v>H</v>
      </c>
      <c r="G67" s="31">
        <f>ChkList!E51</f>
        <v>3</v>
      </c>
      <c r="H67" s="168" t="s">
        <v>50</v>
      </c>
      <c r="I67" s="167" t="s">
        <v>297</v>
      </c>
      <c r="J67" s="28" t="s">
        <v>50</v>
      </c>
      <c r="K67" s="28" t="str">
        <f t="shared" si="5"/>
        <v>Y</v>
      </c>
      <c r="L67" s="271" t="s">
        <v>349</v>
      </c>
      <c r="M67" s="272"/>
      <c r="N67" s="272"/>
      <c r="O67" s="272"/>
      <c r="P67" s="273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>
      <c r="A68" s="31" t="str">
        <f>ChkList!A52</f>
        <v>서비스 관리</v>
      </c>
      <c r="B68" s="31" t="str">
        <f>ChkList!B52</f>
        <v>U-48</v>
      </c>
      <c r="C68" s="270" t="str">
        <f>ChkList!C52</f>
        <v>expn, vrfy 명령어 제한</v>
      </c>
      <c r="D68" s="221"/>
      <c r="E68" s="222"/>
      <c r="F68" s="31" t="str">
        <f>ChkList!D52</f>
        <v>M</v>
      </c>
      <c r="G68" s="31">
        <f>ChkList!E52</f>
        <v>2</v>
      </c>
      <c r="H68" s="168" t="s">
        <v>50</v>
      </c>
      <c r="I68" s="167" t="s">
        <v>297</v>
      </c>
      <c r="J68" s="28" t="s">
        <v>50</v>
      </c>
      <c r="K68" s="28" t="str">
        <f t="shared" si="5"/>
        <v>Y</v>
      </c>
      <c r="L68" s="271" t="s">
        <v>349</v>
      </c>
      <c r="M68" s="272"/>
      <c r="N68" s="272"/>
      <c r="O68" s="272"/>
      <c r="P68" s="273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>
      <c r="A69" s="31" t="str">
        <f>ChkList!A53</f>
        <v>서비스 관리</v>
      </c>
      <c r="B69" s="31" t="str">
        <f>ChkList!B53</f>
        <v>U-49</v>
      </c>
      <c r="C69" s="270" t="str">
        <f>ChkList!C53</f>
        <v>DNS 보안 버전 패치</v>
      </c>
      <c r="D69" s="221"/>
      <c r="E69" s="222"/>
      <c r="F69" s="31" t="str">
        <f>ChkList!D53</f>
        <v>H</v>
      </c>
      <c r="G69" s="31">
        <f>ChkList!E53</f>
        <v>3</v>
      </c>
      <c r="H69" s="168" t="s">
        <v>50</v>
      </c>
      <c r="I69" s="167" t="s">
        <v>298</v>
      </c>
      <c r="J69" s="28" t="s">
        <v>50</v>
      </c>
      <c r="K69" s="28" t="str">
        <f t="shared" si="5"/>
        <v>Y</v>
      </c>
      <c r="L69" s="271" t="s">
        <v>350</v>
      </c>
      <c r="M69" s="272"/>
      <c r="N69" s="272"/>
      <c r="O69" s="272"/>
      <c r="P69" s="273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>
      <c r="A70" s="31" t="str">
        <f>ChkList!A54</f>
        <v>서비스 관리</v>
      </c>
      <c r="B70" s="31" t="str">
        <f>ChkList!B54</f>
        <v>U-50</v>
      </c>
      <c r="C70" s="270" t="str">
        <f>ChkList!C54</f>
        <v>DNS Zone Transfer 설정</v>
      </c>
      <c r="D70" s="221"/>
      <c r="E70" s="222"/>
      <c r="F70" s="31" t="str">
        <f>ChkList!D54</f>
        <v>H</v>
      </c>
      <c r="G70" s="31">
        <f>ChkList!E54</f>
        <v>3</v>
      </c>
      <c r="H70" s="168" t="s">
        <v>50</v>
      </c>
      <c r="I70" s="167" t="s">
        <v>299</v>
      </c>
      <c r="J70" s="28" t="s">
        <v>50</v>
      </c>
      <c r="K70" s="28" t="str">
        <f t="shared" si="5"/>
        <v>Y</v>
      </c>
      <c r="L70" s="270" t="s">
        <v>331</v>
      </c>
      <c r="M70" s="221"/>
      <c r="N70" s="221"/>
      <c r="O70" s="221"/>
      <c r="P70" s="222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>
      <c r="A71" s="31" t="str">
        <f>ChkList!A55</f>
        <v>서비스 관리</v>
      </c>
      <c r="B71" s="31" t="str">
        <f>ChkList!B55</f>
        <v>U-51</v>
      </c>
      <c r="C71" s="270" t="str">
        <f>ChkList!C55</f>
        <v>DNS 서비스의 취약한 동적 업데이트 설정 금지</v>
      </c>
      <c r="D71" s="221"/>
      <c r="E71" s="222"/>
      <c r="F71" s="31" t="str">
        <f>ChkList!D55</f>
        <v>M</v>
      </c>
      <c r="G71" s="31">
        <f>ChkList!E55</f>
        <v>2</v>
      </c>
      <c r="H71" s="168" t="s">
        <v>51</v>
      </c>
      <c r="I71" s="167" t="s">
        <v>300</v>
      </c>
      <c r="J71" s="168" t="s">
        <v>50</v>
      </c>
      <c r="K71" s="28" t="str">
        <f t="shared" si="5"/>
        <v>조치</v>
      </c>
      <c r="L71" s="274" t="s">
        <v>301</v>
      </c>
      <c r="M71" s="221"/>
      <c r="N71" s="221"/>
      <c r="O71" s="221"/>
      <c r="P71" s="222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0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>
      <c r="A72" s="31" t="str">
        <f>ChkList!A56</f>
        <v>서비스 관리</v>
      </c>
      <c r="B72" s="31" t="str">
        <f>ChkList!B56</f>
        <v>U-52</v>
      </c>
      <c r="C72" s="270" t="str">
        <f>ChkList!C56</f>
        <v>Telnet 서비스 비활성화</v>
      </c>
      <c r="D72" s="221"/>
      <c r="E72" s="222"/>
      <c r="F72" s="31" t="str">
        <f>ChkList!D56</f>
        <v>M</v>
      </c>
      <c r="G72" s="31">
        <f>ChkList!E56</f>
        <v>2</v>
      </c>
      <c r="H72" s="168" t="s">
        <v>50</v>
      </c>
      <c r="I72" s="167" t="s">
        <v>302</v>
      </c>
      <c r="J72" s="28" t="s">
        <v>50</v>
      </c>
      <c r="K72" s="28" t="str">
        <f t="shared" si="5"/>
        <v>Y</v>
      </c>
      <c r="L72" s="271" t="s">
        <v>351</v>
      </c>
      <c r="M72" s="221"/>
      <c r="N72" s="221"/>
      <c r="O72" s="221"/>
      <c r="P72" s="222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>
      <c r="A73" s="31" t="str">
        <f>ChkList!A57</f>
        <v>서비스 관리</v>
      </c>
      <c r="B73" s="31" t="str">
        <f>ChkList!B57</f>
        <v>U-53</v>
      </c>
      <c r="C73" s="270" t="str">
        <f>ChkList!C57</f>
        <v>FTP 서비스 정보 노출 제한</v>
      </c>
      <c r="D73" s="221"/>
      <c r="E73" s="222"/>
      <c r="F73" s="31" t="str">
        <f>ChkList!D57</f>
        <v>L</v>
      </c>
      <c r="G73" s="31">
        <f>ChkList!E57</f>
        <v>1</v>
      </c>
      <c r="H73" s="168" t="s">
        <v>51</v>
      </c>
      <c r="I73" s="167" t="s">
        <v>303</v>
      </c>
      <c r="J73" s="168" t="s">
        <v>50</v>
      </c>
      <c r="K73" s="28" t="str">
        <f t="shared" si="5"/>
        <v>조치</v>
      </c>
      <c r="L73" s="271" t="s">
        <v>304</v>
      </c>
      <c r="M73" s="221"/>
      <c r="N73" s="221"/>
      <c r="O73" s="221"/>
      <c r="P73" s="222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0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>
      <c r="A74" s="31" t="str">
        <f>ChkList!A58</f>
        <v>서비스 관리</v>
      </c>
      <c r="B74" s="31" t="str">
        <f>ChkList!B58</f>
        <v>U-54</v>
      </c>
      <c r="C74" s="270" t="str">
        <f>ChkList!C58</f>
        <v>암호화되지 않는 FTP 서비스 비활성화</v>
      </c>
      <c r="D74" s="221"/>
      <c r="E74" s="222"/>
      <c r="F74" s="31" t="str">
        <f>ChkList!D58</f>
        <v>M</v>
      </c>
      <c r="G74" s="31">
        <f>ChkList!E58</f>
        <v>2</v>
      </c>
      <c r="H74" s="168" t="s">
        <v>51</v>
      </c>
      <c r="I74" s="167" t="s">
        <v>305</v>
      </c>
      <c r="J74" s="168" t="s">
        <v>50</v>
      </c>
      <c r="K74" s="28" t="str">
        <f t="shared" si="5"/>
        <v>조치</v>
      </c>
      <c r="L74" s="270" t="s">
        <v>306</v>
      </c>
      <c r="M74" s="221"/>
      <c r="N74" s="221"/>
      <c r="O74" s="221"/>
      <c r="P74" s="222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0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70" t="str">
        <f>ChkList!C59</f>
        <v>FTP 계정 Shell 제한</v>
      </c>
      <c r="D75" s="221"/>
      <c r="E75" s="222"/>
      <c r="F75" s="31" t="str">
        <f>ChkList!D59</f>
        <v>M</v>
      </c>
      <c r="G75" s="31">
        <f>ChkList!E59</f>
        <v>2</v>
      </c>
      <c r="H75" s="168" t="s">
        <v>51</v>
      </c>
      <c r="I75" s="167" t="s">
        <v>307</v>
      </c>
      <c r="J75" s="168" t="s">
        <v>50</v>
      </c>
      <c r="K75" s="28" t="str">
        <f t="shared" si="5"/>
        <v>조치</v>
      </c>
      <c r="L75" s="270" t="s">
        <v>308</v>
      </c>
      <c r="M75" s="221"/>
      <c r="N75" s="221"/>
      <c r="O75" s="221"/>
      <c r="P75" s="222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0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>
      <c r="A76" s="31" t="str">
        <f>ChkList!A60</f>
        <v>서비스 관리</v>
      </c>
      <c r="B76" s="31" t="str">
        <f>ChkList!B60</f>
        <v>U-56</v>
      </c>
      <c r="C76" s="270" t="str">
        <f>ChkList!C60</f>
        <v>FTP 서비스 접근 제어 설정</v>
      </c>
      <c r="D76" s="221"/>
      <c r="E76" s="222"/>
      <c r="F76" s="31" t="str">
        <f>ChkList!D60</f>
        <v>L</v>
      </c>
      <c r="G76" s="31">
        <f>ChkList!E60</f>
        <v>1</v>
      </c>
      <c r="H76" s="168" t="s">
        <v>51</v>
      </c>
      <c r="I76" s="167" t="s">
        <v>309</v>
      </c>
      <c r="J76" s="168" t="s">
        <v>50</v>
      </c>
      <c r="K76" s="28" t="str">
        <f t="shared" si="5"/>
        <v>조치</v>
      </c>
      <c r="L76" s="270" t="s">
        <v>310</v>
      </c>
      <c r="M76" s="221"/>
      <c r="N76" s="221"/>
      <c r="O76" s="221"/>
      <c r="P76" s="222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0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>
      <c r="A77" s="31" t="str">
        <f>ChkList!A61</f>
        <v>서비스 관리</v>
      </c>
      <c r="B77" s="31" t="str">
        <f>ChkList!B61</f>
        <v>U-57</v>
      </c>
      <c r="C77" s="270" t="str">
        <f>ChkList!C61</f>
        <v>Ftpusers 파일 설정</v>
      </c>
      <c r="D77" s="221"/>
      <c r="E77" s="222"/>
      <c r="F77" s="31" t="str">
        <f>ChkList!D61</f>
        <v>M</v>
      </c>
      <c r="G77" s="31">
        <f>ChkList!E61</f>
        <v>2</v>
      </c>
      <c r="H77" s="169" t="s">
        <v>51</v>
      </c>
      <c r="I77" s="167" t="s">
        <v>311</v>
      </c>
      <c r="J77" s="28" t="s">
        <v>50</v>
      </c>
      <c r="K77" s="175" t="str">
        <f>IF($J77="", "", IF(OR($H77="Y", $H77="N/A",$H77="Y(즉시조치)"), $H77, IF(AND($H77="N", $J77="Y"), "조치", IF(AND($H77="인터뷰", $J77="Y"), "조치", IF(AND($H77="N",$J77="N/A"), "N/A", IF(IFERROR(FIND("위험수용", $L77), 0), "위험수용", "미조치"))))))</f>
        <v>조치</v>
      </c>
      <c r="L77" s="270" t="s">
        <v>312</v>
      </c>
      <c r="M77" s="221"/>
      <c r="N77" s="221"/>
      <c r="O77" s="221"/>
      <c r="P77" s="222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0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>
      <c r="A78" s="31" t="str">
        <f>ChkList!A62</f>
        <v>서비스 관리</v>
      </c>
      <c r="B78" s="31" t="str">
        <f>ChkList!B62</f>
        <v>U-58</v>
      </c>
      <c r="C78" s="270" t="str">
        <f>ChkList!C62</f>
        <v>불필요한 SNMP 서비스 구동 점검</v>
      </c>
      <c r="D78" s="221"/>
      <c r="E78" s="222"/>
      <c r="F78" s="31" t="str">
        <f>ChkList!D62</f>
        <v>M</v>
      </c>
      <c r="G78" s="31">
        <f>ChkList!E62</f>
        <v>2</v>
      </c>
      <c r="H78" s="168" t="s">
        <v>50</v>
      </c>
      <c r="I78" s="167" t="s">
        <v>313</v>
      </c>
      <c r="J78" s="28" t="s">
        <v>50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71" t="s">
        <v>338</v>
      </c>
      <c r="M78" s="272"/>
      <c r="N78" s="272"/>
      <c r="O78" s="272"/>
      <c r="P78" s="273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>
      <c r="A79" s="31" t="str">
        <f>ChkList!A63</f>
        <v>서비스 관리</v>
      </c>
      <c r="B79" s="31" t="str">
        <f>ChkList!B63</f>
        <v>U-59</v>
      </c>
      <c r="C79" s="270" t="str">
        <f>ChkList!C63</f>
        <v>안전한 SNMP 버전 사용</v>
      </c>
      <c r="D79" s="221"/>
      <c r="E79" s="222"/>
      <c r="F79" s="31" t="str">
        <f>ChkList!D63</f>
        <v>H</v>
      </c>
      <c r="G79" s="31">
        <f>ChkList!E63</f>
        <v>3</v>
      </c>
      <c r="H79" s="168" t="s">
        <v>50</v>
      </c>
      <c r="I79" s="167" t="s">
        <v>314</v>
      </c>
      <c r="J79" s="28" t="s">
        <v>50</v>
      </c>
      <c r="K79" s="28" t="str">
        <f t="shared" si="5"/>
        <v>Y</v>
      </c>
      <c r="L79" s="271" t="s">
        <v>339</v>
      </c>
      <c r="M79" s="272"/>
      <c r="N79" s="272"/>
      <c r="O79" s="272"/>
      <c r="P79" s="273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>
      <c r="A80" s="31" t="str">
        <f>ChkList!A64</f>
        <v>서비스 관리</v>
      </c>
      <c r="B80" s="31" t="str">
        <f>ChkList!B64</f>
        <v>U-60</v>
      </c>
      <c r="C80" s="270" t="str">
        <f>ChkList!C64</f>
        <v>SNMP Community String 복잡성 설정</v>
      </c>
      <c r="D80" s="221"/>
      <c r="E80" s="222"/>
      <c r="F80" s="31" t="str">
        <f>ChkList!D64</f>
        <v>M</v>
      </c>
      <c r="G80" s="31">
        <f>ChkList!E64</f>
        <v>2</v>
      </c>
      <c r="H80" s="168" t="s">
        <v>50</v>
      </c>
      <c r="I80" s="167" t="s">
        <v>315</v>
      </c>
      <c r="J80" s="28" t="s">
        <v>50</v>
      </c>
      <c r="K80" s="28" t="str">
        <f t="shared" si="5"/>
        <v>Y</v>
      </c>
      <c r="L80" s="271" t="s">
        <v>340</v>
      </c>
      <c r="M80" s="272"/>
      <c r="N80" s="272"/>
      <c r="O80" s="272"/>
      <c r="P80" s="273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>
      <c r="A81" s="31" t="str">
        <f>ChkList!A65</f>
        <v>서비스 관리</v>
      </c>
      <c r="B81" s="31" t="str">
        <f>ChkList!B65</f>
        <v>U-61</v>
      </c>
      <c r="C81" s="270" t="str">
        <f>ChkList!C65</f>
        <v>SNMP Access Control 설정</v>
      </c>
      <c r="D81" s="221"/>
      <c r="E81" s="222"/>
      <c r="F81" s="31" t="str">
        <f>ChkList!D65</f>
        <v>H</v>
      </c>
      <c r="G81" s="31">
        <f>ChkList!E65</f>
        <v>3</v>
      </c>
      <c r="H81" s="168" t="s">
        <v>50</v>
      </c>
      <c r="I81" s="167" t="s">
        <v>316</v>
      </c>
      <c r="J81" s="28" t="s">
        <v>50</v>
      </c>
      <c r="K81" s="28" t="str">
        <f>IF($J81="", "", IF(OR($H81="Y", $H81="N/A",$H81="Y(즉시조치)"), $H81, IF(AND($H81="N", $J81="Y"), "조치", IF(AND($H81="인터뷰",$J81="N/A"), "N/A", IF(IFERROR(FIND("위험수용", $L81), 0), "위험수용", "미조치")))))</f>
        <v>Y</v>
      </c>
      <c r="L81" s="271" t="s">
        <v>341</v>
      </c>
      <c r="M81" s="272"/>
      <c r="N81" s="272"/>
      <c r="O81" s="272"/>
      <c r="P81" s="273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>
      <c r="A82" s="31" t="str">
        <f>ChkList!A66</f>
        <v>서비스 관리</v>
      </c>
      <c r="B82" s="31" t="str">
        <f>ChkList!B66</f>
        <v>U-62</v>
      </c>
      <c r="C82" s="270" t="str">
        <f>ChkList!C66</f>
        <v>로그인 시 경고 메시지 설정</v>
      </c>
      <c r="D82" s="221"/>
      <c r="E82" s="222"/>
      <c r="F82" s="31" t="str">
        <f>ChkList!D66</f>
        <v>L</v>
      </c>
      <c r="G82" s="31">
        <f>ChkList!E66</f>
        <v>1</v>
      </c>
      <c r="H82" s="168" t="s">
        <v>50</v>
      </c>
      <c r="I82" s="164" t="s">
        <v>317</v>
      </c>
      <c r="J82" s="28" t="s">
        <v>50</v>
      </c>
      <c r="K82" s="28" t="str">
        <f t="shared" si="5"/>
        <v>Y</v>
      </c>
      <c r="L82" s="271" t="s">
        <v>342</v>
      </c>
      <c r="M82" s="272"/>
      <c r="N82" s="272"/>
      <c r="O82" s="272"/>
      <c r="P82" s="273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>
      <c r="A83" s="31" t="str">
        <f>ChkList!A67</f>
        <v>서비스 관리</v>
      </c>
      <c r="B83" s="31" t="str">
        <f>ChkList!B67</f>
        <v>U-63</v>
      </c>
      <c r="C83" s="270" t="str">
        <f>ChkList!C67</f>
        <v>sudo 명령어 접근 관리</v>
      </c>
      <c r="D83" s="221"/>
      <c r="E83" s="222"/>
      <c r="F83" s="31" t="str">
        <f>ChkList!D67</f>
        <v>M</v>
      </c>
      <c r="G83" s="31">
        <f>ChkList!E67</f>
        <v>2</v>
      </c>
      <c r="H83" s="168" t="s">
        <v>50</v>
      </c>
      <c r="I83" s="167" t="s">
        <v>318</v>
      </c>
      <c r="J83" s="28" t="s">
        <v>50</v>
      </c>
      <c r="K83" s="28" t="str">
        <f t="shared" si="5"/>
        <v>Y</v>
      </c>
      <c r="L83" s="271" t="s">
        <v>343</v>
      </c>
      <c r="M83" s="272"/>
      <c r="N83" s="272"/>
      <c r="O83" s="272"/>
      <c r="P83" s="273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70" t="str">
        <f>ChkList!C68</f>
        <v>주기적 보안 패치 및 벤더 권고사항 적용</v>
      </c>
      <c r="D84" s="221"/>
      <c r="E84" s="222"/>
      <c r="F84" s="31" t="str">
        <f>ChkList!D68</f>
        <v>H</v>
      </c>
      <c r="G84" s="31">
        <f>ChkList!E68</f>
        <v>3</v>
      </c>
      <c r="H84" s="168" t="s">
        <v>50</v>
      </c>
      <c r="I84" s="167" t="s">
        <v>319</v>
      </c>
      <c r="J84" s="28" t="s">
        <v>50</v>
      </c>
      <c r="K84" s="28" t="str">
        <f>IF($J84="", "", IF(OR($H84="Y", $H84="N/A",$H84="Y(즉시조치)"), $H84, IF(AND($H84="N", $J84="Y"), "조치", IF(AND($H84="인터뷰",$J84="N/A"), "N/A", IF(IFERROR(FIND("위험수용", $L84), 0), "위험수용", "미조치")))))</f>
        <v>Y</v>
      </c>
      <c r="L84" s="270" t="s">
        <v>337</v>
      </c>
      <c r="M84" s="221"/>
      <c r="N84" s="221"/>
      <c r="O84" s="221"/>
      <c r="P84" s="222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>
      <c r="A85" s="31" t="str">
        <f>ChkList!A69</f>
        <v>로그 관리</v>
      </c>
      <c r="B85" s="31" t="str">
        <f>ChkList!B69</f>
        <v>U-65</v>
      </c>
      <c r="C85" s="270" t="str">
        <f>ChkList!C69</f>
        <v>NTP 및 시각 동기화 설정</v>
      </c>
      <c r="D85" s="221"/>
      <c r="E85" s="222"/>
      <c r="F85" s="31" t="str">
        <f>ChkList!D69</f>
        <v>M</v>
      </c>
      <c r="G85" s="31">
        <f>ChkList!E69</f>
        <v>2</v>
      </c>
      <c r="H85" s="168" t="s">
        <v>50</v>
      </c>
      <c r="I85" s="167" t="s">
        <v>319</v>
      </c>
      <c r="J85" s="28" t="s">
        <v>50</v>
      </c>
      <c r="K85" s="28" t="str">
        <f t="shared" si="5"/>
        <v>Y</v>
      </c>
      <c r="L85" s="270" t="s">
        <v>337</v>
      </c>
      <c r="M85" s="221"/>
      <c r="N85" s="221"/>
      <c r="O85" s="221"/>
      <c r="P85" s="222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>
      <c r="A86" s="31" t="str">
        <f>ChkList!A70</f>
        <v>로그 관리</v>
      </c>
      <c r="B86" s="31" t="str">
        <f>ChkList!B70</f>
        <v>U-66</v>
      </c>
      <c r="C86" s="270" t="str">
        <f>ChkList!C70</f>
        <v>정책에 따른 시스템 로깅 설정</v>
      </c>
      <c r="D86" s="221"/>
      <c r="E86" s="222"/>
      <c r="F86" s="31" t="str">
        <f>ChkList!D70</f>
        <v>M</v>
      </c>
      <c r="G86" s="31">
        <f>ChkList!E70</f>
        <v>2</v>
      </c>
      <c r="H86" s="168" t="s">
        <v>50</v>
      </c>
      <c r="I86" s="167" t="s">
        <v>320</v>
      </c>
      <c r="J86" s="28" t="s">
        <v>50</v>
      </c>
      <c r="K86" s="28" t="str">
        <f t="shared" si="5"/>
        <v>Y</v>
      </c>
      <c r="L86" s="270" t="s">
        <v>336</v>
      </c>
      <c r="M86" s="221"/>
      <c r="N86" s="221"/>
      <c r="O86" s="221"/>
      <c r="P86" s="222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>
      <c r="A87" s="31" t="str">
        <f>ChkList!A71</f>
        <v>로그 관리</v>
      </c>
      <c r="B87" s="31" t="str">
        <f>ChkList!B71</f>
        <v>U-67</v>
      </c>
      <c r="C87" s="270" t="str">
        <f>ChkList!C71</f>
        <v>로그 디렉터리 소유자 및 권한 설정</v>
      </c>
      <c r="D87" s="221"/>
      <c r="E87" s="222"/>
      <c r="F87" s="31" t="str">
        <f>ChkList!D71</f>
        <v>M</v>
      </c>
      <c r="G87" s="31">
        <f>ChkList!E71</f>
        <v>2</v>
      </c>
      <c r="H87" s="168" t="s">
        <v>50</v>
      </c>
      <c r="I87" s="167" t="s">
        <v>321</v>
      </c>
      <c r="J87" s="28" t="s">
        <v>50</v>
      </c>
      <c r="K87" s="28" t="str">
        <f t="shared" si="5"/>
        <v>Y</v>
      </c>
      <c r="L87" s="270" t="s">
        <v>335</v>
      </c>
      <c r="M87" s="221"/>
      <c r="N87" s="221"/>
      <c r="O87" s="221"/>
      <c r="P87" s="222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22:E22"/>
    <mergeCell ref="L22:P22"/>
    <mergeCell ref="C21:E21"/>
    <mergeCell ref="L35:P35"/>
    <mergeCell ref="C36:E36"/>
    <mergeCell ref="L32:P32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6:P36"/>
    <mergeCell ref="C34:E34"/>
    <mergeCell ref="C24:E24"/>
    <mergeCell ref="C35:E35"/>
    <mergeCell ref="C57:E57"/>
    <mergeCell ref="L57:P57"/>
    <mergeCell ref="C58:E58"/>
    <mergeCell ref="L58:P58"/>
    <mergeCell ref="C54:E54"/>
    <mergeCell ref="L54:P54"/>
    <mergeCell ref="C44:E44"/>
    <mergeCell ref="L44:P44"/>
    <mergeCell ref="L34:P34"/>
    <mergeCell ref="C41:E41"/>
    <mergeCell ref="C43:E43"/>
    <mergeCell ref="L43:P43"/>
    <mergeCell ref="C37:E37"/>
    <mergeCell ref="L37:P37"/>
    <mergeCell ref="C38:E38"/>
    <mergeCell ref="L38:P38"/>
    <mergeCell ref="C39:E39"/>
    <mergeCell ref="L41:P41"/>
    <mergeCell ref="C42:E42"/>
    <mergeCell ref="L42:P42"/>
    <mergeCell ref="L39:P39"/>
    <mergeCell ref="C50:E50"/>
    <mergeCell ref="L50:P50"/>
    <mergeCell ref="C45:E45"/>
    <mergeCell ref="U4:U6"/>
    <mergeCell ref="B5:C5"/>
    <mergeCell ref="D5:E5"/>
    <mergeCell ref="B6:C6"/>
    <mergeCell ref="D6:E6"/>
    <mergeCell ref="B4:C4"/>
    <mergeCell ref="D4:E4"/>
    <mergeCell ref="T4:T6"/>
    <mergeCell ref="F4:G4"/>
    <mergeCell ref="F5:G5"/>
    <mergeCell ref="F6:G6"/>
    <mergeCell ref="C47:E47"/>
    <mergeCell ref="L47:P47"/>
    <mergeCell ref="V10:Y10"/>
    <mergeCell ref="V17:W17"/>
    <mergeCell ref="V16:W16"/>
    <mergeCell ref="V14:W14"/>
    <mergeCell ref="V13:W13"/>
    <mergeCell ref="V11:W11"/>
    <mergeCell ref="V12:W12"/>
    <mergeCell ref="R10:U10"/>
    <mergeCell ref="I12:I17"/>
    <mergeCell ref="A17:C17"/>
    <mergeCell ref="D10:H10"/>
    <mergeCell ref="C40:E40"/>
    <mergeCell ref="L40:P40"/>
    <mergeCell ref="A10:C11"/>
    <mergeCell ref="I10:I11"/>
    <mergeCell ref="J10:O10"/>
    <mergeCell ref="V15:W15"/>
    <mergeCell ref="A12:C12"/>
    <mergeCell ref="A13:C13"/>
    <mergeCell ref="C33:E33"/>
    <mergeCell ref="L33:P33"/>
    <mergeCell ref="L21:P21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V20:W20"/>
    <mergeCell ref="A14:C14"/>
    <mergeCell ref="A15:C15"/>
    <mergeCell ref="A16:C16"/>
    <mergeCell ref="C48:E48"/>
    <mergeCell ref="L48:P48"/>
    <mergeCell ref="C49:E49"/>
    <mergeCell ref="L49:P49"/>
    <mergeCell ref="A20:B20"/>
    <mergeCell ref="C20:E20"/>
    <mergeCell ref="F20:G20"/>
    <mergeCell ref="L20:P20"/>
    <mergeCell ref="L23:P23"/>
    <mergeCell ref="C26:E26"/>
    <mergeCell ref="L26:P26"/>
    <mergeCell ref="C27:E27"/>
    <mergeCell ref="L27:P27"/>
    <mergeCell ref="C23:E23"/>
    <mergeCell ref="L24:P24"/>
    <mergeCell ref="C25:E25"/>
    <mergeCell ref="L25:P25"/>
    <mergeCell ref="L45:P45"/>
    <mergeCell ref="C46:E46"/>
    <mergeCell ref="L46:P46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86:E86"/>
    <mergeCell ref="C87:E87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L59:P59"/>
    <mergeCell ref="L60:P60"/>
    <mergeCell ref="L61:P61"/>
    <mergeCell ref="L62:P62"/>
    <mergeCell ref="L63:P63"/>
    <mergeCell ref="L64:P64"/>
    <mergeCell ref="L65:P65"/>
    <mergeCell ref="L66:P66"/>
    <mergeCell ref="L67:P67"/>
    <mergeCell ref="L68:P68"/>
    <mergeCell ref="L69:P69"/>
    <mergeCell ref="L70:P70"/>
    <mergeCell ref="L71:P71"/>
    <mergeCell ref="L72:P72"/>
    <mergeCell ref="L73:P73"/>
    <mergeCell ref="L74:P74"/>
    <mergeCell ref="L75:P75"/>
    <mergeCell ref="L76:P76"/>
    <mergeCell ref="L86:P86"/>
    <mergeCell ref="L87:P87"/>
    <mergeCell ref="L77:P77"/>
    <mergeCell ref="L78:P78"/>
    <mergeCell ref="L79:P79"/>
    <mergeCell ref="L80:P80"/>
    <mergeCell ref="L81:P81"/>
    <mergeCell ref="L82:P82"/>
    <mergeCell ref="L83:P83"/>
    <mergeCell ref="L84:P84"/>
    <mergeCell ref="L85:P85"/>
  </mergeCells>
  <phoneticPr fontId="3" type="noConversion"/>
  <conditionalFormatting sqref="H21:H87">
    <cfRule type="containsText" dxfId="404" priority="140" operator="containsText" text="N">
      <formula>NOT(ISERROR(SEARCH("N",H21)))</formula>
    </cfRule>
    <cfRule type="cellIs" priority="141" operator="equal">
      <formula>"취약"</formula>
    </cfRule>
    <cfRule type="cellIs" priority="142" operator="equal">
      <formula>"양호"</formula>
    </cfRule>
  </conditionalFormatting>
  <conditionalFormatting sqref="J40:J42">
    <cfRule type="containsText" dxfId="403" priority="131" operator="containsText" text="N">
      <formula>NOT(ISERROR(SEARCH("N",J40)))</formula>
    </cfRule>
    <cfRule type="cellIs" priority="132" operator="equal">
      <formula>"취약"</formula>
    </cfRule>
    <cfRule type="cellIs" priority="133" operator="equal">
      <formula>"양호"</formula>
    </cfRule>
  </conditionalFormatting>
  <conditionalFormatting sqref="J44">
    <cfRule type="containsText" dxfId="402" priority="128" operator="containsText" text="N">
      <formula>NOT(ISERROR(SEARCH("N",J44)))</formula>
    </cfRule>
    <cfRule type="cellIs" priority="129" operator="equal">
      <formula>"취약"</formula>
    </cfRule>
    <cfRule type="cellIs" priority="130" operator="equal">
      <formula>"양호"</formula>
    </cfRule>
  </conditionalFormatting>
  <conditionalFormatting sqref="J46:J47">
    <cfRule type="containsText" dxfId="401" priority="122" operator="containsText" text="N">
      <formula>NOT(ISERROR(SEARCH("N",J46)))</formula>
    </cfRule>
    <cfRule type="cellIs" priority="123" operator="equal">
      <formula>"취약"</formula>
    </cfRule>
    <cfRule type="cellIs" priority="124" operator="equal">
      <formula>"양호"</formula>
    </cfRule>
  </conditionalFormatting>
  <conditionalFormatting sqref="J49">
    <cfRule type="containsText" dxfId="400" priority="119" operator="containsText" text="N">
      <formula>NOT(ISERROR(SEARCH("N",J49)))</formula>
    </cfRule>
    <cfRule type="cellIs" priority="120" operator="equal">
      <formula>"취약"</formula>
    </cfRule>
    <cfRule type="cellIs" priority="121" operator="equal">
      <formula>"양호"</formula>
    </cfRule>
  </conditionalFormatting>
  <conditionalFormatting sqref="J58">
    <cfRule type="containsText" dxfId="399" priority="116" operator="containsText" text="N">
      <formula>NOT(ISERROR(SEARCH("N",J58)))</formula>
    </cfRule>
    <cfRule type="cellIs" priority="117" operator="equal">
      <formula>"취약"</formula>
    </cfRule>
    <cfRule type="cellIs" priority="118" operator="equal">
      <formula>"양호"</formula>
    </cfRule>
  </conditionalFormatting>
  <conditionalFormatting sqref="J71">
    <cfRule type="containsText" dxfId="398" priority="113" operator="containsText" text="N">
      <formula>NOT(ISERROR(SEARCH("N",J71)))</formula>
    </cfRule>
    <cfRule type="cellIs" priority="114" operator="equal">
      <formula>"취약"</formula>
    </cfRule>
    <cfRule type="cellIs" priority="115" operator="equal">
      <formula>"양호"</formula>
    </cfRule>
  </conditionalFormatting>
  <conditionalFormatting sqref="J73:J76">
    <cfRule type="containsText" dxfId="397" priority="101" operator="containsText" text="N">
      <formula>NOT(ISERROR(SEARCH("N",J73)))</formula>
    </cfRule>
    <cfRule type="cellIs" priority="102" operator="equal">
      <formula>"취약"</formula>
    </cfRule>
    <cfRule type="cellIs" priority="103" operator="equal">
      <formula>"양호"</formula>
    </cfRule>
  </conditionalFormatting>
  <conditionalFormatting sqref="J77:J87">
    <cfRule type="cellIs" dxfId="396" priority="19" stopIfTrue="1" operator="equal">
      <formula>"인터뷰"</formula>
    </cfRule>
    <cfRule type="cellIs" dxfId="395" priority="20" stopIfTrue="1" operator="equal">
      <formula>"R/A"</formula>
    </cfRule>
    <cfRule type="cellIs" dxfId="394" priority="21" stopIfTrue="1" operator="equal">
      <formula>"N/A"</formula>
    </cfRule>
    <cfRule type="cellIs" dxfId="393" priority="22" stopIfTrue="1" operator="equal">
      <formula>"N"</formula>
    </cfRule>
    <cfRule type="expression" dxfId="392" priority="23">
      <formula>OR(IF(J77=0,1,0),IF(J77="-",1,0))</formula>
    </cfRule>
  </conditionalFormatting>
  <conditionalFormatting sqref="J21:K39 K40:K42 J43:K43 K44 J45:K45 K46:K47 J48:K48 K49 J50:K57 K58 J59:K70 K71 J72:K72 K73:K76">
    <cfRule type="cellIs" dxfId="391" priority="198" stopIfTrue="1" operator="equal">
      <formula>"인터뷰"</formula>
    </cfRule>
    <cfRule type="cellIs" dxfId="390" priority="199" stopIfTrue="1" operator="equal">
      <formula>"R/A"</formula>
    </cfRule>
    <cfRule type="cellIs" dxfId="389" priority="200" stopIfTrue="1" operator="equal">
      <formula>"N/A"</formula>
    </cfRule>
    <cfRule type="cellIs" dxfId="388" priority="201" stopIfTrue="1" operator="equal">
      <formula>"N"</formula>
    </cfRule>
    <cfRule type="expression" dxfId="387" priority="202">
      <formula>OR(IF(J21=0,1,0),IF(J21="-",1,0))</formula>
    </cfRule>
  </conditionalFormatting>
  <conditionalFormatting sqref="K21:K76">
    <cfRule type="cellIs" dxfId="386" priority="195" operator="equal">
      <formula>"위험수용"</formula>
    </cfRule>
    <cfRule type="cellIs" dxfId="385" priority="196" operator="equal">
      <formula>"미조치"</formula>
    </cfRule>
    <cfRule type="cellIs" dxfId="384" priority="197" operator="equal">
      <formula>"조치"</formula>
    </cfRule>
  </conditionalFormatting>
  <conditionalFormatting sqref="K77">
    <cfRule type="cellIs" dxfId="383" priority="147" stopIfTrue="1" operator="equal">
      <formula>"인터뷰"</formula>
    </cfRule>
    <cfRule type="cellIs" dxfId="382" priority="148" stopIfTrue="1" operator="equal">
      <formula>"R/A"</formula>
    </cfRule>
    <cfRule type="cellIs" dxfId="381" priority="149" stopIfTrue="1" operator="equal">
      <formula>"N/A"</formula>
    </cfRule>
    <cfRule type="cellIs" dxfId="380" priority="150" stopIfTrue="1" operator="equal">
      <formula>"N"</formula>
    </cfRule>
    <cfRule type="expression" dxfId="379" priority="151">
      <formula>OR(IF(K77=0,1,0),IF(K77="-",1,0))</formula>
    </cfRule>
    <cfRule type="cellIs" dxfId="378" priority="152" stopIfTrue="1" operator="equal">
      <formula>"인터뷰"</formula>
    </cfRule>
    <cfRule type="cellIs" dxfId="377" priority="153" stopIfTrue="1" operator="equal">
      <formula>"R/A"</formula>
    </cfRule>
    <cfRule type="cellIs" dxfId="376" priority="154" stopIfTrue="1" operator="equal">
      <formula>"N/A"</formula>
    </cfRule>
    <cfRule type="cellIs" dxfId="375" priority="155" stopIfTrue="1" operator="equal">
      <formula>"N"</formula>
    </cfRule>
    <cfRule type="expression" dxfId="374" priority="156">
      <formula>OR(IF(K77=0,1,0),IF(K77="-",1,0))</formula>
    </cfRule>
    <cfRule type="cellIs" dxfId="373" priority="157" operator="equal">
      <formula>"위험수용"</formula>
    </cfRule>
    <cfRule type="cellIs" dxfId="372" priority="158" operator="equal">
      <formula>"미조치"</formula>
    </cfRule>
    <cfRule type="cellIs" dxfId="371" priority="159" operator="equal">
      <formula>"조치"</formula>
    </cfRule>
  </conditionalFormatting>
  <conditionalFormatting sqref="K78:K87">
    <cfRule type="cellIs" dxfId="370" priority="32" stopIfTrue="1" operator="equal">
      <formula>"인터뷰"</formula>
    </cfRule>
    <cfRule type="cellIs" dxfId="369" priority="33" stopIfTrue="1" operator="equal">
      <formula>"R/A"</formula>
    </cfRule>
    <cfRule type="cellIs" dxfId="368" priority="34" stopIfTrue="1" operator="equal">
      <formula>"N/A"</formula>
    </cfRule>
    <cfRule type="cellIs" dxfId="367" priority="35" stopIfTrue="1" operator="equal">
      <formula>"N"</formula>
    </cfRule>
    <cfRule type="expression" dxfId="366" priority="36">
      <formula>OR(IF(K78=0,1,0),IF(K78="-",1,0))</formula>
    </cfRule>
  </conditionalFormatting>
  <conditionalFormatting sqref="K78:K87">
    <cfRule type="cellIs" dxfId="365" priority="11" operator="equal">
      <formula>"위험수용"</formula>
    </cfRule>
    <cfRule type="cellIs" dxfId="364" priority="12" operator="equal">
      <formula>"미조치"</formula>
    </cfRule>
    <cfRule type="cellIs" dxfId="363" priority="13" operator="equal">
      <formula>"조치"</formula>
    </cfRule>
  </conditionalFormatting>
  <conditionalFormatting sqref="L21:L87">
    <cfRule type="cellIs" dxfId="362" priority="1" stopIfTrue="1" operator="equal">
      <formula>"인터뷰"</formula>
    </cfRule>
    <cfRule type="cellIs" dxfId="361" priority="2" stopIfTrue="1" operator="equal">
      <formula>"R/A"</formula>
    </cfRule>
    <cfRule type="cellIs" dxfId="360" priority="3" stopIfTrue="1" operator="equal">
      <formula>"N/A"</formula>
    </cfRule>
    <cfRule type="cellIs" dxfId="359" priority="4" stopIfTrue="1" operator="equal">
      <formula>"N"</formula>
    </cfRule>
    <cfRule type="expression" dxfId="358" priority="5">
      <formula>OR(IF(L21=0,1,0),IF(L21="-",1,0))</formula>
    </cfRule>
  </conditionalFormatting>
  <dataValidations count="4">
    <dataValidation allowBlank="1" showInputMessage="1" showErrorMessage="1" errorTitle="오류!" error="Y, N, N/A 중에 선택" sqref="I21:I87 L21:L87"/>
    <dataValidation type="list" errorStyle="warning" allowBlank="1" showInputMessage="1" showErrorMessage="1" errorTitle="오류!" error="Y, N, N/A 중에 선택" sqref="H21:H87 J40:J42 J44 J46:J47 J49 J58 J71 J73:J76">
      <formula1>"Y,N,N/A,인터뷰,Y(즉시조치)"</formula1>
    </dataValidation>
    <dataValidation type="list" errorStyle="warning" showInputMessage="1" showErrorMessage="1" errorTitle="오류!" error="Y, N, N/A 중에 선택" sqref="J77:J87 J72 J21:J39 J43 J45 J48 J50:J57 J59:J70">
      <formula1>"Y,N,N/A,인터뷰,Y(즉시조치)"</formula1>
    </dataValidation>
    <dataValidation errorStyle="warning" allowBlank="1" showInputMessage="1" showErrorMessage="1" sqref="K21:K76 K78:K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87"/>
  <sheetViews>
    <sheetView showGridLines="0" view="pageBreakPreview" topLeftCell="A19" zoomScaleNormal="85" zoomScaleSheetLayoutView="100" workbookViewId="0">
      <selection activeCell="I21" sqref="I21:I30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4" t="s">
        <v>213</v>
      </c>
      <c r="B3" s="54"/>
      <c r="C3" s="54"/>
      <c r="D3" s="54"/>
      <c r="E3" s="54"/>
      <c r="F3" s="54"/>
      <c r="G3" s="54"/>
      <c r="H3" s="5"/>
      <c r="I3" s="5"/>
      <c r="R3" s="5" t="s">
        <v>214</v>
      </c>
      <c r="X3" s="5"/>
      <c r="Y3" s="5"/>
    </row>
    <row r="4" spans="1:25" ht="17.100000000000001" customHeight="1" thickBot="1">
      <c r="A4" s="126" t="s">
        <v>215</v>
      </c>
      <c r="B4" s="307" t="str">
        <f ca="1">REPLACE(CELL("filename",A1),1,FIND("]",CELL("filename",A1)),"")</f>
        <v>LOG_HQ_Rocky</v>
      </c>
      <c r="C4" s="247"/>
      <c r="D4" s="308" t="s">
        <v>216</v>
      </c>
      <c r="E4" s="250"/>
      <c r="F4" s="310" t="str">
        <f ca="1">IFERROR(VLOOKUP($B$4,자산목록!$B$1:$Q$835,8,FALSE),"N/A")</f>
        <v>본사 LOG 서버</v>
      </c>
      <c r="G4" s="311"/>
      <c r="H4" s="63"/>
      <c r="I4" s="55"/>
      <c r="R4" s="25" t="s">
        <v>15</v>
      </c>
      <c r="S4" s="41">
        <f ca="1">IFERROR(VLOOKUP($B$4,자산목록!$B$1:$Q$835,13,FALSE),"N/A")</f>
        <v>3</v>
      </c>
      <c r="T4" s="309" t="s">
        <v>217</v>
      </c>
      <c r="U4" s="287" t="str">
        <f ca="1">IFERROR(VLOOKUP($B$4,자산목록!$B$1:$Q$835,16,FALSE),"N/A")</f>
        <v>H</v>
      </c>
      <c r="X4" s="5"/>
      <c r="Y4" s="5"/>
    </row>
    <row r="5" spans="1:25" ht="17.100000000000001" customHeight="1" thickBot="1">
      <c r="A5" s="127" t="s">
        <v>218</v>
      </c>
      <c r="B5" s="301" t="str">
        <f ca="1">IFERROR(VLOOKUP($B$4,자산목록!$B$1:$Q$835,6,FALSE)&amp;" "&amp;VLOOKUP($B$4,자산목록!$B$1:$Q$835,7,FALSE),"N/A")</f>
        <v>Rocky 8.1</v>
      </c>
      <c r="C5" s="222"/>
      <c r="D5" s="302" t="s">
        <v>219</v>
      </c>
      <c r="E5" s="303"/>
      <c r="F5" s="301" t="str">
        <f ca="1">IFERROR(VLOOKUP($B$4,자산목록!$B$1:$Q$835,2,FALSE),"N/A")</f>
        <v>10.10.40.3</v>
      </c>
      <c r="G5" s="222"/>
      <c r="H5" s="63"/>
      <c r="I5" s="55"/>
      <c r="R5" s="25" t="s">
        <v>16</v>
      </c>
      <c r="S5" s="41">
        <f ca="1">IFERROR(VLOOKUP($B$4,자산목록!$B$1:$Q$835,14,FALSE),"N/A")</f>
        <v>3</v>
      </c>
      <c r="T5" s="226"/>
      <c r="U5" s="226"/>
      <c r="X5" s="5"/>
      <c r="Y5" s="5"/>
    </row>
    <row r="6" spans="1:25" ht="17.100000000000001" customHeight="1" thickBot="1">
      <c r="A6" s="128" t="s">
        <v>12</v>
      </c>
      <c r="B6" s="304" t="str">
        <f ca="1">IFERROR(VLOOKUP($B$4,자산목록!$B$1:$Q$835,11,FALSE),"N/A")</f>
        <v>이서연</v>
      </c>
      <c r="C6" s="234"/>
      <c r="D6" s="305" t="s">
        <v>220</v>
      </c>
      <c r="E6" s="306"/>
      <c r="F6" s="304" t="str">
        <f ca="1">IFERROR(VLOOKUP($B$4,자산목록!$B$1:$Q$835,9,FALSE),"N/A")</f>
        <v xml:space="preserve">본사 DMZ망 </v>
      </c>
      <c r="G6" s="234"/>
      <c r="H6" s="63"/>
      <c r="I6" s="55"/>
      <c r="R6" s="25" t="s">
        <v>17</v>
      </c>
      <c r="S6" s="41">
        <f ca="1">IFERROR(VLOOKUP($B$4,자산목록!$B$1:$Q$835,15,FALSE),"N/A")</f>
        <v>3</v>
      </c>
      <c r="T6" s="225"/>
      <c r="U6" s="22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6" t="s">
        <v>222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 thickBot="1">
      <c r="A10" s="297" t="s">
        <v>77</v>
      </c>
      <c r="B10" s="213"/>
      <c r="C10" s="213"/>
      <c r="D10" s="296" t="s">
        <v>223</v>
      </c>
      <c r="E10" s="236"/>
      <c r="F10" s="236"/>
      <c r="G10" s="236"/>
      <c r="H10" s="236"/>
      <c r="I10" s="298" t="s">
        <v>224</v>
      </c>
      <c r="J10" s="300" t="s">
        <v>190</v>
      </c>
      <c r="K10" s="236"/>
      <c r="L10" s="236"/>
      <c r="M10" s="236"/>
      <c r="N10" s="236"/>
      <c r="O10" s="245"/>
      <c r="R10" s="289" t="s">
        <v>225</v>
      </c>
      <c r="S10" s="221"/>
      <c r="T10" s="221"/>
      <c r="U10" s="222"/>
      <c r="V10" s="283" t="s">
        <v>224</v>
      </c>
      <c r="W10" s="221"/>
      <c r="X10" s="221"/>
      <c r="Y10" s="222"/>
    </row>
    <row r="11" spans="1:25" ht="20.100000000000001" customHeight="1">
      <c r="A11" s="254"/>
      <c r="B11" s="255"/>
      <c r="C11" s="255"/>
      <c r="D11" s="129" t="s">
        <v>205</v>
      </c>
      <c r="E11" s="130" t="s">
        <v>181</v>
      </c>
      <c r="F11" s="131" t="s">
        <v>182</v>
      </c>
      <c r="G11" s="132" t="s">
        <v>53</v>
      </c>
      <c r="H11" s="157" t="s">
        <v>226</v>
      </c>
      <c r="I11" s="299"/>
      <c r="J11" s="143" t="s">
        <v>191</v>
      </c>
      <c r="K11" s="133" t="s">
        <v>192</v>
      </c>
      <c r="L11" s="134" t="s">
        <v>193</v>
      </c>
      <c r="M11" s="134" t="s">
        <v>53</v>
      </c>
      <c r="N11" s="134" t="s">
        <v>199</v>
      </c>
      <c r="O11" s="135" t="s">
        <v>226</v>
      </c>
      <c r="R11" s="49" t="s">
        <v>227</v>
      </c>
      <c r="S11" s="50" t="s">
        <v>228</v>
      </c>
      <c r="T11" s="50" t="s">
        <v>229</v>
      </c>
      <c r="U11" s="52" t="s">
        <v>230</v>
      </c>
      <c r="V11" s="288" t="s">
        <v>77</v>
      </c>
      <c r="W11" s="222"/>
      <c r="X11" s="11" t="s">
        <v>223</v>
      </c>
      <c r="Y11" s="11" t="s">
        <v>190</v>
      </c>
    </row>
    <row r="12" spans="1:25" ht="32.1" customHeight="1">
      <c r="A12" s="276" t="str">
        <f>ChkList!A6</f>
        <v>계정 관리</v>
      </c>
      <c r="B12" s="221"/>
      <c r="C12" s="222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90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87">
        <f>B12</f>
        <v>0</v>
      </c>
      <c r="W12" s="222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76" t="str">
        <f>ChkList!A20</f>
        <v>파일 및 디렉터리 관리</v>
      </c>
      <c r="B13" s="221"/>
      <c r="C13" s="222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11</v>
      </c>
      <c r="F13" s="41">
        <f ca="1">COUNTIFS($A$21:INDIRECT(ADDRESS(MATCH("",$A:$A,-1),1,1,1)),$A13&amp;"*",$H$21:INDIRECT(ADDRESS(MATCH("",$A:$A,-1),8,1,1)),"N")</f>
        <v>9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0.52830188679245282</v>
      </c>
      <c r="I13" s="291"/>
      <c r="J13" s="61">
        <f ca="1">COUNTIFS($A$21:INDIRECT(ADDRESS(MATCH("",$A:$A,-1),1,1,1)),$A13,$K$21:INDIRECT(ADDRESS(MATCH("",$B:$B,-1),11,1,1)),"조치")</f>
        <v>9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>
        <f ca="1">IFERROR($J13/($F13-(M13-G13)),"N/A")</f>
        <v>1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28</v>
      </c>
      <c r="T13" s="41">
        <f t="shared" si="1"/>
        <v>53</v>
      </c>
      <c r="U13" s="41">
        <f t="shared" si="1"/>
        <v>53</v>
      </c>
      <c r="V13" s="287">
        <f>B13</f>
        <v>0</v>
      </c>
      <c r="W13" s="222"/>
      <c r="X13" s="64">
        <f t="shared" ref="X13:X17" ca="1" si="3">H13</f>
        <v>0.52830188679245282</v>
      </c>
      <c r="Y13" s="64">
        <f t="shared" ca="1" si="2"/>
        <v>1</v>
      </c>
    </row>
    <row r="14" spans="1:25" ht="32.1" customHeight="1">
      <c r="A14" s="276" t="str">
        <f>ChkList!A37</f>
        <v>파일 및 디렉터리 관리</v>
      </c>
      <c r="B14" s="221"/>
      <c r="C14" s="222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11</v>
      </c>
      <c r="F14" s="41">
        <f ca="1">COUNTIFS($A$21:INDIRECT(ADDRESS(MATCH("",$A:$A,-1),1,1,1)),$A14&amp;"*",$H$21:INDIRECT(ADDRESS(MATCH("",$A:$A,-1),8,1,1)),"N")</f>
        <v>9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0.52830188679245282</v>
      </c>
      <c r="I14" s="291"/>
      <c r="J14" s="61">
        <f ca="1">COUNTIFS($A$21:INDIRECT(ADDRESS(MATCH("",$A:$A,-1),1,1,1)),$A14,$K$21:INDIRECT(ADDRESS(MATCH("",$B:$B,-1),11,1,1)),"조치")</f>
        <v>9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>
        <f ca="1">IFERROR($J14/($F14-(M14-G14)),"N/A")</f>
        <v>1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28</v>
      </c>
      <c r="T14" s="41">
        <f t="shared" si="1"/>
        <v>53</v>
      </c>
      <c r="U14" s="41">
        <f t="shared" si="1"/>
        <v>53</v>
      </c>
      <c r="V14" s="287">
        <f>B14</f>
        <v>0</v>
      </c>
      <c r="W14" s="222"/>
      <c r="X14" s="64">
        <f t="shared" ca="1" si="3"/>
        <v>0.52830188679245282</v>
      </c>
      <c r="Y14" s="64">
        <f t="shared" ca="1" si="2"/>
        <v>1</v>
      </c>
    </row>
    <row r="15" spans="1:25" ht="32.1" customHeight="1">
      <c r="A15" s="276" t="str">
        <f>ChkList!A69</f>
        <v>로그 관리</v>
      </c>
      <c r="B15" s="221"/>
      <c r="C15" s="222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91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87">
        <f>B15</f>
        <v>0</v>
      </c>
      <c r="W15" s="222"/>
      <c r="X15" s="64">
        <f t="shared" ca="1" si="3"/>
        <v>1</v>
      </c>
      <c r="Y15" s="64">
        <f t="shared" ca="1" si="2"/>
        <v>1</v>
      </c>
    </row>
    <row r="16" spans="1:25" ht="32.1" customHeight="1" thickBot="1">
      <c r="A16" s="276" t="str">
        <f>ChkList!A70</f>
        <v>로그 관리</v>
      </c>
      <c r="B16" s="221"/>
      <c r="C16" s="222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91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85">
        <f>B16</f>
        <v>0</v>
      </c>
      <c r="W16" s="286"/>
      <c r="X16" s="68">
        <f t="shared" ca="1" si="3"/>
        <v>1</v>
      </c>
      <c r="Y16" s="68">
        <f t="shared" ca="1" si="2"/>
        <v>1</v>
      </c>
    </row>
    <row r="17" spans="1:25" ht="20.100000000000001" customHeight="1" thickTop="1" thickBot="1">
      <c r="A17" s="293" t="s">
        <v>231</v>
      </c>
      <c r="B17" s="294"/>
      <c r="C17" s="295"/>
      <c r="D17" s="138">
        <f ca="1">SUM(D12:D16)</f>
        <v>59</v>
      </c>
      <c r="E17" s="138">
        <f ca="1">SUM(E12:E16)</f>
        <v>41</v>
      </c>
      <c r="F17" s="138">
        <f ca="1">SUM(F12:F16)</f>
        <v>18</v>
      </c>
      <c r="G17" s="139">
        <f ca="1">SUM(G12:G16)</f>
        <v>0</v>
      </c>
      <c r="H17" s="140">
        <f t="shared" ca="1" si="0"/>
        <v>0.65753424657534243</v>
      </c>
      <c r="I17" s="292"/>
      <c r="J17" s="137">
        <f ca="1">SUM(J12:J16)</f>
        <v>18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>
        <f ca="1">IF($O17="N/A","N/A",IFERROR($J17/($F17-(M17-G17)),"N/A"))</f>
        <v>1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96</v>
      </c>
      <c r="T17" s="44">
        <f>SUM(T12:T16)</f>
        <v>146</v>
      </c>
      <c r="U17" s="43">
        <f>SUM(U12:U16)</f>
        <v>146</v>
      </c>
      <c r="V17" s="284" t="s">
        <v>232</v>
      </c>
      <c r="W17" s="256"/>
      <c r="X17" s="67">
        <f t="shared" ca="1" si="3"/>
        <v>0.65753424657534243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 thickBot="1">
      <c r="A19" s="9" t="s">
        <v>233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234</v>
      </c>
      <c r="S19" s="17"/>
    </row>
    <row r="20" spans="1:25" ht="21.95" customHeight="1">
      <c r="A20" s="277" t="s">
        <v>77</v>
      </c>
      <c r="B20" s="278"/>
      <c r="C20" s="279" t="s">
        <v>235</v>
      </c>
      <c r="D20" s="280"/>
      <c r="E20" s="280"/>
      <c r="F20" s="281" t="s">
        <v>41</v>
      </c>
      <c r="G20" s="280"/>
      <c r="H20" s="165" t="s">
        <v>178</v>
      </c>
      <c r="I20" s="166" t="s">
        <v>236</v>
      </c>
      <c r="J20" s="159" t="s">
        <v>190</v>
      </c>
      <c r="K20" s="144" t="s">
        <v>237</v>
      </c>
      <c r="L20" s="282" t="s">
        <v>322</v>
      </c>
      <c r="M20" s="280"/>
      <c r="N20" s="280"/>
      <c r="O20" s="280"/>
      <c r="P20" s="278"/>
      <c r="Q20" s="145" t="s">
        <v>76</v>
      </c>
      <c r="R20" s="53" t="s">
        <v>239</v>
      </c>
      <c r="S20" s="52" t="s">
        <v>228</v>
      </c>
      <c r="T20" s="25" t="s">
        <v>229</v>
      </c>
      <c r="U20" s="52" t="s">
        <v>230</v>
      </c>
      <c r="V20" s="275" t="s">
        <v>190</v>
      </c>
      <c r="W20" s="222"/>
      <c r="Y20" s="69"/>
    </row>
    <row r="21" spans="1:25" ht="36" customHeight="1">
      <c r="A21" s="31" t="str">
        <f>ChkList!A5</f>
        <v>계정 관리</v>
      </c>
      <c r="B21" s="31" t="str">
        <f>ChkList!B5</f>
        <v>U-01</v>
      </c>
      <c r="C21" s="270" t="str">
        <f>ChkList!C5</f>
        <v>root 계정 원격 접속 제한</v>
      </c>
      <c r="D21" s="221"/>
      <c r="E21" s="222"/>
      <c r="F21" s="31" t="str">
        <f>ChkList!D5</f>
        <v>H</v>
      </c>
      <c r="G21" s="31">
        <f>ChkList!E5</f>
        <v>3</v>
      </c>
      <c r="H21" s="168" t="s">
        <v>50</v>
      </c>
      <c r="I21" s="167" t="s">
        <v>536</v>
      </c>
      <c r="J21" s="28" t="s">
        <v>50</v>
      </c>
      <c r="K21" s="28" t="str">
        <f t="shared" ref="K21:K83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70" t="s">
        <v>373</v>
      </c>
      <c r="M21" s="221"/>
      <c r="N21" s="221"/>
      <c r="O21" s="221"/>
      <c r="P21" s="222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12" t="s">
        <v>241</v>
      </c>
      <c r="W21" s="12" t="s">
        <v>42</v>
      </c>
    </row>
    <row r="22" spans="1:25" ht="38.25" customHeight="1">
      <c r="A22" s="31" t="str">
        <f>ChkList!A6</f>
        <v>계정 관리</v>
      </c>
      <c r="B22" s="31" t="str">
        <f>ChkList!B6</f>
        <v>U-02</v>
      </c>
      <c r="C22" s="270" t="str">
        <f>ChkList!C6</f>
        <v>비밀번호 관리정책 설정</v>
      </c>
      <c r="D22" s="221"/>
      <c r="E22" s="222"/>
      <c r="F22" s="31" t="str">
        <f>ChkList!D6</f>
        <v>H</v>
      </c>
      <c r="G22" s="31">
        <f>ChkList!E6</f>
        <v>3</v>
      </c>
      <c r="H22" s="168" t="s">
        <v>50</v>
      </c>
      <c r="I22" s="167" t="s">
        <v>537</v>
      </c>
      <c r="J22" s="28" t="s">
        <v>50</v>
      </c>
      <c r="K22" s="28" t="str">
        <f t="shared" si="4"/>
        <v>Y</v>
      </c>
      <c r="L22" s="270" t="s">
        <v>243</v>
      </c>
      <c r="M22" s="221"/>
      <c r="N22" s="221"/>
      <c r="O22" s="221"/>
      <c r="P22" s="222"/>
      <c r="Q22" s="21" t="str">
        <f>IF($J22="",IF(OR($H22="N",$H22="인터뷰"), ChkList!$F7, ""), IF(OR($J22="N",$J22="인터뷰"), ChkList!$F7,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12" t="s">
        <v>191</v>
      </c>
      <c r="W22" s="12">
        <v>1</v>
      </c>
    </row>
    <row r="23" spans="1:25" ht="36" customHeight="1">
      <c r="A23" s="31" t="str">
        <f>ChkList!A7</f>
        <v>계정 관리</v>
      </c>
      <c r="B23" s="31" t="str">
        <f>ChkList!B7</f>
        <v>U-03</v>
      </c>
      <c r="C23" s="270" t="str">
        <f>ChkList!C7</f>
        <v>계정 잠금 임계값 설정</v>
      </c>
      <c r="D23" s="221"/>
      <c r="E23" s="222"/>
      <c r="F23" s="31" t="str">
        <f>ChkList!D7</f>
        <v>H</v>
      </c>
      <c r="G23" s="31">
        <f>ChkList!E7</f>
        <v>3</v>
      </c>
      <c r="H23" s="168" t="s">
        <v>50</v>
      </c>
      <c r="I23" s="167" t="s">
        <v>535</v>
      </c>
      <c r="J23" s="28" t="s">
        <v>50</v>
      </c>
      <c r="K23" s="28" t="str">
        <f t="shared" si="4"/>
        <v>Y</v>
      </c>
      <c r="L23" s="270" t="s">
        <v>245</v>
      </c>
      <c r="M23" s="221"/>
      <c r="N23" s="221"/>
      <c r="O23" s="221"/>
      <c r="P23" s="222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12" t="s">
        <v>192</v>
      </c>
      <c r="W23" s="12">
        <v>0</v>
      </c>
    </row>
    <row r="24" spans="1:25" ht="36" customHeight="1">
      <c r="A24" s="31" t="str">
        <f>ChkList!A8</f>
        <v>계정 관리</v>
      </c>
      <c r="B24" s="31" t="str">
        <f>ChkList!B8</f>
        <v>U-04</v>
      </c>
      <c r="C24" s="270" t="str">
        <f>ChkList!C8</f>
        <v>비밀번호 파일 보호</v>
      </c>
      <c r="D24" s="221"/>
      <c r="E24" s="222"/>
      <c r="F24" s="31" t="str">
        <f>ChkList!D8</f>
        <v>H</v>
      </c>
      <c r="G24" s="31">
        <f>ChkList!E8</f>
        <v>3</v>
      </c>
      <c r="H24" s="168" t="s">
        <v>50</v>
      </c>
      <c r="I24" s="167" t="s">
        <v>538</v>
      </c>
      <c r="J24" s="28" t="s">
        <v>50</v>
      </c>
      <c r="K24" s="28" t="str">
        <f t="shared" si="4"/>
        <v>Y</v>
      </c>
      <c r="L24" s="270" t="s">
        <v>324</v>
      </c>
      <c r="M24" s="221"/>
      <c r="N24" s="221"/>
      <c r="O24" s="221"/>
      <c r="P24" s="222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12" t="s">
        <v>193</v>
      </c>
      <c r="W24" s="12">
        <v>0</v>
      </c>
    </row>
    <row r="25" spans="1:25" ht="36" customHeight="1">
      <c r="A25" s="31" t="str">
        <f>ChkList!A9</f>
        <v>계정 관리</v>
      </c>
      <c r="B25" s="31" t="str">
        <f>ChkList!B9</f>
        <v>U-05</v>
      </c>
      <c r="C25" s="270" t="str">
        <f>ChkList!C9</f>
        <v>root 이외의 UID가 ‘0’ 금지</v>
      </c>
      <c r="D25" s="221"/>
      <c r="E25" s="222"/>
      <c r="F25" s="31" t="str">
        <f>ChkList!D9</f>
        <v>H</v>
      </c>
      <c r="G25" s="31">
        <f>ChkList!E9</f>
        <v>3</v>
      </c>
      <c r="H25" s="168" t="s">
        <v>50</v>
      </c>
      <c r="I25" s="167" t="s">
        <v>540</v>
      </c>
      <c r="J25" s="28" t="s">
        <v>50</v>
      </c>
      <c r="K25" s="28" t="str">
        <f t="shared" si="4"/>
        <v>Y</v>
      </c>
      <c r="L25" s="270" t="s">
        <v>372</v>
      </c>
      <c r="M25" s="221"/>
      <c r="N25" s="221"/>
      <c r="O25" s="221"/>
      <c r="P25" s="222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12" t="s">
        <v>53</v>
      </c>
      <c r="W25" s="12">
        <v>0</v>
      </c>
    </row>
    <row r="26" spans="1:25" ht="36" customHeight="1">
      <c r="A26" s="31" t="str">
        <f>ChkList!A10</f>
        <v>계정 관리</v>
      </c>
      <c r="B26" s="31" t="str">
        <f>ChkList!B10</f>
        <v>U-06</v>
      </c>
      <c r="C26" s="270" t="str">
        <f>ChkList!C10</f>
        <v>사용자 계정 su 기능 제한</v>
      </c>
      <c r="D26" s="221"/>
      <c r="E26" s="222"/>
      <c r="F26" s="31" t="str">
        <f>ChkList!D10</f>
        <v>H</v>
      </c>
      <c r="G26" s="31">
        <f>ChkList!E10</f>
        <v>3</v>
      </c>
      <c r="H26" s="168" t="s">
        <v>50</v>
      </c>
      <c r="I26" s="167" t="s">
        <v>539</v>
      </c>
      <c r="J26" s="28" t="s">
        <v>50</v>
      </c>
      <c r="K26" s="28" t="str">
        <f t="shared" si="4"/>
        <v>Y</v>
      </c>
      <c r="L26" s="270" t="s">
        <v>371</v>
      </c>
      <c r="M26" s="221"/>
      <c r="N26" s="221"/>
      <c r="O26" s="221"/>
      <c r="P26" s="222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12" t="s">
        <v>50</v>
      </c>
      <c r="W26" s="12">
        <v>1</v>
      </c>
    </row>
    <row r="27" spans="1:25" ht="36" customHeight="1">
      <c r="A27" s="31" t="str">
        <f>ChkList!A11</f>
        <v>계정 관리</v>
      </c>
      <c r="B27" s="31" t="str">
        <f>ChkList!B11</f>
        <v>U-07</v>
      </c>
      <c r="C27" s="270" t="str">
        <f>ChkList!C11</f>
        <v>불필요한 계정 제거</v>
      </c>
      <c r="D27" s="221"/>
      <c r="E27" s="222"/>
      <c r="F27" s="31" t="str">
        <f>ChkList!D11</f>
        <v>L</v>
      </c>
      <c r="G27" s="31">
        <f>ChkList!E11</f>
        <v>1</v>
      </c>
      <c r="H27" s="168" t="s">
        <v>50</v>
      </c>
      <c r="I27" s="167" t="s">
        <v>541</v>
      </c>
      <c r="J27" s="28" t="s">
        <v>50</v>
      </c>
      <c r="K27" s="28" t="str">
        <f t="shared" si="4"/>
        <v>Y</v>
      </c>
      <c r="L27" s="270" t="s">
        <v>370</v>
      </c>
      <c r="M27" s="221"/>
      <c r="N27" s="221"/>
      <c r="O27" s="221"/>
      <c r="P27" s="222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12" t="s">
        <v>55</v>
      </c>
      <c r="W27" s="12">
        <v>1</v>
      </c>
    </row>
    <row r="28" spans="1:25" ht="36" customHeight="1">
      <c r="A28" s="31" t="str">
        <f>ChkList!A12</f>
        <v>계정 관리</v>
      </c>
      <c r="B28" s="31" t="str">
        <f>ChkList!B12</f>
        <v>U-08</v>
      </c>
      <c r="C28" s="270" t="str">
        <f>ChkList!C12</f>
        <v>관리자 그룹에 최소한의 계정 포함</v>
      </c>
      <c r="D28" s="221"/>
      <c r="E28" s="222"/>
      <c r="F28" s="31" t="str">
        <f>ChkList!D12</f>
        <v>M</v>
      </c>
      <c r="G28" s="31">
        <f>ChkList!E12</f>
        <v>2</v>
      </c>
      <c r="H28" s="168" t="s">
        <v>50</v>
      </c>
      <c r="I28" s="167" t="s">
        <v>542</v>
      </c>
      <c r="J28" s="28" t="s">
        <v>50</v>
      </c>
      <c r="K28" s="28" t="str">
        <f t="shared" si="4"/>
        <v>Y</v>
      </c>
      <c r="L28" s="270" t="s">
        <v>369</v>
      </c>
      <c r="M28" s="221"/>
      <c r="N28" s="221"/>
      <c r="O28" s="221"/>
      <c r="P28" s="222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</row>
    <row r="29" spans="1:25" ht="36" customHeight="1">
      <c r="A29" s="31" t="str">
        <f>ChkList!A13</f>
        <v>계정 관리</v>
      </c>
      <c r="B29" s="31" t="str">
        <f>ChkList!B13</f>
        <v>U-09</v>
      </c>
      <c r="C29" s="270" t="str">
        <f>ChkList!C13</f>
        <v>계정이 존재하지 않는 GID 금지</v>
      </c>
      <c r="D29" s="221"/>
      <c r="E29" s="222"/>
      <c r="F29" s="31" t="str">
        <f>ChkList!D13</f>
        <v>L</v>
      </c>
      <c r="G29" s="31">
        <f>ChkList!E13</f>
        <v>1</v>
      </c>
      <c r="H29" s="168" t="s">
        <v>50</v>
      </c>
      <c r="I29" s="167" t="s">
        <v>543</v>
      </c>
      <c r="J29" s="28" t="s">
        <v>334</v>
      </c>
      <c r="K29" s="28" t="str">
        <f t="shared" si="4"/>
        <v>Y</v>
      </c>
      <c r="L29" s="270" t="s">
        <v>368</v>
      </c>
      <c r="M29" s="221"/>
      <c r="N29" s="221"/>
      <c r="O29" s="221"/>
      <c r="P29" s="222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</row>
    <row r="30" spans="1:25" ht="36" customHeight="1">
      <c r="A30" s="31" t="str">
        <f>ChkList!A14</f>
        <v>계정 관리</v>
      </c>
      <c r="B30" s="31" t="str">
        <f>ChkList!B14</f>
        <v>U-10</v>
      </c>
      <c r="C30" s="270" t="str">
        <f>ChkList!C14</f>
        <v>동일한 UID 금지</v>
      </c>
      <c r="D30" s="221"/>
      <c r="E30" s="222"/>
      <c r="F30" s="31" t="str">
        <f>ChkList!D14</f>
        <v>M</v>
      </c>
      <c r="G30" s="31">
        <f>ChkList!E14</f>
        <v>2</v>
      </c>
      <c r="H30" s="168" t="s">
        <v>50</v>
      </c>
      <c r="I30" s="167" t="s">
        <v>252</v>
      </c>
      <c r="J30" s="28" t="s">
        <v>50</v>
      </c>
      <c r="K30" s="28" t="str">
        <f t="shared" si="4"/>
        <v>Y</v>
      </c>
      <c r="L30" s="270" t="s">
        <v>367</v>
      </c>
      <c r="M30" s="221"/>
      <c r="N30" s="221"/>
      <c r="O30" s="221"/>
      <c r="P30" s="222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</row>
    <row r="31" spans="1:25" ht="36" customHeight="1">
      <c r="A31" s="31" t="str">
        <f>ChkList!A15</f>
        <v>계정 관리</v>
      </c>
      <c r="B31" s="31" t="str">
        <f>ChkList!B15</f>
        <v>U-11</v>
      </c>
      <c r="C31" s="270" t="str">
        <f>ChkList!C15</f>
        <v>사용자 Shell 점검</v>
      </c>
      <c r="D31" s="221"/>
      <c r="E31" s="222"/>
      <c r="F31" s="31" t="str">
        <f>ChkList!D15</f>
        <v>L</v>
      </c>
      <c r="G31" s="31">
        <f>ChkList!E15</f>
        <v>1</v>
      </c>
      <c r="H31" s="168" t="s">
        <v>50</v>
      </c>
      <c r="I31" s="167" t="s">
        <v>253</v>
      </c>
      <c r="J31" s="28" t="s">
        <v>50</v>
      </c>
      <c r="K31" s="28" t="str">
        <f t="shared" si="4"/>
        <v>Y</v>
      </c>
      <c r="L31" s="270" t="s">
        <v>366</v>
      </c>
      <c r="M31" s="221"/>
      <c r="N31" s="221"/>
      <c r="O31" s="221"/>
      <c r="P31" s="222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</row>
    <row r="32" spans="1:25" ht="36" customHeight="1">
      <c r="A32" s="31" t="str">
        <f>ChkList!A16</f>
        <v>계정 관리</v>
      </c>
      <c r="B32" s="31" t="str">
        <f>ChkList!B16</f>
        <v>U-12</v>
      </c>
      <c r="C32" s="270" t="str">
        <f>ChkList!C16</f>
        <v>세션 종료 시간 설정</v>
      </c>
      <c r="D32" s="221"/>
      <c r="E32" s="222"/>
      <c r="F32" s="31" t="str">
        <f>ChkList!D16</f>
        <v>L</v>
      </c>
      <c r="G32" s="31">
        <f>ChkList!E16</f>
        <v>1</v>
      </c>
      <c r="H32" s="168" t="s">
        <v>50</v>
      </c>
      <c r="I32" s="167" t="s">
        <v>254</v>
      </c>
      <c r="J32" s="28" t="s">
        <v>334</v>
      </c>
      <c r="K32" s="28" t="str">
        <f t="shared" si="4"/>
        <v>Y</v>
      </c>
      <c r="L32" s="270" t="s">
        <v>365</v>
      </c>
      <c r="M32" s="221"/>
      <c r="N32" s="221"/>
      <c r="O32" s="221"/>
      <c r="P32" s="222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</row>
    <row r="33" spans="1:21" ht="36" customHeight="1">
      <c r="A33" s="31" t="str">
        <f>ChkList!A17</f>
        <v>계정 관리</v>
      </c>
      <c r="B33" s="31" t="str">
        <f>ChkList!B17</f>
        <v>U-13</v>
      </c>
      <c r="C33" s="270" t="str">
        <f>ChkList!C17</f>
        <v>안전한 비밀번호 암호화 알고리즘 사용</v>
      </c>
      <c r="D33" s="221"/>
      <c r="E33" s="222"/>
      <c r="F33" s="31" t="str">
        <f>ChkList!D17</f>
        <v>M</v>
      </c>
      <c r="G33" s="31">
        <f>ChkList!E17</f>
        <v>2</v>
      </c>
      <c r="H33" s="168" t="s">
        <v>50</v>
      </c>
      <c r="I33" s="167" t="s">
        <v>255</v>
      </c>
      <c r="J33" s="28" t="s">
        <v>50</v>
      </c>
      <c r="K33" s="28" t="str">
        <f t="shared" si="4"/>
        <v>Y</v>
      </c>
      <c r="L33" s="270" t="s">
        <v>364</v>
      </c>
      <c r="M33" s="221"/>
      <c r="N33" s="221"/>
      <c r="O33" s="221"/>
      <c r="P33" s="222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</row>
    <row r="34" spans="1:21" ht="36" customHeight="1">
      <c r="A34" s="31" t="str">
        <f>ChkList!A18</f>
        <v>파일 및 디렉터리 관리</v>
      </c>
      <c r="B34" s="31" t="str">
        <f>ChkList!B18</f>
        <v>U-14</v>
      </c>
      <c r="C34" s="270" t="str">
        <f>ChkList!C18</f>
        <v>root 홈, 패스 디렉터리 권한 및 패스 설정</v>
      </c>
      <c r="D34" s="221"/>
      <c r="E34" s="222"/>
      <c r="F34" s="31" t="str">
        <f>ChkList!D18</f>
        <v>H</v>
      </c>
      <c r="G34" s="31">
        <f>ChkList!E18</f>
        <v>3</v>
      </c>
      <c r="H34" s="168" t="s">
        <v>50</v>
      </c>
      <c r="I34" s="167" t="s">
        <v>256</v>
      </c>
      <c r="J34" s="28" t="s">
        <v>50</v>
      </c>
      <c r="K34" s="28" t="str">
        <f t="shared" si="4"/>
        <v>Y</v>
      </c>
      <c r="L34" s="270" t="s">
        <v>363</v>
      </c>
      <c r="M34" s="221"/>
      <c r="N34" s="221"/>
      <c r="O34" s="221"/>
      <c r="P34" s="222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</row>
    <row r="35" spans="1:21" ht="36" customHeight="1">
      <c r="A35" s="31" t="str">
        <f>ChkList!A19</f>
        <v>파일 및 디렉터리 관리</v>
      </c>
      <c r="B35" s="31" t="str">
        <f>ChkList!B19</f>
        <v>U-15</v>
      </c>
      <c r="C35" s="270" t="str">
        <f>ChkList!C19</f>
        <v>파일 및 디렉터리 소유자 설정</v>
      </c>
      <c r="D35" s="221"/>
      <c r="E35" s="222"/>
      <c r="F35" s="31" t="str">
        <f>ChkList!D19</f>
        <v>H</v>
      </c>
      <c r="G35" s="31">
        <f>ChkList!E19</f>
        <v>3</v>
      </c>
      <c r="H35" s="168" t="s">
        <v>51</v>
      </c>
      <c r="I35" s="167" t="s">
        <v>257</v>
      </c>
      <c r="J35" s="28" t="s">
        <v>50</v>
      </c>
      <c r="K35" s="28" t="str">
        <f t="shared" si="4"/>
        <v>조치</v>
      </c>
      <c r="L35" s="270" t="s">
        <v>258</v>
      </c>
      <c r="M35" s="221"/>
      <c r="N35" s="221"/>
      <c r="O35" s="221"/>
      <c r="P35" s="222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</row>
    <row r="36" spans="1:21" ht="36" customHeight="1">
      <c r="A36" s="31" t="str">
        <f>ChkList!A20</f>
        <v>파일 및 디렉터리 관리</v>
      </c>
      <c r="B36" s="31" t="str">
        <f>ChkList!B20</f>
        <v>U-16</v>
      </c>
      <c r="C36" s="270" t="str">
        <f>ChkList!C20</f>
        <v>/etc/passwd 파일 소유자 및 권한 설정</v>
      </c>
      <c r="D36" s="221"/>
      <c r="E36" s="222"/>
      <c r="F36" s="31" t="str">
        <f>ChkList!D20</f>
        <v>H</v>
      </c>
      <c r="G36" s="31">
        <f>ChkList!E20</f>
        <v>3</v>
      </c>
      <c r="H36" s="168" t="s">
        <v>50</v>
      </c>
      <c r="I36" s="167" t="s">
        <v>259</v>
      </c>
      <c r="J36" s="28" t="s">
        <v>50</v>
      </c>
      <c r="K36" s="28" t="str">
        <f t="shared" si="4"/>
        <v>Y</v>
      </c>
      <c r="L36" s="271" t="s">
        <v>362</v>
      </c>
      <c r="M36" s="272"/>
      <c r="N36" s="272"/>
      <c r="O36" s="272"/>
      <c r="P36" s="273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</row>
    <row r="37" spans="1:21" ht="36" customHeight="1">
      <c r="A37" s="31" t="str">
        <f>ChkList!A21</f>
        <v>파일 및 디렉터리 관리</v>
      </c>
      <c r="B37" s="31" t="str">
        <f>ChkList!B21</f>
        <v>U-17</v>
      </c>
      <c r="C37" s="270" t="str">
        <f>ChkList!C21</f>
        <v>시스템 시작 스크립트 권한 설정</v>
      </c>
      <c r="D37" s="221"/>
      <c r="E37" s="222"/>
      <c r="F37" s="31" t="str">
        <f>ChkList!D21</f>
        <v>H</v>
      </c>
      <c r="G37" s="31">
        <f>ChkList!E21</f>
        <v>3</v>
      </c>
      <c r="H37" s="168" t="s">
        <v>51</v>
      </c>
      <c r="I37" s="167" t="s">
        <v>260</v>
      </c>
      <c r="J37" s="28" t="s">
        <v>50</v>
      </c>
      <c r="K37" s="28" t="str">
        <f t="shared" si="4"/>
        <v>조치</v>
      </c>
      <c r="L37" s="270" t="s">
        <v>261</v>
      </c>
      <c r="M37" s="221"/>
      <c r="N37" s="221"/>
      <c r="O37" s="221"/>
      <c r="P37" s="222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</row>
    <row r="38" spans="1:21" ht="36" customHeight="1">
      <c r="A38" s="31" t="str">
        <f>ChkList!A22</f>
        <v>파일 및 디렉터리 관리</v>
      </c>
      <c r="B38" s="31" t="str">
        <f>ChkList!B22</f>
        <v>U-18</v>
      </c>
      <c r="C38" s="270" t="str">
        <f>ChkList!C22</f>
        <v>/etc/shadow 파일 소유자 및 권한 설정</v>
      </c>
      <c r="D38" s="221"/>
      <c r="E38" s="222"/>
      <c r="F38" s="31" t="str">
        <f>ChkList!D22</f>
        <v>H</v>
      </c>
      <c r="G38" s="31">
        <f>ChkList!E22</f>
        <v>3</v>
      </c>
      <c r="H38" s="168" t="s">
        <v>50</v>
      </c>
      <c r="I38" s="167" t="s">
        <v>262</v>
      </c>
      <c r="J38" s="28" t="s">
        <v>50</v>
      </c>
      <c r="K38" s="28" t="str">
        <f t="shared" si="4"/>
        <v>Y</v>
      </c>
      <c r="L38" s="270" t="s">
        <v>361</v>
      </c>
      <c r="M38" s="221"/>
      <c r="N38" s="221"/>
      <c r="O38" s="221"/>
      <c r="P38" s="222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</row>
    <row r="39" spans="1:21" ht="36" customHeight="1">
      <c r="A39" s="31" t="str">
        <f>ChkList!A23</f>
        <v>파일 및 디렉터리 관리</v>
      </c>
      <c r="B39" s="31" t="str">
        <f>ChkList!B23</f>
        <v>U-19</v>
      </c>
      <c r="C39" s="270" t="str">
        <f>ChkList!C23</f>
        <v>/etc/hosts 파일 소유자 및 권한 설정</v>
      </c>
      <c r="D39" s="221"/>
      <c r="E39" s="222"/>
      <c r="F39" s="31" t="str">
        <f>ChkList!D23</f>
        <v>H</v>
      </c>
      <c r="G39" s="31">
        <f>ChkList!E23</f>
        <v>3</v>
      </c>
      <c r="H39" s="168" t="s">
        <v>50</v>
      </c>
      <c r="I39" s="167" t="s">
        <v>263</v>
      </c>
      <c r="J39" s="28" t="s">
        <v>50</v>
      </c>
      <c r="K39" s="28" t="str">
        <f t="shared" si="4"/>
        <v>Y</v>
      </c>
      <c r="L39" s="270" t="s">
        <v>360</v>
      </c>
      <c r="M39" s="221"/>
      <c r="N39" s="221"/>
      <c r="O39" s="221"/>
      <c r="P39" s="222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</row>
    <row r="40" spans="1:21" ht="36" customHeight="1">
      <c r="A40" s="31" t="str">
        <f>ChkList!A24</f>
        <v>파일 및 디렉터리 관리</v>
      </c>
      <c r="B40" s="31" t="str">
        <f>ChkList!B24</f>
        <v>U-20</v>
      </c>
      <c r="C40" s="270" t="str">
        <f>ChkList!C24</f>
        <v>/etc/(x)inetd.conf 파일 소유자 및 권한 설정</v>
      </c>
      <c r="D40" s="221"/>
      <c r="E40" s="222"/>
      <c r="F40" s="31" t="str">
        <f>ChkList!D24</f>
        <v>H</v>
      </c>
      <c r="G40" s="31">
        <f>ChkList!E24</f>
        <v>3</v>
      </c>
      <c r="H40" s="168" t="s">
        <v>51</v>
      </c>
      <c r="I40" s="167" t="s">
        <v>264</v>
      </c>
      <c r="J40" s="168" t="s">
        <v>50</v>
      </c>
      <c r="K40" s="28" t="str">
        <f t="shared" si="4"/>
        <v>조치</v>
      </c>
      <c r="L40" s="271" t="s">
        <v>265</v>
      </c>
      <c r="M40" s="272"/>
      <c r="N40" s="272"/>
      <c r="O40" s="272"/>
      <c r="P40" s="273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</row>
    <row r="41" spans="1:21" ht="36" customHeight="1">
      <c r="A41" s="31" t="str">
        <f>ChkList!A25</f>
        <v>파일 및 디렉터리 관리</v>
      </c>
      <c r="B41" s="31" t="str">
        <f>ChkList!B25</f>
        <v>U-21</v>
      </c>
      <c r="C41" s="270" t="str">
        <f>ChkList!C25</f>
        <v>/etc/(r)syslog.conf 파일 소유자 및 권한 설정</v>
      </c>
      <c r="D41" s="221"/>
      <c r="E41" s="222"/>
      <c r="F41" s="31" t="str">
        <f>ChkList!D25</f>
        <v>H</v>
      </c>
      <c r="G41" s="31">
        <f>ChkList!E25</f>
        <v>3</v>
      </c>
      <c r="H41" s="168" t="s">
        <v>51</v>
      </c>
      <c r="I41" s="167" t="s">
        <v>266</v>
      </c>
      <c r="J41" s="168" t="s">
        <v>50</v>
      </c>
      <c r="K41" s="28" t="str">
        <f t="shared" si="4"/>
        <v>조치</v>
      </c>
      <c r="L41" s="271" t="s">
        <v>267</v>
      </c>
      <c r="M41" s="272"/>
      <c r="N41" s="272"/>
      <c r="O41" s="272"/>
      <c r="P41" s="273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</row>
    <row r="42" spans="1:21" ht="36" customHeight="1">
      <c r="A42" s="31" t="str">
        <f>ChkList!A26</f>
        <v>파일 및 디렉터리 관리</v>
      </c>
      <c r="B42" s="31" t="str">
        <f>ChkList!B26</f>
        <v>U-22</v>
      </c>
      <c r="C42" s="270" t="str">
        <f>ChkList!C26</f>
        <v>/etc/services 파일 소유자 및 권한 설정</v>
      </c>
      <c r="D42" s="221"/>
      <c r="E42" s="222"/>
      <c r="F42" s="31" t="str">
        <f>ChkList!D26</f>
        <v>H</v>
      </c>
      <c r="G42" s="31">
        <f>ChkList!E26</f>
        <v>3</v>
      </c>
      <c r="H42" s="168" t="s">
        <v>51</v>
      </c>
      <c r="I42" s="167" t="s">
        <v>268</v>
      </c>
      <c r="J42" s="168" t="s">
        <v>50</v>
      </c>
      <c r="K42" s="28" t="str">
        <f t="shared" si="4"/>
        <v>조치</v>
      </c>
      <c r="L42" s="271" t="s">
        <v>269</v>
      </c>
      <c r="M42" s="272"/>
      <c r="N42" s="272"/>
      <c r="O42" s="272"/>
      <c r="P42" s="273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</row>
    <row r="43" spans="1:21" ht="36" customHeight="1">
      <c r="A43" s="31" t="str">
        <f>ChkList!A27</f>
        <v>파일 및 디렉터리 관리</v>
      </c>
      <c r="B43" s="31" t="str">
        <f>ChkList!B27</f>
        <v>U-23</v>
      </c>
      <c r="C43" s="270" t="str">
        <f>ChkList!C27</f>
        <v>SUID, SGID, Sticky bit 설정 파일 점검</v>
      </c>
      <c r="D43" s="221"/>
      <c r="E43" s="222"/>
      <c r="F43" s="31" t="str">
        <f>ChkList!D27</f>
        <v>H</v>
      </c>
      <c r="G43" s="31">
        <f>ChkList!E27</f>
        <v>3</v>
      </c>
      <c r="H43" s="168" t="s">
        <v>50</v>
      </c>
      <c r="I43" s="167" t="s">
        <v>270</v>
      </c>
      <c r="J43" s="28" t="s">
        <v>50</v>
      </c>
      <c r="K43" s="28" t="str">
        <f t="shared" si="4"/>
        <v>Y</v>
      </c>
      <c r="L43" s="270" t="s">
        <v>358</v>
      </c>
      <c r="M43" s="221"/>
      <c r="N43" s="221"/>
      <c r="O43" s="221"/>
      <c r="P43" s="222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</row>
    <row r="44" spans="1:21" ht="36" customHeight="1">
      <c r="A44" s="31" t="str">
        <f>ChkList!A28</f>
        <v>파일 및 디렉터리 관리</v>
      </c>
      <c r="B44" s="31" t="str">
        <f>ChkList!B28</f>
        <v>U-24</v>
      </c>
      <c r="C44" s="270" t="str">
        <f>ChkList!C28</f>
        <v>사용자, 시스템 시작파일 및 환경파일 소유자 및 권한 설정</v>
      </c>
      <c r="D44" s="221"/>
      <c r="E44" s="222"/>
      <c r="F44" s="31" t="str">
        <f>ChkList!D28</f>
        <v>H</v>
      </c>
      <c r="G44" s="31">
        <f>ChkList!E28</f>
        <v>3</v>
      </c>
      <c r="H44" s="168" t="s">
        <v>51</v>
      </c>
      <c r="I44" s="167" t="s">
        <v>271</v>
      </c>
      <c r="J44" s="168" t="s">
        <v>50</v>
      </c>
      <c r="K44" s="28" t="str">
        <f t="shared" si="4"/>
        <v>조치</v>
      </c>
      <c r="L44" s="270" t="s">
        <v>359</v>
      </c>
      <c r="M44" s="221"/>
      <c r="N44" s="221"/>
      <c r="O44" s="221"/>
      <c r="P44" s="222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</row>
    <row r="45" spans="1:21" ht="36" customHeight="1">
      <c r="A45" s="31" t="str">
        <f>ChkList!A29</f>
        <v>파일 및 디렉터리 관리</v>
      </c>
      <c r="B45" s="31" t="str">
        <f>ChkList!B29</f>
        <v>U-25</v>
      </c>
      <c r="C45" s="270" t="str">
        <f>ChkList!C29</f>
        <v>world writable 파일 점검</v>
      </c>
      <c r="D45" s="221"/>
      <c r="E45" s="222"/>
      <c r="F45" s="31" t="str">
        <f>ChkList!D29</f>
        <v>H</v>
      </c>
      <c r="G45" s="31">
        <f>ChkList!E29</f>
        <v>3</v>
      </c>
      <c r="H45" s="168" t="s">
        <v>50</v>
      </c>
      <c r="I45" s="167" t="s">
        <v>272</v>
      </c>
      <c r="J45" s="28" t="s">
        <v>50</v>
      </c>
      <c r="K45" s="28" t="str">
        <f t="shared" si="4"/>
        <v>Y</v>
      </c>
      <c r="L45" s="270" t="s">
        <v>355</v>
      </c>
      <c r="M45" s="221"/>
      <c r="N45" s="221"/>
      <c r="O45" s="221"/>
      <c r="P45" s="222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</row>
    <row r="46" spans="1:21" ht="36" customHeight="1">
      <c r="A46" s="31" t="str">
        <f>ChkList!A30</f>
        <v>파일 및 디렉터리 관리</v>
      </c>
      <c r="B46" s="31" t="str">
        <f>ChkList!B30</f>
        <v>U-26</v>
      </c>
      <c r="C46" s="270" t="str">
        <f>ChkList!C30</f>
        <v>/dev에 존재하지 않는 device 파일 점검</v>
      </c>
      <c r="D46" s="221"/>
      <c r="E46" s="222"/>
      <c r="F46" s="31" t="str">
        <f>ChkList!D30</f>
        <v>H</v>
      </c>
      <c r="G46" s="31">
        <f>ChkList!E30</f>
        <v>3</v>
      </c>
      <c r="H46" s="168" t="s">
        <v>51</v>
      </c>
      <c r="I46" s="167" t="s">
        <v>273</v>
      </c>
      <c r="J46" s="168" t="s">
        <v>50</v>
      </c>
      <c r="K46" s="28" t="str">
        <f t="shared" si="4"/>
        <v>조치</v>
      </c>
      <c r="L46" s="270" t="s">
        <v>274</v>
      </c>
      <c r="M46" s="221"/>
      <c r="N46" s="221"/>
      <c r="O46" s="221"/>
      <c r="P46" s="222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0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</row>
    <row r="47" spans="1:21" ht="36" customHeight="1">
      <c r="A47" s="31" t="str">
        <f>ChkList!A31</f>
        <v>파일 및 디렉터리 관리</v>
      </c>
      <c r="B47" s="31" t="str">
        <f>ChkList!B31</f>
        <v>U-27</v>
      </c>
      <c r="C47" s="270" t="str">
        <f>ChkList!C31</f>
        <v>$HOME/.rhosts, hosts.equiv 사용 금지</v>
      </c>
      <c r="D47" s="221"/>
      <c r="E47" s="222"/>
      <c r="F47" s="31" t="str">
        <f>ChkList!D31</f>
        <v>H</v>
      </c>
      <c r="G47" s="31">
        <f>ChkList!E31</f>
        <v>3</v>
      </c>
      <c r="H47" s="168" t="s">
        <v>51</v>
      </c>
      <c r="I47" s="167" t="s">
        <v>275</v>
      </c>
      <c r="J47" s="168" t="s">
        <v>50</v>
      </c>
      <c r="K47" s="28" t="str">
        <f t="shared" si="4"/>
        <v>조치</v>
      </c>
      <c r="L47" s="270" t="s">
        <v>276</v>
      </c>
      <c r="M47" s="221"/>
      <c r="N47" s="221"/>
      <c r="O47" s="221"/>
      <c r="P47" s="222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0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</row>
    <row r="48" spans="1:21" ht="36" customHeight="1">
      <c r="A48" s="31" t="str">
        <f>ChkList!A32</f>
        <v>파일 및 디렉터리 관리</v>
      </c>
      <c r="B48" s="31" t="str">
        <f>ChkList!B32</f>
        <v>U-28</v>
      </c>
      <c r="C48" s="270" t="str">
        <f>ChkList!C32</f>
        <v>접속 IP 및 포트 제한</v>
      </c>
      <c r="D48" s="221"/>
      <c r="E48" s="222"/>
      <c r="F48" s="31" t="str">
        <f>ChkList!D32</f>
        <v>H</v>
      </c>
      <c r="G48" s="31">
        <f>ChkList!E32</f>
        <v>3</v>
      </c>
      <c r="H48" s="168" t="s">
        <v>50</v>
      </c>
      <c r="I48" s="167" t="s">
        <v>277</v>
      </c>
      <c r="J48" s="28" t="s">
        <v>50</v>
      </c>
      <c r="K48" s="28" t="str">
        <f t="shared" si="4"/>
        <v>Y</v>
      </c>
      <c r="L48" s="270" t="s">
        <v>357</v>
      </c>
      <c r="M48" s="221"/>
      <c r="N48" s="221"/>
      <c r="O48" s="221"/>
      <c r="P48" s="222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</row>
    <row r="49" spans="1:21" ht="36" customHeight="1">
      <c r="A49" s="31" t="str">
        <f>ChkList!A33</f>
        <v>파일 및 디렉터리 관리</v>
      </c>
      <c r="B49" s="31" t="str">
        <f>ChkList!B33</f>
        <v>U-29</v>
      </c>
      <c r="C49" s="270" t="str">
        <f>ChkList!C33</f>
        <v>hosts.lpd 파일 소유자 및 권한 설정</v>
      </c>
      <c r="D49" s="221"/>
      <c r="E49" s="222"/>
      <c r="F49" s="31" t="str">
        <f>ChkList!D33</f>
        <v>L</v>
      </c>
      <c r="G49" s="31">
        <f>ChkList!E33</f>
        <v>1</v>
      </c>
      <c r="H49" s="168" t="s">
        <v>51</v>
      </c>
      <c r="I49" s="167" t="s">
        <v>278</v>
      </c>
      <c r="J49" s="168" t="s">
        <v>50</v>
      </c>
      <c r="K49" s="28" t="str">
        <f t="shared" si="4"/>
        <v>조치</v>
      </c>
      <c r="L49" s="270" t="s">
        <v>279</v>
      </c>
      <c r="M49" s="221"/>
      <c r="N49" s="221"/>
      <c r="O49" s="221"/>
      <c r="P49" s="222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0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</row>
    <row r="50" spans="1:21" ht="36" customHeight="1">
      <c r="A50" s="31" t="str">
        <f>ChkList!A34</f>
        <v>파일 및 디렉터리 관리</v>
      </c>
      <c r="B50" s="31" t="str">
        <f>ChkList!B34</f>
        <v>U-30</v>
      </c>
      <c r="C50" s="270" t="str">
        <f>ChkList!C34</f>
        <v>UMASK 설정 관리</v>
      </c>
      <c r="D50" s="221"/>
      <c r="E50" s="222"/>
      <c r="F50" s="31" t="str">
        <f>ChkList!D34</f>
        <v>M</v>
      </c>
      <c r="G50" s="31">
        <f>ChkList!E34</f>
        <v>2</v>
      </c>
      <c r="H50" s="168" t="s">
        <v>50</v>
      </c>
      <c r="I50" s="167" t="s">
        <v>280</v>
      </c>
      <c r="J50" s="28" t="s">
        <v>50</v>
      </c>
      <c r="K50" s="28" t="str">
        <f t="shared" si="4"/>
        <v>Y</v>
      </c>
      <c r="L50" s="270" t="s">
        <v>327</v>
      </c>
      <c r="M50" s="221"/>
      <c r="N50" s="221"/>
      <c r="O50" s="221"/>
      <c r="P50" s="222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</row>
    <row r="51" spans="1:21" ht="36" customHeight="1">
      <c r="A51" s="31" t="str">
        <f>ChkList!A35</f>
        <v>파일 및 디렉터리 관리</v>
      </c>
      <c r="B51" s="31" t="str">
        <f>ChkList!B35</f>
        <v>U-31</v>
      </c>
      <c r="C51" s="270" t="str">
        <f>ChkList!C35</f>
        <v>홈 디렉터리 소유자 및 권한 설정</v>
      </c>
      <c r="D51" s="221"/>
      <c r="E51" s="222"/>
      <c r="F51" s="31" t="str">
        <f>ChkList!D35</f>
        <v>M</v>
      </c>
      <c r="G51" s="31">
        <f>ChkList!E35</f>
        <v>2</v>
      </c>
      <c r="H51" s="168" t="s">
        <v>50</v>
      </c>
      <c r="I51" s="167" t="s">
        <v>281</v>
      </c>
      <c r="J51" s="28" t="s">
        <v>50</v>
      </c>
      <c r="K51" s="28" t="str">
        <f t="shared" si="4"/>
        <v>Y</v>
      </c>
      <c r="L51" s="270" t="s">
        <v>356</v>
      </c>
      <c r="M51" s="221"/>
      <c r="N51" s="221"/>
      <c r="O51" s="221"/>
      <c r="P51" s="222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</row>
    <row r="52" spans="1:21" ht="36" customHeight="1">
      <c r="A52" s="31" t="str">
        <f>ChkList!A36</f>
        <v>파일 및 디렉터리 관리</v>
      </c>
      <c r="B52" s="31" t="str">
        <f>ChkList!B36</f>
        <v>U-32</v>
      </c>
      <c r="C52" s="270" t="str">
        <f>ChkList!C36</f>
        <v>홈 디렉터리로 지정한 디렉터리의 존재 관리</v>
      </c>
      <c r="D52" s="221"/>
      <c r="E52" s="222"/>
      <c r="F52" s="31" t="str">
        <f>ChkList!D36</f>
        <v>M</v>
      </c>
      <c r="G52" s="31">
        <f>ChkList!E36</f>
        <v>2</v>
      </c>
      <c r="H52" s="168" t="s">
        <v>50</v>
      </c>
      <c r="I52" s="167" t="s">
        <v>272</v>
      </c>
      <c r="J52" s="28" t="s">
        <v>50</v>
      </c>
      <c r="K52" s="28" t="str">
        <f t="shared" si="4"/>
        <v>Y</v>
      </c>
      <c r="L52" s="270" t="s">
        <v>355</v>
      </c>
      <c r="M52" s="221"/>
      <c r="N52" s="221"/>
      <c r="O52" s="221"/>
      <c r="P52" s="222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</row>
    <row r="53" spans="1:21" ht="36" customHeight="1">
      <c r="A53" s="31" t="str">
        <f>ChkList!A37</f>
        <v>파일 및 디렉터리 관리</v>
      </c>
      <c r="B53" s="31" t="str">
        <f>ChkList!B37</f>
        <v>U-33</v>
      </c>
      <c r="C53" s="270" t="str">
        <f>ChkList!C37</f>
        <v>숨겨진 파일 및 디렉터리 검색 및 제거</v>
      </c>
      <c r="D53" s="221"/>
      <c r="E53" s="222"/>
      <c r="F53" s="31" t="str">
        <f>ChkList!D37</f>
        <v>L</v>
      </c>
      <c r="G53" s="31">
        <f>ChkList!E37</f>
        <v>1</v>
      </c>
      <c r="H53" s="168" t="s">
        <v>50</v>
      </c>
      <c r="I53" s="167" t="s">
        <v>282</v>
      </c>
      <c r="J53" s="28" t="s">
        <v>50</v>
      </c>
      <c r="K53" s="28" t="str">
        <f t="shared" si="4"/>
        <v>Y</v>
      </c>
      <c r="L53" s="270" t="s">
        <v>354</v>
      </c>
      <c r="M53" s="221"/>
      <c r="N53" s="221"/>
      <c r="O53" s="221"/>
      <c r="P53" s="222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</row>
    <row r="54" spans="1:21" ht="23.1" customHeight="1">
      <c r="A54" s="31" t="str">
        <f>ChkList!A38</f>
        <v>서비스 관리</v>
      </c>
      <c r="B54" s="31" t="str">
        <f>ChkList!B38</f>
        <v>U-34</v>
      </c>
      <c r="C54" s="270" t="str">
        <f>ChkList!C38</f>
        <v>Finger 서비스 비활성화</v>
      </c>
      <c r="D54" s="221"/>
      <c r="E54" s="222"/>
      <c r="F54" s="31" t="str">
        <f>ChkList!D38</f>
        <v>H</v>
      </c>
      <c r="G54" s="31">
        <f>ChkList!E38</f>
        <v>3</v>
      </c>
      <c r="H54" s="170" t="s">
        <v>283</v>
      </c>
      <c r="I54" s="167" t="s">
        <v>283</v>
      </c>
      <c r="J54" s="28" t="s">
        <v>283</v>
      </c>
      <c r="K54" s="28"/>
      <c r="L54" s="270" t="s">
        <v>284</v>
      </c>
      <c r="M54" s="221"/>
      <c r="N54" s="221"/>
      <c r="O54" s="221"/>
      <c r="P54" s="222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</row>
    <row r="55" spans="1:21" ht="36" customHeight="1">
      <c r="A55" s="31" t="str">
        <f>ChkList!A39</f>
        <v>서비스 관리</v>
      </c>
      <c r="B55" s="31" t="str">
        <f>ChkList!B39</f>
        <v>U-35</v>
      </c>
      <c r="C55" s="270" t="str">
        <f>ChkList!C39</f>
        <v>공유 서비스에 대한 익명 접근 제한 설정</v>
      </c>
      <c r="D55" s="221"/>
      <c r="E55" s="222"/>
      <c r="F55" s="31" t="str">
        <f>ChkList!D39</f>
        <v>H</v>
      </c>
      <c r="G55" s="31">
        <f>ChkList!E39</f>
        <v>3</v>
      </c>
      <c r="H55" s="168" t="s">
        <v>50</v>
      </c>
      <c r="I55" s="167" t="s">
        <v>285</v>
      </c>
      <c r="J55" s="28" t="s">
        <v>50</v>
      </c>
      <c r="K55" s="28" t="str">
        <f t="shared" si="4"/>
        <v>Y</v>
      </c>
      <c r="L55" s="270" t="s">
        <v>328</v>
      </c>
      <c r="M55" s="221"/>
      <c r="N55" s="221"/>
      <c r="O55" s="221"/>
      <c r="P55" s="222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</row>
    <row r="56" spans="1:21" ht="36" customHeight="1">
      <c r="A56" s="31" t="str">
        <f>ChkList!A40</f>
        <v>서비스 관리</v>
      </c>
      <c r="B56" s="31" t="str">
        <f>ChkList!B40</f>
        <v>U-36</v>
      </c>
      <c r="C56" s="270" t="str">
        <f>ChkList!C40</f>
        <v>r 계열 서비스 비활성화</v>
      </c>
      <c r="D56" s="221"/>
      <c r="E56" s="222"/>
      <c r="F56" s="31" t="str">
        <f>ChkList!D40</f>
        <v>H</v>
      </c>
      <c r="G56" s="31">
        <f>ChkList!E40</f>
        <v>3</v>
      </c>
      <c r="H56" s="168" t="s">
        <v>50</v>
      </c>
      <c r="I56" s="167" t="s">
        <v>286</v>
      </c>
      <c r="J56" s="28" t="s">
        <v>50</v>
      </c>
      <c r="K56" s="28" t="str">
        <f t="shared" si="4"/>
        <v>Y</v>
      </c>
      <c r="L56" s="270" t="s">
        <v>352</v>
      </c>
      <c r="M56" s="221"/>
      <c r="N56" s="221"/>
      <c r="O56" s="221"/>
      <c r="P56" s="222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</row>
    <row r="57" spans="1:21" ht="36" customHeight="1">
      <c r="A57" s="31" t="str">
        <f>ChkList!A41</f>
        <v>서비스 관리</v>
      </c>
      <c r="B57" s="31" t="str">
        <f>ChkList!B41</f>
        <v>U-37</v>
      </c>
      <c r="C57" s="270" t="str">
        <f>ChkList!C41</f>
        <v>crontab 설정파일 권한 설정 미흡</v>
      </c>
      <c r="D57" s="221"/>
      <c r="E57" s="222"/>
      <c r="F57" s="31" t="str">
        <f>ChkList!D41</f>
        <v>H</v>
      </c>
      <c r="G57" s="31">
        <f>ChkList!E41</f>
        <v>3</v>
      </c>
      <c r="H57" s="168" t="s">
        <v>50</v>
      </c>
      <c r="I57" s="167" t="s">
        <v>287</v>
      </c>
      <c r="J57" s="28" t="s">
        <v>50</v>
      </c>
      <c r="K57" s="28" t="str">
        <f t="shared" si="4"/>
        <v>Y</v>
      </c>
      <c r="L57" s="270" t="s">
        <v>353</v>
      </c>
      <c r="M57" s="221"/>
      <c r="N57" s="221"/>
      <c r="O57" s="221"/>
      <c r="P57" s="222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</row>
    <row r="58" spans="1:21" ht="36" customHeight="1">
      <c r="A58" s="31" t="str">
        <f>ChkList!A42</f>
        <v>서비스 관리</v>
      </c>
      <c r="B58" s="31" t="str">
        <f>ChkList!B42</f>
        <v>U-38</v>
      </c>
      <c r="C58" s="270" t="str">
        <f>ChkList!C42</f>
        <v>DoS 공격에 취약한 서비스 비활성화</v>
      </c>
      <c r="D58" s="221"/>
      <c r="E58" s="222"/>
      <c r="F58" s="31" t="str">
        <f>ChkList!D42</f>
        <v>H</v>
      </c>
      <c r="G58" s="31">
        <f>ChkList!E42</f>
        <v>3</v>
      </c>
      <c r="H58" s="168" t="s">
        <v>51</v>
      </c>
      <c r="I58" s="167" t="s">
        <v>288</v>
      </c>
      <c r="J58" s="168" t="s">
        <v>50</v>
      </c>
      <c r="K58" s="28" t="str">
        <f t="shared" si="4"/>
        <v>조치</v>
      </c>
      <c r="L58" s="270" t="s">
        <v>289</v>
      </c>
      <c r="M58" s="221"/>
      <c r="N58" s="221"/>
      <c r="O58" s="221"/>
      <c r="P58" s="222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0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</row>
    <row r="59" spans="1:21" ht="36" customHeight="1">
      <c r="A59" s="31" t="str">
        <f>ChkList!A43</f>
        <v>서비스 관리</v>
      </c>
      <c r="B59" s="31" t="str">
        <f>ChkList!B43</f>
        <v>U-39</v>
      </c>
      <c r="C59" s="270" t="str">
        <f>ChkList!C43</f>
        <v>불필요한 NFS 서비스 비활성화</v>
      </c>
      <c r="D59" s="221"/>
      <c r="E59" s="222"/>
      <c r="F59" s="31" t="str">
        <f>ChkList!D43</f>
        <v>H</v>
      </c>
      <c r="G59" s="31">
        <f>ChkList!E43</f>
        <v>3</v>
      </c>
      <c r="H59" s="168" t="s">
        <v>50</v>
      </c>
      <c r="I59" s="167" t="s">
        <v>290</v>
      </c>
      <c r="J59" s="28" t="s">
        <v>50</v>
      </c>
      <c r="K59" s="28" t="str">
        <f t="shared" si="4"/>
        <v>Y</v>
      </c>
      <c r="L59" s="271" t="s">
        <v>329</v>
      </c>
      <c r="M59" s="272"/>
      <c r="N59" s="272"/>
      <c r="O59" s="272"/>
      <c r="P59" s="273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1" ht="36" customHeight="1">
      <c r="A60" s="31" t="str">
        <f>ChkList!A44</f>
        <v>서비스 관리</v>
      </c>
      <c r="B60" s="31" t="str">
        <f>ChkList!B44</f>
        <v>U-40</v>
      </c>
      <c r="C60" s="270" t="str">
        <f>ChkList!C44</f>
        <v>NFS 접근 통제</v>
      </c>
      <c r="D60" s="221"/>
      <c r="E60" s="222"/>
      <c r="F60" s="31" t="str">
        <f>ChkList!D44</f>
        <v>H</v>
      </c>
      <c r="G60" s="31">
        <f>ChkList!E44</f>
        <v>3</v>
      </c>
      <c r="H60" s="168" t="s">
        <v>50</v>
      </c>
      <c r="I60" s="167" t="s">
        <v>291</v>
      </c>
      <c r="J60" s="28" t="s">
        <v>50</v>
      </c>
      <c r="K60" s="28" t="str">
        <f t="shared" si="4"/>
        <v>Y</v>
      </c>
      <c r="L60" s="271" t="s">
        <v>344</v>
      </c>
      <c r="M60" s="272"/>
      <c r="N60" s="272"/>
      <c r="O60" s="272"/>
      <c r="P60" s="273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1" ht="36" customHeight="1">
      <c r="A61" s="31" t="str">
        <f>ChkList!A45</f>
        <v>서비스 관리</v>
      </c>
      <c r="B61" s="31" t="str">
        <f>ChkList!B45</f>
        <v>U-41</v>
      </c>
      <c r="C61" s="270" t="str">
        <f>ChkList!C45</f>
        <v>불필요한 automountd 제거</v>
      </c>
      <c r="D61" s="221"/>
      <c r="E61" s="222"/>
      <c r="F61" s="31" t="str">
        <f>ChkList!D45</f>
        <v>H</v>
      </c>
      <c r="G61" s="31">
        <f>ChkList!E45</f>
        <v>3</v>
      </c>
      <c r="H61" s="168" t="s">
        <v>50</v>
      </c>
      <c r="I61" s="167" t="s">
        <v>291</v>
      </c>
      <c r="J61" s="28" t="s">
        <v>50</v>
      </c>
      <c r="K61" s="28" t="str">
        <f t="shared" si="4"/>
        <v>Y</v>
      </c>
      <c r="L61" s="271" t="s">
        <v>344</v>
      </c>
      <c r="M61" s="272"/>
      <c r="N61" s="272"/>
      <c r="O61" s="272"/>
      <c r="P61" s="273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1" ht="36" customHeight="1">
      <c r="A62" s="31" t="str">
        <f>ChkList!A46</f>
        <v>서비스 관리</v>
      </c>
      <c r="B62" s="31" t="str">
        <f>ChkList!B46</f>
        <v>U-42</v>
      </c>
      <c r="C62" s="270" t="str">
        <f>ChkList!C46</f>
        <v>불필요한 RPC 서비스 비활성화</v>
      </c>
      <c r="D62" s="221"/>
      <c r="E62" s="222"/>
      <c r="F62" s="31" t="str">
        <f>ChkList!D46</f>
        <v>H</v>
      </c>
      <c r="G62" s="31">
        <f>ChkList!E46</f>
        <v>3</v>
      </c>
      <c r="H62" s="168" t="s">
        <v>50</v>
      </c>
      <c r="I62" s="167" t="s">
        <v>292</v>
      </c>
      <c r="J62" s="28" t="s">
        <v>50</v>
      </c>
      <c r="K62" s="28" t="str">
        <f t="shared" si="4"/>
        <v>Y</v>
      </c>
      <c r="L62" s="271" t="s">
        <v>345</v>
      </c>
      <c r="M62" s="272"/>
      <c r="N62" s="272"/>
      <c r="O62" s="272"/>
      <c r="P62" s="273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1" ht="36" customHeight="1">
      <c r="A63" s="31" t="str">
        <f>ChkList!A47</f>
        <v>서비스 관리</v>
      </c>
      <c r="B63" s="31" t="str">
        <f>ChkList!B47</f>
        <v>U-43</v>
      </c>
      <c r="C63" s="270" t="str">
        <f>ChkList!C47</f>
        <v>NIS, NIS+ 점검</v>
      </c>
      <c r="D63" s="221"/>
      <c r="E63" s="222"/>
      <c r="F63" s="31" t="str">
        <f>ChkList!D47</f>
        <v>H</v>
      </c>
      <c r="G63" s="31">
        <f>ChkList!E47</f>
        <v>3</v>
      </c>
      <c r="H63" s="168" t="s">
        <v>50</v>
      </c>
      <c r="I63" s="167" t="s">
        <v>293</v>
      </c>
      <c r="J63" s="28" t="s">
        <v>50</v>
      </c>
      <c r="K63" s="28" t="str">
        <f t="shared" si="4"/>
        <v>Y</v>
      </c>
      <c r="L63" s="271" t="s">
        <v>346</v>
      </c>
      <c r="M63" s="272"/>
      <c r="N63" s="272"/>
      <c r="O63" s="272"/>
      <c r="P63" s="273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1" ht="36" customHeight="1">
      <c r="A64" s="31" t="str">
        <f>ChkList!A48</f>
        <v>서비스 관리</v>
      </c>
      <c r="B64" s="31" t="str">
        <f>ChkList!B48</f>
        <v>U-44</v>
      </c>
      <c r="C64" s="270" t="str">
        <f>ChkList!C48</f>
        <v>tftp, talk 서비스 비활성화</v>
      </c>
      <c r="D64" s="221"/>
      <c r="E64" s="222"/>
      <c r="F64" s="31" t="str">
        <f>ChkList!D48</f>
        <v>H</v>
      </c>
      <c r="G64" s="31">
        <f>ChkList!E48</f>
        <v>3</v>
      </c>
      <c r="H64" s="168" t="s">
        <v>50</v>
      </c>
      <c r="I64" s="167" t="s">
        <v>294</v>
      </c>
      <c r="J64" s="28" t="s">
        <v>50</v>
      </c>
      <c r="K64" s="28" t="str">
        <f t="shared" si="4"/>
        <v>Y</v>
      </c>
      <c r="L64" s="271" t="s">
        <v>347</v>
      </c>
      <c r="M64" s="272"/>
      <c r="N64" s="272"/>
      <c r="O64" s="272"/>
      <c r="P64" s="273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 customHeight="1">
      <c r="A65" s="31" t="str">
        <f>ChkList!A49</f>
        <v>서비스 관리</v>
      </c>
      <c r="B65" s="31" t="str">
        <f>ChkList!B49</f>
        <v>U-45</v>
      </c>
      <c r="C65" s="270" t="str">
        <f>ChkList!C49</f>
        <v>메일 서비스 버전 점검</v>
      </c>
      <c r="D65" s="221"/>
      <c r="E65" s="222"/>
      <c r="F65" s="31" t="str">
        <f>ChkList!D49</f>
        <v>H</v>
      </c>
      <c r="G65" s="31">
        <f>ChkList!E49</f>
        <v>3</v>
      </c>
      <c r="H65" s="168" t="s">
        <v>50</v>
      </c>
      <c r="I65" s="167" t="s">
        <v>295</v>
      </c>
      <c r="J65" s="28" t="s">
        <v>50</v>
      </c>
      <c r="K65" s="28" t="str">
        <f t="shared" si="4"/>
        <v>Y</v>
      </c>
      <c r="L65" s="271" t="s">
        <v>348</v>
      </c>
      <c r="M65" s="272"/>
      <c r="N65" s="272"/>
      <c r="O65" s="272"/>
      <c r="P65" s="273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 customHeight="1">
      <c r="A66" s="31" t="str">
        <f>ChkList!A50</f>
        <v>서비스 관리</v>
      </c>
      <c r="B66" s="31" t="str">
        <f>ChkList!B50</f>
        <v>U-46</v>
      </c>
      <c r="C66" s="270" t="str">
        <f>ChkList!C50</f>
        <v>일반 사용자의 메일 서비스 실행 방지</v>
      </c>
      <c r="D66" s="221"/>
      <c r="E66" s="222"/>
      <c r="F66" s="31" t="str">
        <f>ChkList!D50</f>
        <v>H</v>
      </c>
      <c r="G66" s="31">
        <f>ChkList!E50</f>
        <v>3</v>
      </c>
      <c r="H66" s="168" t="s">
        <v>50</v>
      </c>
      <c r="I66" s="167" t="s">
        <v>296</v>
      </c>
      <c r="J66" s="28" t="s">
        <v>50</v>
      </c>
      <c r="K66" s="28" t="str">
        <f t="shared" si="4"/>
        <v>Y</v>
      </c>
      <c r="L66" s="271" t="s">
        <v>296</v>
      </c>
      <c r="M66" s="272"/>
      <c r="N66" s="272"/>
      <c r="O66" s="272"/>
      <c r="P66" s="273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 customHeight="1">
      <c r="A67" s="31" t="str">
        <f>ChkList!A51</f>
        <v>서비스 관리</v>
      </c>
      <c r="B67" s="31" t="str">
        <f>ChkList!B51</f>
        <v>U-47</v>
      </c>
      <c r="C67" s="270" t="str">
        <f>ChkList!C51</f>
        <v>스팸 메일 릴레이 제한</v>
      </c>
      <c r="D67" s="221"/>
      <c r="E67" s="222"/>
      <c r="F67" s="31" t="str">
        <f>ChkList!D51</f>
        <v>H</v>
      </c>
      <c r="G67" s="31">
        <f>ChkList!E51</f>
        <v>3</v>
      </c>
      <c r="H67" s="168" t="s">
        <v>50</v>
      </c>
      <c r="I67" s="167" t="s">
        <v>297</v>
      </c>
      <c r="J67" s="28" t="s">
        <v>50</v>
      </c>
      <c r="K67" s="28" t="str">
        <f t="shared" si="4"/>
        <v>Y</v>
      </c>
      <c r="L67" s="271" t="s">
        <v>349</v>
      </c>
      <c r="M67" s="272"/>
      <c r="N67" s="272"/>
      <c r="O67" s="272"/>
      <c r="P67" s="273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 customHeight="1">
      <c r="A68" s="31" t="str">
        <f>ChkList!A52</f>
        <v>서비스 관리</v>
      </c>
      <c r="B68" s="31" t="str">
        <f>ChkList!B52</f>
        <v>U-48</v>
      </c>
      <c r="C68" s="270" t="str">
        <f>ChkList!C52</f>
        <v>expn, vrfy 명령어 제한</v>
      </c>
      <c r="D68" s="221"/>
      <c r="E68" s="222"/>
      <c r="F68" s="31" t="str">
        <f>ChkList!D52</f>
        <v>M</v>
      </c>
      <c r="G68" s="31">
        <f>ChkList!E52</f>
        <v>2</v>
      </c>
      <c r="H68" s="168" t="s">
        <v>50</v>
      </c>
      <c r="I68" s="167" t="s">
        <v>297</v>
      </c>
      <c r="J68" s="28" t="s">
        <v>50</v>
      </c>
      <c r="K68" s="28" t="str">
        <f t="shared" si="4"/>
        <v>Y</v>
      </c>
      <c r="L68" s="271" t="s">
        <v>349</v>
      </c>
      <c r="M68" s="272"/>
      <c r="N68" s="272"/>
      <c r="O68" s="272"/>
      <c r="P68" s="273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 customHeight="1">
      <c r="A69" s="31" t="str">
        <f>ChkList!A53</f>
        <v>서비스 관리</v>
      </c>
      <c r="B69" s="31" t="str">
        <f>ChkList!B53</f>
        <v>U-49</v>
      </c>
      <c r="C69" s="270" t="str">
        <f>ChkList!C53</f>
        <v>DNS 보안 버전 패치</v>
      </c>
      <c r="D69" s="221"/>
      <c r="E69" s="222"/>
      <c r="F69" s="31" t="str">
        <f>ChkList!D53</f>
        <v>H</v>
      </c>
      <c r="G69" s="31">
        <f>ChkList!E53</f>
        <v>3</v>
      </c>
      <c r="H69" s="168" t="s">
        <v>50</v>
      </c>
      <c r="I69" s="167" t="s">
        <v>298</v>
      </c>
      <c r="J69" s="28" t="s">
        <v>50</v>
      </c>
      <c r="K69" s="28" t="str">
        <f t="shared" si="4"/>
        <v>Y</v>
      </c>
      <c r="L69" s="271" t="s">
        <v>350</v>
      </c>
      <c r="M69" s="272"/>
      <c r="N69" s="272"/>
      <c r="O69" s="272"/>
      <c r="P69" s="273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 customHeight="1">
      <c r="A70" s="31" t="str">
        <f>ChkList!A54</f>
        <v>서비스 관리</v>
      </c>
      <c r="B70" s="31" t="str">
        <f>ChkList!B54</f>
        <v>U-50</v>
      </c>
      <c r="C70" s="270" t="str">
        <f>ChkList!C54</f>
        <v>DNS Zone Transfer 설정</v>
      </c>
      <c r="D70" s="221"/>
      <c r="E70" s="222"/>
      <c r="F70" s="31" t="str">
        <f>ChkList!D54</f>
        <v>H</v>
      </c>
      <c r="G70" s="31">
        <f>ChkList!E54</f>
        <v>3</v>
      </c>
      <c r="H70" s="168" t="s">
        <v>50</v>
      </c>
      <c r="I70" s="167" t="s">
        <v>299</v>
      </c>
      <c r="J70" s="28" t="s">
        <v>50</v>
      </c>
      <c r="K70" s="28" t="str">
        <f t="shared" si="4"/>
        <v>Y</v>
      </c>
      <c r="L70" s="270" t="s">
        <v>331</v>
      </c>
      <c r="M70" s="221"/>
      <c r="N70" s="221"/>
      <c r="O70" s="221"/>
      <c r="P70" s="222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 customHeight="1">
      <c r="A71" s="31" t="str">
        <f>ChkList!A55</f>
        <v>서비스 관리</v>
      </c>
      <c r="B71" s="31" t="str">
        <f>ChkList!B55</f>
        <v>U-51</v>
      </c>
      <c r="C71" s="270" t="str">
        <f>ChkList!C55</f>
        <v>DNS 서비스의 취약한 동적 업데이트 설정 금지</v>
      </c>
      <c r="D71" s="221"/>
      <c r="E71" s="222"/>
      <c r="F71" s="31" t="str">
        <f>ChkList!D55</f>
        <v>M</v>
      </c>
      <c r="G71" s="31">
        <f>ChkList!E55</f>
        <v>2</v>
      </c>
      <c r="H71" s="168" t="s">
        <v>51</v>
      </c>
      <c r="I71" s="167" t="s">
        <v>300</v>
      </c>
      <c r="J71" s="168" t="s">
        <v>50</v>
      </c>
      <c r="K71" s="28" t="str">
        <f t="shared" si="4"/>
        <v>조치</v>
      </c>
      <c r="L71" s="274" t="s">
        <v>301</v>
      </c>
      <c r="M71" s="221"/>
      <c r="N71" s="221"/>
      <c r="O71" s="221"/>
      <c r="P71" s="222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0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 customHeight="1">
      <c r="A72" s="31" t="str">
        <f>ChkList!A56</f>
        <v>서비스 관리</v>
      </c>
      <c r="B72" s="31" t="str">
        <f>ChkList!B56</f>
        <v>U-52</v>
      </c>
      <c r="C72" s="270" t="str">
        <f>ChkList!C56</f>
        <v>Telnet 서비스 비활성화</v>
      </c>
      <c r="D72" s="221"/>
      <c r="E72" s="222"/>
      <c r="F72" s="31" t="str">
        <f>ChkList!D56</f>
        <v>M</v>
      </c>
      <c r="G72" s="31">
        <f>ChkList!E56</f>
        <v>2</v>
      </c>
      <c r="H72" s="168" t="s">
        <v>50</v>
      </c>
      <c r="I72" s="167" t="s">
        <v>302</v>
      </c>
      <c r="J72" s="28" t="s">
        <v>50</v>
      </c>
      <c r="K72" s="28" t="str">
        <f t="shared" si="4"/>
        <v>Y</v>
      </c>
      <c r="L72" s="271" t="s">
        <v>351</v>
      </c>
      <c r="M72" s="221"/>
      <c r="N72" s="221"/>
      <c r="O72" s="221"/>
      <c r="P72" s="222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 customHeight="1">
      <c r="A73" s="31" t="str">
        <f>ChkList!A57</f>
        <v>서비스 관리</v>
      </c>
      <c r="B73" s="31" t="str">
        <f>ChkList!B57</f>
        <v>U-53</v>
      </c>
      <c r="C73" s="270" t="str">
        <f>ChkList!C57</f>
        <v>FTP 서비스 정보 노출 제한</v>
      </c>
      <c r="D73" s="221"/>
      <c r="E73" s="222"/>
      <c r="F73" s="31" t="str">
        <f>ChkList!D57</f>
        <v>L</v>
      </c>
      <c r="G73" s="31">
        <f>ChkList!E57</f>
        <v>1</v>
      </c>
      <c r="H73" s="168" t="s">
        <v>51</v>
      </c>
      <c r="I73" s="167" t="s">
        <v>303</v>
      </c>
      <c r="J73" s="168" t="s">
        <v>50</v>
      </c>
      <c r="K73" s="28" t="str">
        <f t="shared" si="4"/>
        <v>조치</v>
      </c>
      <c r="L73" s="271" t="s">
        <v>304</v>
      </c>
      <c r="M73" s="221"/>
      <c r="N73" s="221"/>
      <c r="O73" s="221"/>
      <c r="P73" s="222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0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 customHeight="1">
      <c r="A74" s="31" t="str">
        <f>ChkList!A58</f>
        <v>서비스 관리</v>
      </c>
      <c r="B74" s="31" t="str">
        <f>ChkList!B58</f>
        <v>U-54</v>
      </c>
      <c r="C74" s="270" t="str">
        <f>ChkList!C58</f>
        <v>암호화되지 않는 FTP 서비스 비활성화</v>
      </c>
      <c r="D74" s="221"/>
      <c r="E74" s="222"/>
      <c r="F74" s="31" t="str">
        <f>ChkList!D58</f>
        <v>M</v>
      </c>
      <c r="G74" s="31">
        <f>ChkList!E58</f>
        <v>2</v>
      </c>
      <c r="H74" s="168" t="s">
        <v>51</v>
      </c>
      <c r="I74" s="167" t="s">
        <v>305</v>
      </c>
      <c r="J74" s="168" t="s">
        <v>50</v>
      </c>
      <c r="K74" s="28" t="str">
        <f t="shared" si="4"/>
        <v>조치</v>
      </c>
      <c r="L74" s="270" t="s">
        <v>306</v>
      </c>
      <c r="M74" s="221"/>
      <c r="N74" s="221"/>
      <c r="O74" s="221"/>
      <c r="P74" s="222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0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36" customHeight="1">
      <c r="A75" s="31" t="str">
        <f>ChkList!A59</f>
        <v>서비스 관리</v>
      </c>
      <c r="B75" s="31" t="str">
        <f>ChkList!B59</f>
        <v>U-55</v>
      </c>
      <c r="C75" s="270" t="str">
        <f>ChkList!C59</f>
        <v>FTP 계정 Shell 제한</v>
      </c>
      <c r="D75" s="221"/>
      <c r="E75" s="222"/>
      <c r="F75" s="31" t="str">
        <f>ChkList!D59</f>
        <v>M</v>
      </c>
      <c r="G75" s="31">
        <f>ChkList!E59</f>
        <v>2</v>
      </c>
      <c r="H75" s="168" t="s">
        <v>51</v>
      </c>
      <c r="I75" s="167" t="s">
        <v>307</v>
      </c>
      <c r="J75" s="168" t="s">
        <v>50</v>
      </c>
      <c r="K75" s="28" t="str">
        <f t="shared" si="4"/>
        <v>조치</v>
      </c>
      <c r="L75" s="270" t="s">
        <v>308</v>
      </c>
      <c r="M75" s="221"/>
      <c r="N75" s="221"/>
      <c r="O75" s="221"/>
      <c r="P75" s="222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0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 customHeight="1">
      <c r="A76" s="31" t="str">
        <f>ChkList!A60</f>
        <v>서비스 관리</v>
      </c>
      <c r="B76" s="31" t="str">
        <f>ChkList!B60</f>
        <v>U-56</v>
      </c>
      <c r="C76" s="270" t="str">
        <f>ChkList!C60</f>
        <v>FTP 서비스 접근 제어 설정</v>
      </c>
      <c r="D76" s="221"/>
      <c r="E76" s="222"/>
      <c r="F76" s="31" t="str">
        <f>ChkList!D60</f>
        <v>L</v>
      </c>
      <c r="G76" s="31">
        <f>ChkList!E60</f>
        <v>1</v>
      </c>
      <c r="H76" s="168" t="s">
        <v>51</v>
      </c>
      <c r="I76" s="167" t="s">
        <v>309</v>
      </c>
      <c r="J76" s="168" t="s">
        <v>50</v>
      </c>
      <c r="K76" s="28" t="str">
        <f t="shared" si="4"/>
        <v>조치</v>
      </c>
      <c r="L76" s="270" t="s">
        <v>310</v>
      </c>
      <c r="M76" s="221"/>
      <c r="N76" s="221"/>
      <c r="O76" s="221"/>
      <c r="P76" s="222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0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 customHeight="1">
      <c r="A77" s="31" t="str">
        <f>ChkList!A61</f>
        <v>서비스 관리</v>
      </c>
      <c r="B77" s="31" t="str">
        <f>ChkList!B61</f>
        <v>U-57</v>
      </c>
      <c r="C77" s="270" t="str">
        <f>ChkList!C61</f>
        <v>Ftpusers 파일 설정</v>
      </c>
      <c r="D77" s="221"/>
      <c r="E77" s="222"/>
      <c r="F77" s="31" t="str">
        <f>ChkList!D61</f>
        <v>M</v>
      </c>
      <c r="G77" s="31">
        <f>ChkList!E61</f>
        <v>2</v>
      </c>
      <c r="H77" s="169" t="s">
        <v>51</v>
      </c>
      <c r="I77" s="167" t="s">
        <v>311</v>
      </c>
      <c r="J77" s="28" t="s">
        <v>50</v>
      </c>
      <c r="K77" s="175" t="str">
        <f>IF($J77="", "", IF(OR($H77="Y", $H77="N/A",$H77="Y(즉시조치)"), $H77, IF(AND($H77="N", $J77="Y"), "조치", IF(AND($H77="인터뷰", $J77="Y"), "조치", IF(AND($H77="N",$J77="N/A"), "N/A", IF(IFERROR(FIND("위험수용", $L77), 0), "위험수용", "미조치"))))))</f>
        <v>조치</v>
      </c>
      <c r="L77" s="270" t="s">
        <v>312</v>
      </c>
      <c r="M77" s="221"/>
      <c r="N77" s="221"/>
      <c r="O77" s="221"/>
      <c r="P77" s="222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0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 customHeight="1">
      <c r="A78" s="31" t="str">
        <f>ChkList!A62</f>
        <v>서비스 관리</v>
      </c>
      <c r="B78" s="31" t="str">
        <f>ChkList!B62</f>
        <v>U-58</v>
      </c>
      <c r="C78" s="270" t="str">
        <f>ChkList!C62</f>
        <v>불필요한 SNMP 서비스 구동 점검</v>
      </c>
      <c r="D78" s="221"/>
      <c r="E78" s="222"/>
      <c r="F78" s="31" t="str">
        <f>ChkList!D62</f>
        <v>M</v>
      </c>
      <c r="G78" s="31">
        <f>ChkList!E62</f>
        <v>2</v>
      </c>
      <c r="H78" s="168" t="s">
        <v>50</v>
      </c>
      <c r="I78" s="167" t="s">
        <v>313</v>
      </c>
      <c r="J78" s="28" t="s">
        <v>50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71" t="s">
        <v>338</v>
      </c>
      <c r="M78" s="272"/>
      <c r="N78" s="272"/>
      <c r="O78" s="272"/>
      <c r="P78" s="273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 customHeight="1">
      <c r="A79" s="31" t="str">
        <f>ChkList!A63</f>
        <v>서비스 관리</v>
      </c>
      <c r="B79" s="31" t="str">
        <f>ChkList!B63</f>
        <v>U-59</v>
      </c>
      <c r="C79" s="270" t="str">
        <f>ChkList!C63</f>
        <v>안전한 SNMP 버전 사용</v>
      </c>
      <c r="D79" s="221"/>
      <c r="E79" s="222"/>
      <c r="F79" s="31" t="str">
        <f>ChkList!D63</f>
        <v>H</v>
      </c>
      <c r="G79" s="31">
        <f>ChkList!E63</f>
        <v>3</v>
      </c>
      <c r="H79" s="168" t="s">
        <v>50</v>
      </c>
      <c r="I79" s="167" t="s">
        <v>314</v>
      </c>
      <c r="J79" s="28" t="s">
        <v>50</v>
      </c>
      <c r="K79" s="28" t="str">
        <f t="shared" si="4"/>
        <v>Y</v>
      </c>
      <c r="L79" s="271" t="s">
        <v>339</v>
      </c>
      <c r="M79" s="272"/>
      <c r="N79" s="272"/>
      <c r="O79" s="272"/>
      <c r="P79" s="273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 customHeight="1">
      <c r="A80" s="31" t="str">
        <f>ChkList!A64</f>
        <v>서비스 관리</v>
      </c>
      <c r="B80" s="31" t="str">
        <f>ChkList!B64</f>
        <v>U-60</v>
      </c>
      <c r="C80" s="270" t="str">
        <f>ChkList!C64</f>
        <v>SNMP Community String 복잡성 설정</v>
      </c>
      <c r="D80" s="221"/>
      <c r="E80" s="222"/>
      <c r="F80" s="31" t="str">
        <f>ChkList!D64</f>
        <v>M</v>
      </c>
      <c r="G80" s="31">
        <f>ChkList!E64</f>
        <v>2</v>
      </c>
      <c r="H80" s="168" t="s">
        <v>50</v>
      </c>
      <c r="I80" s="167" t="s">
        <v>315</v>
      </c>
      <c r="J80" s="28" t="s">
        <v>50</v>
      </c>
      <c r="K80" s="28" t="str">
        <f t="shared" si="4"/>
        <v>Y</v>
      </c>
      <c r="L80" s="271" t="s">
        <v>340</v>
      </c>
      <c r="M80" s="272"/>
      <c r="N80" s="272"/>
      <c r="O80" s="272"/>
      <c r="P80" s="273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 customHeight="1">
      <c r="A81" s="31" t="str">
        <f>ChkList!A65</f>
        <v>서비스 관리</v>
      </c>
      <c r="B81" s="31" t="str">
        <f>ChkList!B65</f>
        <v>U-61</v>
      </c>
      <c r="C81" s="270" t="str">
        <f>ChkList!C65</f>
        <v>SNMP Access Control 설정</v>
      </c>
      <c r="D81" s="221"/>
      <c r="E81" s="222"/>
      <c r="F81" s="31" t="str">
        <f>ChkList!D65</f>
        <v>H</v>
      </c>
      <c r="G81" s="31">
        <f>ChkList!E65</f>
        <v>3</v>
      </c>
      <c r="H81" s="168" t="s">
        <v>50</v>
      </c>
      <c r="I81" s="167" t="s">
        <v>316</v>
      </c>
      <c r="J81" s="28" t="s">
        <v>50</v>
      </c>
      <c r="K81" s="28" t="str">
        <f>IF($J81="", "", IF(OR($H81="Y", $H81="N/A",$H81="Y(즉시조치)"), $H81, IF(AND($H81="N", $J81="Y"), "조치", IF(AND($H81="인터뷰",$J81="N/A"), "N/A", IF(IFERROR(FIND("위험수용", $L81), 0), "위험수용", "미조치")))))</f>
        <v>Y</v>
      </c>
      <c r="L81" s="271" t="s">
        <v>341</v>
      </c>
      <c r="M81" s="272"/>
      <c r="N81" s="272"/>
      <c r="O81" s="272"/>
      <c r="P81" s="273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 customHeight="1">
      <c r="A82" s="31" t="str">
        <f>ChkList!A66</f>
        <v>서비스 관리</v>
      </c>
      <c r="B82" s="31" t="str">
        <f>ChkList!B66</f>
        <v>U-62</v>
      </c>
      <c r="C82" s="270" t="str">
        <f>ChkList!C66</f>
        <v>로그인 시 경고 메시지 설정</v>
      </c>
      <c r="D82" s="221"/>
      <c r="E82" s="222"/>
      <c r="F82" s="31" t="str">
        <f>ChkList!D66</f>
        <v>L</v>
      </c>
      <c r="G82" s="31">
        <f>ChkList!E66</f>
        <v>1</v>
      </c>
      <c r="H82" s="168" t="s">
        <v>50</v>
      </c>
      <c r="I82" s="164" t="s">
        <v>317</v>
      </c>
      <c r="J82" s="28" t="s">
        <v>50</v>
      </c>
      <c r="K82" s="28" t="str">
        <f t="shared" si="4"/>
        <v>Y</v>
      </c>
      <c r="L82" s="271" t="s">
        <v>342</v>
      </c>
      <c r="M82" s="272"/>
      <c r="N82" s="272"/>
      <c r="O82" s="272"/>
      <c r="P82" s="273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 customHeight="1">
      <c r="A83" s="31" t="str">
        <f>ChkList!A67</f>
        <v>서비스 관리</v>
      </c>
      <c r="B83" s="31" t="str">
        <f>ChkList!B67</f>
        <v>U-63</v>
      </c>
      <c r="C83" s="270" t="str">
        <f>ChkList!C67</f>
        <v>sudo 명령어 접근 관리</v>
      </c>
      <c r="D83" s="221"/>
      <c r="E83" s="222"/>
      <c r="F83" s="31" t="str">
        <f>ChkList!D67</f>
        <v>M</v>
      </c>
      <c r="G83" s="31">
        <f>ChkList!E67</f>
        <v>2</v>
      </c>
      <c r="H83" s="168" t="s">
        <v>50</v>
      </c>
      <c r="I83" s="167" t="s">
        <v>318</v>
      </c>
      <c r="J83" s="28" t="s">
        <v>50</v>
      </c>
      <c r="K83" s="28" t="str">
        <f t="shared" si="4"/>
        <v>Y</v>
      </c>
      <c r="L83" s="271" t="s">
        <v>343</v>
      </c>
      <c r="M83" s="272"/>
      <c r="N83" s="272"/>
      <c r="O83" s="272"/>
      <c r="P83" s="273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36" customHeight="1">
      <c r="A84" s="31" t="str">
        <f>ChkList!A68</f>
        <v>패치 관리</v>
      </c>
      <c r="B84" s="31" t="str">
        <f>ChkList!B68</f>
        <v>U-64</v>
      </c>
      <c r="C84" s="270" t="str">
        <f>ChkList!C68</f>
        <v>주기적 보안 패치 및 벤더 권고사항 적용</v>
      </c>
      <c r="D84" s="221"/>
      <c r="E84" s="222"/>
      <c r="F84" s="31" t="str">
        <f>ChkList!D68</f>
        <v>H</v>
      </c>
      <c r="G84" s="31">
        <f>ChkList!E68</f>
        <v>3</v>
      </c>
      <c r="H84" s="168" t="s">
        <v>50</v>
      </c>
      <c r="I84" s="167" t="s">
        <v>319</v>
      </c>
      <c r="J84" s="28" t="s">
        <v>50</v>
      </c>
      <c r="K84" s="28" t="str">
        <f>IF($J84="", "", IF(OR($H84="Y", $H84="N/A",$H84="Y(즉시조치)"), $H84, IF(AND($H84="N", $J84="Y"), "조치", IF(AND($H84="인터뷰",$J84="N/A"), "N/A", IF(IFERROR(FIND("위험수용", $L84), 0), "위험수용", "미조치")))))</f>
        <v>Y</v>
      </c>
      <c r="L84" s="270" t="s">
        <v>337</v>
      </c>
      <c r="M84" s="221"/>
      <c r="N84" s="221"/>
      <c r="O84" s="221"/>
      <c r="P84" s="222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 customHeight="1">
      <c r="A85" s="31" t="str">
        <f>ChkList!A69</f>
        <v>로그 관리</v>
      </c>
      <c r="B85" s="31" t="str">
        <f>ChkList!B69</f>
        <v>U-65</v>
      </c>
      <c r="C85" s="270" t="str">
        <f>ChkList!C69</f>
        <v>NTP 및 시각 동기화 설정</v>
      </c>
      <c r="D85" s="221"/>
      <c r="E85" s="222"/>
      <c r="F85" s="31" t="str">
        <f>ChkList!D69</f>
        <v>M</v>
      </c>
      <c r="G85" s="31">
        <f>ChkList!E69</f>
        <v>2</v>
      </c>
      <c r="H85" s="168" t="s">
        <v>50</v>
      </c>
      <c r="I85" s="167" t="s">
        <v>319</v>
      </c>
      <c r="J85" s="28" t="s">
        <v>50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70" t="s">
        <v>337</v>
      </c>
      <c r="M85" s="221"/>
      <c r="N85" s="221"/>
      <c r="O85" s="221"/>
      <c r="P85" s="222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 customHeight="1">
      <c r="A86" s="31" t="str">
        <f>ChkList!A70</f>
        <v>로그 관리</v>
      </c>
      <c r="B86" s="31" t="str">
        <f>ChkList!B70</f>
        <v>U-66</v>
      </c>
      <c r="C86" s="270" t="str">
        <f>ChkList!C70</f>
        <v>정책에 따른 시스템 로깅 설정</v>
      </c>
      <c r="D86" s="221"/>
      <c r="E86" s="222"/>
      <c r="F86" s="31" t="str">
        <f>ChkList!D70</f>
        <v>M</v>
      </c>
      <c r="G86" s="31">
        <f>ChkList!E70</f>
        <v>2</v>
      </c>
      <c r="H86" s="168" t="s">
        <v>50</v>
      </c>
      <c r="I86" s="167" t="s">
        <v>320</v>
      </c>
      <c r="J86" s="28" t="s">
        <v>50</v>
      </c>
      <c r="K86" s="28" t="str">
        <f t="shared" si="5"/>
        <v>Y</v>
      </c>
      <c r="L86" s="270" t="s">
        <v>336</v>
      </c>
      <c r="M86" s="221"/>
      <c r="N86" s="221"/>
      <c r="O86" s="221"/>
      <c r="P86" s="222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 customHeight="1">
      <c r="A87" s="31" t="str">
        <f>ChkList!A71</f>
        <v>로그 관리</v>
      </c>
      <c r="B87" s="31" t="str">
        <f>ChkList!B71</f>
        <v>U-67</v>
      </c>
      <c r="C87" s="270" t="str">
        <f>ChkList!C71</f>
        <v>로그 디렉터리 소유자 및 권한 설정</v>
      </c>
      <c r="D87" s="221"/>
      <c r="E87" s="222"/>
      <c r="F87" s="31" t="str">
        <f>ChkList!D71</f>
        <v>M</v>
      </c>
      <c r="G87" s="31">
        <f>ChkList!E71</f>
        <v>2</v>
      </c>
      <c r="H87" s="168" t="s">
        <v>50</v>
      </c>
      <c r="I87" s="167" t="s">
        <v>321</v>
      </c>
      <c r="J87" s="28" t="s">
        <v>50</v>
      </c>
      <c r="K87" s="28" t="str">
        <f t="shared" si="5"/>
        <v>Y</v>
      </c>
      <c r="L87" s="270" t="s">
        <v>335</v>
      </c>
      <c r="M87" s="221"/>
      <c r="N87" s="221"/>
      <c r="O87" s="221"/>
      <c r="P87" s="222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357" priority="223" operator="containsText" text="N">
      <formula>NOT(ISERROR(SEARCH("N",H21)))</formula>
    </cfRule>
    <cfRule type="cellIs" priority="224" operator="equal">
      <formula>"취약"</formula>
    </cfRule>
    <cfRule type="cellIs" priority="225" operator="equal">
      <formula>"양호"</formula>
    </cfRule>
  </conditionalFormatting>
  <conditionalFormatting sqref="J40:J42">
    <cfRule type="containsText" dxfId="356" priority="128" operator="containsText" text="N">
      <formula>NOT(ISERROR(SEARCH("N",J40)))</formula>
    </cfRule>
    <cfRule type="cellIs" priority="129" operator="equal">
      <formula>"취약"</formula>
    </cfRule>
    <cfRule type="cellIs" priority="130" operator="equal">
      <formula>"양호"</formula>
    </cfRule>
  </conditionalFormatting>
  <conditionalFormatting sqref="J44">
    <cfRule type="containsText" dxfId="355" priority="125" operator="containsText" text="N">
      <formula>NOT(ISERROR(SEARCH("N",J44)))</formula>
    </cfRule>
    <cfRule type="cellIs" priority="126" operator="equal">
      <formula>"취약"</formula>
    </cfRule>
    <cfRule type="cellIs" priority="127" operator="equal">
      <formula>"양호"</formula>
    </cfRule>
  </conditionalFormatting>
  <conditionalFormatting sqref="J46:J47">
    <cfRule type="containsText" dxfId="354" priority="119" operator="containsText" text="N">
      <formula>NOT(ISERROR(SEARCH("N",J46)))</formula>
    </cfRule>
    <cfRule type="cellIs" priority="120" operator="equal">
      <formula>"취약"</formula>
    </cfRule>
    <cfRule type="cellIs" priority="121" operator="equal">
      <formula>"양호"</formula>
    </cfRule>
  </conditionalFormatting>
  <conditionalFormatting sqref="J49">
    <cfRule type="containsText" dxfId="353" priority="116" operator="containsText" text="N">
      <formula>NOT(ISERROR(SEARCH("N",J49)))</formula>
    </cfRule>
    <cfRule type="cellIs" priority="117" operator="equal">
      <formula>"취약"</formula>
    </cfRule>
    <cfRule type="cellIs" priority="118" operator="equal">
      <formula>"양호"</formula>
    </cfRule>
  </conditionalFormatting>
  <conditionalFormatting sqref="J58">
    <cfRule type="containsText" dxfId="352" priority="113" operator="containsText" text="N">
      <formula>NOT(ISERROR(SEARCH("N",J58)))</formula>
    </cfRule>
    <cfRule type="cellIs" priority="114" operator="equal">
      <formula>"취약"</formula>
    </cfRule>
    <cfRule type="cellIs" priority="115" operator="equal">
      <formula>"양호"</formula>
    </cfRule>
  </conditionalFormatting>
  <conditionalFormatting sqref="J71">
    <cfRule type="containsText" dxfId="351" priority="110" operator="containsText" text="N">
      <formula>NOT(ISERROR(SEARCH("N",J71)))</formula>
    </cfRule>
    <cfRule type="cellIs" priority="111" operator="equal">
      <formula>"취약"</formula>
    </cfRule>
    <cfRule type="cellIs" priority="112" operator="equal">
      <formula>"양호"</formula>
    </cfRule>
  </conditionalFormatting>
  <conditionalFormatting sqref="J73:J76">
    <cfRule type="containsText" dxfId="350" priority="101" operator="containsText" text="N">
      <formula>NOT(ISERROR(SEARCH("N",J73)))</formula>
    </cfRule>
    <cfRule type="cellIs" priority="102" operator="equal">
      <formula>"취약"</formula>
    </cfRule>
    <cfRule type="cellIs" priority="103" operator="equal">
      <formula>"양호"</formula>
    </cfRule>
  </conditionalFormatting>
  <conditionalFormatting sqref="J77:J87">
    <cfRule type="cellIs" dxfId="349" priority="19" stopIfTrue="1" operator="equal">
      <formula>"인터뷰"</formula>
    </cfRule>
    <cfRule type="cellIs" dxfId="348" priority="20" stopIfTrue="1" operator="equal">
      <formula>"R/A"</formula>
    </cfRule>
    <cfRule type="cellIs" dxfId="347" priority="21" stopIfTrue="1" operator="equal">
      <formula>"N/A"</formula>
    </cfRule>
    <cfRule type="cellIs" dxfId="346" priority="22" stopIfTrue="1" operator="equal">
      <formula>"N"</formula>
    </cfRule>
    <cfRule type="expression" dxfId="345" priority="23">
      <formula>OR(IF(J77=0,1,0),IF(J77="-",1,0))</formula>
    </cfRule>
  </conditionalFormatting>
  <conditionalFormatting sqref="J21:K39 K40:K42 J43:K43 K44 J45:K45 K46:K47 J48:K48 K49 J50:K57 K58 J59:K70 K71 J72:K72 K73:K76">
    <cfRule type="cellIs" dxfId="344" priority="171" stopIfTrue="1" operator="equal">
      <formula>"인터뷰"</formula>
    </cfRule>
    <cfRule type="cellIs" dxfId="343" priority="172" stopIfTrue="1" operator="equal">
      <formula>"R/A"</formula>
    </cfRule>
    <cfRule type="cellIs" dxfId="342" priority="173" stopIfTrue="1" operator="equal">
      <formula>"N/A"</formula>
    </cfRule>
    <cfRule type="cellIs" dxfId="341" priority="174" stopIfTrue="1" operator="equal">
      <formula>"N"</formula>
    </cfRule>
    <cfRule type="expression" dxfId="340" priority="175">
      <formula>OR(IF(J21=0,1,0),IF(J21="-",1,0))</formula>
    </cfRule>
  </conditionalFormatting>
  <conditionalFormatting sqref="K21:K76">
    <cfRule type="cellIs" dxfId="339" priority="168" operator="equal">
      <formula>"위험수용"</formula>
    </cfRule>
    <cfRule type="cellIs" dxfId="338" priority="169" operator="equal">
      <formula>"미조치"</formula>
    </cfRule>
    <cfRule type="cellIs" dxfId="337" priority="170" operator="equal">
      <formula>"조치"</formula>
    </cfRule>
  </conditionalFormatting>
  <conditionalFormatting sqref="K77">
    <cfRule type="cellIs" dxfId="336" priority="137" stopIfTrue="1" operator="equal">
      <formula>"인터뷰"</formula>
    </cfRule>
    <cfRule type="cellIs" dxfId="335" priority="138" stopIfTrue="1" operator="equal">
      <formula>"R/A"</formula>
    </cfRule>
    <cfRule type="cellIs" dxfId="334" priority="139" stopIfTrue="1" operator="equal">
      <formula>"N/A"</formula>
    </cfRule>
    <cfRule type="cellIs" dxfId="333" priority="140" stopIfTrue="1" operator="equal">
      <formula>"N"</formula>
    </cfRule>
    <cfRule type="expression" dxfId="332" priority="141">
      <formula>OR(IF(K77=0,1,0),IF(K77="-",1,0))</formula>
    </cfRule>
    <cfRule type="cellIs" dxfId="331" priority="142" stopIfTrue="1" operator="equal">
      <formula>"인터뷰"</formula>
    </cfRule>
    <cfRule type="cellIs" dxfId="330" priority="143" stopIfTrue="1" operator="equal">
      <formula>"R/A"</formula>
    </cfRule>
    <cfRule type="cellIs" dxfId="329" priority="144" stopIfTrue="1" operator="equal">
      <formula>"N/A"</formula>
    </cfRule>
    <cfRule type="cellIs" dxfId="328" priority="145" stopIfTrue="1" operator="equal">
      <formula>"N"</formula>
    </cfRule>
    <cfRule type="expression" dxfId="327" priority="146">
      <formula>OR(IF(K77=0,1,0),IF(K77="-",1,0))</formula>
    </cfRule>
    <cfRule type="cellIs" dxfId="326" priority="147" operator="equal">
      <formula>"위험수용"</formula>
    </cfRule>
    <cfRule type="cellIs" dxfId="325" priority="148" operator="equal">
      <formula>"미조치"</formula>
    </cfRule>
    <cfRule type="cellIs" dxfId="324" priority="149" operator="equal">
      <formula>"조치"</formula>
    </cfRule>
  </conditionalFormatting>
  <conditionalFormatting sqref="K78:K87">
    <cfRule type="cellIs" dxfId="323" priority="32" stopIfTrue="1" operator="equal">
      <formula>"인터뷰"</formula>
    </cfRule>
    <cfRule type="cellIs" dxfId="322" priority="33" stopIfTrue="1" operator="equal">
      <formula>"R/A"</formula>
    </cfRule>
    <cfRule type="cellIs" dxfId="321" priority="34" stopIfTrue="1" operator="equal">
      <formula>"N/A"</formula>
    </cfRule>
    <cfRule type="cellIs" dxfId="320" priority="35" stopIfTrue="1" operator="equal">
      <formula>"N"</formula>
    </cfRule>
    <cfRule type="expression" dxfId="319" priority="36">
      <formula>OR(IF(K78=0,1,0),IF(K78="-",1,0))</formula>
    </cfRule>
  </conditionalFormatting>
  <conditionalFormatting sqref="K78:K87">
    <cfRule type="cellIs" dxfId="318" priority="11" operator="equal">
      <formula>"위험수용"</formula>
    </cfRule>
    <cfRule type="cellIs" dxfId="317" priority="12" operator="equal">
      <formula>"미조치"</formula>
    </cfRule>
    <cfRule type="cellIs" dxfId="316" priority="13" operator="equal">
      <formula>"조치"</formula>
    </cfRule>
  </conditionalFormatting>
  <conditionalFormatting sqref="L21:L87">
    <cfRule type="cellIs" dxfId="315" priority="1" stopIfTrue="1" operator="equal">
      <formula>"인터뷰"</formula>
    </cfRule>
    <cfRule type="cellIs" dxfId="314" priority="2" stopIfTrue="1" operator="equal">
      <formula>"R/A"</formula>
    </cfRule>
    <cfRule type="cellIs" dxfId="313" priority="3" stopIfTrue="1" operator="equal">
      <formula>"N/A"</formula>
    </cfRule>
    <cfRule type="cellIs" dxfId="312" priority="4" stopIfTrue="1" operator="equal">
      <formula>"N"</formula>
    </cfRule>
    <cfRule type="expression" dxfId="311" priority="5">
      <formula>OR(IF(L21=0,1,0),IF(L21="-",1,0))</formula>
    </cfRule>
  </conditionalFormatting>
  <dataValidations count="4">
    <dataValidation errorStyle="warning" allowBlank="1" showInputMessage="1" showErrorMessage="1" sqref="K21:K76 K78:K87"/>
    <dataValidation type="list" errorStyle="warning" showInputMessage="1" showErrorMessage="1" errorTitle="오류!" error="Y, N, N/A 중에 선택" sqref="J77:J87 J72 J21:J39 J43 J45 J48 J50:J57 J59:J70">
      <formula1>"Y,N,N/A,인터뷰,Y(즉시조치)"</formula1>
    </dataValidation>
    <dataValidation type="list" errorStyle="warning" allowBlank="1" showInputMessage="1" showErrorMessage="1" errorTitle="오류!" error="Y, N, N/A 중에 선택" sqref="H21:H87 J40:J42 J44 J46:J47 J49 J58 J71 J73:J76">
      <formula1>"Y,N,N/A,인터뷰,Y(즉시조치)"</formula1>
    </dataValidation>
    <dataValidation allowBlank="1" showInputMessage="1" showErrorMessage="1" errorTitle="오류!" error="Y, N, N/A 중에 선택" sqref="L21:L87 I21:I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87"/>
  <sheetViews>
    <sheetView showGridLines="0" view="pageBreakPreview" topLeftCell="I16" zoomScaleNormal="85" zoomScaleSheetLayoutView="100" workbookViewId="0">
      <selection activeCell="I27" sqref="I27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4" t="s">
        <v>213</v>
      </c>
      <c r="B3" s="54"/>
      <c r="C3" s="54"/>
      <c r="D3" s="54"/>
      <c r="E3" s="54"/>
      <c r="F3" s="54"/>
      <c r="G3" s="54"/>
      <c r="H3" s="5"/>
      <c r="I3" s="5"/>
      <c r="R3" s="5" t="s">
        <v>214</v>
      </c>
      <c r="X3" s="5"/>
      <c r="Y3" s="5"/>
    </row>
    <row r="4" spans="1:25" ht="17.100000000000001" customHeight="1" thickBot="1">
      <c r="A4" s="126" t="s">
        <v>215</v>
      </c>
      <c r="B4" s="307" t="str">
        <f ca="1">REPLACE(CELL("filename",A1),1,FIND("]",CELL("filename",A1)),"")</f>
        <v>DB_HQ_Rocky</v>
      </c>
      <c r="C4" s="247"/>
      <c r="D4" s="308" t="s">
        <v>216</v>
      </c>
      <c r="E4" s="250"/>
      <c r="F4" s="310" t="str">
        <f ca="1">IFERROR(VLOOKUP($B$4,자산목록!$B$1:$Q$835,8,FALSE),"N/A")</f>
        <v>본사 DB 서버</v>
      </c>
      <c r="G4" s="311"/>
      <c r="H4" s="63"/>
      <c r="I4" s="55"/>
      <c r="R4" s="25" t="s">
        <v>15</v>
      </c>
      <c r="S4" s="41">
        <f ca="1">IFERROR(VLOOKUP($B$4,자산목록!$B$1:$Q$835,13,FALSE),"N/A")</f>
        <v>3</v>
      </c>
      <c r="T4" s="309" t="s">
        <v>217</v>
      </c>
      <c r="U4" s="287" t="str">
        <f ca="1">IFERROR(VLOOKUP($B$4,자산목록!$B$1:$Q$835,16,FALSE),"N/A")</f>
        <v>H</v>
      </c>
      <c r="X4" s="5"/>
      <c r="Y4" s="5"/>
    </row>
    <row r="5" spans="1:25" ht="17.100000000000001" customHeight="1" thickBot="1">
      <c r="A5" s="127" t="s">
        <v>218</v>
      </c>
      <c r="B5" s="301" t="str">
        <f ca="1">IFERROR(VLOOKUP($B$4,자산목록!$B$1:$Q$835,6,FALSE)&amp;" "&amp;VLOOKUP($B$4,자산목록!$B$1:$Q$835,7,FALSE),"N/A")</f>
        <v>Rocky 8.1</v>
      </c>
      <c r="C5" s="222"/>
      <c r="D5" s="302" t="s">
        <v>219</v>
      </c>
      <c r="E5" s="303"/>
      <c r="F5" s="301" t="str">
        <f ca="1">IFERROR(VLOOKUP($B$4,자산목록!$B$1:$Q$835,2,FALSE),"N/A")</f>
        <v>10.10.40.18</v>
      </c>
      <c r="G5" s="222"/>
      <c r="H5" s="63"/>
      <c r="I5" s="55"/>
      <c r="R5" s="25" t="s">
        <v>16</v>
      </c>
      <c r="S5" s="41">
        <f ca="1">IFERROR(VLOOKUP($B$4,자산목록!$B$1:$Q$835,14,FALSE),"N/A")</f>
        <v>3</v>
      </c>
      <c r="T5" s="226"/>
      <c r="U5" s="226"/>
      <c r="X5" s="5"/>
      <c r="Y5" s="5"/>
    </row>
    <row r="6" spans="1:25" ht="17.100000000000001" customHeight="1" thickBot="1">
      <c r="A6" s="128" t="s">
        <v>12</v>
      </c>
      <c r="B6" s="304" t="str">
        <f ca="1">IFERROR(VLOOKUP($B$4,자산목록!$B$1:$Q$835,11,FALSE),"N/A")</f>
        <v>박지훈</v>
      </c>
      <c r="C6" s="234"/>
      <c r="D6" s="305" t="s">
        <v>220</v>
      </c>
      <c r="E6" s="306"/>
      <c r="F6" s="304" t="str">
        <f ca="1">IFERROR(VLOOKUP($B$4,자산목록!$B$1:$Q$835,9,FALSE),"N/A")</f>
        <v>본사 서버망</v>
      </c>
      <c r="G6" s="234"/>
      <c r="H6" s="63"/>
      <c r="I6" s="55"/>
      <c r="R6" s="25" t="s">
        <v>17</v>
      </c>
      <c r="S6" s="41">
        <f ca="1">IFERROR(VLOOKUP($B$4,자산목록!$B$1:$Q$835,15,FALSE),"N/A")</f>
        <v>3</v>
      </c>
      <c r="T6" s="225"/>
      <c r="U6" s="22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6" t="s">
        <v>222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 thickBot="1">
      <c r="A10" s="297" t="s">
        <v>77</v>
      </c>
      <c r="B10" s="213"/>
      <c r="C10" s="213"/>
      <c r="D10" s="296" t="s">
        <v>223</v>
      </c>
      <c r="E10" s="236"/>
      <c r="F10" s="236"/>
      <c r="G10" s="236"/>
      <c r="H10" s="236"/>
      <c r="I10" s="298" t="s">
        <v>224</v>
      </c>
      <c r="J10" s="300" t="s">
        <v>190</v>
      </c>
      <c r="K10" s="236"/>
      <c r="L10" s="236"/>
      <c r="M10" s="236"/>
      <c r="N10" s="236"/>
      <c r="O10" s="245"/>
      <c r="R10" s="289" t="s">
        <v>225</v>
      </c>
      <c r="S10" s="221"/>
      <c r="T10" s="221"/>
      <c r="U10" s="222"/>
      <c r="V10" s="283" t="s">
        <v>224</v>
      </c>
      <c r="W10" s="221"/>
      <c r="X10" s="221"/>
      <c r="Y10" s="222"/>
    </row>
    <row r="11" spans="1:25" ht="20.100000000000001" customHeight="1">
      <c r="A11" s="254"/>
      <c r="B11" s="255"/>
      <c r="C11" s="255"/>
      <c r="D11" s="129" t="s">
        <v>205</v>
      </c>
      <c r="E11" s="130" t="s">
        <v>181</v>
      </c>
      <c r="F11" s="131" t="s">
        <v>182</v>
      </c>
      <c r="G11" s="132" t="s">
        <v>53</v>
      </c>
      <c r="H11" s="157" t="s">
        <v>226</v>
      </c>
      <c r="I11" s="299"/>
      <c r="J11" s="143" t="s">
        <v>191</v>
      </c>
      <c r="K11" s="133" t="s">
        <v>192</v>
      </c>
      <c r="L11" s="134" t="s">
        <v>193</v>
      </c>
      <c r="M11" s="134" t="s">
        <v>53</v>
      </c>
      <c r="N11" s="134" t="s">
        <v>199</v>
      </c>
      <c r="O11" s="135" t="s">
        <v>226</v>
      </c>
      <c r="R11" s="49" t="s">
        <v>227</v>
      </c>
      <c r="S11" s="50" t="s">
        <v>228</v>
      </c>
      <c r="T11" s="50" t="s">
        <v>229</v>
      </c>
      <c r="U11" s="52" t="s">
        <v>230</v>
      </c>
      <c r="V11" s="288" t="s">
        <v>77</v>
      </c>
      <c r="W11" s="222"/>
      <c r="X11" s="11" t="s">
        <v>223</v>
      </c>
      <c r="Y11" s="11" t="s">
        <v>190</v>
      </c>
    </row>
    <row r="12" spans="1:25" ht="32.1" customHeight="1">
      <c r="A12" s="276" t="str">
        <f>ChkList!A6</f>
        <v>계정 관리</v>
      </c>
      <c r="B12" s="221"/>
      <c r="C12" s="222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90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87">
        <f>B12</f>
        <v>0</v>
      </c>
      <c r="W12" s="222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76" t="str">
        <f>ChkList!A20</f>
        <v>파일 및 디렉터리 관리</v>
      </c>
      <c r="B13" s="221"/>
      <c r="C13" s="222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11</v>
      </c>
      <c r="F13" s="41">
        <f ca="1">COUNTIFS($A$21:INDIRECT(ADDRESS(MATCH("",$A:$A,-1),1,1,1)),$A13&amp;"*",$H$21:INDIRECT(ADDRESS(MATCH("",$A:$A,-1),8,1,1)),"N")</f>
        <v>9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0.52830188679245282</v>
      </c>
      <c r="I13" s="291"/>
      <c r="J13" s="61">
        <f ca="1">COUNTIFS($A$21:INDIRECT(ADDRESS(MATCH("",$A:$A,-1),1,1,1)),$A13,$K$21:INDIRECT(ADDRESS(MATCH("",$B:$B,-1),11,1,1)),"조치")</f>
        <v>9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>
        <f ca="1">IFERROR($J13/($F13-(M13-G13)),"N/A")</f>
        <v>1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28</v>
      </c>
      <c r="T13" s="41">
        <f t="shared" si="1"/>
        <v>53</v>
      </c>
      <c r="U13" s="41">
        <f t="shared" si="1"/>
        <v>53</v>
      </c>
      <c r="V13" s="287">
        <f>B13</f>
        <v>0</v>
      </c>
      <c r="W13" s="222"/>
      <c r="X13" s="64">
        <f t="shared" ref="X13:X17" ca="1" si="3">H13</f>
        <v>0.52830188679245282</v>
      </c>
      <c r="Y13" s="64">
        <f t="shared" ca="1" si="2"/>
        <v>1</v>
      </c>
    </row>
    <row r="14" spans="1:25" ht="32.1" customHeight="1">
      <c r="A14" s="276" t="str">
        <f>ChkList!A37</f>
        <v>파일 및 디렉터리 관리</v>
      </c>
      <c r="B14" s="221"/>
      <c r="C14" s="222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11</v>
      </c>
      <c r="F14" s="41">
        <f ca="1">COUNTIFS($A$21:INDIRECT(ADDRESS(MATCH("",$A:$A,-1),1,1,1)),$A14&amp;"*",$H$21:INDIRECT(ADDRESS(MATCH("",$A:$A,-1),8,1,1)),"N")</f>
        <v>9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0.52830188679245282</v>
      </c>
      <c r="I14" s="291"/>
      <c r="J14" s="61">
        <f ca="1">COUNTIFS($A$21:INDIRECT(ADDRESS(MATCH("",$A:$A,-1),1,1,1)),$A14,$K$21:INDIRECT(ADDRESS(MATCH("",$B:$B,-1),11,1,1)),"조치")</f>
        <v>9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>
        <f ca="1">IFERROR($J14/($F14-(M14-G14)),"N/A")</f>
        <v>1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28</v>
      </c>
      <c r="T14" s="41">
        <f t="shared" si="1"/>
        <v>53</v>
      </c>
      <c r="U14" s="41">
        <f t="shared" si="1"/>
        <v>53</v>
      </c>
      <c r="V14" s="287">
        <f>B14</f>
        <v>0</v>
      </c>
      <c r="W14" s="222"/>
      <c r="X14" s="64">
        <f t="shared" ca="1" si="3"/>
        <v>0.52830188679245282</v>
      </c>
      <c r="Y14" s="64">
        <f t="shared" ca="1" si="2"/>
        <v>1</v>
      </c>
    </row>
    <row r="15" spans="1:25" ht="32.1" customHeight="1">
      <c r="A15" s="276" t="str">
        <f>ChkList!A69</f>
        <v>로그 관리</v>
      </c>
      <c r="B15" s="221"/>
      <c r="C15" s="222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91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87">
        <f>B15</f>
        <v>0</v>
      </c>
      <c r="W15" s="222"/>
      <c r="X15" s="64">
        <f t="shared" ca="1" si="3"/>
        <v>1</v>
      </c>
      <c r="Y15" s="64">
        <f t="shared" ca="1" si="2"/>
        <v>1</v>
      </c>
    </row>
    <row r="16" spans="1:25" ht="32.1" customHeight="1" thickBot="1">
      <c r="A16" s="276" t="str">
        <f>ChkList!A70</f>
        <v>로그 관리</v>
      </c>
      <c r="B16" s="221"/>
      <c r="C16" s="222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91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85">
        <f>B16</f>
        <v>0</v>
      </c>
      <c r="W16" s="286"/>
      <c r="X16" s="68">
        <f t="shared" ca="1" si="3"/>
        <v>1</v>
      </c>
      <c r="Y16" s="68">
        <f t="shared" ca="1" si="2"/>
        <v>1</v>
      </c>
    </row>
    <row r="17" spans="1:25" ht="20.100000000000001" customHeight="1" thickTop="1" thickBot="1">
      <c r="A17" s="293" t="s">
        <v>231</v>
      </c>
      <c r="B17" s="294"/>
      <c r="C17" s="295"/>
      <c r="D17" s="138">
        <f ca="1">SUM(D12:D16)</f>
        <v>59</v>
      </c>
      <c r="E17" s="138">
        <f ca="1">SUM(E12:E16)</f>
        <v>41</v>
      </c>
      <c r="F17" s="138">
        <f ca="1">SUM(F12:F16)</f>
        <v>18</v>
      </c>
      <c r="G17" s="139">
        <f ca="1">SUM(G12:G16)</f>
        <v>0</v>
      </c>
      <c r="H17" s="140">
        <f t="shared" ca="1" si="0"/>
        <v>0.65753424657534243</v>
      </c>
      <c r="I17" s="292"/>
      <c r="J17" s="137">
        <f ca="1">SUM(J12:J16)</f>
        <v>18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>
        <f ca="1">IF($O17="N/A","N/A",IFERROR($J17/($F17-(M17-G17)),"N/A"))</f>
        <v>1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96</v>
      </c>
      <c r="T17" s="44">
        <f>SUM(T12:T16)</f>
        <v>146</v>
      </c>
      <c r="U17" s="43">
        <f>SUM(U12:U16)</f>
        <v>146</v>
      </c>
      <c r="V17" s="284" t="s">
        <v>232</v>
      </c>
      <c r="W17" s="256"/>
      <c r="X17" s="67">
        <f t="shared" ca="1" si="3"/>
        <v>0.65753424657534243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 thickBot="1">
      <c r="A19" s="9" t="s">
        <v>233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234</v>
      </c>
      <c r="S19" s="17"/>
    </row>
    <row r="20" spans="1:25" ht="21.95" customHeight="1">
      <c r="A20" s="277" t="s">
        <v>77</v>
      </c>
      <c r="B20" s="278"/>
      <c r="C20" s="279" t="s">
        <v>235</v>
      </c>
      <c r="D20" s="280"/>
      <c r="E20" s="280"/>
      <c r="F20" s="281" t="s">
        <v>41</v>
      </c>
      <c r="G20" s="280"/>
      <c r="H20" s="165" t="s">
        <v>178</v>
      </c>
      <c r="I20" s="166" t="s">
        <v>236</v>
      </c>
      <c r="J20" s="159" t="s">
        <v>190</v>
      </c>
      <c r="K20" s="144" t="s">
        <v>237</v>
      </c>
      <c r="L20" s="282" t="s">
        <v>322</v>
      </c>
      <c r="M20" s="280"/>
      <c r="N20" s="280"/>
      <c r="O20" s="280"/>
      <c r="P20" s="278"/>
      <c r="Q20" s="145" t="s">
        <v>76</v>
      </c>
      <c r="R20" s="53" t="s">
        <v>239</v>
      </c>
      <c r="S20" s="52" t="s">
        <v>228</v>
      </c>
      <c r="T20" s="25" t="s">
        <v>229</v>
      </c>
      <c r="U20" s="52" t="s">
        <v>230</v>
      </c>
      <c r="V20" s="275" t="s">
        <v>190</v>
      </c>
      <c r="W20" s="222"/>
      <c r="Y20" s="69"/>
    </row>
    <row r="21" spans="1:25" ht="36" customHeight="1">
      <c r="A21" s="31" t="str">
        <f>ChkList!A5</f>
        <v>계정 관리</v>
      </c>
      <c r="B21" s="31" t="str">
        <f>ChkList!B5</f>
        <v>U-01</v>
      </c>
      <c r="C21" s="270" t="str">
        <f>ChkList!C5</f>
        <v>root 계정 원격 접속 제한</v>
      </c>
      <c r="D21" s="221"/>
      <c r="E21" s="222"/>
      <c r="F21" s="31" t="str">
        <f>ChkList!D5</f>
        <v>H</v>
      </c>
      <c r="G21" s="31">
        <f>ChkList!E5</f>
        <v>3</v>
      </c>
      <c r="H21" s="168" t="s">
        <v>50</v>
      </c>
      <c r="I21" s="167" t="s">
        <v>545</v>
      </c>
      <c r="J21" s="28" t="s">
        <v>50</v>
      </c>
      <c r="K21" s="28" t="str">
        <f t="shared" ref="K21:K83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70" t="s">
        <v>373</v>
      </c>
      <c r="M21" s="221"/>
      <c r="N21" s="221"/>
      <c r="O21" s="221"/>
      <c r="P21" s="222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12" t="s">
        <v>241</v>
      </c>
      <c r="W21" s="12" t="s">
        <v>42</v>
      </c>
    </row>
    <row r="22" spans="1:25" ht="36" customHeight="1">
      <c r="A22" s="31" t="str">
        <f>ChkList!A6</f>
        <v>계정 관리</v>
      </c>
      <c r="B22" s="31" t="str">
        <f>ChkList!B6</f>
        <v>U-02</v>
      </c>
      <c r="C22" s="270" t="str">
        <f>ChkList!C6</f>
        <v>비밀번호 관리정책 설정</v>
      </c>
      <c r="D22" s="221"/>
      <c r="E22" s="222"/>
      <c r="F22" s="31" t="str">
        <f>ChkList!D6</f>
        <v>H</v>
      </c>
      <c r="G22" s="31">
        <f>ChkList!E6</f>
        <v>3</v>
      </c>
      <c r="H22" s="168" t="s">
        <v>50</v>
      </c>
      <c r="I22" s="167" t="s">
        <v>537</v>
      </c>
      <c r="J22" s="28" t="s">
        <v>50</v>
      </c>
      <c r="K22" s="28" t="str">
        <f t="shared" si="4"/>
        <v>Y</v>
      </c>
      <c r="L22" s="270" t="s">
        <v>243</v>
      </c>
      <c r="M22" s="221"/>
      <c r="N22" s="221"/>
      <c r="O22" s="221"/>
      <c r="P22" s="222"/>
      <c r="Q22" s="21" t="str">
        <f>IF($J22="",IF(OR($H22="N",$H22="인터뷰"), ChkList!$F7, ""), IF(OR($J22="N",$J22="인터뷰"), ChkList!$F7,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12" t="s">
        <v>191</v>
      </c>
      <c r="W22" s="12">
        <v>1</v>
      </c>
    </row>
    <row r="23" spans="1:25" ht="36" customHeight="1">
      <c r="A23" s="31" t="str">
        <f>ChkList!A7</f>
        <v>계정 관리</v>
      </c>
      <c r="B23" s="31" t="str">
        <f>ChkList!B7</f>
        <v>U-03</v>
      </c>
      <c r="C23" s="270" t="str">
        <f>ChkList!C7</f>
        <v>계정 잠금 임계값 설정</v>
      </c>
      <c r="D23" s="221"/>
      <c r="E23" s="222"/>
      <c r="F23" s="31" t="str">
        <f>ChkList!D7</f>
        <v>H</v>
      </c>
      <c r="G23" s="31">
        <f>ChkList!E7</f>
        <v>3</v>
      </c>
      <c r="H23" s="168" t="s">
        <v>50</v>
      </c>
      <c r="I23" s="167" t="s">
        <v>535</v>
      </c>
      <c r="J23" s="28" t="s">
        <v>50</v>
      </c>
      <c r="K23" s="28" t="str">
        <f t="shared" si="4"/>
        <v>Y</v>
      </c>
      <c r="L23" s="270" t="s">
        <v>245</v>
      </c>
      <c r="M23" s="221"/>
      <c r="N23" s="221"/>
      <c r="O23" s="221"/>
      <c r="P23" s="222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12" t="s">
        <v>192</v>
      </c>
      <c r="W23" s="12">
        <v>0</v>
      </c>
    </row>
    <row r="24" spans="1:25" ht="36" customHeight="1">
      <c r="A24" s="31" t="str">
        <f>ChkList!A8</f>
        <v>계정 관리</v>
      </c>
      <c r="B24" s="31" t="str">
        <f>ChkList!B8</f>
        <v>U-04</v>
      </c>
      <c r="C24" s="270" t="str">
        <f>ChkList!C8</f>
        <v>비밀번호 파일 보호</v>
      </c>
      <c r="D24" s="221"/>
      <c r="E24" s="222"/>
      <c r="F24" s="31" t="str">
        <f>ChkList!D8</f>
        <v>H</v>
      </c>
      <c r="G24" s="31">
        <f>ChkList!E8</f>
        <v>3</v>
      </c>
      <c r="H24" s="168" t="s">
        <v>50</v>
      </c>
      <c r="I24" s="167" t="s">
        <v>538</v>
      </c>
      <c r="J24" s="28" t="s">
        <v>50</v>
      </c>
      <c r="K24" s="28" t="str">
        <f t="shared" si="4"/>
        <v>Y</v>
      </c>
      <c r="L24" s="270" t="s">
        <v>324</v>
      </c>
      <c r="M24" s="221"/>
      <c r="N24" s="221"/>
      <c r="O24" s="221"/>
      <c r="P24" s="222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12" t="s">
        <v>193</v>
      </c>
      <c r="W24" s="12">
        <v>0</v>
      </c>
    </row>
    <row r="25" spans="1:25" ht="36" customHeight="1">
      <c r="A25" s="31" t="str">
        <f>ChkList!A9</f>
        <v>계정 관리</v>
      </c>
      <c r="B25" s="31" t="str">
        <f>ChkList!B9</f>
        <v>U-05</v>
      </c>
      <c r="C25" s="270" t="str">
        <f>ChkList!C9</f>
        <v>root 이외의 UID가 ‘0’ 금지</v>
      </c>
      <c r="D25" s="221"/>
      <c r="E25" s="222"/>
      <c r="F25" s="31" t="str">
        <f>ChkList!D9</f>
        <v>H</v>
      </c>
      <c r="G25" s="31">
        <f>ChkList!E9</f>
        <v>3</v>
      </c>
      <c r="H25" s="168" t="s">
        <v>50</v>
      </c>
      <c r="I25" s="167" t="s">
        <v>540</v>
      </c>
      <c r="J25" s="28" t="s">
        <v>50</v>
      </c>
      <c r="K25" s="28" t="str">
        <f t="shared" si="4"/>
        <v>Y</v>
      </c>
      <c r="L25" s="270" t="s">
        <v>372</v>
      </c>
      <c r="M25" s="221"/>
      <c r="N25" s="221"/>
      <c r="O25" s="221"/>
      <c r="P25" s="222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12" t="s">
        <v>53</v>
      </c>
      <c r="W25" s="12">
        <v>0</v>
      </c>
    </row>
    <row r="26" spans="1:25" ht="36" customHeight="1">
      <c r="A26" s="31" t="str">
        <f>ChkList!A10</f>
        <v>계정 관리</v>
      </c>
      <c r="B26" s="31" t="str">
        <f>ChkList!B10</f>
        <v>U-06</v>
      </c>
      <c r="C26" s="270" t="str">
        <f>ChkList!C10</f>
        <v>사용자 계정 su 기능 제한</v>
      </c>
      <c r="D26" s="221"/>
      <c r="E26" s="222"/>
      <c r="F26" s="31" t="str">
        <f>ChkList!D10</f>
        <v>H</v>
      </c>
      <c r="G26" s="31">
        <f>ChkList!E10</f>
        <v>3</v>
      </c>
      <c r="H26" s="168" t="s">
        <v>50</v>
      </c>
      <c r="I26" s="167" t="s">
        <v>539</v>
      </c>
      <c r="J26" s="28" t="s">
        <v>50</v>
      </c>
      <c r="K26" s="28" t="str">
        <f t="shared" si="4"/>
        <v>Y</v>
      </c>
      <c r="L26" s="270" t="s">
        <v>371</v>
      </c>
      <c r="M26" s="221"/>
      <c r="N26" s="221"/>
      <c r="O26" s="221"/>
      <c r="P26" s="222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12" t="s">
        <v>50</v>
      </c>
      <c r="W26" s="12">
        <v>1</v>
      </c>
    </row>
    <row r="27" spans="1:25" ht="36" customHeight="1">
      <c r="A27" s="31" t="str">
        <f>ChkList!A11</f>
        <v>계정 관리</v>
      </c>
      <c r="B27" s="31" t="str">
        <f>ChkList!B11</f>
        <v>U-07</v>
      </c>
      <c r="C27" s="270" t="str">
        <f>ChkList!C11</f>
        <v>불필요한 계정 제거</v>
      </c>
      <c r="D27" s="221"/>
      <c r="E27" s="222"/>
      <c r="F27" s="31" t="str">
        <f>ChkList!D11</f>
        <v>L</v>
      </c>
      <c r="G27" s="31">
        <f>ChkList!E11</f>
        <v>1</v>
      </c>
      <c r="H27" s="168" t="s">
        <v>50</v>
      </c>
      <c r="I27" s="167" t="s">
        <v>541</v>
      </c>
      <c r="J27" s="28" t="s">
        <v>50</v>
      </c>
      <c r="K27" s="28" t="str">
        <f t="shared" si="4"/>
        <v>Y</v>
      </c>
      <c r="L27" s="270" t="s">
        <v>370</v>
      </c>
      <c r="M27" s="221"/>
      <c r="N27" s="221"/>
      <c r="O27" s="221"/>
      <c r="P27" s="222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12" t="s">
        <v>55</v>
      </c>
      <c r="W27" s="12">
        <v>1</v>
      </c>
    </row>
    <row r="28" spans="1:25" ht="36" customHeight="1">
      <c r="A28" s="31" t="str">
        <f>ChkList!A12</f>
        <v>계정 관리</v>
      </c>
      <c r="B28" s="31" t="str">
        <f>ChkList!B12</f>
        <v>U-08</v>
      </c>
      <c r="C28" s="270" t="str">
        <f>ChkList!C12</f>
        <v>관리자 그룹에 최소한의 계정 포함</v>
      </c>
      <c r="D28" s="221"/>
      <c r="E28" s="222"/>
      <c r="F28" s="31" t="str">
        <f>ChkList!D12</f>
        <v>M</v>
      </c>
      <c r="G28" s="31">
        <f>ChkList!E12</f>
        <v>2</v>
      </c>
      <c r="H28" s="168" t="s">
        <v>50</v>
      </c>
      <c r="I28" s="167" t="s">
        <v>542</v>
      </c>
      <c r="J28" s="28" t="s">
        <v>50</v>
      </c>
      <c r="K28" s="28" t="str">
        <f t="shared" si="4"/>
        <v>Y</v>
      </c>
      <c r="L28" s="270" t="s">
        <v>369</v>
      </c>
      <c r="M28" s="221"/>
      <c r="N28" s="221"/>
      <c r="O28" s="221"/>
      <c r="P28" s="222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</row>
    <row r="29" spans="1:25" ht="36" customHeight="1">
      <c r="A29" s="31" t="str">
        <f>ChkList!A13</f>
        <v>계정 관리</v>
      </c>
      <c r="B29" s="31" t="str">
        <f>ChkList!B13</f>
        <v>U-09</v>
      </c>
      <c r="C29" s="270" t="str">
        <f>ChkList!C13</f>
        <v>계정이 존재하지 않는 GID 금지</v>
      </c>
      <c r="D29" s="221"/>
      <c r="E29" s="222"/>
      <c r="F29" s="31" t="str">
        <f>ChkList!D13</f>
        <v>L</v>
      </c>
      <c r="G29" s="31">
        <f>ChkList!E13</f>
        <v>1</v>
      </c>
      <c r="H29" s="168" t="s">
        <v>50</v>
      </c>
      <c r="I29" s="167" t="s">
        <v>543</v>
      </c>
      <c r="J29" s="28" t="s">
        <v>334</v>
      </c>
      <c r="K29" s="28" t="str">
        <f t="shared" si="4"/>
        <v>Y</v>
      </c>
      <c r="L29" s="270" t="s">
        <v>368</v>
      </c>
      <c r="M29" s="221"/>
      <c r="N29" s="221"/>
      <c r="O29" s="221"/>
      <c r="P29" s="222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</row>
    <row r="30" spans="1:25" ht="36" customHeight="1">
      <c r="A30" s="31" t="str">
        <f>ChkList!A14</f>
        <v>계정 관리</v>
      </c>
      <c r="B30" s="31" t="str">
        <f>ChkList!B14</f>
        <v>U-10</v>
      </c>
      <c r="C30" s="270" t="str">
        <f>ChkList!C14</f>
        <v>동일한 UID 금지</v>
      </c>
      <c r="D30" s="221"/>
      <c r="E30" s="222"/>
      <c r="F30" s="31" t="str">
        <f>ChkList!D14</f>
        <v>M</v>
      </c>
      <c r="G30" s="31">
        <f>ChkList!E14</f>
        <v>2</v>
      </c>
      <c r="H30" s="168" t="s">
        <v>50</v>
      </c>
      <c r="I30" s="167" t="s">
        <v>252</v>
      </c>
      <c r="J30" s="28" t="s">
        <v>50</v>
      </c>
      <c r="K30" s="28" t="str">
        <f t="shared" si="4"/>
        <v>Y</v>
      </c>
      <c r="L30" s="270" t="s">
        <v>367</v>
      </c>
      <c r="M30" s="221"/>
      <c r="N30" s="221"/>
      <c r="O30" s="221"/>
      <c r="P30" s="222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</row>
    <row r="31" spans="1:25" ht="36" customHeight="1">
      <c r="A31" s="31" t="str">
        <f>ChkList!A15</f>
        <v>계정 관리</v>
      </c>
      <c r="B31" s="31" t="str">
        <f>ChkList!B15</f>
        <v>U-11</v>
      </c>
      <c r="C31" s="270" t="str">
        <f>ChkList!C15</f>
        <v>사용자 Shell 점검</v>
      </c>
      <c r="D31" s="221"/>
      <c r="E31" s="222"/>
      <c r="F31" s="31" t="str">
        <f>ChkList!D15</f>
        <v>L</v>
      </c>
      <c r="G31" s="31">
        <f>ChkList!E15</f>
        <v>1</v>
      </c>
      <c r="H31" s="168" t="s">
        <v>50</v>
      </c>
      <c r="I31" s="167" t="s">
        <v>253</v>
      </c>
      <c r="J31" s="28" t="s">
        <v>50</v>
      </c>
      <c r="K31" s="28" t="str">
        <f t="shared" si="4"/>
        <v>Y</v>
      </c>
      <c r="L31" s="270" t="s">
        <v>366</v>
      </c>
      <c r="M31" s="221"/>
      <c r="N31" s="221"/>
      <c r="O31" s="221"/>
      <c r="P31" s="222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</row>
    <row r="32" spans="1:25" ht="36" customHeight="1">
      <c r="A32" s="31" t="str">
        <f>ChkList!A16</f>
        <v>계정 관리</v>
      </c>
      <c r="B32" s="31" t="str">
        <f>ChkList!B16</f>
        <v>U-12</v>
      </c>
      <c r="C32" s="270" t="str">
        <f>ChkList!C16</f>
        <v>세션 종료 시간 설정</v>
      </c>
      <c r="D32" s="221"/>
      <c r="E32" s="222"/>
      <c r="F32" s="31" t="str">
        <f>ChkList!D16</f>
        <v>L</v>
      </c>
      <c r="G32" s="31">
        <f>ChkList!E16</f>
        <v>1</v>
      </c>
      <c r="H32" s="168" t="s">
        <v>50</v>
      </c>
      <c r="I32" s="167" t="s">
        <v>254</v>
      </c>
      <c r="J32" s="28" t="s">
        <v>334</v>
      </c>
      <c r="K32" s="28" t="str">
        <f t="shared" si="4"/>
        <v>Y</v>
      </c>
      <c r="L32" s="270" t="s">
        <v>365</v>
      </c>
      <c r="M32" s="221"/>
      <c r="N32" s="221"/>
      <c r="O32" s="221"/>
      <c r="P32" s="222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</row>
    <row r="33" spans="1:21" ht="36" customHeight="1">
      <c r="A33" s="31" t="str">
        <f>ChkList!A17</f>
        <v>계정 관리</v>
      </c>
      <c r="B33" s="31" t="str">
        <f>ChkList!B17</f>
        <v>U-13</v>
      </c>
      <c r="C33" s="270" t="str">
        <f>ChkList!C17</f>
        <v>안전한 비밀번호 암호화 알고리즘 사용</v>
      </c>
      <c r="D33" s="221"/>
      <c r="E33" s="222"/>
      <c r="F33" s="31" t="str">
        <f>ChkList!D17</f>
        <v>M</v>
      </c>
      <c r="G33" s="31">
        <f>ChkList!E17</f>
        <v>2</v>
      </c>
      <c r="H33" s="168" t="s">
        <v>50</v>
      </c>
      <c r="I33" s="167" t="s">
        <v>255</v>
      </c>
      <c r="J33" s="28" t="s">
        <v>50</v>
      </c>
      <c r="K33" s="28" t="str">
        <f t="shared" si="4"/>
        <v>Y</v>
      </c>
      <c r="L33" s="270" t="s">
        <v>364</v>
      </c>
      <c r="M33" s="221"/>
      <c r="N33" s="221"/>
      <c r="O33" s="221"/>
      <c r="P33" s="222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</row>
    <row r="34" spans="1:21" ht="36" customHeight="1">
      <c r="A34" s="31" t="str">
        <f>ChkList!A18</f>
        <v>파일 및 디렉터리 관리</v>
      </c>
      <c r="B34" s="31" t="str">
        <f>ChkList!B18</f>
        <v>U-14</v>
      </c>
      <c r="C34" s="270" t="str">
        <f>ChkList!C18</f>
        <v>root 홈, 패스 디렉터리 권한 및 패스 설정</v>
      </c>
      <c r="D34" s="221"/>
      <c r="E34" s="222"/>
      <c r="F34" s="31" t="str">
        <f>ChkList!D18</f>
        <v>H</v>
      </c>
      <c r="G34" s="31">
        <f>ChkList!E18</f>
        <v>3</v>
      </c>
      <c r="H34" s="168" t="s">
        <v>50</v>
      </c>
      <c r="I34" s="167" t="s">
        <v>256</v>
      </c>
      <c r="J34" s="28" t="s">
        <v>50</v>
      </c>
      <c r="K34" s="28" t="str">
        <f t="shared" si="4"/>
        <v>Y</v>
      </c>
      <c r="L34" s="270" t="s">
        <v>363</v>
      </c>
      <c r="M34" s="221"/>
      <c r="N34" s="221"/>
      <c r="O34" s="221"/>
      <c r="P34" s="222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</row>
    <row r="35" spans="1:21" ht="36" customHeight="1">
      <c r="A35" s="31" t="str">
        <f>ChkList!A19</f>
        <v>파일 및 디렉터리 관리</v>
      </c>
      <c r="B35" s="31" t="str">
        <f>ChkList!B19</f>
        <v>U-15</v>
      </c>
      <c r="C35" s="270" t="str">
        <f>ChkList!C19</f>
        <v>파일 및 디렉터리 소유자 설정</v>
      </c>
      <c r="D35" s="221"/>
      <c r="E35" s="222"/>
      <c r="F35" s="31" t="str">
        <f>ChkList!D19</f>
        <v>H</v>
      </c>
      <c r="G35" s="31">
        <f>ChkList!E19</f>
        <v>3</v>
      </c>
      <c r="H35" s="168" t="s">
        <v>51</v>
      </c>
      <c r="I35" s="167" t="s">
        <v>257</v>
      </c>
      <c r="J35" s="28" t="s">
        <v>50</v>
      </c>
      <c r="K35" s="28" t="str">
        <f t="shared" si="4"/>
        <v>조치</v>
      </c>
      <c r="L35" s="270" t="s">
        <v>258</v>
      </c>
      <c r="M35" s="221"/>
      <c r="N35" s="221"/>
      <c r="O35" s="221"/>
      <c r="P35" s="222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</row>
    <row r="36" spans="1:21" ht="36" customHeight="1">
      <c r="A36" s="31" t="str">
        <f>ChkList!A20</f>
        <v>파일 및 디렉터리 관리</v>
      </c>
      <c r="B36" s="31" t="str">
        <f>ChkList!B20</f>
        <v>U-16</v>
      </c>
      <c r="C36" s="270" t="str">
        <f>ChkList!C20</f>
        <v>/etc/passwd 파일 소유자 및 권한 설정</v>
      </c>
      <c r="D36" s="221"/>
      <c r="E36" s="222"/>
      <c r="F36" s="31" t="str">
        <f>ChkList!D20</f>
        <v>H</v>
      </c>
      <c r="G36" s="31">
        <f>ChkList!E20</f>
        <v>3</v>
      </c>
      <c r="H36" s="168" t="s">
        <v>50</v>
      </c>
      <c r="I36" s="167" t="s">
        <v>259</v>
      </c>
      <c r="J36" s="28" t="s">
        <v>50</v>
      </c>
      <c r="K36" s="28" t="str">
        <f t="shared" si="4"/>
        <v>Y</v>
      </c>
      <c r="L36" s="271" t="s">
        <v>362</v>
      </c>
      <c r="M36" s="272"/>
      <c r="N36" s="272"/>
      <c r="O36" s="272"/>
      <c r="P36" s="273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</row>
    <row r="37" spans="1:21" ht="36" customHeight="1">
      <c r="A37" s="31" t="str">
        <f>ChkList!A21</f>
        <v>파일 및 디렉터리 관리</v>
      </c>
      <c r="B37" s="31" t="str">
        <f>ChkList!B21</f>
        <v>U-17</v>
      </c>
      <c r="C37" s="270" t="str">
        <f>ChkList!C21</f>
        <v>시스템 시작 스크립트 권한 설정</v>
      </c>
      <c r="D37" s="221"/>
      <c r="E37" s="222"/>
      <c r="F37" s="31" t="str">
        <f>ChkList!D21</f>
        <v>H</v>
      </c>
      <c r="G37" s="31">
        <f>ChkList!E21</f>
        <v>3</v>
      </c>
      <c r="H37" s="168" t="s">
        <v>51</v>
      </c>
      <c r="I37" s="167" t="s">
        <v>260</v>
      </c>
      <c r="J37" s="28" t="s">
        <v>50</v>
      </c>
      <c r="K37" s="28" t="str">
        <f t="shared" si="4"/>
        <v>조치</v>
      </c>
      <c r="L37" s="270" t="s">
        <v>261</v>
      </c>
      <c r="M37" s="221"/>
      <c r="N37" s="221"/>
      <c r="O37" s="221"/>
      <c r="P37" s="222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</row>
    <row r="38" spans="1:21" ht="36" customHeight="1">
      <c r="A38" s="31" t="str">
        <f>ChkList!A22</f>
        <v>파일 및 디렉터리 관리</v>
      </c>
      <c r="B38" s="31" t="str">
        <f>ChkList!B22</f>
        <v>U-18</v>
      </c>
      <c r="C38" s="270" t="str">
        <f>ChkList!C22</f>
        <v>/etc/shadow 파일 소유자 및 권한 설정</v>
      </c>
      <c r="D38" s="221"/>
      <c r="E38" s="222"/>
      <c r="F38" s="31" t="str">
        <f>ChkList!D22</f>
        <v>H</v>
      </c>
      <c r="G38" s="31">
        <f>ChkList!E22</f>
        <v>3</v>
      </c>
      <c r="H38" s="168" t="s">
        <v>50</v>
      </c>
      <c r="I38" s="167" t="s">
        <v>262</v>
      </c>
      <c r="J38" s="28" t="s">
        <v>50</v>
      </c>
      <c r="K38" s="28" t="str">
        <f t="shared" si="4"/>
        <v>Y</v>
      </c>
      <c r="L38" s="270" t="s">
        <v>361</v>
      </c>
      <c r="M38" s="221"/>
      <c r="N38" s="221"/>
      <c r="O38" s="221"/>
      <c r="P38" s="222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</row>
    <row r="39" spans="1:21" ht="36" customHeight="1">
      <c r="A39" s="31" t="str">
        <f>ChkList!A23</f>
        <v>파일 및 디렉터리 관리</v>
      </c>
      <c r="B39" s="31" t="str">
        <f>ChkList!B23</f>
        <v>U-19</v>
      </c>
      <c r="C39" s="270" t="str">
        <f>ChkList!C23</f>
        <v>/etc/hosts 파일 소유자 및 권한 설정</v>
      </c>
      <c r="D39" s="221"/>
      <c r="E39" s="222"/>
      <c r="F39" s="31" t="str">
        <f>ChkList!D23</f>
        <v>H</v>
      </c>
      <c r="G39" s="31">
        <f>ChkList!E23</f>
        <v>3</v>
      </c>
      <c r="H39" s="168" t="s">
        <v>50</v>
      </c>
      <c r="I39" s="167" t="s">
        <v>263</v>
      </c>
      <c r="J39" s="28" t="s">
        <v>50</v>
      </c>
      <c r="K39" s="28" t="str">
        <f t="shared" si="4"/>
        <v>Y</v>
      </c>
      <c r="L39" s="270" t="s">
        <v>360</v>
      </c>
      <c r="M39" s="221"/>
      <c r="N39" s="221"/>
      <c r="O39" s="221"/>
      <c r="P39" s="222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</row>
    <row r="40" spans="1:21" ht="36" customHeight="1">
      <c r="A40" s="31" t="str">
        <f>ChkList!A24</f>
        <v>파일 및 디렉터리 관리</v>
      </c>
      <c r="B40" s="31" t="str">
        <f>ChkList!B24</f>
        <v>U-20</v>
      </c>
      <c r="C40" s="270" t="str">
        <f>ChkList!C24</f>
        <v>/etc/(x)inetd.conf 파일 소유자 및 권한 설정</v>
      </c>
      <c r="D40" s="221"/>
      <c r="E40" s="222"/>
      <c r="F40" s="31" t="str">
        <f>ChkList!D24</f>
        <v>H</v>
      </c>
      <c r="G40" s="31">
        <f>ChkList!E24</f>
        <v>3</v>
      </c>
      <c r="H40" s="168" t="s">
        <v>51</v>
      </c>
      <c r="I40" s="167" t="s">
        <v>264</v>
      </c>
      <c r="J40" s="168" t="s">
        <v>50</v>
      </c>
      <c r="K40" s="28" t="str">
        <f t="shared" si="4"/>
        <v>조치</v>
      </c>
      <c r="L40" s="271" t="s">
        <v>265</v>
      </c>
      <c r="M40" s="272"/>
      <c r="N40" s="272"/>
      <c r="O40" s="272"/>
      <c r="P40" s="273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</row>
    <row r="41" spans="1:21" ht="36" customHeight="1">
      <c r="A41" s="31" t="str">
        <f>ChkList!A25</f>
        <v>파일 및 디렉터리 관리</v>
      </c>
      <c r="B41" s="31" t="str">
        <f>ChkList!B25</f>
        <v>U-21</v>
      </c>
      <c r="C41" s="270" t="str">
        <f>ChkList!C25</f>
        <v>/etc/(r)syslog.conf 파일 소유자 및 권한 설정</v>
      </c>
      <c r="D41" s="221"/>
      <c r="E41" s="222"/>
      <c r="F41" s="31" t="str">
        <f>ChkList!D25</f>
        <v>H</v>
      </c>
      <c r="G41" s="31">
        <f>ChkList!E25</f>
        <v>3</v>
      </c>
      <c r="H41" s="168" t="s">
        <v>51</v>
      </c>
      <c r="I41" s="167" t="s">
        <v>266</v>
      </c>
      <c r="J41" s="168" t="s">
        <v>50</v>
      </c>
      <c r="K41" s="28" t="str">
        <f t="shared" si="4"/>
        <v>조치</v>
      </c>
      <c r="L41" s="271" t="s">
        <v>267</v>
      </c>
      <c r="M41" s="272"/>
      <c r="N41" s="272"/>
      <c r="O41" s="272"/>
      <c r="P41" s="273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</row>
    <row r="42" spans="1:21" ht="36" customHeight="1">
      <c r="A42" s="31" t="str">
        <f>ChkList!A26</f>
        <v>파일 및 디렉터리 관리</v>
      </c>
      <c r="B42" s="31" t="str">
        <f>ChkList!B26</f>
        <v>U-22</v>
      </c>
      <c r="C42" s="270" t="str">
        <f>ChkList!C26</f>
        <v>/etc/services 파일 소유자 및 권한 설정</v>
      </c>
      <c r="D42" s="221"/>
      <c r="E42" s="222"/>
      <c r="F42" s="31" t="str">
        <f>ChkList!D26</f>
        <v>H</v>
      </c>
      <c r="G42" s="31">
        <f>ChkList!E26</f>
        <v>3</v>
      </c>
      <c r="H42" s="168" t="s">
        <v>51</v>
      </c>
      <c r="I42" s="167" t="s">
        <v>268</v>
      </c>
      <c r="J42" s="168" t="s">
        <v>50</v>
      </c>
      <c r="K42" s="28" t="str">
        <f t="shared" si="4"/>
        <v>조치</v>
      </c>
      <c r="L42" s="271" t="s">
        <v>269</v>
      </c>
      <c r="M42" s="272"/>
      <c r="N42" s="272"/>
      <c r="O42" s="272"/>
      <c r="P42" s="273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</row>
    <row r="43" spans="1:21" ht="36" customHeight="1">
      <c r="A43" s="31" t="str">
        <f>ChkList!A27</f>
        <v>파일 및 디렉터리 관리</v>
      </c>
      <c r="B43" s="31" t="str">
        <f>ChkList!B27</f>
        <v>U-23</v>
      </c>
      <c r="C43" s="270" t="str">
        <f>ChkList!C27</f>
        <v>SUID, SGID, Sticky bit 설정 파일 점검</v>
      </c>
      <c r="D43" s="221"/>
      <c r="E43" s="222"/>
      <c r="F43" s="31" t="str">
        <f>ChkList!D27</f>
        <v>H</v>
      </c>
      <c r="G43" s="31">
        <f>ChkList!E27</f>
        <v>3</v>
      </c>
      <c r="H43" s="168" t="s">
        <v>50</v>
      </c>
      <c r="I43" s="167" t="s">
        <v>270</v>
      </c>
      <c r="J43" s="28" t="s">
        <v>50</v>
      </c>
      <c r="K43" s="28" t="str">
        <f t="shared" si="4"/>
        <v>Y</v>
      </c>
      <c r="L43" s="270" t="s">
        <v>358</v>
      </c>
      <c r="M43" s="221"/>
      <c r="N43" s="221"/>
      <c r="O43" s="221"/>
      <c r="P43" s="222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</row>
    <row r="44" spans="1:21" ht="36" customHeight="1">
      <c r="A44" s="31" t="str">
        <f>ChkList!A28</f>
        <v>파일 및 디렉터리 관리</v>
      </c>
      <c r="B44" s="31" t="str">
        <f>ChkList!B28</f>
        <v>U-24</v>
      </c>
      <c r="C44" s="270" t="str">
        <f>ChkList!C28</f>
        <v>사용자, 시스템 시작파일 및 환경파일 소유자 및 권한 설정</v>
      </c>
      <c r="D44" s="221"/>
      <c r="E44" s="222"/>
      <c r="F44" s="31" t="str">
        <f>ChkList!D28</f>
        <v>H</v>
      </c>
      <c r="G44" s="31">
        <f>ChkList!E28</f>
        <v>3</v>
      </c>
      <c r="H44" s="168" t="s">
        <v>51</v>
      </c>
      <c r="I44" s="167" t="s">
        <v>271</v>
      </c>
      <c r="J44" s="168" t="s">
        <v>50</v>
      </c>
      <c r="K44" s="28" t="str">
        <f t="shared" si="4"/>
        <v>조치</v>
      </c>
      <c r="L44" s="270" t="s">
        <v>359</v>
      </c>
      <c r="M44" s="221"/>
      <c r="N44" s="221"/>
      <c r="O44" s="221"/>
      <c r="P44" s="222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</row>
    <row r="45" spans="1:21" ht="36" customHeight="1">
      <c r="A45" s="31" t="str">
        <f>ChkList!A29</f>
        <v>파일 및 디렉터리 관리</v>
      </c>
      <c r="B45" s="31" t="str">
        <f>ChkList!B29</f>
        <v>U-25</v>
      </c>
      <c r="C45" s="270" t="str">
        <f>ChkList!C29</f>
        <v>world writable 파일 점검</v>
      </c>
      <c r="D45" s="221"/>
      <c r="E45" s="222"/>
      <c r="F45" s="31" t="str">
        <f>ChkList!D29</f>
        <v>H</v>
      </c>
      <c r="G45" s="31">
        <f>ChkList!E29</f>
        <v>3</v>
      </c>
      <c r="H45" s="168" t="s">
        <v>50</v>
      </c>
      <c r="I45" s="167" t="s">
        <v>272</v>
      </c>
      <c r="J45" s="28" t="s">
        <v>50</v>
      </c>
      <c r="K45" s="28" t="str">
        <f t="shared" si="4"/>
        <v>Y</v>
      </c>
      <c r="L45" s="270" t="s">
        <v>355</v>
      </c>
      <c r="M45" s="221"/>
      <c r="N45" s="221"/>
      <c r="O45" s="221"/>
      <c r="P45" s="222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</row>
    <row r="46" spans="1:21" ht="36" customHeight="1">
      <c r="A46" s="31" t="str">
        <f>ChkList!A30</f>
        <v>파일 및 디렉터리 관리</v>
      </c>
      <c r="B46" s="31" t="str">
        <f>ChkList!B30</f>
        <v>U-26</v>
      </c>
      <c r="C46" s="270" t="str">
        <f>ChkList!C30</f>
        <v>/dev에 존재하지 않는 device 파일 점검</v>
      </c>
      <c r="D46" s="221"/>
      <c r="E46" s="222"/>
      <c r="F46" s="31" t="str">
        <f>ChkList!D30</f>
        <v>H</v>
      </c>
      <c r="G46" s="31">
        <f>ChkList!E30</f>
        <v>3</v>
      </c>
      <c r="H46" s="168" t="s">
        <v>51</v>
      </c>
      <c r="I46" s="167" t="s">
        <v>273</v>
      </c>
      <c r="J46" s="168" t="s">
        <v>50</v>
      </c>
      <c r="K46" s="28" t="str">
        <f t="shared" si="4"/>
        <v>조치</v>
      </c>
      <c r="L46" s="270" t="s">
        <v>274</v>
      </c>
      <c r="M46" s="221"/>
      <c r="N46" s="221"/>
      <c r="O46" s="221"/>
      <c r="P46" s="222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0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</row>
    <row r="47" spans="1:21" ht="36" customHeight="1">
      <c r="A47" s="31" t="str">
        <f>ChkList!A31</f>
        <v>파일 및 디렉터리 관리</v>
      </c>
      <c r="B47" s="31" t="str">
        <f>ChkList!B31</f>
        <v>U-27</v>
      </c>
      <c r="C47" s="270" t="str">
        <f>ChkList!C31</f>
        <v>$HOME/.rhosts, hosts.equiv 사용 금지</v>
      </c>
      <c r="D47" s="221"/>
      <c r="E47" s="222"/>
      <c r="F47" s="31" t="str">
        <f>ChkList!D31</f>
        <v>H</v>
      </c>
      <c r="G47" s="31">
        <f>ChkList!E31</f>
        <v>3</v>
      </c>
      <c r="H47" s="168" t="s">
        <v>51</v>
      </c>
      <c r="I47" s="167" t="s">
        <v>275</v>
      </c>
      <c r="J47" s="168" t="s">
        <v>50</v>
      </c>
      <c r="K47" s="28" t="str">
        <f t="shared" si="4"/>
        <v>조치</v>
      </c>
      <c r="L47" s="270" t="s">
        <v>276</v>
      </c>
      <c r="M47" s="221"/>
      <c r="N47" s="221"/>
      <c r="O47" s="221"/>
      <c r="P47" s="222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0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</row>
    <row r="48" spans="1:21" ht="36" customHeight="1">
      <c r="A48" s="31" t="str">
        <f>ChkList!A32</f>
        <v>파일 및 디렉터리 관리</v>
      </c>
      <c r="B48" s="31" t="str">
        <f>ChkList!B32</f>
        <v>U-28</v>
      </c>
      <c r="C48" s="270" t="str">
        <f>ChkList!C32</f>
        <v>접속 IP 및 포트 제한</v>
      </c>
      <c r="D48" s="221"/>
      <c r="E48" s="222"/>
      <c r="F48" s="31" t="str">
        <f>ChkList!D32</f>
        <v>H</v>
      </c>
      <c r="G48" s="31">
        <f>ChkList!E32</f>
        <v>3</v>
      </c>
      <c r="H48" s="168" t="s">
        <v>50</v>
      </c>
      <c r="I48" s="167" t="s">
        <v>277</v>
      </c>
      <c r="J48" s="28" t="s">
        <v>50</v>
      </c>
      <c r="K48" s="28" t="str">
        <f t="shared" si="4"/>
        <v>Y</v>
      </c>
      <c r="L48" s="270" t="s">
        <v>357</v>
      </c>
      <c r="M48" s="221"/>
      <c r="N48" s="221"/>
      <c r="O48" s="221"/>
      <c r="P48" s="222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</row>
    <row r="49" spans="1:21" ht="36" customHeight="1">
      <c r="A49" s="31" t="str">
        <f>ChkList!A33</f>
        <v>파일 및 디렉터리 관리</v>
      </c>
      <c r="B49" s="31" t="str">
        <f>ChkList!B33</f>
        <v>U-29</v>
      </c>
      <c r="C49" s="270" t="str">
        <f>ChkList!C33</f>
        <v>hosts.lpd 파일 소유자 및 권한 설정</v>
      </c>
      <c r="D49" s="221"/>
      <c r="E49" s="222"/>
      <c r="F49" s="31" t="str">
        <f>ChkList!D33</f>
        <v>L</v>
      </c>
      <c r="G49" s="31">
        <f>ChkList!E33</f>
        <v>1</v>
      </c>
      <c r="H49" s="168" t="s">
        <v>51</v>
      </c>
      <c r="I49" s="167" t="s">
        <v>278</v>
      </c>
      <c r="J49" s="168" t="s">
        <v>50</v>
      </c>
      <c r="K49" s="28" t="str">
        <f t="shared" si="4"/>
        <v>조치</v>
      </c>
      <c r="L49" s="270" t="s">
        <v>279</v>
      </c>
      <c r="M49" s="221"/>
      <c r="N49" s="221"/>
      <c r="O49" s="221"/>
      <c r="P49" s="222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0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</row>
    <row r="50" spans="1:21" ht="36" customHeight="1">
      <c r="A50" s="31" t="str">
        <f>ChkList!A34</f>
        <v>파일 및 디렉터리 관리</v>
      </c>
      <c r="B50" s="31" t="str">
        <f>ChkList!B34</f>
        <v>U-30</v>
      </c>
      <c r="C50" s="270" t="str">
        <f>ChkList!C34</f>
        <v>UMASK 설정 관리</v>
      </c>
      <c r="D50" s="221"/>
      <c r="E50" s="222"/>
      <c r="F50" s="31" t="str">
        <f>ChkList!D34</f>
        <v>M</v>
      </c>
      <c r="G50" s="31">
        <f>ChkList!E34</f>
        <v>2</v>
      </c>
      <c r="H50" s="168" t="s">
        <v>50</v>
      </c>
      <c r="I50" s="167" t="s">
        <v>280</v>
      </c>
      <c r="J50" s="28" t="s">
        <v>50</v>
      </c>
      <c r="K50" s="28" t="str">
        <f t="shared" si="4"/>
        <v>Y</v>
      </c>
      <c r="L50" s="270" t="s">
        <v>327</v>
      </c>
      <c r="M50" s="221"/>
      <c r="N50" s="221"/>
      <c r="O50" s="221"/>
      <c r="P50" s="222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</row>
    <row r="51" spans="1:21" ht="36" customHeight="1">
      <c r="A51" s="31" t="str">
        <f>ChkList!A35</f>
        <v>파일 및 디렉터리 관리</v>
      </c>
      <c r="B51" s="31" t="str">
        <f>ChkList!B35</f>
        <v>U-31</v>
      </c>
      <c r="C51" s="270" t="str">
        <f>ChkList!C35</f>
        <v>홈 디렉터리 소유자 및 권한 설정</v>
      </c>
      <c r="D51" s="221"/>
      <c r="E51" s="222"/>
      <c r="F51" s="31" t="str">
        <f>ChkList!D35</f>
        <v>M</v>
      </c>
      <c r="G51" s="31">
        <f>ChkList!E35</f>
        <v>2</v>
      </c>
      <c r="H51" s="168" t="s">
        <v>50</v>
      </c>
      <c r="I51" s="167" t="s">
        <v>281</v>
      </c>
      <c r="J51" s="28" t="s">
        <v>50</v>
      </c>
      <c r="K51" s="28" t="str">
        <f t="shared" si="4"/>
        <v>Y</v>
      </c>
      <c r="L51" s="270" t="s">
        <v>356</v>
      </c>
      <c r="M51" s="221"/>
      <c r="N51" s="221"/>
      <c r="O51" s="221"/>
      <c r="P51" s="222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</row>
    <row r="52" spans="1:21" ht="36" customHeight="1">
      <c r="A52" s="31" t="str">
        <f>ChkList!A36</f>
        <v>파일 및 디렉터리 관리</v>
      </c>
      <c r="B52" s="31" t="str">
        <f>ChkList!B36</f>
        <v>U-32</v>
      </c>
      <c r="C52" s="270" t="str">
        <f>ChkList!C36</f>
        <v>홈 디렉터리로 지정한 디렉터리의 존재 관리</v>
      </c>
      <c r="D52" s="221"/>
      <c r="E52" s="222"/>
      <c r="F52" s="31" t="str">
        <f>ChkList!D36</f>
        <v>M</v>
      </c>
      <c r="G52" s="31">
        <f>ChkList!E36</f>
        <v>2</v>
      </c>
      <c r="H52" s="168" t="s">
        <v>50</v>
      </c>
      <c r="I52" s="167" t="s">
        <v>272</v>
      </c>
      <c r="J52" s="28" t="s">
        <v>50</v>
      </c>
      <c r="K52" s="28" t="str">
        <f t="shared" si="4"/>
        <v>Y</v>
      </c>
      <c r="L52" s="270" t="s">
        <v>355</v>
      </c>
      <c r="M52" s="221"/>
      <c r="N52" s="221"/>
      <c r="O52" s="221"/>
      <c r="P52" s="222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</row>
    <row r="53" spans="1:21" ht="36" customHeight="1">
      <c r="A53" s="31" t="str">
        <f>ChkList!A37</f>
        <v>파일 및 디렉터리 관리</v>
      </c>
      <c r="B53" s="31" t="str">
        <f>ChkList!B37</f>
        <v>U-33</v>
      </c>
      <c r="C53" s="270" t="str">
        <f>ChkList!C37</f>
        <v>숨겨진 파일 및 디렉터리 검색 및 제거</v>
      </c>
      <c r="D53" s="221"/>
      <c r="E53" s="222"/>
      <c r="F53" s="31" t="str">
        <f>ChkList!D37</f>
        <v>L</v>
      </c>
      <c r="G53" s="31">
        <f>ChkList!E37</f>
        <v>1</v>
      </c>
      <c r="H53" s="168" t="s">
        <v>50</v>
      </c>
      <c r="I53" s="167" t="s">
        <v>282</v>
      </c>
      <c r="J53" s="28" t="s">
        <v>50</v>
      </c>
      <c r="K53" s="28" t="str">
        <f t="shared" si="4"/>
        <v>Y</v>
      </c>
      <c r="L53" s="270" t="s">
        <v>354</v>
      </c>
      <c r="M53" s="221"/>
      <c r="N53" s="221"/>
      <c r="O53" s="221"/>
      <c r="P53" s="222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</row>
    <row r="54" spans="1:21" ht="23.1" customHeight="1">
      <c r="A54" s="31" t="str">
        <f>ChkList!A38</f>
        <v>서비스 관리</v>
      </c>
      <c r="B54" s="31" t="str">
        <f>ChkList!B38</f>
        <v>U-34</v>
      </c>
      <c r="C54" s="270" t="str">
        <f>ChkList!C38</f>
        <v>Finger 서비스 비활성화</v>
      </c>
      <c r="D54" s="221"/>
      <c r="E54" s="222"/>
      <c r="F54" s="31" t="str">
        <f>ChkList!D38</f>
        <v>H</v>
      </c>
      <c r="G54" s="31">
        <f>ChkList!E38</f>
        <v>3</v>
      </c>
      <c r="H54" s="170" t="s">
        <v>283</v>
      </c>
      <c r="I54" s="167" t="s">
        <v>283</v>
      </c>
      <c r="J54" s="28" t="s">
        <v>283</v>
      </c>
      <c r="K54" s="28"/>
      <c r="L54" s="270" t="s">
        <v>284</v>
      </c>
      <c r="M54" s="221"/>
      <c r="N54" s="221"/>
      <c r="O54" s="221"/>
      <c r="P54" s="222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</row>
    <row r="55" spans="1:21" ht="36" customHeight="1">
      <c r="A55" s="31" t="str">
        <f>ChkList!A39</f>
        <v>서비스 관리</v>
      </c>
      <c r="B55" s="31" t="str">
        <f>ChkList!B39</f>
        <v>U-35</v>
      </c>
      <c r="C55" s="270" t="str">
        <f>ChkList!C39</f>
        <v>공유 서비스에 대한 익명 접근 제한 설정</v>
      </c>
      <c r="D55" s="221"/>
      <c r="E55" s="222"/>
      <c r="F55" s="31" t="str">
        <f>ChkList!D39</f>
        <v>H</v>
      </c>
      <c r="G55" s="31">
        <f>ChkList!E39</f>
        <v>3</v>
      </c>
      <c r="H55" s="168" t="s">
        <v>50</v>
      </c>
      <c r="I55" s="167" t="s">
        <v>285</v>
      </c>
      <c r="J55" s="28" t="s">
        <v>50</v>
      </c>
      <c r="K55" s="28" t="str">
        <f t="shared" si="4"/>
        <v>Y</v>
      </c>
      <c r="L55" s="270" t="s">
        <v>328</v>
      </c>
      <c r="M55" s="221"/>
      <c r="N55" s="221"/>
      <c r="O55" s="221"/>
      <c r="P55" s="222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</row>
    <row r="56" spans="1:21" ht="36" customHeight="1">
      <c r="A56" s="31" t="str">
        <f>ChkList!A40</f>
        <v>서비스 관리</v>
      </c>
      <c r="B56" s="31" t="str">
        <f>ChkList!B40</f>
        <v>U-36</v>
      </c>
      <c r="C56" s="270" t="str">
        <f>ChkList!C40</f>
        <v>r 계열 서비스 비활성화</v>
      </c>
      <c r="D56" s="221"/>
      <c r="E56" s="222"/>
      <c r="F56" s="31" t="str">
        <f>ChkList!D40</f>
        <v>H</v>
      </c>
      <c r="G56" s="31">
        <f>ChkList!E40</f>
        <v>3</v>
      </c>
      <c r="H56" s="168" t="s">
        <v>50</v>
      </c>
      <c r="I56" s="167" t="s">
        <v>286</v>
      </c>
      <c r="J56" s="28" t="s">
        <v>50</v>
      </c>
      <c r="K56" s="28" t="str">
        <f t="shared" si="4"/>
        <v>Y</v>
      </c>
      <c r="L56" s="270" t="s">
        <v>352</v>
      </c>
      <c r="M56" s="221"/>
      <c r="N56" s="221"/>
      <c r="O56" s="221"/>
      <c r="P56" s="222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</row>
    <row r="57" spans="1:21" ht="36" customHeight="1">
      <c r="A57" s="31" t="str">
        <f>ChkList!A41</f>
        <v>서비스 관리</v>
      </c>
      <c r="B57" s="31" t="str">
        <f>ChkList!B41</f>
        <v>U-37</v>
      </c>
      <c r="C57" s="270" t="str">
        <f>ChkList!C41</f>
        <v>crontab 설정파일 권한 설정 미흡</v>
      </c>
      <c r="D57" s="221"/>
      <c r="E57" s="222"/>
      <c r="F57" s="31" t="str">
        <f>ChkList!D41</f>
        <v>H</v>
      </c>
      <c r="G57" s="31">
        <f>ChkList!E41</f>
        <v>3</v>
      </c>
      <c r="H57" s="168" t="s">
        <v>50</v>
      </c>
      <c r="I57" s="167" t="s">
        <v>287</v>
      </c>
      <c r="J57" s="28" t="s">
        <v>50</v>
      </c>
      <c r="K57" s="28" t="str">
        <f t="shared" si="4"/>
        <v>Y</v>
      </c>
      <c r="L57" s="270" t="s">
        <v>353</v>
      </c>
      <c r="M57" s="221"/>
      <c r="N57" s="221"/>
      <c r="O57" s="221"/>
      <c r="P57" s="222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</row>
    <row r="58" spans="1:21" ht="36" customHeight="1">
      <c r="A58" s="31" t="str">
        <f>ChkList!A42</f>
        <v>서비스 관리</v>
      </c>
      <c r="B58" s="31" t="str">
        <f>ChkList!B42</f>
        <v>U-38</v>
      </c>
      <c r="C58" s="270" t="str">
        <f>ChkList!C42</f>
        <v>DoS 공격에 취약한 서비스 비활성화</v>
      </c>
      <c r="D58" s="221"/>
      <c r="E58" s="222"/>
      <c r="F58" s="31" t="str">
        <f>ChkList!D42</f>
        <v>H</v>
      </c>
      <c r="G58" s="31">
        <f>ChkList!E42</f>
        <v>3</v>
      </c>
      <c r="H58" s="168" t="s">
        <v>51</v>
      </c>
      <c r="I58" s="167" t="s">
        <v>288</v>
      </c>
      <c r="J58" s="168" t="s">
        <v>50</v>
      </c>
      <c r="K58" s="28" t="str">
        <f t="shared" si="4"/>
        <v>조치</v>
      </c>
      <c r="L58" s="270" t="s">
        <v>289</v>
      </c>
      <c r="M58" s="221"/>
      <c r="N58" s="221"/>
      <c r="O58" s="221"/>
      <c r="P58" s="222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0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</row>
    <row r="59" spans="1:21" ht="36" customHeight="1">
      <c r="A59" s="31" t="str">
        <f>ChkList!A43</f>
        <v>서비스 관리</v>
      </c>
      <c r="B59" s="31" t="str">
        <f>ChkList!B43</f>
        <v>U-39</v>
      </c>
      <c r="C59" s="270" t="str">
        <f>ChkList!C43</f>
        <v>불필요한 NFS 서비스 비활성화</v>
      </c>
      <c r="D59" s="221"/>
      <c r="E59" s="222"/>
      <c r="F59" s="31" t="str">
        <f>ChkList!D43</f>
        <v>H</v>
      </c>
      <c r="G59" s="31">
        <f>ChkList!E43</f>
        <v>3</v>
      </c>
      <c r="H59" s="168" t="s">
        <v>50</v>
      </c>
      <c r="I59" s="167" t="s">
        <v>290</v>
      </c>
      <c r="J59" s="28" t="s">
        <v>50</v>
      </c>
      <c r="K59" s="28" t="str">
        <f t="shared" si="4"/>
        <v>Y</v>
      </c>
      <c r="L59" s="271" t="s">
        <v>329</v>
      </c>
      <c r="M59" s="272"/>
      <c r="N59" s="272"/>
      <c r="O59" s="272"/>
      <c r="P59" s="273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1" ht="36" customHeight="1">
      <c r="A60" s="31" t="str">
        <f>ChkList!A44</f>
        <v>서비스 관리</v>
      </c>
      <c r="B60" s="31" t="str">
        <f>ChkList!B44</f>
        <v>U-40</v>
      </c>
      <c r="C60" s="270" t="str">
        <f>ChkList!C44</f>
        <v>NFS 접근 통제</v>
      </c>
      <c r="D60" s="221"/>
      <c r="E60" s="222"/>
      <c r="F60" s="31" t="str">
        <f>ChkList!D44</f>
        <v>H</v>
      </c>
      <c r="G60" s="31">
        <f>ChkList!E44</f>
        <v>3</v>
      </c>
      <c r="H60" s="168" t="s">
        <v>50</v>
      </c>
      <c r="I60" s="167" t="s">
        <v>291</v>
      </c>
      <c r="J60" s="28" t="s">
        <v>50</v>
      </c>
      <c r="K60" s="28" t="str">
        <f t="shared" si="4"/>
        <v>Y</v>
      </c>
      <c r="L60" s="271" t="s">
        <v>344</v>
      </c>
      <c r="M60" s="272"/>
      <c r="N60" s="272"/>
      <c r="O60" s="272"/>
      <c r="P60" s="273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1" ht="36" customHeight="1">
      <c r="A61" s="31" t="str">
        <f>ChkList!A45</f>
        <v>서비스 관리</v>
      </c>
      <c r="B61" s="31" t="str">
        <f>ChkList!B45</f>
        <v>U-41</v>
      </c>
      <c r="C61" s="270" t="str">
        <f>ChkList!C45</f>
        <v>불필요한 automountd 제거</v>
      </c>
      <c r="D61" s="221"/>
      <c r="E61" s="222"/>
      <c r="F61" s="31" t="str">
        <f>ChkList!D45</f>
        <v>H</v>
      </c>
      <c r="G61" s="31">
        <f>ChkList!E45</f>
        <v>3</v>
      </c>
      <c r="H61" s="168" t="s">
        <v>50</v>
      </c>
      <c r="I61" s="167" t="s">
        <v>291</v>
      </c>
      <c r="J61" s="28" t="s">
        <v>50</v>
      </c>
      <c r="K61" s="28" t="str">
        <f t="shared" si="4"/>
        <v>Y</v>
      </c>
      <c r="L61" s="271" t="s">
        <v>344</v>
      </c>
      <c r="M61" s="272"/>
      <c r="N61" s="272"/>
      <c r="O61" s="272"/>
      <c r="P61" s="273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1" ht="36" customHeight="1">
      <c r="A62" s="31" t="str">
        <f>ChkList!A46</f>
        <v>서비스 관리</v>
      </c>
      <c r="B62" s="31" t="str">
        <f>ChkList!B46</f>
        <v>U-42</v>
      </c>
      <c r="C62" s="270" t="str">
        <f>ChkList!C46</f>
        <v>불필요한 RPC 서비스 비활성화</v>
      </c>
      <c r="D62" s="221"/>
      <c r="E62" s="222"/>
      <c r="F62" s="31" t="str">
        <f>ChkList!D46</f>
        <v>H</v>
      </c>
      <c r="G62" s="31">
        <f>ChkList!E46</f>
        <v>3</v>
      </c>
      <c r="H62" s="168" t="s">
        <v>50</v>
      </c>
      <c r="I62" s="167" t="s">
        <v>292</v>
      </c>
      <c r="J62" s="28" t="s">
        <v>50</v>
      </c>
      <c r="K62" s="28" t="str">
        <f t="shared" si="4"/>
        <v>Y</v>
      </c>
      <c r="L62" s="271" t="s">
        <v>345</v>
      </c>
      <c r="M62" s="272"/>
      <c r="N62" s="272"/>
      <c r="O62" s="272"/>
      <c r="P62" s="273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1" ht="36" customHeight="1">
      <c r="A63" s="31" t="str">
        <f>ChkList!A47</f>
        <v>서비스 관리</v>
      </c>
      <c r="B63" s="31" t="str">
        <f>ChkList!B47</f>
        <v>U-43</v>
      </c>
      <c r="C63" s="270" t="str">
        <f>ChkList!C47</f>
        <v>NIS, NIS+ 점검</v>
      </c>
      <c r="D63" s="221"/>
      <c r="E63" s="222"/>
      <c r="F63" s="31" t="str">
        <f>ChkList!D47</f>
        <v>H</v>
      </c>
      <c r="G63" s="31">
        <f>ChkList!E47</f>
        <v>3</v>
      </c>
      <c r="H63" s="168" t="s">
        <v>50</v>
      </c>
      <c r="I63" s="167" t="s">
        <v>293</v>
      </c>
      <c r="J63" s="28" t="s">
        <v>50</v>
      </c>
      <c r="K63" s="28" t="str">
        <f t="shared" si="4"/>
        <v>Y</v>
      </c>
      <c r="L63" s="271" t="s">
        <v>346</v>
      </c>
      <c r="M63" s="272"/>
      <c r="N63" s="272"/>
      <c r="O63" s="272"/>
      <c r="P63" s="273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1" ht="36" customHeight="1">
      <c r="A64" s="31" t="str">
        <f>ChkList!A48</f>
        <v>서비스 관리</v>
      </c>
      <c r="B64" s="31" t="str">
        <f>ChkList!B48</f>
        <v>U-44</v>
      </c>
      <c r="C64" s="270" t="str">
        <f>ChkList!C48</f>
        <v>tftp, talk 서비스 비활성화</v>
      </c>
      <c r="D64" s="221"/>
      <c r="E64" s="222"/>
      <c r="F64" s="31" t="str">
        <f>ChkList!D48</f>
        <v>H</v>
      </c>
      <c r="G64" s="31">
        <f>ChkList!E48</f>
        <v>3</v>
      </c>
      <c r="H64" s="168" t="s">
        <v>50</v>
      </c>
      <c r="I64" s="167" t="s">
        <v>294</v>
      </c>
      <c r="J64" s="28" t="s">
        <v>50</v>
      </c>
      <c r="K64" s="28" t="str">
        <f t="shared" si="4"/>
        <v>Y</v>
      </c>
      <c r="L64" s="271" t="s">
        <v>347</v>
      </c>
      <c r="M64" s="272"/>
      <c r="N64" s="272"/>
      <c r="O64" s="272"/>
      <c r="P64" s="273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 customHeight="1">
      <c r="A65" s="31" t="str">
        <f>ChkList!A49</f>
        <v>서비스 관리</v>
      </c>
      <c r="B65" s="31" t="str">
        <f>ChkList!B49</f>
        <v>U-45</v>
      </c>
      <c r="C65" s="270" t="str">
        <f>ChkList!C49</f>
        <v>메일 서비스 버전 점검</v>
      </c>
      <c r="D65" s="221"/>
      <c r="E65" s="222"/>
      <c r="F65" s="31" t="str">
        <f>ChkList!D49</f>
        <v>H</v>
      </c>
      <c r="G65" s="31">
        <f>ChkList!E49</f>
        <v>3</v>
      </c>
      <c r="H65" s="168" t="s">
        <v>50</v>
      </c>
      <c r="I65" s="167" t="s">
        <v>295</v>
      </c>
      <c r="J65" s="28" t="s">
        <v>50</v>
      </c>
      <c r="K65" s="28" t="str">
        <f t="shared" si="4"/>
        <v>Y</v>
      </c>
      <c r="L65" s="271" t="s">
        <v>348</v>
      </c>
      <c r="M65" s="272"/>
      <c r="N65" s="272"/>
      <c r="O65" s="272"/>
      <c r="P65" s="273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 customHeight="1">
      <c r="A66" s="31" t="str">
        <f>ChkList!A50</f>
        <v>서비스 관리</v>
      </c>
      <c r="B66" s="31" t="str">
        <f>ChkList!B50</f>
        <v>U-46</v>
      </c>
      <c r="C66" s="270" t="str">
        <f>ChkList!C50</f>
        <v>일반 사용자의 메일 서비스 실행 방지</v>
      </c>
      <c r="D66" s="221"/>
      <c r="E66" s="222"/>
      <c r="F66" s="31" t="str">
        <f>ChkList!D50</f>
        <v>H</v>
      </c>
      <c r="G66" s="31">
        <f>ChkList!E50</f>
        <v>3</v>
      </c>
      <c r="H66" s="168" t="s">
        <v>50</v>
      </c>
      <c r="I66" s="167" t="s">
        <v>296</v>
      </c>
      <c r="J66" s="28" t="s">
        <v>50</v>
      </c>
      <c r="K66" s="28" t="str">
        <f t="shared" si="4"/>
        <v>Y</v>
      </c>
      <c r="L66" s="271" t="s">
        <v>296</v>
      </c>
      <c r="M66" s="272"/>
      <c r="N66" s="272"/>
      <c r="O66" s="272"/>
      <c r="P66" s="273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 customHeight="1">
      <c r="A67" s="31" t="str">
        <f>ChkList!A51</f>
        <v>서비스 관리</v>
      </c>
      <c r="B67" s="31" t="str">
        <f>ChkList!B51</f>
        <v>U-47</v>
      </c>
      <c r="C67" s="270" t="str">
        <f>ChkList!C51</f>
        <v>스팸 메일 릴레이 제한</v>
      </c>
      <c r="D67" s="221"/>
      <c r="E67" s="222"/>
      <c r="F67" s="31" t="str">
        <f>ChkList!D51</f>
        <v>H</v>
      </c>
      <c r="G67" s="31">
        <f>ChkList!E51</f>
        <v>3</v>
      </c>
      <c r="H67" s="168" t="s">
        <v>50</v>
      </c>
      <c r="I67" s="167" t="s">
        <v>297</v>
      </c>
      <c r="J67" s="28" t="s">
        <v>50</v>
      </c>
      <c r="K67" s="28" t="str">
        <f t="shared" si="4"/>
        <v>Y</v>
      </c>
      <c r="L67" s="271" t="s">
        <v>349</v>
      </c>
      <c r="M67" s="272"/>
      <c r="N67" s="272"/>
      <c r="O67" s="272"/>
      <c r="P67" s="273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 customHeight="1">
      <c r="A68" s="31" t="str">
        <f>ChkList!A52</f>
        <v>서비스 관리</v>
      </c>
      <c r="B68" s="31" t="str">
        <f>ChkList!B52</f>
        <v>U-48</v>
      </c>
      <c r="C68" s="270" t="str">
        <f>ChkList!C52</f>
        <v>expn, vrfy 명령어 제한</v>
      </c>
      <c r="D68" s="221"/>
      <c r="E68" s="222"/>
      <c r="F68" s="31" t="str">
        <f>ChkList!D52</f>
        <v>M</v>
      </c>
      <c r="G68" s="31">
        <f>ChkList!E52</f>
        <v>2</v>
      </c>
      <c r="H68" s="168" t="s">
        <v>50</v>
      </c>
      <c r="I68" s="167" t="s">
        <v>297</v>
      </c>
      <c r="J68" s="28" t="s">
        <v>50</v>
      </c>
      <c r="K68" s="28" t="str">
        <f t="shared" si="4"/>
        <v>Y</v>
      </c>
      <c r="L68" s="271" t="s">
        <v>349</v>
      </c>
      <c r="M68" s="272"/>
      <c r="N68" s="272"/>
      <c r="O68" s="272"/>
      <c r="P68" s="273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 customHeight="1">
      <c r="A69" s="31" t="str">
        <f>ChkList!A53</f>
        <v>서비스 관리</v>
      </c>
      <c r="B69" s="31" t="str">
        <f>ChkList!B53</f>
        <v>U-49</v>
      </c>
      <c r="C69" s="270" t="str">
        <f>ChkList!C53</f>
        <v>DNS 보안 버전 패치</v>
      </c>
      <c r="D69" s="221"/>
      <c r="E69" s="222"/>
      <c r="F69" s="31" t="str">
        <f>ChkList!D53</f>
        <v>H</v>
      </c>
      <c r="G69" s="31">
        <f>ChkList!E53</f>
        <v>3</v>
      </c>
      <c r="H69" s="168" t="s">
        <v>50</v>
      </c>
      <c r="I69" s="167" t="s">
        <v>298</v>
      </c>
      <c r="J69" s="28" t="s">
        <v>50</v>
      </c>
      <c r="K69" s="28" t="str">
        <f t="shared" si="4"/>
        <v>Y</v>
      </c>
      <c r="L69" s="271" t="s">
        <v>350</v>
      </c>
      <c r="M69" s="272"/>
      <c r="N69" s="272"/>
      <c r="O69" s="272"/>
      <c r="P69" s="273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 customHeight="1">
      <c r="A70" s="31" t="str">
        <f>ChkList!A54</f>
        <v>서비스 관리</v>
      </c>
      <c r="B70" s="31" t="str">
        <f>ChkList!B54</f>
        <v>U-50</v>
      </c>
      <c r="C70" s="270" t="str">
        <f>ChkList!C54</f>
        <v>DNS Zone Transfer 설정</v>
      </c>
      <c r="D70" s="221"/>
      <c r="E70" s="222"/>
      <c r="F70" s="31" t="str">
        <f>ChkList!D54</f>
        <v>H</v>
      </c>
      <c r="G70" s="31">
        <f>ChkList!E54</f>
        <v>3</v>
      </c>
      <c r="H70" s="168" t="s">
        <v>50</v>
      </c>
      <c r="I70" s="167" t="s">
        <v>299</v>
      </c>
      <c r="J70" s="28" t="s">
        <v>50</v>
      </c>
      <c r="K70" s="28" t="str">
        <f t="shared" si="4"/>
        <v>Y</v>
      </c>
      <c r="L70" s="270" t="s">
        <v>331</v>
      </c>
      <c r="M70" s="221"/>
      <c r="N70" s="221"/>
      <c r="O70" s="221"/>
      <c r="P70" s="222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 customHeight="1">
      <c r="A71" s="31" t="str">
        <f>ChkList!A55</f>
        <v>서비스 관리</v>
      </c>
      <c r="B71" s="31" t="str">
        <f>ChkList!B55</f>
        <v>U-51</v>
      </c>
      <c r="C71" s="270" t="str">
        <f>ChkList!C55</f>
        <v>DNS 서비스의 취약한 동적 업데이트 설정 금지</v>
      </c>
      <c r="D71" s="221"/>
      <c r="E71" s="222"/>
      <c r="F71" s="31" t="str">
        <f>ChkList!D55</f>
        <v>M</v>
      </c>
      <c r="G71" s="31">
        <f>ChkList!E55</f>
        <v>2</v>
      </c>
      <c r="H71" s="168" t="s">
        <v>51</v>
      </c>
      <c r="I71" s="167" t="s">
        <v>300</v>
      </c>
      <c r="J71" s="168" t="s">
        <v>50</v>
      </c>
      <c r="K71" s="28" t="str">
        <f t="shared" si="4"/>
        <v>조치</v>
      </c>
      <c r="L71" s="274" t="s">
        <v>301</v>
      </c>
      <c r="M71" s="221"/>
      <c r="N71" s="221"/>
      <c r="O71" s="221"/>
      <c r="P71" s="222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0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 customHeight="1">
      <c r="A72" s="31" t="str">
        <f>ChkList!A56</f>
        <v>서비스 관리</v>
      </c>
      <c r="B72" s="31" t="str">
        <f>ChkList!B56</f>
        <v>U-52</v>
      </c>
      <c r="C72" s="270" t="str">
        <f>ChkList!C56</f>
        <v>Telnet 서비스 비활성화</v>
      </c>
      <c r="D72" s="221"/>
      <c r="E72" s="222"/>
      <c r="F72" s="31" t="str">
        <f>ChkList!D56</f>
        <v>M</v>
      </c>
      <c r="G72" s="31">
        <f>ChkList!E56</f>
        <v>2</v>
      </c>
      <c r="H72" s="168" t="s">
        <v>50</v>
      </c>
      <c r="I72" s="167" t="s">
        <v>302</v>
      </c>
      <c r="J72" s="28" t="s">
        <v>50</v>
      </c>
      <c r="K72" s="28" t="str">
        <f t="shared" si="4"/>
        <v>Y</v>
      </c>
      <c r="L72" s="271" t="s">
        <v>351</v>
      </c>
      <c r="M72" s="221"/>
      <c r="N72" s="221"/>
      <c r="O72" s="221"/>
      <c r="P72" s="222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 customHeight="1">
      <c r="A73" s="31" t="str">
        <f>ChkList!A57</f>
        <v>서비스 관리</v>
      </c>
      <c r="B73" s="31" t="str">
        <f>ChkList!B57</f>
        <v>U-53</v>
      </c>
      <c r="C73" s="270" t="str">
        <f>ChkList!C57</f>
        <v>FTP 서비스 정보 노출 제한</v>
      </c>
      <c r="D73" s="221"/>
      <c r="E73" s="222"/>
      <c r="F73" s="31" t="str">
        <f>ChkList!D57</f>
        <v>L</v>
      </c>
      <c r="G73" s="31">
        <f>ChkList!E57</f>
        <v>1</v>
      </c>
      <c r="H73" s="168" t="s">
        <v>51</v>
      </c>
      <c r="I73" s="167" t="s">
        <v>303</v>
      </c>
      <c r="J73" s="168" t="s">
        <v>50</v>
      </c>
      <c r="K73" s="28" t="str">
        <f t="shared" si="4"/>
        <v>조치</v>
      </c>
      <c r="L73" s="271" t="s">
        <v>304</v>
      </c>
      <c r="M73" s="221"/>
      <c r="N73" s="221"/>
      <c r="O73" s="221"/>
      <c r="P73" s="222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0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 customHeight="1">
      <c r="A74" s="31" t="str">
        <f>ChkList!A58</f>
        <v>서비스 관리</v>
      </c>
      <c r="B74" s="31" t="str">
        <f>ChkList!B58</f>
        <v>U-54</v>
      </c>
      <c r="C74" s="270" t="str">
        <f>ChkList!C58</f>
        <v>암호화되지 않는 FTP 서비스 비활성화</v>
      </c>
      <c r="D74" s="221"/>
      <c r="E74" s="222"/>
      <c r="F74" s="31" t="str">
        <f>ChkList!D58</f>
        <v>M</v>
      </c>
      <c r="G74" s="31">
        <f>ChkList!E58</f>
        <v>2</v>
      </c>
      <c r="H74" s="168" t="s">
        <v>51</v>
      </c>
      <c r="I74" s="167" t="s">
        <v>305</v>
      </c>
      <c r="J74" s="168" t="s">
        <v>50</v>
      </c>
      <c r="K74" s="28" t="str">
        <f t="shared" si="4"/>
        <v>조치</v>
      </c>
      <c r="L74" s="270" t="s">
        <v>306</v>
      </c>
      <c r="M74" s="221"/>
      <c r="N74" s="221"/>
      <c r="O74" s="221"/>
      <c r="P74" s="222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0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36" customHeight="1">
      <c r="A75" s="31" t="str">
        <f>ChkList!A59</f>
        <v>서비스 관리</v>
      </c>
      <c r="B75" s="31" t="str">
        <f>ChkList!B59</f>
        <v>U-55</v>
      </c>
      <c r="C75" s="270" t="str">
        <f>ChkList!C59</f>
        <v>FTP 계정 Shell 제한</v>
      </c>
      <c r="D75" s="221"/>
      <c r="E75" s="222"/>
      <c r="F75" s="31" t="str">
        <f>ChkList!D59</f>
        <v>M</v>
      </c>
      <c r="G75" s="31">
        <f>ChkList!E59</f>
        <v>2</v>
      </c>
      <c r="H75" s="168" t="s">
        <v>51</v>
      </c>
      <c r="I75" s="167" t="s">
        <v>307</v>
      </c>
      <c r="J75" s="168" t="s">
        <v>50</v>
      </c>
      <c r="K75" s="28" t="str">
        <f t="shared" si="4"/>
        <v>조치</v>
      </c>
      <c r="L75" s="270" t="s">
        <v>308</v>
      </c>
      <c r="M75" s="221"/>
      <c r="N75" s="221"/>
      <c r="O75" s="221"/>
      <c r="P75" s="222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0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 customHeight="1">
      <c r="A76" s="31" t="str">
        <f>ChkList!A60</f>
        <v>서비스 관리</v>
      </c>
      <c r="B76" s="31" t="str">
        <f>ChkList!B60</f>
        <v>U-56</v>
      </c>
      <c r="C76" s="270" t="str">
        <f>ChkList!C60</f>
        <v>FTP 서비스 접근 제어 설정</v>
      </c>
      <c r="D76" s="221"/>
      <c r="E76" s="222"/>
      <c r="F76" s="31" t="str">
        <f>ChkList!D60</f>
        <v>L</v>
      </c>
      <c r="G76" s="31">
        <f>ChkList!E60</f>
        <v>1</v>
      </c>
      <c r="H76" s="168" t="s">
        <v>51</v>
      </c>
      <c r="I76" s="167" t="s">
        <v>309</v>
      </c>
      <c r="J76" s="168" t="s">
        <v>50</v>
      </c>
      <c r="K76" s="28" t="str">
        <f t="shared" si="4"/>
        <v>조치</v>
      </c>
      <c r="L76" s="270" t="s">
        <v>310</v>
      </c>
      <c r="M76" s="221"/>
      <c r="N76" s="221"/>
      <c r="O76" s="221"/>
      <c r="P76" s="222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0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 customHeight="1">
      <c r="A77" s="31" t="str">
        <f>ChkList!A61</f>
        <v>서비스 관리</v>
      </c>
      <c r="B77" s="31" t="str">
        <f>ChkList!B61</f>
        <v>U-57</v>
      </c>
      <c r="C77" s="270" t="str">
        <f>ChkList!C61</f>
        <v>Ftpusers 파일 설정</v>
      </c>
      <c r="D77" s="221"/>
      <c r="E77" s="222"/>
      <c r="F77" s="31" t="str">
        <f>ChkList!D61</f>
        <v>M</v>
      </c>
      <c r="G77" s="31">
        <f>ChkList!E61</f>
        <v>2</v>
      </c>
      <c r="H77" s="169" t="s">
        <v>51</v>
      </c>
      <c r="I77" s="167" t="s">
        <v>311</v>
      </c>
      <c r="J77" s="28" t="s">
        <v>50</v>
      </c>
      <c r="K77" s="175" t="str">
        <f>IF($J77="", "", IF(OR($H77="Y", $H77="N/A",$H77="Y(즉시조치)"), $H77, IF(AND($H77="N", $J77="Y"), "조치", IF(AND($H77="인터뷰", $J77="Y"), "조치", IF(AND($H77="N",$J77="N/A"), "N/A", IF(IFERROR(FIND("위험수용", $L77), 0), "위험수용", "미조치"))))))</f>
        <v>조치</v>
      </c>
      <c r="L77" s="270" t="s">
        <v>312</v>
      </c>
      <c r="M77" s="221"/>
      <c r="N77" s="221"/>
      <c r="O77" s="221"/>
      <c r="P77" s="222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0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 customHeight="1">
      <c r="A78" s="31" t="str">
        <f>ChkList!A62</f>
        <v>서비스 관리</v>
      </c>
      <c r="B78" s="31" t="str">
        <f>ChkList!B62</f>
        <v>U-58</v>
      </c>
      <c r="C78" s="270" t="str">
        <f>ChkList!C62</f>
        <v>불필요한 SNMP 서비스 구동 점검</v>
      </c>
      <c r="D78" s="221"/>
      <c r="E78" s="222"/>
      <c r="F78" s="31" t="str">
        <f>ChkList!D62</f>
        <v>M</v>
      </c>
      <c r="G78" s="31">
        <f>ChkList!E62</f>
        <v>2</v>
      </c>
      <c r="H78" s="168" t="s">
        <v>50</v>
      </c>
      <c r="I78" s="167" t="s">
        <v>313</v>
      </c>
      <c r="J78" s="28" t="s">
        <v>50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71" t="s">
        <v>338</v>
      </c>
      <c r="M78" s="272"/>
      <c r="N78" s="272"/>
      <c r="O78" s="272"/>
      <c r="P78" s="273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 customHeight="1">
      <c r="A79" s="31" t="str">
        <f>ChkList!A63</f>
        <v>서비스 관리</v>
      </c>
      <c r="B79" s="31" t="str">
        <f>ChkList!B63</f>
        <v>U-59</v>
      </c>
      <c r="C79" s="270" t="str">
        <f>ChkList!C63</f>
        <v>안전한 SNMP 버전 사용</v>
      </c>
      <c r="D79" s="221"/>
      <c r="E79" s="222"/>
      <c r="F79" s="31" t="str">
        <f>ChkList!D63</f>
        <v>H</v>
      </c>
      <c r="G79" s="31">
        <f>ChkList!E63</f>
        <v>3</v>
      </c>
      <c r="H79" s="168" t="s">
        <v>50</v>
      </c>
      <c r="I79" s="167" t="s">
        <v>314</v>
      </c>
      <c r="J79" s="28" t="s">
        <v>50</v>
      </c>
      <c r="K79" s="28" t="str">
        <f t="shared" si="4"/>
        <v>Y</v>
      </c>
      <c r="L79" s="271" t="s">
        <v>339</v>
      </c>
      <c r="M79" s="272"/>
      <c r="N79" s="272"/>
      <c r="O79" s="272"/>
      <c r="P79" s="273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 customHeight="1">
      <c r="A80" s="31" t="str">
        <f>ChkList!A64</f>
        <v>서비스 관리</v>
      </c>
      <c r="B80" s="31" t="str">
        <f>ChkList!B64</f>
        <v>U-60</v>
      </c>
      <c r="C80" s="270" t="str">
        <f>ChkList!C64</f>
        <v>SNMP Community String 복잡성 설정</v>
      </c>
      <c r="D80" s="221"/>
      <c r="E80" s="222"/>
      <c r="F80" s="31" t="str">
        <f>ChkList!D64</f>
        <v>M</v>
      </c>
      <c r="G80" s="31">
        <f>ChkList!E64</f>
        <v>2</v>
      </c>
      <c r="H80" s="168" t="s">
        <v>50</v>
      </c>
      <c r="I80" s="167" t="s">
        <v>315</v>
      </c>
      <c r="J80" s="28" t="s">
        <v>50</v>
      </c>
      <c r="K80" s="28" t="str">
        <f t="shared" si="4"/>
        <v>Y</v>
      </c>
      <c r="L80" s="271" t="s">
        <v>340</v>
      </c>
      <c r="M80" s="272"/>
      <c r="N80" s="272"/>
      <c r="O80" s="272"/>
      <c r="P80" s="273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 customHeight="1">
      <c r="A81" s="31" t="str">
        <f>ChkList!A65</f>
        <v>서비스 관리</v>
      </c>
      <c r="B81" s="31" t="str">
        <f>ChkList!B65</f>
        <v>U-61</v>
      </c>
      <c r="C81" s="270" t="str">
        <f>ChkList!C65</f>
        <v>SNMP Access Control 설정</v>
      </c>
      <c r="D81" s="221"/>
      <c r="E81" s="222"/>
      <c r="F81" s="31" t="str">
        <f>ChkList!D65</f>
        <v>H</v>
      </c>
      <c r="G81" s="31">
        <f>ChkList!E65</f>
        <v>3</v>
      </c>
      <c r="H81" s="168" t="s">
        <v>50</v>
      </c>
      <c r="I81" s="167" t="s">
        <v>316</v>
      </c>
      <c r="J81" s="28" t="s">
        <v>50</v>
      </c>
      <c r="K81" s="28" t="str">
        <f>IF($J81="", "", IF(OR($H81="Y", $H81="N/A",$H81="Y(즉시조치)"), $H81, IF(AND($H81="N", $J81="Y"), "조치", IF(AND($H81="인터뷰",$J81="N/A"), "N/A", IF(IFERROR(FIND("위험수용", $L81), 0), "위험수용", "미조치")))))</f>
        <v>Y</v>
      </c>
      <c r="L81" s="271" t="s">
        <v>341</v>
      </c>
      <c r="M81" s="272"/>
      <c r="N81" s="272"/>
      <c r="O81" s="272"/>
      <c r="P81" s="273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 customHeight="1">
      <c r="A82" s="31" t="str">
        <f>ChkList!A66</f>
        <v>서비스 관리</v>
      </c>
      <c r="B82" s="31" t="str">
        <f>ChkList!B66</f>
        <v>U-62</v>
      </c>
      <c r="C82" s="270" t="str">
        <f>ChkList!C66</f>
        <v>로그인 시 경고 메시지 설정</v>
      </c>
      <c r="D82" s="221"/>
      <c r="E82" s="222"/>
      <c r="F82" s="31" t="str">
        <f>ChkList!D66</f>
        <v>L</v>
      </c>
      <c r="G82" s="31">
        <f>ChkList!E66</f>
        <v>1</v>
      </c>
      <c r="H82" s="168" t="s">
        <v>50</v>
      </c>
      <c r="I82" s="164" t="s">
        <v>317</v>
      </c>
      <c r="J82" s="28" t="s">
        <v>50</v>
      </c>
      <c r="K82" s="28" t="str">
        <f t="shared" si="4"/>
        <v>Y</v>
      </c>
      <c r="L82" s="271" t="s">
        <v>342</v>
      </c>
      <c r="M82" s="272"/>
      <c r="N82" s="272"/>
      <c r="O82" s="272"/>
      <c r="P82" s="273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 customHeight="1">
      <c r="A83" s="31" t="str">
        <f>ChkList!A67</f>
        <v>서비스 관리</v>
      </c>
      <c r="B83" s="31" t="str">
        <f>ChkList!B67</f>
        <v>U-63</v>
      </c>
      <c r="C83" s="270" t="str">
        <f>ChkList!C67</f>
        <v>sudo 명령어 접근 관리</v>
      </c>
      <c r="D83" s="221"/>
      <c r="E83" s="222"/>
      <c r="F83" s="31" t="str">
        <f>ChkList!D67</f>
        <v>M</v>
      </c>
      <c r="G83" s="31">
        <f>ChkList!E67</f>
        <v>2</v>
      </c>
      <c r="H83" s="168" t="s">
        <v>50</v>
      </c>
      <c r="I83" s="167" t="s">
        <v>318</v>
      </c>
      <c r="J83" s="28" t="s">
        <v>50</v>
      </c>
      <c r="K83" s="28" t="str">
        <f t="shared" si="4"/>
        <v>Y</v>
      </c>
      <c r="L83" s="271" t="s">
        <v>343</v>
      </c>
      <c r="M83" s="272"/>
      <c r="N83" s="272"/>
      <c r="O83" s="272"/>
      <c r="P83" s="273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36" customHeight="1">
      <c r="A84" s="31" t="str">
        <f>ChkList!A68</f>
        <v>패치 관리</v>
      </c>
      <c r="B84" s="31" t="str">
        <f>ChkList!B68</f>
        <v>U-64</v>
      </c>
      <c r="C84" s="270" t="str">
        <f>ChkList!C68</f>
        <v>주기적 보안 패치 및 벤더 권고사항 적용</v>
      </c>
      <c r="D84" s="221"/>
      <c r="E84" s="222"/>
      <c r="F84" s="31" t="str">
        <f>ChkList!D68</f>
        <v>H</v>
      </c>
      <c r="G84" s="31">
        <f>ChkList!E68</f>
        <v>3</v>
      </c>
      <c r="H84" s="168" t="s">
        <v>50</v>
      </c>
      <c r="I84" s="167" t="s">
        <v>319</v>
      </c>
      <c r="J84" s="28" t="s">
        <v>50</v>
      </c>
      <c r="K84" s="28" t="str">
        <f>IF($J84="", "", IF(OR($H84="Y", $H84="N/A",$H84="Y(즉시조치)"), $H84, IF(AND($H84="N", $J84="Y"), "조치", IF(AND($H84="인터뷰",$J84="N/A"), "N/A", IF(IFERROR(FIND("위험수용", $L84), 0), "위험수용", "미조치")))))</f>
        <v>Y</v>
      </c>
      <c r="L84" s="270" t="s">
        <v>337</v>
      </c>
      <c r="M84" s="221"/>
      <c r="N84" s="221"/>
      <c r="O84" s="221"/>
      <c r="P84" s="222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 customHeight="1">
      <c r="A85" s="31" t="str">
        <f>ChkList!A69</f>
        <v>로그 관리</v>
      </c>
      <c r="B85" s="31" t="str">
        <f>ChkList!B69</f>
        <v>U-65</v>
      </c>
      <c r="C85" s="270" t="str">
        <f>ChkList!C69</f>
        <v>NTP 및 시각 동기화 설정</v>
      </c>
      <c r="D85" s="221"/>
      <c r="E85" s="222"/>
      <c r="F85" s="31" t="str">
        <f>ChkList!D69</f>
        <v>M</v>
      </c>
      <c r="G85" s="31">
        <f>ChkList!E69</f>
        <v>2</v>
      </c>
      <c r="H85" s="168" t="s">
        <v>50</v>
      </c>
      <c r="I85" s="167" t="s">
        <v>319</v>
      </c>
      <c r="J85" s="28" t="s">
        <v>50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70" t="s">
        <v>337</v>
      </c>
      <c r="M85" s="221"/>
      <c r="N85" s="221"/>
      <c r="O85" s="221"/>
      <c r="P85" s="222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 customHeight="1">
      <c r="A86" s="31" t="str">
        <f>ChkList!A70</f>
        <v>로그 관리</v>
      </c>
      <c r="B86" s="31" t="str">
        <f>ChkList!B70</f>
        <v>U-66</v>
      </c>
      <c r="C86" s="270" t="str">
        <f>ChkList!C70</f>
        <v>정책에 따른 시스템 로깅 설정</v>
      </c>
      <c r="D86" s="221"/>
      <c r="E86" s="222"/>
      <c r="F86" s="31" t="str">
        <f>ChkList!D70</f>
        <v>M</v>
      </c>
      <c r="G86" s="31">
        <f>ChkList!E70</f>
        <v>2</v>
      </c>
      <c r="H86" s="168" t="s">
        <v>50</v>
      </c>
      <c r="I86" s="167" t="s">
        <v>320</v>
      </c>
      <c r="J86" s="28" t="s">
        <v>50</v>
      </c>
      <c r="K86" s="28" t="str">
        <f t="shared" si="5"/>
        <v>Y</v>
      </c>
      <c r="L86" s="270" t="s">
        <v>336</v>
      </c>
      <c r="M86" s="221"/>
      <c r="N86" s="221"/>
      <c r="O86" s="221"/>
      <c r="P86" s="222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 customHeight="1">
      <c r="A87" s="31" t="str">
        <f>ChkList!A71</f>
        <v>로그 관리</v>
      </c>
      <c r="B87" s="31" t="str">
        <f>ChkList!B71</f>
        <v>U-67</v>
      </c>
      <c r="C87" s="270" t="str">
        <f>ChkList!C71</f>
        <v>로그 디렉터리 소유자 및 권한 설정</v>
      </c>
      <c r="D87" s="221"/>
      <c r="E87" s="222"/>
      <c r="F87" s="31" t="str">
        <f>ChkList!D71</f>
        <v>M</v>
      </c>
      <c r="G87" s="31">
        <f>ChkList!E71</f>
        <v>2</v>
      </c>
      <c r="H87" s="168" t="s">
        <v>50</v>
      </c>
      <c r="I87" s="167" t="s">
        <v>321</v>
      </c>
      <c r="J87" s="28" t="s">
        <v>50</v>
      </c>
      <c r="K87" s="28" t="str">
        <f t="shared" si="5"/>
        <v>Y</v>
      </c>
      <c r="L87" s="270" t="s">
        <v>335</v>
      </c>
      <c r="M87" s="221"/>
      <c r="N87" s="221"/>
      <c r="O87" s="221"/>
      <c r="P87" s="222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310" priority="223" operator="containsText" text="N">
      <formula>NOT(ISERROR(SEARCH("N",H21)))</formula>
    </cfRule>
    <cfRule type="cellIs" priority="224" operator="equal">
      <formula>"취약"</formula>
    </cfRule>
    <cfRule type="cellIs" priority="225" operator="equal">
      <formula>"양호"</formula>
    </cfRule>
  </conditionalFormatting>
  <conditionalFormatting sqref="J40:J42">
    <cfRule type="containsText" dxfId="309" priority="128" operator="containsText" text="N">
      <formula>NOT(ISERROR(SEARCH("N",J40)))</formula>
    </cfRule>
    <cfRule type="cellIs" priority="129" operator="equal">
      <formula>"취약"</formula>
    </cfRule>
    <cfRule type="cellIs" priority="130" operator="equal">
      <formula>"양호"</formula>
    </cfRule>
  </conditionalFormatting>
  <conditionalFormatting sqref="J44">
    <cfRule type="containsText" dxfId="308" priority="125" operator="containsText" text="N">
      <formula>NOT(ISERROR(SEARCH("N",J44)))</formula>
    </cfRule>
    <cfRule type="cellIs" priority="126" operator="equal">
      <formula>"취약"</formula>
    </cfRule>
    <cfRule type="cellIs" priority="127" operator="equal">
      <formula>"양호"</formula>
    </cfRule>
  </conditionalFormatting>
  <conditionalFormatting sqref="J46:J47">
    <cfRule type="containsText" dxfId="307" priority="119" operator="containsText" text="N">
      <formula>NOT(ISERROR(SEARCH("N",J46)))</formula>
    </cfRule>
    <cfRule type="cellIs" priority="120" operator="equal">
      <formula>"취약"</formula>
    </cfRule>
    <cfRule type="cellIs" priority="121" operator="equal">
      <formula>"양호"</formula>
    </cfRule>
  </conditionalFormatting>
  <conditionalFormatting sqref="J49">
    <cfRule type="containsText" dxfId="306" priority="116" operator="containsText" text="N">
      <formula>NOT(ISERROR(SEARCH("N",J49)))</formula>
    </cfRule>
    <cfRule type="cellIs" priority="117" operator="equal">
      <formula>"취약"</formula>
    </cfRule>
    <cfRule type="cellIs" priority="118" operator="equal">
      <formula>"양호"</formula>
    </cfRule>
  </conditionalFormatting>
  <conditionalFormatting sqref="J58">
    <cfRule type="containsText" dxfId="305" priority="113" operator="containsText" text="N">
      <formula>NOT(ISERROR(SEARCH("N",J58)))</formula>
    </cfRule>
    <cfRule type="cellIs" priority="114" operator="equal">
      <formula>"취약"</formula>
    </cfRule>
    <cfRule type="cellIs" priority="115" operator="equal">
      <formula>"양호"</formula>
    </cfRule>
  </conditionalFormatting>
  <conditionalFormatting sqref="J71">
    <cfRule type="containsText" dxfId="304" priority="110" operator="containsText" text="N">
      <formula>NOT(ISERROR(SEARCH("N",J71)))</formula>
    </cfRule>
    <cfRule type="cellIs" priority="111" operator="equal">
      <formula>"취약"</formula>
    </cfRule>
    <cfRule type="cellIs" priority="112" operator="equal">
      <formula>"양호"</formula>
    </cfRule>
  </conditionalFormatting>
  <conditionalFormatting sqref="J73:J76">
    <cfRule type="containsText" dxfId="303" priority="101" operator="containsText" text="N">
      <formula>NOT(ISERROR(SEARCH("N",J73)))</formula>
    </cfRule>
    <cfRule type="cellIs" priority="102" operator="equal">
      <formula>"취약"</formula>
    </cfRule>
    <cfRule type="cellIs" priority="103" operator="equal">
      <formula>"양호"</formula>
    </cfRule>
  </conditionalFormatting>
  <conditionalFormatting sqref="J77:J87">
    <cfRule type="cellIs" dxfId="302" priority="19" stopIfTrue="1" operator="equal">
      <formula>"인터뷰"</formula>
    </cfRule>
    <cfRule type="cellIs" dxfId="301" priority="20" stopIfTrue="1" operator="equal">
      <formula>"R/A"</formula>
    </cfRule>
    <cfRule type="cellIs" dxfId="300" priority="21" stopIfTrue="1" operator="equal">
      <formula>"N/A"</formula>
    </cfRule>
    <cfRule type="cellIs" dxfId="299" priority="22" stopIfTrue="1" operator="equal">
      <formula>"N"</formula>
    </cfRule>
    <cfRule type="expression" dxfId="298" priority="23">
      <formula>OR(IF(J77=0,1,0),IF(J77="-",1,0))</formula>
    </cfRule>
  </conditionalFormatting>
  <conditionalFormatting sqref="J21:K39 K40:K42 J43:K43 K44 J45:K45 K46:K47 J48:K48 K49 J50:K57 K58 J59:K70 K71 J72:K72 K73:K76">
    <cfRule type="cellIs" dxfId="297" priority="171" stopIfTrue="1" operator="equal">
      <formula>"인터뷰"</formula>
    </cfRule>
    <cfRule type="cellIs" dxfId="296" priority="172" stopIfTrue="1" operator="equal">
      <formula>"R/A"</formula>
    </cfRule>
    <cfRule type="cellIs" dxfId="295" priority="173" stopIfTrue="1" operator="equal">
      <formula>"N/A"</formula>
    </cfRule>
    <cfRule type="cellIs" dxfId="294" priority="174" stopIfTrue="1" operator="equal">
      <formula>"N"</formula>
    </cfRule>
    <cfRule type="expression" dxfId="293" priority="175">
      <formula>OR(IF(J21=0,1,0),IF(J21="-",1,0))</formula>
    </cfRule>
  </conditionalFormatting>
  <conditionalFormatting sqref="K21:K76">
    <cfRule type="cellIs" dxfId="292" priority="168" operator="equal">
      <formula>"위험수용"</formula>
    </cfRule>
    <cfRule type="cellIs" dxfId="291" priority="169" operator="equal">
      <formula>"미조치"</formula>
    </cfRule>
    <cfRule type="cellIs" dxfId="290" priority="170" operator="equal">
      <formula>"조치"</formula>
    </cfRule>
  </conditionalFormatting>
  <conditionalFormatting sqref="K77">
    <cfRule type="cellIs" dxfId="289" priority="137" stopIfTrue="1" operator="equal">
      <formula>"인터뷰"</formula>
    </cfRule>
    <cfRule type="cellIs" dxfId="288" priority="138" stopIfTrue="1" operator="equal">
      <formula>"R/A"</formula>
    </cfRule>
    <cfRule type="cellIs" dxfId="287" priority="139" stopIfTrue="1" operator="equal">
      <formula>"N/A"</formula>
    </cfRule>
    <cfRule type="cellIs" dxfId="286" priority="140" stopIfTrue="1" operator="equal">
      <formula>"N"</formula>
    </cfRule>
    <cfRule type="expression" dxfId="285" priority="141">
      <formula>OR(IF(K77=0,1,0),IF(K77="-",1,0))</formula>
    </cfRule>
    <cfRule type="cellIs" dxfId="284" priority="142" stopIfTrue="1" operator="equal">
      <formula>"인터뷰"</formula>
    </cfRule>
    <cfRule type="cellIs" dxfId="283" priority="143" stopIfTrue="1" operator="equal">
      <formula>"R/A"</formula>
    </cfRule>
    <cfRule type="cellIs" dxfId="282" priority="144" stopIfTrue="1" operator="equal">
      <formula>"N/A"</formula>
    </cfRule>
    <cfRule type="cellIs" dxfId="281" priority="145" stopIfTrue="1" operator="equal">
      <formula>"N"</formula>
    </cfRule>
    <cfRule type="expression" dxfId="280" priority="146">
      <formula>OR(IF(K77=0,1,0),IF(K77="-",1,0))</formula>
    </cfRule>
    <cfRule type="cellIs" dxfId="279" priority="147" operator="equal">
      <formula>"위험수용"</formula>
    </cfRule>
    <cfRule type="cellIs" dxfId="278" priority="148" operator="equal">
      <formula>"미조치"</formula>
    </cfRule>
    <cfRule type="cellIs" dxfId="277" priority="149" operator="equal">
      <formula>"조치"</formula>
    </cfRule>
  </conditionalFormatting>
  <conditionalFormatting sqref="K78:K87">
    <cfRule type="cellIs" dxfId="276" priority="32" stopIfTrue="1" operator="equal">
      <formula>"인터뷰"</formula>
    </cfRule>
    <cfRule type="cellIs" dxfId="275" priority="33" stopIfTrue="1" operator="equal">
      <formula>"R/A"</formula>
    </cfRule>
    <cfRule type="cellIs" dxfId="274" priority="34" stopIfTrue="1" operator="equal">
      <formula>"N/A"</formula>
    </cfRule>
    <cfRule type="cellIs" dxfId="273" priority="35" stopIfTrue="1" operator="equal">
      <formula>"N"</formula>
    </cfRule>
    <cfRule type="expression" dxfId="272" priority="36">
      <formula>OR(IF(K78=0,1,0),IF(K78="-",1,0))</formula>
    </cfRule>
  </conditionalFormatting>
  <conditionalFormatting sqref="K78:K87">
    <cfRule type="cellIs" dxfId="271" priority="11" operator="equal">
      <formula>"위험수용"</formula>
    </cfRule>
    <cfRule type="cellIs" dxfId="270" priority="12" operator="equal">
      <formula>"미조치"</formula>
    </cfRule>
    <cfRule type="cellIs" dxfId="269" priority="13" operator="equal">
      <formula>"조치"</formula>
    </cfRule>
  </conditionalFormatting>
  <conditionalFormatting sqref="L21:L87">
    <cfRule type="cellIs" dxfId="268" priority="1" stopIfTrue="1" operator="equal">
      <formula>"인터뷰"</formula>
    </cfRule>
    <cfRule type="cellIs" dxfId="267" priority="2" stopIfTrue="1" operator="equal">
      <formula>"R/A"</formula>
    </cfRule>
    <cfRule type="cellIs" dxfId="266" priority="3" stopIfTrue="1" operator="equal">
      <formula>"N/A"</formula>
    </cfRule>
    <cfRule type="cellIs" dxfId="265" priority="4" stopIfTrue="1" operator="equal">
      <formula>"N"</formula>
    </cfRule>
    <cfRule type="expression" dxfId="264" priority="5">
      <formula>OR(IF(L21=0,1,0),IF(L21="-",1,0))</formula>
    </cfRule>
  </conditionalFormatting>
  <dataValidations count="4">
    <dataValidation allowBlank="1" showInputMessage="1" showErrorMessage="1" errorTitle="오류!" error="Y, N, N/A 중에 선택" sqref="L21:L87 I21:I87"/>
    <dataValidation type="list" errorStyle="warning" allowBlank="1" showInputMessage="1" showErrorMessage="1" errorTitle="오류!" error="Y, N, N/A 중에 선택" sqref="H21:H87 J40:J42 J44 J46:J47 J49 J58 J71 J73:J76">
      <formula1>"Y,N,N/A,인터뷰,Y(즉시조치)"</formula1>
    </dataValidation>
    <dataValidation type="list" errorStyle="warning" showInputMessage="1" showErrorMessage="1" errorTitle="오류!" error="Y, N, N/A 중에 선택" sqref="J77:J87 J72 J21:J39 J43 J45 J48 J50:J57 J59:J70">
      <formula1>"Y,N,N/A,인터뷰,Y(즉시조치)"</formula1>
    </dataValidation>
    <dataValidation errorStyle="warning" allowBlank="1" showInputMessage="1" showErrorMessage="1" sqref="K21:K76 K78:K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87"/>
  <sheetViews>
    <sheetView showGridLines="0" view="pageBreakPreview" topLeftCell="A22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4" t="s">
        <v>213</v>
      </c>
      <c r="B3" s="54"/>
      <c r="C3" s="54"/>
      <c r="D3" s="54"/>
      <c r="E3" s="54"/>
      <c r="F3" s="54"/>
      <c r="G3" s="54"/>
      <c r="H3" s="5"/>
      <c r="I3" s="5"/>
      <c r="R3" s="5" t="s">
        <v>214</v>
      </c>
      <c r="X3" s="5"/>
      <c r="Y3" s="5"/>
    </row>
    <row r="4" spans="1:25" ht="17.100000000000001" customHeight="1" thickBot="1">
      <c r="A4" s="126" t="s">
        <v>215</v>
      </c>
      <c r="B4" s="307" t="str">
        <f ca="1">REPLACE(CELL("filename",A1),1,FIND("]",CELL("filename",A1)),"")</f>
        <v>BDB_HQ_Rocky</v>
      </c>
      <c r="C4" s="247"/>
      <c r="D4" s="308" t="s">
        <v>216</v>
      </c>
      <c r="E4" s="250"/>
      <c r="F4" s="310" t="str">
        <f ca="1">IFERROR(VLOOKUP($B$4,자산목록!$B$1:$Q$835,8,FALSE),"N/A")</f>
        <v>DB 백업 서버 / 지사 DB 백업</v>
      </c>
      <c r="G4" s="311"/>
      <c r="H4" s="63"/>
      <c r="I4" s="55"/>
      <c r="R4" s="25" t="s">
        <v>15</v>
      </c>
      <c r="S4" s="41">
        <f ca="1">IFERROR(VLOOKUP($B$4,자산목록!$B$1:$Q$835,13,FALSE),"N/A")</f>
        <v>3</v>
      </c>
      <c r="T4" s="309" t="s">
        <v>217</v>
      </c>
      <c r="U4" s="287" t="str">
        <f ca="1">IFERROR(VLOOKUP($B$4,자산목록!$B$1:$Q$835,16,FALSE),"N/A")</f>
        <v>H</v>
      </c>
      <c r="X4" s="5"/>
      <c r="Y4" s="5"/>
    </row>
    <row r="5" spans="1:25" ht="17.100000000000001" customHeight="1" thickBot="1">
      <c r="A5" s="127" t="s">
        <v>218</v>
      </c>
      <c r="B5" s="301" t="str">
        <f ca="1">IFERROR(VLOOKUP($B$4,자산목록!$B$1:$Q$835,6,FALSE)&amp;" "&amp;VLOOKUP($B$4,자산목록!$B$1:$Q$835,7,FALSE),"N/A")</f>
        <v>Rocky 8.1</v>
      </c>
      <c r="C5" s="222"/>
      <c r="D5" s="302" t="s">
        <v>219</v>
      </c>
      <c r="E5" s="303"/>
      <c r="F5" s="301" t="str">
        <f ca="1">IFERROR(VLOOKUP($B$4,자산목록!$B$1:$Q$835,2,FALSE),"N/A")</f>
        <v>10.10.40.33</v>
      </c>
      <c r="G5" s="222"/>
      <c r="H5" s="63"/>
      <c r="I5" s="55"/>
      <c r="R5" s="25" t="s">
        <v>16</v>
      </c>
      <c r="S5" s="41">
        <f ca="1">IFERROR(VLOOKUP($B$4,자산목록!$B$1:$Q$835,14,FALSE),"N/A")</f>
        <v>3</v>
      </c>
      <c r="T5" s="226"/>
      <c r="U5" s="226"/>
      <c r="X5" s="5"/>
      <c r="Y5" s="5"/>
    </row>
    <row r="6" spans="1:25" ht="17.100000000000001" customHeight="1" thickBot="1">
      <c r="A6" s="128" t="s">
        <v>12</v>
      </c>
      <c r="B6" s="304" t="str">
        <f ca="1">IFERROR(VLOOKUP($B$4,자산목록!$B$1:$Q$835,11,FALSE),"N/A")</f>
        <v>이지훈</v>
      </c>
      <c r="C6" s="234"/>
      <c r="D6" s="305" t="s">
        <v>220</v>
      </c>
      <c r="E6" s="306"/>
      <c r="F6" s="304" t="str">
        <f ca="1">IFERROR(VLOOKUP($B$4,자산목록!$B$1:$Q$835,9,FALSE),"N/A")</f>
        <v>본사 백업망</v>
      </c>
      <c r="G6" s="234"/>
      <c r="H6" s="63"/>
      <c r="I6" s="55"/>
      <c r="R6" s="25" t="s">
        <v>17</v>
      </c>
      <c r="S6" s="41">
        <f ca="1">IFERROR(VLOOKUP($B$4,자산목록!$B$1:$Q$835,15,FALSE),"N/A")</f>
        <v>3</v>
      </c>
      <c r="T6" s="225"/>
      <c r="U6" s="22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6" t="s">
        <v>222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 thickBot="1">
      <c r="A10" s="297" t="s">
        <v>77</v>
      </c>
      <c r="B10" s="213"/>
      <c r="C10" s="213"/>
      <c r="D10" s="296" t="s">
        <v>223</v>
      </c>
      <c r="E10" s="236"/>
      <c r="F10" s="236"/>
      <c r="G10" s="236"/>
      <c r="H10" s="236"/>
      <c r="I10" s="298" t="s">
        <v>224</v>
      </c>
      <c r="J10" s="300" t="s">
        <v>190</v>
      </c>
      <c r="K10" s="236"/>
      <c r="L10" s="236"/>
      <c r="M10" s="236"/>
      <c r="N10" s="236"/>
      <c r="O10" s="245"/>
      <c r="R10" s="289" t="s">
        <v>225</v>
      </c>
      <c r="S10" s="221"/>
      <c r="T10" s="221"/>
      <c r="U10" s="222"/>
      <c r="V10" s="283" t="s">
        <v>224</v>
      </c>
      <c r="W10" s="221"/>
      <c r="X10" s="221"/>
      <c r="Y10" s="222"/>
    </row>
    <row r="11" spans="1:25" ht="20.100000000000001" customHeight="1">
      <c r="A11" s="254"/>
      <c r="B11" s="255"/>
      <c r="C11" s="255"/>
      <c r="D11" s="129" t="s">
        <v>205</v>
      </c>
      <c r="E11" s="130" t="s">
        <v>181</v>
      </c>
      <c r="F11" s="131" t="s">
        <v>182</v>
      </c>
      <c r="G11" s="132" t="s">
        <v>53</v>
      </c>
      <c r="H11" s="157" t="s">
        <v>226</v>
      </c>
      <c r="I11" s="299"/>
      <c r="J11" s="143" t="s">
        <v>191</v>
      </c>
      <c r="K11" s="133" t="s">
        <v>192</v>
      </c>
      <c r="L11" s="134" t="s">
        <v>193</v>
      </c>
      <c r="M11" s="134" t="s">
        <v>53</v>
      </c>
      <c r="N11" s="134" t="s">
        <v>199</v>
      </c>
      <c r="O11" s="135" t="s">
        <v>226</v>
      </c>
      <c r="R11" s="49" t="s">
        <v>227</v>
      </c>
      <c r="S11" s="50" t="s">
        <v>228</v>
      </c>
      <c r="T11" s="50" t="s">
        <v>229</v>
      </c>
      <c r="U11" s="52" t="s">
        <v>230</v>
      </c>
      <c r="V11" s="288" t="s">
        <v>77</v>
      </c>
      <c r="W11" s="222"/>
      <c r="X11" s="11" t="s">
        <v>223</v>
      </c>
      <c r="Y11" s="11" t="s">
        <v>190</v>
      </c>
    </row>
    <row r="12" spans="1:25" ht="32.1" customHeight="1">
      <c r="A12" s="276" t="str">
        <f>ChkList!A6</f>
        <v>계정 관리</v>
      </c>
      <c r="B12" s="221"/>
      <c r="C12" s="222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11</v>
      </c>
      <c r="F12" s="41">
        <f ca="1">COUNTIFS($A$21:INDIRECT(ADDRESS(MATCH("",$A:$A,-1),1,1,1)),$A12&amp;"*",$H$21:INDIRECT(ADDRESS(MATCH("",$A:$A,-1),8,1,1)),"N")</f>
        <v>2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0.7857142857142857</v>
      </c>
      <c r="I12" s="290"/>
      <c r="J12" s="61">
        <f ca="1">COUNTIFS($A$21:INDIRECT(ADDRESS(MATCH("",$A:$A,-1),1,1,1)),$A12,$K$21:INDIRECT(ADDRESS(MATCH("",$B:$B,-1),11,1,1)),"조치")</f>
        <v>2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>
        <f ca="1">IFERROR($J12/($F12-(M12-G12)),"N/A")</f>
        <v>1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22</v>
      </c>
      <c r="T12" s="41">
        <f t="shared" ref="T12:U16" si="1">SUMIF($A$21:$A$995, $A12, $R$21:$R$995)</f>
        <v>28</v>
      </c>
      <c r="U12" s="41">
        <f t="shared" si="1"/>
        <v>28</v>
      </c>
      <c r="V12" s="287">
        <f>B12</f>
        <v>0</v>
      </c>
      <c r="W12" s="222"/>
      <c r="X12" s="64">
        <f ca="1">H12</f>
        <v>0.7857142857142857</v>
      </c>
      <c r="Y12" s="64">
        <f t="shared" ref="Y12:Y17" ca="1" si="2">O12</f>
        <v>1</v>
      </c>
    </row>
    <row r="13" spans="1:25" ht="32.1" customHeight="1">
      <c r="A13" s="276" t="str">
        <f>ChkList!A20</f>
        <v>파일 및 디렉터리 관리</v>
      </c>
      <c r="B13" s="221"/>
      <c r="C13" s="222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11</v>
      </c>
      <c r="F13" s="41">
        <f ca="1">COUNTIFS($A$21:INDIRECT(ADDRESS(MATCH("",$A:$A,-1),1,1,1)),$A13&amp;"*",$H$21:INDIRECT(ADDRESS(MATCH("",$A:$A,-1),8,1,1)),"N")</f>
        <v>9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0.52830188679245282</v>
      </c>
      <c r="I13" s="291"/>
      <c r="J13" s="61">
        <f ca="1">COUNTIFS($A$21:INDIRECT(ADDRESS(MATCH("",$A:$A,-1),1,1,1)),$A13,$K$21:INDIRECT(ADDRESS(MATCH("",$B:$B,-1),11,1,1)),"조치")</f>
        <v>9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>
        <f ca="1">IFERROR($J13/($F13-(M13-G13)),"N/A")</f>
        <v>1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28</v>
      </c>
      <c r="T13" s="41">
        <f t="shared" si="1"/>
        <v>53</v>
      </c>
      <c r="U13" s="41">
        <f t="shared" si="1"/>
        <v>53</v>
      </c>
      <c r="V13" s="287">
        <f>B13</f>
        <v>0</v>
      </c>
      <c r="W13" s="222"/>
      <c r="X13" s="64">
        <f t="shared" ref="X13:X17" ca="1" si="3">H13</f>
        <v>0.52830188679245282</v>
      </c>
      <c r="Y13" s="64">
        <f t="shared" ca="1" si="2"/>
        <v>1</v>
      </c>
    </row>
    <row r="14" spans="1:25" ht="32.1" customHeight="1">
      <c r="A14" s="276" t="str">
        <f>ChkList!A37</f>
        <v>파일 및 디렉터리 관리</v>
      </c>
      <c r="B14" s="221"/>
      <c r="C14" s="222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11</v>
      </c>
      <c r="F14" s="41">
        <f ca="1">COUNTIFS($A$21:INDIRECT(ADDRESS(MATCH("",$A:$A,-1),1,1,1)),$A14&amp;"*",$H$21:INDIRECT(ADDRESS(MATCH("",$A:$A,-1),8,1,1)),"N")</f>
        <v>9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0.52830188679245282</v>
      </c>
      <c r="I14" s="291"/>
      <c r="J14" s="61">
        <f ca="1">COUNTIFS($A$21:INDIRECT(ADDRESS(MATCH("",$A:$A,-1),1,1,1)),$A14,$K$21:INDIRECT(ADDRESS(MATCH("",$B:$B,-1),11,1,1)),"조치")</f>
        <v>9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>
        <f ca="1">IFERROR($J14/($F14-(M14-G14)),"N/A")</f>
        <v>1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28</v>
      </c>
      <c r="T14" s="41">
        <f t="shared" si="1"/>
        <v>53</v>
      </c>
      <c r="U14" s="41">
        <f t="shared" si="1"/>
        <v>53</v>
      </c>
      <c r="V14" s="287">
        <f>B14</f>
        <v>0</v>
      </c>
      <c r="W14" s="222"/>
      <c r="X14" s="64">
        <f t="shared" ca="1" si="3"/>
        <v>0.52830188679245282</v>
      </c>
      <c r="Y14" s="64">
        <f t="shared" ca="1" si="2"/>
        <v>1</v>
      </c>
    </row>
    <row r="15" spans="1:25" ht="32.1" customHeight="1">
      <c r="A15" s="276" t="str">
        <f>ChkList!A69</f>
        <v>로그 관리</v>
      </c>
      <c r="B15" s="221"/>
      <c r="C15" s="222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91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87">
        <f>B15</f>
        <v>0</v>
      </c>
      <c r="W15" s="222"/>
      <c r="X15" s="64">
        <f t="shared" ca="1" si="3"/>
        <v>1</v>
      </c>
      <c r="Y15" s="64">
        <f t="shared" ca="1" si="2"/>
        <v>1</v>
      </c>
    </row>
    <row r="16" spans="1:25" ht="32.1" customHeight="1" thickBot="1">
      <c r="A16" s="276" t="str">
        <f>ChkList!A70</f>
        <v>로그 관리</v>
      </c>
      <c r="B16" s="221"/>
      <c r="C16" s="222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91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85">
        <f>B16</f>
        <v>0</v>
      </c>
      <c r="W16" s="286"/>
      <c r="X16" s="68">
        <f t="shared" ca="1" si="3"/>
        <v>1</v>
      </c>
      <c r="Y16" s="68">
        <f t="shared" ca="1" si="2"/>
        <v>1</v>
      </c>
    </row>
    <row r="17" spans="1:25" ht="20.100000000000001" customHeight="1" thickTop="1" thickBot="1">
      <c r="A17" s="293" t="s">
        <v>231</v>
      </c>
      <c r="B17" s="294"/>
      <c r="C17" s="295"/>
      <c r="D17" s="138">
        <f ca="1">SUM(D12:D16)</f>
        <v>59</v>
      </c>
      <c r="E17" s="138">
        <f ca="1">SUM(E12:E16)</f>
        <v>39</v>
      </c>
      <c r="F17" s="138">
        <f ca="1">SUM(F12:F16)</f>
        <v>20</v>
      </c>
      <c r="G17" s="139">
        <f ca="1">SUM(G12:G16)</f>
        <v>0</v>
      </c>
      <c r="H17" s="140">
        <f t="shared" ca="1" si="0"/>
        <v>0.61643835616438358</v>
      </c>
      <c r="I17" s="292"/>
      <c r="J17" s="137">
        <f ca="1">SUM(J12:J16)</f>
        <v>20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>
        <f ca="1">IF($O17="N/A","N/A",IFERROR($J17/($F17-(M17-G17)),"N/A"))</f>
        <v>1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90</v>
      </c>
      <c r="T17" s="44">
        <f>SUM(T12:T16)</f>
        <v>146</v>
      </c>
      <c r="U17" s="43">
        <f>SUM(U12:U16)</f>
        <v>146</v>
      </c>
      <c r="V17" s="284" t="s">
        <v>232</v>
      </c>
      <c r="W17" s="256"/>
      <c r="X17" s="67">
        <f t="shared" ca="1" si="3"/>
        <v>0.61643835616438358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 thickBot="1">
      <c r="A19" s="9" t="s">
        <v>233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234</v>
      </c>
      <c r="S19" s="17"/>
    </row>
    <row r="20" spans="1:25" ht="21.95" customHeight="1">
      <c r="A20" s="277" t="s">
        <v>77</v>
      </c>
      <c r="B20" s="278"/>
      <c r="C20" s="279" t="s">
        <v>235</v>
      </c>
      <c r="D20" s="280"/>
      <c r="E20" s="280"/>
      <c r="F20" s="281" t="s">
        <v>41</v>
      </c>
      <c r="G20" s="280"/>
      <c r="H20" s="165" t="s">
        <v>178</v>
      </c>
      <c r="I20" s="166" t="s">
        <v>236</v>
      </c>
      <c r="J20" s="159" t="s">
        <v>190</v>
      </c>
      <c r="K20" s="144" t="s">
        <v>237</v>
      </c>
      <c r="L20" s="282" t="s">
        <v>322</v>
      </c>
      <c r="M20" s="280"/>
      <c r="N20" s="280"/>
      <c r="O20" s="280"/>
      <c r="P20" s="278"/>
      <c r="Q20" s="145" t="s">
        <v>76</v>
      </c>
      <c r="R20" s="53" t="s">
        <v>239</v>
      </c>
      <c r="S20" s="52" t="s">
        <v>228</v>
      </c>
      <c r="T20" s="25" t="s">
        <v>229</v>
      </c>
      <c r="U20" s="52" t="s">
        <v>230</v>
      </c>
      <c r="V20" s="275" t="s">
        <v>190</v>
      </c>
      <c r="W20" s="222"/>
      <c r="Y20" s="69"/>
    </row>
    <row r="21" spans="1:25" ht="36">
      <c r="A21" s="31" t="str">
        <f>ChkList!A5</f>
        <v>계정 관리</v>
      </c>
      <c r="B21" s="31" t="str">
        <f>ChkList!B5</f>
        <v>U-01</v>
      </c>
      <c r="C21" s="270" t="str">
        <f>ChkList!C5</f>
        <v>root 계정 원격 접속 제한</v>
      </c>
      <c r="D21" s="221"/>
      <c r="E21" s="222"/>
      <c r="F21" s="31" t="str">
        <f>ChkList!D5</f>
        <v>H</v>
      </c>
      <c r="G21" s="31">
        <f>ChkList!E5</f>
        <v>3</v>
      </c>
      <c r="H21" s="168" t="s">
        <v>50</v>
      </c>
      <c r="I21" s="167" t="s">
        <v>240</v>
      </c>
      <c r="J21" s="28" t="s">
        <v>374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70" t="s">
        <v>373</v>
      </c>
      <c r="M21" s="221"/>
      <c r="N21" s="221"/>
      <c r="O21" s="221"/>
      <c r="P21" s="222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241</v>
      </c>
      <c r="W21" s="42" t="s">
        <v>42</v>
      </c>
      <c r="Y21" s="10"/>
    </row>
    <row r="22" spans="1:25" ht="36">
      <c r="A22" s="31" t="str">
        <f>ChkList!A6</f>
        <v>계정 관리</v>
      </c>
      <c r="B22" s="31" t="str">
        <f>ChkList!B6</f>
        <v>U-02</v>
      </c>
      <c r="C22" s="270" t="str">
        <f>ChkList!C6</f>
        <v>비밀번호 관리정책 설정</v>
      </c>
      <c r="D22" s="221"/>
      <c r="E22" s="222"/>
      <c r="F22" s="31" t="str">
        <f>ChkList!D6</f>
        <v>H</v>
      </c>
      <c r="G22" s="31">
        <f>ChkList!E6</f>
        <v>3</v>
      </c>
      <c r="H22" s="168" t="s">
        <v>51</v>
      </c>
      <c r="I22" s="167" t="s">
        <v>242</v>
      </c>
      <c r="J22" s="28" t="s">
        <v>50</v>
      </c>
      <c r="K22" s="28" t="str">
        <f t="shared" si="4"/>
        <v>조치</v>
      </c>
      <c r="L22" s="270" t="s">
        <v>243</v>
      </c>
      <c r="M22" s="221"/>
      <c r="N22" s="221"/>
      <c r="O22" s="221"/>
      <c r="P22" s="222"/>
      <c r="Q22" s="21" t="str">
        <f>IF($J22="",IF(OR($H22="N",$H22="인터뷰"), ChkList!$F7, ""), IF(OR($J22="N",$J22="인터뷰"), ChkList!$F7,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0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191</v>
      </c>
      <c r="W22" s="28">
        <v>1</v>
      </c>
      <c r="Y22" s="10"/>
    </row>
    <row r="23" spans="1:25" ht="36">
      <c r="A23" s="31" t="str">
        <f>ChkList!A7</f>
        <v>계정 관리</v>
      </c>
      <c r="B23" s="31" t="str">
        <f>ChkList!B7</f>
        <v>U-03</v>
      </c>
      <c r="C23" s="270" t="str">
        <f>ChkList!C7</f>
        <v>계정 잠금 임계값 설정</v>
      </c>
      <c r="D23" s="221"/>
      <c r="E23" s="222"/>
      <c r="F23" s="31" t="str">
        <f>ChkList!D7</f>
        <v>H</v>
      </c>
      <c r="G23" s="31">
        <f>ChkList!E7</f>
        <v>3</v>
      </c>
      <c r="H23" s="168" t="s">
        <v>51</v>
      </c>
      <c r="I23" s="167" t="s">
        <v>244</v>
      </c>
      <c r="J23" s="28" t="s">
        <v>50</v>
      </c>
      <c r="K23" s="28" t="str">
        <f t="shared" si="4"/>
        <v>조치</v>
      </c>
      <c r="L23" s="270" t="s">
        <v>245</v>
      </c>
      <c r="M23" s="221"/>
      <c r="N23" s="221"/>
      <c r="O23" s="221"/>
      <c r="P23" s="222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0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192</v>
      </c>
      <c r="W23" s="28">
        <v>0</v>
      </c>
      <c r="Y23" s="10"/>
    </row>
    <row r="24" spans="1:25" ht="36">
      <c r="A24" s="31" t="str">
        <f>ChkList!A8</f>
        <v>계정 관리</v>
      </c>
      <c r="B24" s="31" t="str">
        <f>ChkList!B8</f>
        <v>U-04</v>
      </c>
      <c r="C24" s="270" t="str">
        <f>ChkList!C8</f>
        <v>비밀번호 파일 보호</v>
      </c>
      <c r="D24" s="221"/>
      <c r="E24" s="222"/>
      <c r="F24" s="31" t="str">
        <f>ChkList!D8</f>
        <v>H</v>
      </c>
      <c r="G24" s="31">
        <f>ChkList!E8</f>
        <v>3</v>
      </c>
      <c r="H24" s="168" t="s">
        <v>50</v>
      </c>
      <c r="I24" s="167" t="s">
        <v>246</v>
      </c>
      <c r="J24" s="28" t="s">
        <v>375</v>
      </c>
      <c r="K24" s="28" t="str">
        <f t="shared" si="4"/>
        <v>Y</v>
      </c>
      <c r="L24" s="270" t="s">
        <v>324</v>
      </c>
      <c r="M24" s="221"/>
      <c r="N24" s="221"/>
      <c r="O24" s="221"/>
      <c r="P24" s="222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193</v>
      </c>
      <c r="W24" s="28">
        <v>0</v>
      </c>
      <c r="Y24" s="10"/>
    </row>
    <row r="25" spans="1:25" ht="36">
      <c r="A25" s="31" t="str">
        <f>ChkList!A9</f>
        <v>계정 관리</v>
      </c>
      <c r="B25" s="31" t="str">
        <f>ChkList!B9</f>
        <v>U-05</v>
      </c>
      <c r="C25" s="270" t="str">
        <f>ChkList!C9</f>
        <v>root 이외의 UID가 ‘0’ 금지</v>
      </c>
      <c r="D25" s="221"/>
      <c r="E25" s="222"/>
      <c r="F25" s="31" t="str">
        <f>ChkList!D9</f>
        <v>H</v>
      </c>
      <c r="G25" s="31">
        <f>ChkList!E9</f>
        <v>3</v>
      </c>
      <c r="H25" s="168" t="s">
        <v>50</v>
      </c>
      <c r="I25" s="167" t="s">
        <v>247</v>
      </c>
      <c r="J25" s="28" t="s">
        <v>376</v>
      </c>
      <c r="K25" s="28" t="str">
        <f t="shared" si="4"/>
        <v>Y</v>
      </c>
      <c r="L25" s="270" t="s">
        <v>372</v>
      </c>
      <c r="M25" s="221"/>
      <c r="N25" s="221"/>
      <c r="O25" s="221"/>
      <c r="P25" s="222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53</v>
      </c>
      <c r="W25" s="28">
        <v>0</v>
      </c>
      <c r="Y25" s="10"/>
    </row>
    <row r="26" spans="1:25" ht="36">
      <c r="A26" s="31" t="str">
        <f>ChkList!A10</f>
        <v>계정 관리</v>
      </c>
      <c r="B26" s="31" t="str">
        <f>ChkList!B10</f>
        <v>U-06</v>
      </c>
      <c r="C26" s="270" t="str">
        <f>ChkList!C10</f>
        <v>사용자 계정 su 기능 제한</v>
      </c>
      <c r="D26" s="221"/>
      <c r="E26" s="222"/>
      <c r="F26" s="31" t="str">
        <f>ChkList!D10</f>
        <v>H</v>
      </c>
      <c r="G26" s="31">
        <f>ChkList!E10</f>
        <v>3</v>
      </c>
      <c r="H26" s="168" t="s">
        <v>50</v>
      </c>
      <c r="I26" s="167" t="s">
        <v>248</v>
      </c>
      <c r="J26" s="28" t="s">
        <v>377</v>
      </c>
      <c r="K26" s="28" t="str">
        <f t="shared" si="4"/>
        <v>Y</v>
      </c>
      <c r="L26" s="270" t="s">
        <v>371</v>
      </c>
      <c r="M26" s="221"/>
      <c r="N26" s="221"/>
      <c r="O26" s="221"/>
      <c r="P26" s="222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50</v>
      </c>
      <c r="W26" s="28">
        <v>1</v>
      </c>
      <c r="Y26" s="10"/>
    </row>
    <row r="27" spans="1:25" ht="36">
      <c r="A27" s="31" t="str">
        <f>ChkList!A11</f>
        <v>계정 관리</v>
      </c>
      <c r="B27" s="31" t="str">
        <f>ChkList!B11</f>
        <v>U-07</v>
      </c>
      <c r="C27" s="270" t="str">
        <f>ChkList!C11</f>
        <v>불필요한 계정 제거</v>
      </c>
      <c r="D27" s="221"/>
      <c r="E27" s="222"/>
      <c r="F27" s="31" t="str">
        <f>ChkList!D11</f>
        <v>L</v>
      </c>
      <c r="G27" s="31">
        <f>ChkList!E11</f>
        <v>1</v>
      </c>
      <c r="H27" s="168" t="s">
        <v>50</v>
      </c>
      <c r="I27" s="167" t="s">
        <v>249</v>
      </c>
      <c r="J27" s="28" t="s">
        <v>378</v>
      </c>
      <c r="K27" s="28" t="str">
        <f t="shared" si="4"/>
        <v>Y</v>
      </c>
      <c r="L27" s="270" t="s">
        <v>370</v>
      </c>
      <c r="M27" s="221"/>
      <c r="N27" s="221"/>
      <c r="O27" s="221"/>
      <c r="P27" s="222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55</v>
      </c>
      <c r="W27" s="28">
        <v>1</v>
      </c>
      <c r="Y27" s="10"/>
    </row>
    <row r="28" spans="1:25" ht="36">
      <c r="A28" s="31" t="str">
        <f>ChkList!A12</f>
        <v>계정 관리</v>
      </c>
      <c r="B28" s="31" t="str">
        <f>ChkList!B12</f>
        <v>U-08</v>
      </c>
      <c r="C28" s="270" t="str">
        <f>ChkList!C12</f>
        <v>관리자 그룹에 최소한의 계정 포함</v>
      </c>
      <c r="D28" s="221"/>
      <c r="E28" s="222"/>
      <c r="F28" s="31" t="str">
        <f>ChkList!D12</f>
        <v>M</v>
      </c>
      <c r="G28" s="31">
        <f>ChkList!E12</f>
        <v>2</v>
      </c>
      <c r="H28" s="168" t="s">
        <v>50</v>
      </c>
      <c r="I28" s="167" t="s">
        <v>250</v>
      </c>
      <c r="J28" s="28" t="s">
        <v>377</v>
      </c>
      <c r="K28" s="28" t="str">
        <f t="shared" si="4"/>
        <v>Y</v>
      </c>
      <c r="L28" s="270" t="s">
        <v>369</v>
      </c>
      <c r="M28" s="221"/>
      <c r="N28" s="221"/>
      <c r="O28" s="221"/>
      <c r="P28" s="222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>
      <c r="A29" s="31" t="str">
        <f>ChkList!A13</f>
        <v>계정 관리</v>
      </c>
      <c r="B29" s="31" t="str">
        <f>ChkList!B13</f>
        <v>U-09</v>
      </c>
      <c r="C29" s="270" t="str">
        <f>ChkList!C13</f>
        <v>계정이 존재하지 않는 GID 금지</v>
      </c>
      <c r="D29" s="221"/>
      <c r="E29" s="222"/>
      <c r="F29" s="31" t="str">
        <f>ChkList!D13</f>
        <v>L</v>
      </c>
      <c r="G29" s="31">
        <f>ChkList!E13</f>
        <v>1</v>
      </c>
      <c r="H29" s="168" t="s">
        <v>50</v>
      </c>
      <c r="I29" s="167" t="s">
        <v>251</v>
      </c>
      <c r="J29" s="28" t="s">
        <v>378</v>
      </c>
      <c r="K29" s="28" t="str">
        <f t="shared" si="4"/>
        <v>Y</v>
      </c>
      <c r="L29" s="270" t="s">
        <v>368</v>
      </c>
      <c r="M29" s="221"/>
      <c r="N29" s="221"/>
      <c r="O29" s="221"/>
      <c r="P29" s="222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6">
      <c r="A30" s="31" t="str">
        <f>ChkList!A14</f>
        <v>계정 관리</v>
      </c>
      <c r="B30" s="31" t="str">
        <f>ChkList!B14</f>
        <v>U-10</v>
      </c>
      <c r="C30" s="270" t="str">
        <f>ChkList!C14</f>
        <v>동일한 UID 금지</v>
      </c>
      <c r="D30" s="221"/>
      <c r="E30" s="222"/>
      <c r="F30" s="31" t="str">
        <f>ChkList!D14</f>
        <v>M</v>
      </c>
      <c r="G30" s="31">
        <f>ChkList!E14</f>
        <v>2</v>
      </c>
      <c r="H30" s="168" t="s">
        <v>50</v>
      </c>
      <c r="I30" s="167" t="s">
        <v>252</v>
      </c>
      <c r="J30" s="28" t="s">
        <v>378</v>
      </c>
      <c r="K30" s="28" t="str">
        <f t="shared" si="4"/>
        <v>Y</v>
      </c>
      <c r="L30" s="270" t="s">
        <v>367</v>
      </c>
      <c r="M30" s="221"/>
      <c r="N30" s="221"/>
      <c r="O30" s="221"/>
      <c r="P30" s="222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6">
      <c r="A31" s="31" t="str">
        <f>ChkList!A15</f>
        <v>계정 관리</v>
      </c>
      <c r="B31" s="31" t="str">
        <f>ChkList!B15</f>
        <v>U-11</v>
      </c>
      <c r="C31" s="270" t="str">
        <f>ChkList!C15</f>
        <v>사용자 Shell 점검</v>
      </c>
      <c r="D31" s="221"/>
      <c r="E31" s="222"/>
      <c r="F31" s="31" t="str">
        <f>ChkList!D15</f>
        <v>L</v>
      </c>
      <c r="G31" s="31">
        <f>ChkList!E15</f>
        <v>1</v>
      </c>
      <c r="H31" s="168" t="s">
        <v>50</v>
      </c>
      <c r="I31" s="167" t="s">
        <v>253</v>
      </c>
      <c r="J31" s="28" t="s">
        <v>378</v>
      </c>
      <c r="K31" s="28" t="str">
        <f t="shared" si="4"/>
        <v>Y</v>
      </c>
      <c r="L31" s="270" t="s">
        <v>366</v>
      </c>
      <c r="M31" s="221"/>
      <c r="N31" s="221"/>
      <c r="O31" s="221"/>
      <c r="P31" s="222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6">
      <c r="A32" s="31" t="str">
        <f>ChkList!A16</f>
        <v>계정 관리</v>
      </c>
      <c r="B32" s="31" t="str">
        <f>ChkList!B16</f>
        <v>U-12</v>
      </c>
      <c r="C32" s="270" t="str">
        <f>ChkList!C16</f>
        <v>세션 종료 시간 설정</v>
      </c>
      <c r="D32" s="221"/>
      <c r="E32" s="222"/>
      <c r="F32" s="31" t="str">
        <f>ChkList!D16</f>
        <v>L</v>
      </c>
      <c r="G32" s="31">
        <f>ChkList!E16</f>
        <v>1</v>
      </c>
      <c r="H32" s="168" t="s">
        <v>50</v>
      </c>
      <c r="I32" s="167" t="s">
        <v>254</v>
      </c>
      <c r="J32" s="28" t="s">
        <v>378</v>
      </c>
      <c r="K32" s="28" t="str">
        <f t="shared" si="4"/>
        <v>Y</v>
      </c>
      <c r="L32" s="270" t="s">
        <v>365</v>
      </c>
      <c r="M32" s="221"/>
      <c r="N32" s="221"/>
      <c r="O32" s="221"/>
      <c r="P32" s="222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6">
      <c r="A33" s="31" t="str">
        <f>ChkList!A17</f>
        <v>계정 관리</v>
      </c>
      <c r="B33" s="31" t="str">
        <f>ChkList!B17</f>
        <v>U-13</v>
      </c>
      <c r="C33" s="270" t="str">
        <f>ChkList!C17</f>
        <v>안전한 비밀번호 암호화 알고리즘 사용</v>
      </c>
      <c r="D33" s="221"/>
      <c r="E33" s="222"/>
      <c r="F33" s="31" t="str">
        <f>ChkList!D17</f>
        <v>M</v>
      </c>
      <c r="G33" s="31">
        <f>ChkList!E17</f>
        <v>2</v>
      </c>
      <c r="H33" s="168" t="s">
        <v>50</v>
      </c>
      <c r="I33" s="167" t="s">
        <v>255</v>
      </c>
      <c r="J33" s="28" t="s">
        <v>378</v>
      </c>
      <c r="K33" s="28" t="str">
        <f t="shared" si="4"/>
        <v>Y</v>
      </c>
      <c r="L33" s="270" t="s">
        <v>364</v>
      </c>
      <c r="M33" s="221"/>
      <c r="N33" s="221"/>
      <c r="O33" s="221"/>
      <c r="P33" s="222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6">
      <c r="A34" s="31" t="str">
        <f>ChkList!A18</f>
        <v>파일 및 디렉터리 관리</v>
      </c>
      <c r="B34" s="31" t="str">
        <f>ChkList!B18</f>
        <v>U-14</v>
      </c>
      <c r="C34" s="270" t="str">
        <f>ChkList!C18</f>
        <v>root 홈, 패스 디렉터리 권한 및 패스 설정</v>
      </c>
      <c r="D34" s="221"/>
      <c r="E34" s="222"/>
      <c r="F34" s="31" t="str">
        <f>ChkList!D18</f>
        <v>H</v>
      </c>
      <c r="G34" s="31">
        <f>ChkList!E18</f>
        <v>3</v>
      </c>
      <c r="H34" s="168" t="s">
        <v>50</v>
      </c>
      <c r="I34" s="167" t="s">
        <v>256</v>
      </c>
      <c r="J34" s="28" t="s">
        <v>378</v>
      </c>
      <c r="K34" s="28" t="str">
        <f t="shared" si="4"/>
        <v>Y</v>
      </c>
      <c r="L34" s="270" t="s">
        <v>363</v>
      </c>
      <c r="M34" s="221"/>
      <c r="N34" s="221"/>
      <c r="O34" s="221"/>
      <c r="P34" s="222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6">
      <c r="A35" s="31" t="str">
        <f>ChkList!A19</f>
        <v>파일 및 디렉터리 관리</v>
      </c>
      <c r="B35" s="31" t="str">
        <f>ChkList!B19</f>
        <v>U-15</v>
      </c>
      <c r="C35" s="270" t="str">
        <f>ChkList!C19</f>
        <v>파일 및 디렉터리 소유자 설정</v>
      </c>
      <c r="D35" s="221"/>
      <c r="E35" s="222"/>
      <c r="F35" s="31" t="str">
        <f>ChkList!D19</f>
        <v>H</v>
      </c>
      <c r="G35" s="31">
        <f>ChkList!E19</f>
        <v>3</v>
      </c>
      <c r="H35" s="168" t="s">
        <v>51</v>
      </c>
      <c r="I35" s="167" t="s">
        <v>257</v>
      </c>
      <c r="J35" s="28" t="s">
        <v>50</v>
      </c>
      <c r="K35" s="28" t="str">
        <f t="shared" si="4"/>
        <v>조치</v>
      </c>
      <c r="L35" s="270" t="s">
        <v>258</v>
      </c>
      <c r="M35" s="221"/>
      <c r="N35" s="221"/>
      <c r="O35" s="221"/>
      <c r="P35" s="222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6">
      <c r="A36" s="31" t="str">
        <f>ChkList!A20</f>
        <v>파일 및 디렉터리 관리</v>
      </c>
      <c r="B36" s="31" t="str">
        <f>ChkList!B20</f>
        <v>U-16</v>
      </c>
      <c r="C36" s="270" t="str">
        <f>ChkList!C20</f>
        <v>/etc/passwd 파일 소유자 및 권한 설정</v>
      </c>
      <c r="D36" s="221"/>
      <c r="E36" s="222"/>
      <c r="F36" s="31" t="str">
        <f>ChkList!D20</f>
        <v>H</v>
      </c>
      <c r="G36" s="31">
        <f>ChkList!E20</f>
        <v>3</v>
      </c>
      <c r="H36" s="168" t="s">
        <v>50</v>
      </c>
      <c r="I36" s="167" t="s">
        <v>259</v>
      </c>
      <c r="J36" s="28" t="s">
        <v>378</v>
      </c>
      <c r="K36" s="28" t="str">
        <f t="shared" si="4"/>
        <v>Y</v>
      </c>
      <c r="L36" s="270" t="s">
        <v>362</v>
      </c>
      <c r="M36" s="221"/>
      <c r="N36" s="221"/>
      <c r="O36" s="221"/>
      <c r="P36" s="222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6">
      <c r="A37" s="31" t="str">
        <f>ChkList!A21</f>
        <v>파일 및 디렉터리 관리</v>
      </c>
      <c r="B37" s="31" t="str">
        <f>ChkList!B21</f>
        <v>U-17</v>
      </c>
      <c r="C37" s="270" t="str">
        <f>ChkList!C21</f>
        <v>시스템 시작 스크립트 권한 설정</v>
      </c>
      <c r="D37" s="221"/>
      <c r="E37" s="222"/>
      <c r="F37" s="31" t="str">
        <f>ChkList!D21</f>
        <v>H</v>
      </c>
      <c r="G37" s="31">
        <f>ChkList!E21</f>
        <v>3</v>
      </c>
      <c r="H37" s="168" t="s">
        <v>51</v>
      </c>
      <c r="I37" s="167" t="s">
        <v>260</v>
      </c>
      <c r="J37" s="28" t="s">
        <v>50</v>
      </c>
      <c r="K37" s="28" t="str">
        <f t="shared" si="4"/>
        <v>조치</v>
      </c>
      <c r="L37" s="270" t="s">
        <v>261</v>
      </c>
      <c r="M37" s="221"/>
      <c r="N37" s="221"/>
      <c r="O37" s="221"/>
      <c r="P37" s="222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1" t="str">
        <f>ChkList!A22</f>
        <v>파일 및 디렉터리 관리</v>
      </c>
      <c r="B38" s="31" t="str">
        <f>ChkList!B22</f>
        <v>U-18</v>
      </c>
      <c r="C38" s="270" t="str">
        <f>ChkList!C22</f>
        <v>/etc/shadow 파일 소유자 및 권한 설정</v>
      </c>
      <c r="D38" s="221"/>
      <c r="E38" s="222"/>
      <c r="F38" s="31" t="str">
        <f>ChkList!D22</f>
        <v>H</v>
      </c>
      <c r="G38" s="31">
        <f>ChkList!E22</f>
        <v>3</v>
      </c>
      <c r="H38" s="168" t="s">
        <v>50</v>
      </c>
      <c r="I38" s="167" t="s">
        <v>262</v>
      </c>
      <c r="J38" s="28" t="s">
        <v>378</v>
      </c>
      <c r="K38" s="28" t="str">
        <f t="shared" si="4"/>
        <v>Y</v>
      </c>
      <c r="L38" s="270" t="s">
        <v>361</v>
      </c>
      <c r="M38" s="221"/>
      <c r="N38" s="221"/>
      <c r="O38" s="221"/>
      <c r="P38" s="222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1" t="str">
        <f>ChkList!A23</f>
        <v>파일 및 디렉터리 관리</v>
      </c>
      <c r="B39" s="31" t="str">
        <f>ChkList!B23</f>
        <v>U-19</v>
      </c>
      <c r="C39" s="270" t="str">
        <f>ChkList!C23</f>
        <v>/etc/hosts 파일 소유자 및 권한 설정</v>
      </c>
      <c r="D39" s="221"/>
      <c r="E39" s="222"/>
      <c r="F39" s="31" t="str">
        <f>ChkList!D23</f>
        <v>H</v>
      </c>
      <c r="G39" s="31">
        <f>ChkList!E23</f>
        <v>3</v>
      </c>
      <c r="H39" s="168" t="s">
        <v>50</v>
      </c>
      <c r="I39" s="167" t="s">
        <v>263</v>
      </c>
      <c r="J39" s="28" t="s">
        <v>378</v>
      </c>
      <c r="K39" s="28" t="str">
        <f t="shared" si="4"/>
        <v>Y</v>
      </c>
      <c r="L39" s="270" t="s">
        <v>360</v>
      </c>
      <c r="M39" s="221"/>
      <c r="N39" s="221"/>
      <c r="O39" s="221"/>
      <c r="P39" s="222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43.5" customHeight="1">
      <c r="A40" s="31" t="str">
        <f>ChkList!A24</f>
        <v>파일 및 디렉터리 관리</v>
      </c>
      <c r="B40" s="31" t="str">
        <f>ChkList!B24</f>
        <v>U-20</v>
      </c>
      <c r="C40" s="270" t="str">
        <f>ChkList!C24</f>
        <v>/etc/(x)inetd.conf 파일 소유자 및 권한 설정</v>
      </c>
      <c r="D40" s="221"/>
      <c r="E40" s="222"/>
      <c r="F40" s="31" t="str">
        <f>ChkList!D24</f>
        <v>H</v>
      </c>
      <c r="G40" s="31">
        <f>ChkList!E24</f>
        <v>3</v>
      </c>
      <c r="H40" s="168" t="s">
        <v>51</v>
      </c>
      <c r="I40" s="167" t="s">
        <v>264</v>
      </c>
      <c r="J40" s="168" t="s">
        <v>50</v>
      </c>
      <c r="K40" s="28" t="str">
        <f t="shared" si="4"/>
        <v>조치</v>
      </c>
      <c r="L40" s="271" t="s">
        <v>265</v>
      </c>
      <c r="M40" s="272"/>
      <c r="N40" s="272"/>
      <c r="O40" s="272"/>
      <c r="P40" s="273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>
      <c r="A41" s="31" t="str">
        <f>ChkList!A25</f>
        <v>파일 및 디렉터리 관리</v>
      </c>
      <c r="B41" s="31" t="str">
        <f>ChkList!B25</f>
        <v>U-21</v>
      </c>
      <c r="C41" s="270" t="str">
        <f>ChkList!C25</f>
        <v>/etc/(r)syslog.conf 파일 소유자 및 권한 설정</v>
      </c>
      <c r="D41" s="221"/>
      <c r="E41" s="222"/>
      <c r="F41" s="31" t="str">
        <f>ChkList!D25</f>
        <v>H</v>
      </c>
      <c r="G41" s="31">
        <f>ChkList!E25</f>
        <v>3</v>
      </c>
      <c r="H41" s="168" t="s">
        <v>51</v>
      </c>
      <c r="I41" s="167" t="s">
        <v>266</v>
      </c>
      <c r="J41" s="168" t="s">
        <v>50</v>
      </c>
      <c r="K41" s="28" t="str">
        <f t="shared" si="4"/>
        <v>조치</v>
      </c>
      <c r="L41" s="271" t="s">
        <v>267</v>
      </c>
      <c r="M41" s="272"/>
      <c r="N41" s="272"/>
      <c r="O41" s="272"/>
      <c r="P41" s="273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43.5" customHeight="1">
      <c r="A42" s="31" t="str">
        <f>ChkList!A26</f>
        <v>파일 및 디렉터리 관리</v>
      </c>
      <c r="B42" s="31" t="str">
        <f>ChkList!B26</f>
        <v>U-22</v>
      </c>
      <c r="C42" s="270" t="str">
        <f>ChkList!C26</f>
        <v>/etc/services 파일 소유자 및 권한 설정</v>
      </c>
      <c r="D42" s="221"/>
      <c r="E42" s="222"/>
      <c r="F42" s="31" t="str">
        <f>ChkList!D26</f>
        <v>H</v>
      </c>
      <c r="G42" s="31">
        <f>ChkList!E26</f>
        <v>3</v>
      </c>
      <c r="H42" s="168" t="s">
        <v>51</v>
      </c>
      <c r="I42" s="167" t="s">
        <v>268</v>
      </c>
      <c r="J42" s="168" t="s">
        <v>50</v>
      </c>
      <c r="K42" s="28" t="str">
        <f t="shared" si="4"/>
        <v>조치</v>
      </c>
      <c r="L42" s="271" t="s">
        <v>269</v>
      </c>
      <c r="M42" s="272"/>
      <c r="N42" s="272"/>
      <c r="O42" s="272"/>
      <c r="P42" s="273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>
      <c r="A43" s="31" t="str">
        <f>ChkList!A27</f>
        <v>파일 및 디렉터리 관리</v>
      </c>
      <c r="B43" s="31" t="str">
        <f>ChkList!B27</f>
        <v>U-23</v>
      </c>
      <c r="C43" s="270" t="str">
        <f>ChkList!C27</f>
        <v>SUID, SGID, Sticky bit 설정 파일 점검</v>
      </c>
      <c r="D43" s="221"/>
      <c r="E43" s="222"/>
      <c r="F43" s="31" t="str">
        <f>ChkList!D27</f>
        <v>H</v>
      </c>
      <c r="G43" s="31">
        <f>ChkList!E27</f>
        <v>3</v>
      </c>
      <c r="H43" s="168" t="s">
        <v>50</v>
      </c>
      <c r="I43" s="167" t="s">
        <v>270</v>
      </c>
      <c r="J43" s="28" t="s">
        <v>378</v>
      </c>
      <c r="K43" s="28" t="str">
        <f t="shared" si="4"/>
        <v>Y</v>
      </c>
      <c r="L43" s="270" t="s">
        <v>358</v>
      </c>
      <c r="M43" s="221"/>
      <c r="N43" s="221"/>
      <c r="O43" s="221"/>
      <c r="P43" s="222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1" t="str">
        <f>ChkList!A28</f>
        <v>파일 및 디렉터리 관리</v>
      </c>
      <c r="B44" s="31" t="str">
        <f>ChkList!B28</f>
        <v>U-24</v>
      </c>
      <c r="C44" s="270" t="str">
        <f>ChkList!C28</f>
        <v>사용자, 시스템 시작파일 및 환경파일 소유자 및 권한 설정</v>
      </c>
      <c r="D44" s="221"/>
      <c r="E44" s="222"/>
      <c r="F44" s="31" t="str">
        <f>ChkList!D28</f>
        <v>H</v>
      </c>
      <c r="G44" s="31">
        <f>ChkList!E28</f>
        <v>3</v>
      </c>
      <c r="H44" s="168" t="s">
        <v>51</v>
      </c>
      <c r="I44" s="167" t="s">
        <v>271</v>
      </c>
      <c r="J44" s="168" t="s">
        <v>50</v>
      </c>
      <c r="K44" s="28" t="str">
        <f t="shared" si="4"/>
        <v>조치</v>
      </c>
      <c r="L44" s="270" t="s">
        <v>379</v>
      </c>
      <c r="M44" s="221"/>
      <c r="N44" s="221"/>
      <c r="O44" s="221"/>
      <c r="P44" s="222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43.5" customHeight="1">
      <c r="A45" s="31" t="str">
        <f>ChkList!A29</f>
        <v>파일 및 디렉터리 관리</v>
      </c>
      <c r="B45" s="31" t="str">
        <f>ChkList!B29</f>
        <v>U-25</v>
      </c>
      <c r="C45" s="270" t="str">
        <f>ChkList!C29</f>
        <v>world writable 파일 점검</v>
      </c>
      <c r="D45" s="221"/>
      <c r="E45" s="222"/>
      <c r="F45" s="31" t="str">
        <f>ChkList!D29</f>
        <v>H</v>
      </c>
      <c r="G45" s="31">
        <f>ChkList!E29</f>
        <v>3</v>
      </c>
      <c r="H45" s="168" t="s">
        <v>50</v>
      </c>
      <c r="I45" s="167" t="s">
        <v>272</v>
      </c>
      <c r="J45" s="28" t="s">
        <v>378</v>
      </c>
      <c r="K45" s="28" t="str">
        <f t="shared" si="4"/>
        <v>Y</v>
      </c>
      <c r="L45" s="270" t="s">
        <v>355</v>
      </c>
      <c r="M45" s="221"/>
      <c r="N45" s="221"/>
      <c r="O45" s="221"/>
      <c r="P45" s="222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6">
      <c r="A46" s="31" t="str">
        <f>ChkList!A30</f>
        <v>파일 및 디렉터리 관리</v>
      </c>
      <c r="B46" s="31" t="str">
        <f>ChkList!B30</f>
        <v>U-26</v>
      </c>
      <c r="C46" s="270" t="str">
        <f>ChkList!C30</f>
        <v>/dev에 존재하지 않는 device 파일 점검</v>
      </c>
      <c r="D46" s="221"/>
      <c r="E46" s="222"/>
      <c r="F46" s="31" t="str">
        <f>ChkList!D30</f>
        <v>H</v>
      </c>
      <c r="G46" s="31">
        <f>ChkList!E30</f>
        <v>3</v>
      </c>
      <c r="H46" s="168" t="s">
        <v>51</v>
      </c>
      <c r="I46" s="167" t="s">
        <v>273</v>
      </c>
      <c r="J46" s="168" t="s">
        <v>50</v>
      </c>
      <c r="K46" s="28" t="str">
        <f t="shared" si="4"/>
        <v>조치</v>
      </c>
      <c r="L46" s="270" t="s">
        <v>274</v>
      </c>
      <c r="M46" s="221"/>
      <c r="N46" s="221"/>
      <c r="O46" s="221"/>
      <c r="P46" s="222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0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6">
      <c r="A47" s="31" t="str">
        <f>ChkList!A31</f>
        <v>파일 및 디렉터리 관리</v>
      </c>
      <c r="B47" s="31" t="str">
        <f>ChkList!B31</f>
        <v>U-27</v>
      </c>
      <c r="C47" s="270" t="str">
        <f>ChkList!C31</f>
        <v>$HOME/.rhosts, hosts.equiv 사용 금지</v>
      </c>
      <c r="D47" s="221"/>
      <c r="E47" s="222"/>
      <c r="F47" s="31" t="str">
        <f>ChkList!D31</f>
        <v>H</v>
      </c>
      <c r="G47" s="31">
        <f>ChkList!E31</f>
        <v>3</v>
      </c>
      <c r="H47" s="168" t="s">
        <v>51</v>
      </c>
      <c r="I47" s="167" t="s">
        <v>275</v>
      </c>
      <c r="J47" s="168" t="s">
        <v>50</v>
      </c>
      <c r="K47" s="28" t="str">
        <f t="shared" si="4"/>
        <v>조치</v>
      </c>
      <c r="L47" s="270" t="s">
        <v>276</v>
      </c>
      <c r="M47" s="221"/>
      <c r="N47" s="221"/>
      <c r="O47" s="221"/>
      <c r="P47" s="222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0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6">
      <c r="A48" s="31" t="str">
        <f>ChkList!A32</f>
        <v>파일 및 디렉터리 관리</v>
      </c>
      <c r="B48" s="31" t="str">
        <f>ChkList!B32</f>
        <v>U-28</v>
      </c>
      <c r="C48" s="270" t="str">
        <f>ChkList!C32</f>
        <v>접속 IP 및 포트 제한</v>
      </c>
      <c r="D48" s="221"/>
      <c r="E48" s="222"/>
      <c r="F48" s="31" t="str">
        <f>ChkList!D32</f>
        <v>H</v>
      </c>
      <c r="G48" s="31">
        <f>ChkList!E32</f>
        <v>3</v>
      </c>
      <c r="H48" s="168" t="s">
        <v>50</v>
      </c>
      <c r="I48" s="167" t="s">
        <v>277</v>
      </c>
      <c r="J48" s="28" t="s">
        <v>378</v>
      </c>
      <c r="K48" s="28" t="str">
        <f t="shared" si="4"/>
        <v>Y</v>
      </c>
      <c r="L48" s="270" t="s">
        <v>357</v>
      </c>
      <c r="M48" s="221"/>
      <c r="N48" s="221"/>
      <c r="O48" s="221"/>
      <c r="P48" s="222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6">
      <c r="A49" s="31" t="str">
        <f>ChkList!A33</f>
        <v>파일 및 디렉터리 관리</v>
      </c>
      <c r="B49" s="31" t="str">
        <f>ChkList!B33</f>
        <v>U-29</v>
      </c>
      <c r="C49" s="270" t="str">
        <f>ChkList!C33</f>
        <v>hosts.lpd 파일 소유자 및 권한 설정</v>
      </c>
      <c r="D49" s="221"/>
      <c r="E49" s="222"/>
      <c r="F49" s="31" t="str">
        <f>ChkList!D33</f>
        <v>L</v>
      </c>
      <c r="G49" s="31">
        <f>ChkList!E33</f>
        <v>1</v>
      </c>
      <c r="H49" s="168" t="s">
        <v>51</v>
      </c>
      <c r="I49" s="167" t="s">
        <v>278</v>
      </c>
      <c r="J49" s="168" t="s">
        <v>50</v>
      </c>
      <c r="K49" s="28" t="str">
        <f t="shared" si="4"/>
        <v>조치</v>
      </c>
      <c r="L49" s="270" t="s">
        <v>279</v>
      </c>
      <c r="M49" s="221"/>
      <c r="N49" s="221"/>
      <c r="O49" s="221"/>
      <c r="P49" s="222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0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6">
      <c r="A50" s="31" t="str">
        <f>ChkList!A34</f>
        <v>파일 및 디렉터리 관리</v>
      </c>
      <c r="B50" s="31" t="str">
        <f>ChkList!B34</f>
        <v>U-30</v>
      </c>
      <c r="C50" s="270" t="str">
        <f>ChkList!C34</f>
        <v>UMASK 설정 관리</v>
      </c>
      <c r="D50" s="221"/>
      <c r="E50" s="222"/>
      <c r="F50" s="31" t="str">
        <f>ChkList!D34</f>
        <v>M</v>
      </c>
      <c r="G50" s="31">
        <f>ChkList!E34</f>
        <v>2</v>
      </c>
      <c r="H50" s="168" t="s">
        <v>50</v>
      </c>
      <c r="I50" s="167" t="s">
        <v>280</v>
      </c>
      <c r="J50" s="28" t="s">
        <v>378</v>
      </c>
      <c r="K50" s="28" t="str">
        <f t="shared" si="4"/>
        <v>Y</v>
      </c>
      <c r="L50" s="270" t="s">
        <v>327</v>
      </c>
      <c r="M50" s="221"/>
      <c r="N50" s="221"/>
      <c r="O50" s="221"/>
      <c r="P50" s="222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6">
      <c r="A51" s="31" t="str">
        <f>ChkList!A35</f>
        <v>파일 및 디렉터리 관리</v>
      </c>
      <c r="B51" s="31" t="str">
        <f>ChkList!B35</f>
        <v>U-31</v>
      </c>
      <c r="C51" s="270" t="str">
        <f>ChkList!C35</f>
        <v>홈 디렉터리 소유자 및 권한 설정</v>
      </c>
      <c r="D51" s="221"/>
      <c r="E51" s="222"/>
      <c r="F51" s="31" t="str">
        <f>ChkList!D35</f>
        <v>M</v>
      </c>
      <c r="G51" s="31">
        <f>ChkList!E35</f>
        <v>2</v>
      </c>
      <c r="H51" s="168" t="s">
        <v>50</v>
      </c>
      <c r="I51" s="167" t="s">
        <v>281</v>
      </c>
      <c r="J51" s="28" t="s">
        <v>378</v>
      </c>
      <c r="K51" s="28" t="str">
        <f t="shared" si="4"/>
        <v>Y</v>
      </c>
      <c r="L51" s="270" t="s">
        <v>356</v>
      </c>
      <c r="M51" s="221"/>
      <c r="N51" s="221"/>
      <c r="O51" s="221"/>
      <c r="P51" s="222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6">
      <c r="A52" s="31" t="str">
        <f>ChkList!A36</f>
        <v>파일 및 디렉터리 관리</v>
      </c>
      <c r="B52" s="31" t="str">
        <f>ChkList!B36</f>
        <v>U-32</v>
      </c>
      <c r="C52" s="270" t="str">
        <f>ChkList!C36</f>
        <v>홈 디렉터리로 지정한 디렉터리의 존재 관리</v>
      </c>
      <c r="D52" s="221"/>
      <c r="E52" s="222"/>
      <c r="F52" s="31" t="str">
        <f>ChkList!D36</f>
        <v>M</v>
      </c>
      <c r="G52" s="31">
        <f>ChkList!E36</f>
        <v>2</v>
      </c>
      <c r="H52" s="168" t="s">
        <v>50</v>
      </c>
      <c r="I52" s="167" t="s">
        <v>272</v>
      </c>
      <c r="J52" s="28" t="s">
        <v>378</v>
      </c>
      <c r="K52" s="28" t="str">
        <f t="shared" si="4"/>
        <v>Y</v>
      </c>
      <c r="L52" s="270" t="s">
        <v>355</v>
      </c>
      <c r="M52" s="221"/>
      <c r="N52" s="221"/>
      <c r="O52" s="221"/>
      <c r="P52" s="222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6">
      <c r="A53" s="31" t="str">
        <f>ChkList!A37</f>
        <v>파일 및 디렉터리 관리</v>
      </c>
      <c r="B53" s="31" t="str">
        <f>ChkList!B37</f>
        <v>U-33</v>
      </c>
      <c r="C53" s="270" t="str">
        <f>ChkList!C37</f>
        <v>숨겨진 파일 및 디렉터리 검색 및 제거</v>
      </c>
      <c r="D53" s="221"/>
      <c r="E53" s="222"/>
      <c r="F53" s="31" t="str">
        <f>ChkList!D37</f>
        <v>L</v>
      </c>
      <c r="G53" s="31">
        <f>ChkList!E37</f>
        <v>1</v>
      </c>
      <c r="H53" s="168" t="s">
        <v>50</v>
      </c>
      <c r="I53" s="167" t="s">
        <v>282</v>
      </c>
      <c r="J53" s="28" t="s">
        <v>378</v>
      </c>
      <c r="K53" s="28" t="str">
        <f t="shared" si="4"/>
        <v>Y</v>
      </c>
      <c r="L53" s="270" t="s">
        <v>354</v>
      </c>
      <c r="M53" s="221"/>
      <c r="N53" s="221"/>
      <c r="O53" s="221"/>
      <c r="P53" s="222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.1" customHeight="1">
      <c r="A54" s="31" t="str">
        <f>ChkList!A38</f>
        <v>서비스 관리</v>
      </c>
      <c r="B54" s="31" t="str">
        <f>ChkList!B38</f>
        <v>U-34</v>
      </c>
      <c r="C54" s="270" t="str">
        <f>ChkList!C38</f>
        <v>Finger 서비스 비활성화</v>
      </c>
      <c r="D54" s="221"/>
      <c r="E54" s="222"/>
      <c r="F54" s="31" t="str">
        <f>ChkList!D38</f>
        <v>H</v>
      </c>
      <c r="G54" s="31">
        <f>ChkList!E38</f>
        <v>3</v>
      </c>
      <c r="H54" s="170" t="s">
        <v>283</v>
      </c>
      <c r="I54" s="167" t="s">
        <v>283</v>
      </c>
      <c r="J54" s="28" t="s">
        <v>283</v>
      </c>
      <c r="K54" s="28"/>
      <c r="L54" s="270" t="s">
        <v>284</v>
      </c>
      <c r="M54" s="221"/>
      <c r="N54" s="221"/>
      <c r="O54" s="221"/>
      <c r="P54" s="222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6">
      <c r="A55" s="31" t="str">
        <f>ChkList!A39</f>
        <v>서비스 관리</v>
      </c>
      <c r="B55" s="31" t="str">
        <f>ChkList!B39</f>
        <v>U-35</v>
      </c>
      <c r="C55" s="270" t="str">
        <f>ChkList!C39</f>
        <v>공유 서비스에 대한 익명 접근 제한 설정</v>
      </c>
      <c r="D55" s="221"/>
      <c r="E55" s="222"/>
      <c r="F55" s="31" t="str">
        <f>ChkList!D39</f>
        <v>H</v>
      </c>
      <c r="G55" s="31">
        <f>ChkList!E39</f>
        <v>3</v>
      </c>
      <c r="H55" s="168" t="s">
        <v>50</v>
      </c>
      <c r="I55" s="167" t="s">
        <v>285</v>
      </c>
      <c r="J55" s="28" t="s">
        <v>378</v>
      </c>
      <c r="K55" s="28" t="str">
        <f t="shared" si="4"/>
        <v>Y</v>
      </c>
      <c r="L55" s="270" t="s">
        <v>328</v>
      </c>
      <c r="M55" s="221"/>
      <c r="N55" s="221"/>
      <c r="O55" s="221"/>
      <c r="P55" s="222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6">
      <c r="A56" s="31" t="str">
        <f>ChkList!A40</f>
        <v>서비스 관리</v>
      </c>
      <c r="B56" s="31" t="str">
        <f>ChkList!B40</f>
        <v>U-36</v>
      </c>
      <c r="C56" s="270" t="str">
        <f>ChkList!C40</f>
        <v>r 계열 서비스 비활성화</v>
      </c>
      <c r="D56" s="221"/>
      <c r="E56" s="222"/>
      <c r="F56" s="31" t="str">
        <f>ChkList!D40</f>
        <v>H</v>
      </c>
      <c r="G56" s="31">
        <f>ChkList!E40</f>
        <v>3</v>
      </c>
      <c r="H56" s="168" t="s">
        <v>50</v>
      </c>
      <c r="I56" s="167" t="s">
        <v>286</v>
      </c>
      <c r="J56" s="28" t="s">
        <v>378</v>
      </c>
      <c r="K56" s="28" t="str">
        <f t="shared" si="4"/>
        <v>Y</v>
      </c>
      <c r="L56" s="270" t="s">
        <v>352</v>
      </c>
      <c r="M56" s="221"/>
      <c r="N56" s="221"/>
      <c r="O56" s="221"/>
      <c r="P56" s="222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6">
      <c r="A57" s="31" t="str">
        <f>ChkList!A41</f>
        <v>서비스 관리</v>
      </c>
      <c r="B57" s="31" t="str">
        <f>ChkList!B41</f>
        <v>U-37</v>
      </c>
      <c r="C57" s="270" t="str">
        <f>ChkList!C41</f>
        <v>crontab 설정파일 권한 설정 미흡</v>
      </c>
      <c r="D57" s="221"/>
      <c r="E57" s="222"/>
      <c r="F57" s="31" t="str">
        <f>ChkList!D41</f>
        <v>H</v>
      </c>
      <c r="G57" s="31">
        <f>ChkList!E41</f>
        <v>3</v>
      </c>
      <c r="H57" s="168" t="s">
        <v>50</v>
      </c>
      <c r="I57" s="167" t="s">
        <v>287</v>
      </c>
      <c r="J57" s="28" t="s">
        <v>378</v>
      </c>
      <c r="K57" s="28" t="str">
        <f t="shared" si="4"/>
        <v>Y</v>
      </c>
      <c r="L57" s="270" t="s">
        <v>353</v>
      </c>
      <c r="M57" s="221"/>
      <c r="N57" s="221"/>
      <c r="O57" s="221"/>
      <c r="P57" s="222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6">
      <c r="A58" s="31" t="str">
        <f>ChkList!A42</f>
        <v>서비스 관리</v>
      </c>
      <c r="B58" s="31" t="str">
        <f>ChkList!B42</f>
        <v>U-38</v>
      </c>
      <c r="C58" s="270" t="str">
        <f>ChkList!C42</f>
        <v>DoS 공격에 취약한 서비스 비활성화</v>
      </c>
      <c r="D58" s="221"/>
      <c r="E58" s="222"/>
      <c r="F58" s="31" t="str">
        <f>ChkList!D42</f>
        <v>H</v>
      </c>
      <c r="G58" s="31">
        <f>ChkList!E42</f>
        <v>3</v>
      </c>
      <c r="H58" s="168" t="s">
        <v>51</v>
      </c>
      <c r="I58" s="167" t="s">
        <v>288</v>
      </c>
      <c r="J58" s="168" t="s">
        <v>50</v>
      </c>
      <c r="K58" s="28" t="str">
        <f t="shared" si="4"/>
        <v>조치</v>
      </c>
      <c r="L58" s="270" t="s">
        <v>289</v>
      </c>
      <c r="M58" s="221"/>
      <c r="N58" s="221"/>
      <c r="O58" s="221"/>
      <c r="P58" s="222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0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6">
      <c r="A59" s="31" t="str">
        <f>ChkList!A43</f>
        <v>서비스 관리</v>
      </c>
      <c r="B59" s="31" t="str">
        <f>ChkList!B43</f>
        <v>U-39</v>
      </c>
      <c r="C59" s="270" t="str">
        <f>ChkList!C43</f>
        <v>불필요한 NFS 서비스 비활성화</v>
      </c>
      <c r="D59" s="221"/>
      <c r="E59" s="222"/>
      <c r="F59" s="31" t="str">
        <f>ChkList!D43</f>
        <v>H</v>
      </c>
      <c r="G59" s="31">
        <f>ChkList!E43</f>
        <v>3</v>
      </c>
      <c r="H59" s="168" t="s">
        <v>50</v>
      </c>
      <c r="I59" s="167" t="s">
        <v>290</v>
      </c>
      <c r="J59" s="28" t="s">
        <v>378</v>
      </c>
      <c r="K59" s="28" t="str">
        <f t="shared" si="4"/>
        <v>Y</v>
      </c>
      <c r="L59" s="270" t="s">
        <v>329</v>
      </c>
      <c r="M59" s="221"/>
      <c r="N59" s="221"/>
      <c r="O59" s="221"/>
      <c r="P59" s="222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6">
      <c r="A60" s="31" t="str">
        <f>ChkList!A44</f>
        <v>서비스 관리</v>
      </c>
      <c r="B60" s="31" t="str">
        <f>ChkList!B44</f>
        <v>U-40</v>
      </c>
      <c r="C60" s="270" t="str">
        <f>ChkList!C44</f>
        <v>NFS 접근 통제</v>
      </c>
      <c r="D60" s="221"/>
      <c r="E60" s="222"/>
      <c r="F60" s="31" t="str">
        <f>ChkList!D44</f>
        <v>H</v>
      </c>
      <c r="G60" s="31">
        <f>ChkList!E44</f>
        <v>3</v>
      </c>
      <c r="H60" s="168" t="s">
        <v>50</v>
      </c>
      <c r="I60" s="167" t="s">
        <v>291</v>
      </c>
      <c r="J60" s="28" t="s">
        <v>378</v>
      </c>
      <c r="K60" s="28" t="str">
        <f t="shared" si="4"/>
        <v>Y</v>
      </c>
      <c r="L60" s="270" t="s">
        <v>344</v>
      </c>
      <c r="M60" s="221"/>
      <c r="N60" s="221"/>
      <c r="O60" s="221"/>
      <c r="P60" s="222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6">
      <c r="A61" s="31" t="str">
        <f>ChkList!A45</f>
        <v>서비스 관리</v>
      </c>
      <c r="B61" s="31" t="str">
        <f>ChkList!B45</f>
        <v>U-41</v>
      </c>
      <c r="C61" s="270" t="str">
        <f>ChkList!C45</f>
        <v>불필요한 automountd 제거</v>
      </c>
      <c r="D61" s="221"/>
      <c r="E61" s="222"/>
      <c r="F61" s="31" t="str">
        <f>ChkList!D45</f>
        <v>H</v>
      </c>
      <c r="G61" s="31">
        <f>ChkList!E45</f>
        <v>3</v>
      </c>
      <c r="H61" s="168" t="s">
        <v>50</v>
      </c>
      <c r="I61" s="167" t="s">
        <v>291</v>
      </c>
      <c r="J61" s="28" t="s">
        <v>378</v>
      </c>
      <c r="K61" s="28" t="str">
        <f t="shared" si="4"/>
        <v>Y</v>
      </c>
      <c r="L61" s="270" t="s">
        <v>344</v>
      </c>
      <c r="M61" s="221"/>
      <c r="N61" s="221"/>
      <c r="O61" s="221"/>
      <c r="P61" s="222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6">
      <c r="A62" s="31" t="str">
        <f>ChkList!A46</f>
        <v>서비스 관리</v>
      </c>
      <c r="B62" s="31" t="str">
        <f>ChkList!B46</f>
        <v>U-42</v>
      </c>
      <c r="C62" s="270" t="str">
        <f>ChkList!C46</f>
        <v>불필요한 RPC 서비스 비활성화</v>
      </c>
      <c r="D62" s="221"/>
      <c r="E62" s="222"/>
      <c r="F62" s="31" t="str">
        <f>ChkList!D46</f>
        <v>H</v>
      </c>
      <c r="G62" s="31">
        <f>ChkList!E46</f>
        <v>3</v>
      </c>
      <c r="H62" s="168" t="s">
        <v>50</v>
      </c>
      <c r="I62" s="167" t="s">
        <v>292</v>
      </c>
      <c r="J62" s="28" t="s">
        <v>378</v>
      </c>
      <c r="K62" s="28" t="str">
        <f t="shared" si="4"/>
        <v>Y</v>
      </c>
      <c r="L62" s="270" t="s">
        <v>345</v>
      </c>
      <c r="M62" s="221"/>
      <c r="N62" s="221"/>
      <c r="O62" s="221"/>
      <c r="P62" s="222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6">
      <c r="A63" s="31" t="str">
        <f>ChkList!A47</f>
        <v>서비스 관리</v>
      </c>
      <c r="B63" s="31" t="str">
        <f>ChkList!B47</f>
        <v>U-43</v>
      </c>
      <c r="C63" s="270" t="str">
        <f>ChkList!C47</f>
        <v>NIS, NIS+ 점검</v>
      </c>
      <c r="D63" s="221"/>
      <c r="E63" s="222"/>
      <c r="F63" s="31" t="str">
        <f>ChkList!D47</f>
        <v>H</v>
      </c>
      <c r="G63" s="31">
        <f>ChkList!E47</f>
        <v>3</v>
      </c>
      <c r="H63" s="168" t="s">
        <v>50</v>
      </c>
      <c r="I63" s="167" t="s">
        <v>293</v>
      </c>
      <c r="J63" s="28" t="s">
        <v>378</v>
      </c>
      <c r="K63" s="28" t="str">
        <f t="shared" si="4"/>
        <v>Y</v>
      </c>
      <c r="L63" s="270" t="s">
        <v>346</v>
      </c>
      <c r="M63" s="221"/>
      <c r="N63" s="221"/>
      <c r="O63" s="221"/>
      <c r="P63" s="222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6">
      <c r="A64" s="31" t="str">
        <f>ChkList!A48</f>
        <v>서비스 관리</v>
      </c>
      <c r="B64" s="31" t="str">
        <f>ChkList!B48</f>
        <v>U-44</v>
      </c>
      <c r="C64" s="270" t="str">
        <f>ChkList!C48</f>
        <v>tftp, talk 서비스 비활성화</v>
      </c>
      <c r="D64" s="221"/>
      <c r="E64" s="222"/>
      <c r="F64" s="31" t="str">
        <f>ChkList!D48</f>
        <v>H</v>
      </c>
      <c r="G64" s="31">
        <f>ChkList!E48</f>
        <v>3</v>
      </c>
      <c r="H64" s="168" t="s">
        <v>50</v>
      </c>
      <c r="I64" s="167" t="s">
        <v>294</v>
      </c>
      <c r="J64" s="28" t="s">
        <v>378</v>
      </c>
      <c r="K64" s="28" t="str">
        <f t="shared" si="4"/>
        <v>Y</v>
      </c>
      <c r="L64" s="270" t="s">
        <v>347</v>
      </c>
      <c r="M64" s="221"/>
      <c r="N64" s="221"/>
      <c r="O64" s="221"/>
      <c r="P64" s="222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>
      <c r="A65" s="31" t="str">
        <f>ChkList!A49</f>
        <v>서비스 관리</v>
      </c>
      <c r="B65" s="31" t="str">
        <f>ChkList!B49</f>
        <v>U-45</v>
      </c>
      <c r="C65" s="270" t="str">
        <f>ChkList!C49</f>
        <v>메일 서비스 버전 점검</v>
      </c>
      <c r="D65" s="221"/>
      <c r="E65" s="222"/>
      <c r="F65" s="31" t="str">
        <f>ChkList!D49</f>
        <v>H</v>
      </c>
      <c r="G65" s="31">
        <f>ChkList!E49</f>
        <v>3</v>
      </c>
      <c r="H65" s="168" t="s">
        <v>50</v>
      </c>
      <c r="I65" s="167" t="s">
        <v>295</v>
      </c>
      <c r="J65" s="28" t="s">
        <v>378</v>
      </c>
      <c r="K65" s="28" t="str">
        <f t="shared" si="4"/>
        <v>Y</v>
      </c>
      <c r="L65" s="270" t="s">
        <v>348</v>
      </c>
      <c r="M65" s="221"/>
      <c r="N65" s="221"/>
      <c r="O65" s="221"/>
      <c r="P65" s="222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>
      <c r="A66" s="31" t="str">
        <f>ChkList!A50</f>
        <v>서비스 관리</v>
      </c>
      <c r="B66" s="31" t="str">
        <f>ChkList!B50</f>
        <v>U-46</v>
      </c>
      <c r="C66" s="270" t="str">
        <f>ChkList!C50</f>
        <v>일반 사용자의 메일 서비스 실행 방지</v>
      </c>
      <c r="D66" s="221"/>
      <c r="E66" s="222"/>
      <c r="F66" s="31" t="str">
        <f>ChkList!D50</f>
        <v>H</v>
      </c>
      <c r="G66" s="31">
        <f>ChkList!E50</f>
        <v>3</v>
      </c>
      <c r="H66" s="168" t="s">
        <v>50</v>
      </c>
      <c r="I66" s="167" t="s">
        <v>296</v>
      </c>
      <c r="J66" s="28" t="s">
        <v>378</v>
      </c>
      <c r="K66" s="28" t="str">
        <f t="shared" si="4"/>
        <v>Y</v>
      </c>
      <c r="L66" s="270" t="s">
        <v>296</v>
      </c>
      <c r="M66" s="221"/>
      <c r="N66" s="221"/>
      <c r="O66" s="221"/>
      <c r="P66" s="222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>
      <c r="A67" s="31" t="str">
        <f>ChkList!A51</f>
        <v>서비스 관리</v>
      </c>
      <c r="B67" s="31" t="str">
        <f>ChkList!B51</f>
        <v>U-47</v>
      </c>
      <c r="C67" s="270" t="str">
        <f>ChkList!C51</f>
        <v>스팸 메일 릴레이 제한</v>
      </c>
      <c r="D67" s="221"/>
      <c r="E67" s="222"/>
      <c r="F67" s="31" t="str">
        <f>ChkList!D51</f>
        <v>H</v>
      </c>
      <c r="G67" s="31">
        <f>ChkList!E51</f>
        <v>3</v>
      </c>
      <c r="H67" s="168" t="s">
        <v>50</v>
      </c>
      <c r="I67" s="167" t="s">
        <v>297</v>
      </c>
      <c r="J67" s="28" t="s">
        <v>378</v>
      </c>
      <c r="K67" s="28" t="str">
        <f t="shared" si="4"/>
        <v>Y</v>
      </c>
      <c r="L67" s="270" t="s">
        <v>349</v>
      </c>
      <c r="M67" s="221"/>
      <c r="N67" s="221"/>
      <c r="O67" s="221"/>
      <c r="P67" s="222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>
      <c r="A68" s="31" t="str">
        <f>ChkList!A52</f>
        <v>서비스 관리</v>
      </c>
      <c r="B68" s="31" t="str">
        <f>ChkList!B52</f>
        <v>U-48</v>
      </c>
      <c r="C68" s="270" t="str">
        <f>ChkList!C52</f>
        <v>expn, vrfy 명령어 제한</v>
      </c>
      <c r="D68" s="221"/>
      <c r="E68" s="222"/>
      <c r="F68" s="31" t="str">
        <f>ChkList!D52</f>
        <v>M</v>
      </c>
      <c r="G68" s="31">
        <f>ChkList!E52</f>
        <v>2</v>
      </c>
      <c r="H68" s="168" t="s">
        <v>50</v>
      </c>
      <c r="I68" s="167" t="s">
        <v>297</v>
      </c>
      <c r="J68" s="28" t="s">
        <v>378</v>
      </c>
      <c r="K68" s="28" t="str">
        <f t="shared" si="4"/>
        <v>Y</v>
      </c>
      <c r="L68" s="270" t="s">
        <v>349</v>
      </c>
      <c r="M68" s="221"/>
      <c r="N68" s="221"/>
      <c r="O68" s="221"/>
      <c r="P68" s="222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>
      <c r="A69" s="31" t="str">
        <f>ChkList!A53</f>
        <v>서비스 관리</v>
      </c>
      <c r="B69" s="31" t="str">
        <f>ChkList!B53</f>
        <v>U-49</v>
      </c>
      <c r="C69" s="270" t="str">
        <f>ChkList!C53</f>
        <v>DNS 보안 버전 패치</v>
      </c>
      <c r="D69" s="221"/>
      <c r="E69" s="222"/>
      <c r="F69" s="31" t="str">
        <f>ChkList!D53</f>
        <v>H</v>
      </c>
      <c r="G69" s="31">
        <f>ChkList!E53</f>
        <v>3</v>
      </c>
      <c r="H69" s="168" t="s">
        <v>50</v>
      </c>
      <c r="I69" s="167" t="s">
        <v>298</v>
      </c>
      <c r="J69" s="28" t="s">
        <v>378</v>
      </c>
      <c r="K69" s="28" t="str">
        <f t="shared" si="4"/>
        <v>Y</v>
      </c>
      <c r="L69" s="270" t="s">
        <v>350</v>
      </c>
      <c r="M69" s="221"/>
      <c r="N69" s="221"/>
      <c r="O69" s="221"/>
      <c r="P69" s="222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>
      <c r="A70" s="31" t="str">
        <f>ChkList!A54</f>
        <v>서비스 관리</v>
      </c>
      <c r="B70" s="31" t="str">
        <f>ChkList!B54</f>
        <v>U-50</v>
      </c>
      <c r="C70" s="270" t="str">
        <f>ChkList!C54</f>
        <v>DNS Zone Transfer 설정</v>
      </c>
      <c r="D70" s="221"/>
      <c r="E70" s="222"/>
      <c r="F70" s="31" t="str">
        <f>ChkList!D54</f>
        <v>H</v>
      </c>
      <c r="G70" s="31">
        <f>ChkList!E54</f>
        <v>3</v>
      </c>
      <c r="H70" s="168" t="s">
        <v>50</v>
      </c>
      <c r="I70" s="167" t="s">
        <v>299</v>
      </c>
      <c r="J70" s="28" t="s">
        <v>378</v>
      </c>
      <c r="K70" s="28" t="str">
        <f t="shared" si="4"/>
        <v>Y</v>
      </c>
      <c r="L70" s="270" t="s">
        <v>331</v>
      </c>
      <c r="M70" s="221"/>
      <c r="N70" s="221"/>
      <c r="O70" s="221"/>
      <c r="P70" s="222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8.25" customHeight="1">
      <c r="A71" s="31" t="str">
        <f>ChkList!A55</f>
        <v>서비스 관리</v>
      </c>
      <c r="B71" s="31" t="str">
        <f>ChkList!B55</f>
        <v>U-51</v>
      </c>
      <c r="C71" s="270" t="str">
        <f>ChkList!C55</f>
        <v>DNS 서비스의 취약한 동적 업데이트 설정 금지</v>
      </c>
      <c r="D71" s="221"/>
      <c r="E71" s="222"/>
      <c r="F71" s="31" t="str">
        <f>ChkList!D55</f>
        <v>M</v>
      </c>
      <c r="G71" s="31">
        <f>ChkList!E55</f>
        <v>2</v>
      </c>
      <c r="H71" s="168" t="s">
        <v>50</v>
      </c>
      <c r="I71" s="167" t="s">
        <v>323</v>
      </c>
      <c r="J71" s="28" t="s">
        <v>378</v>
      </c>
      <c r="K71" s="28" t="str">
        <f t="shared" si="4"/>
        <v>Y</v>
      </c>
      <c r="L71" s="274" t="s">
        <v>323</v>
      </c>
      <c r="M71" s="312"/>
      <c r="N71" s="312"/>
      <c r="O71" s="312"/>
      <c r="P71" s="313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>
      <c r="A72" s="31" t="str">
        <f>ChkList!A56</f>
        <v>서비스 관리</v>
      </c>
      <c r="B72" s="31" t="str">
        <f>ChkList!B56</f>
        <v>U-52</v>
      </c>
      <c r="C72" s="270" t="str">
        <f>ChkList!C56</f>
        <v>Telnet 서비스 비활성화</v>
      </c>
      <c r="D72" s="221"/>
      <c r="E72" s="222"/>
      <c r="F72" s="31" t="str">
        <f>ChkList!D56</f>
        <v>M</v>
      </c>
      <c r="G72" s="31">
        <f>ChkList!E56</f>
        <v>2</v>
      </c>
      <c r="H72" s="168" t="s">
        <v>50</v>
      </c>
      <c r="I72" s="167" t="s">
        <v>323</v>
      </c>
      <c r="J72" s="28" t="s">
        <v>378</v>
      </c>
      <c r="K72" s="28" t="str">
        <f t="shared" si="4"/>
        <v>Y</v>
      </c>
      <c r="L72" s="271" t="s">
        <v>323</v>
      </c>
      <c r="M72" s="272"/>
      <c r="N72" s="272"/>
      <c r="O72" s="272"/>
      <c r="P72" s="273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8.25" customHeight="1">
      <c r="A73" s="31" t="str">
        <f>ChkList!A57</f>
        <v>서비스 관리</v>
      </c>
      <c r="B73" s="31" t="str">
        <f>ChkList!B57</f>
        <v>U-53</v>
      </c>
      <c r="C73" s="270" t="str">
        <f>ChkList!C57</f>
        <v>FTP 서비스 정보 노출 제한</v>
      </c>
      <c r="D73" s="221"/>
      <c r="E73" s="222"/>
      <c r="F73" s="31" t="str">
        <f>ChkList!D57</f>
        <v>L</v>
      </c>
      <c r="G73" s="31">
        <f>ChkList!E57</f>
        <v>1</v>
      </c>
      <c r="H73" s="168" t="s">
        <v>50</v>
      </c>
      <c r="I73" s="167" t="s">
        <v>323</v>
      </c>
      <c r="J73" s="28" t="s">
        <v>378</v>
      </c>
      <c r="K73" s="28" t="str">
        <f t="shared" si="4"/>
        <v>Y</v>
      </c>
      <c r="L73" s="271" t="s">
        <v>323</v>
      </c>
      <c r="M73" s="272"/>
      <c r="N73" s="272"/>
      <c r="O73" s="272"/>
      <c r="P73" s="273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8.25" customHeight="1">
      <c r="A74" s="31" t="str">
        <f>ChkList!A58</f>
        <v>서비스 관리</v>
      </c>
      <c r="B74" s="31" t="str">
        <f>ChkList!B58</f>
        <v>U-54</v>
      </c>
      <c r="C74" s="270" t="str">
        <f>ChkList!C58</f>
        <v>암호화되지 않는 FTP 서비스 비활성화</v>
      </c>
      <c r="D74" s="221"/>
      <c r="E74" s="222"/>
      <c r="F74" s="31" t="str">
        <f>ChkList!D58</f>
        <v>M</v>
      </c>
      <c r="G74" s="31">
        <f>ChkList!E58</f>
        <v>2</v>
      </c>
      <c r="H74" s="168" t="s">
        <v>50</v>
      </c>
      <c r="I74" s="167" t="s">
        <v>323</v>
      </c>
      <c r="J74" s="28" t="s">
        <v>378</v>
      </c>
      <c r="K74" s="28" t="str">
        <f t="shared" si="4"/>
        <v>Y</v>
      </c>
      <c r="L74" s="271" t="s">
        <v>323</v>
      </c>
      <c r="M74" s="272"/>
      <c r="N74" s="272"/>
      <c r="O74" s="272"/>
      <c r="P74" s="273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38.25" customHeight="1">
      <c r="A75" s="31" t="str">
        <f>ChkList!A59</f>
        <v>서비스 관리</v>
      </c>
      <c r="B75" s="31" t="str">
        <f>ChkList!B59</f>
        <v>U-55</v>
      </c>
      <c r="C75" s="270" t="str">
        <f>ChkList!C59</f>
        <v>FTP 계정 Shell 제한</v>
      </c>
      <c r="D75" s="221"/>
      <c r="E75" s="222"/>
      <c r="F75" s="31" t="str">
        <f>ChkList!D59</f>
        <v>M</v>
      </c>
      <c r="G75" s="31">
        <f>ChkList!E59</f>
        <v>2</v>
      </c>
      <c r="H75" s="168" t="s">
        <v>50</v>
      </c>
      <c r="I75" s="167" t="s">
        <v>323</v>
      </c>
      <c r="J75" s="28" t="s">
        <v>378</v>
      </c>
      <c r="K75" s="28" t="str">
        <f t="shared" si="4"/>
        <v>Y</v>
      </c>
      <c r="L75" s="271" t="s">
        <v>323</v>
      </c>
      <c r="M75" s="272"/>
      <c r="N75" s="272"/>
      <c r="O75" s="272"/>
      <c r="P75" s="273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8.25" customHeight="1">
      <c r="A76" s="31" t="str">
        <f>ChkList!A60</f>
        <v>서비스 관리</v>
      </c>
      <c r="B76" s="31" t="str">
        <f>ChkList!B60</f>
        <v>U-56</v>
      </c>
      <c r="C76" s="270" t="str">
        <f>ChkList!C60</f>
        <v>FTP 서비스 접근 제어 설정</v>
      </c>
      <c r="D76" s="221"/>
      <c r="E76" s="222"/>
      <c r="F76" s="31" t="str">
        <f>ChkList!D60</f>
        <v>L</v>
      </c>
      <c r="G76" s="31">
        <f>ChkList!E60</f>
        <v>1</v>
      </c>
      <c r="H76" s="168" t="s">
        <v>50</v>
      </c>
      <c r="I76" s="167" t="s">
        <v>323</v>
      </c>
      <c r="J76" s="28" t="s">
        <v>378</v>
      </c>
      <c r="K76" s="28" t="str">
        <f t="shared" si="4"/>
        <v>Y</v>
      </c>
      <c r="L76" s="271" t="s">
        <v>323</v>
      </c>
      <c r="M76" s="272"/>
      <c r="N76" s="272"/>
      <c r="O76" s="272"/>
      <c r="P76" s="273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8.25" customHeight="1">
      <c r="A77" s="31" t="str">
        <f>ChkList!A61</f>
        <v>서비스 관리</v>
      </c>
      <c r="B77" s="31" t="str">
        <f>ChkList!B61</f>
        <v>U-57</v>
      </c>
      <c r="C77" s="270" t="str">
        <f>ChkList!C61</f>
        <v>Ftpusers 파일 설정</v>
      </c>
      <c r="D77" s="221"/>
      <c r="E77" s="222"/>
      <c r="F77" s="31" t="str">
        <f>ChkList!D61</f>
        <v>M</v>
      </c>
      <c r="G77" s="31">
        <f>ChkList!E61</f>
        <v>2</v>
      </c>
      <c r="H77" s="168" t="s">
        <v>50</v>
      </c>
      <c r="I77" s="167" t="s">
        <v>323</v>
      </c>
      <c r="J77" s="28" t="s">
        <v>378</v>
      </c>
      <c r="K77" s="28" t="str">
        <f t="shared" si="4"/>
        <v>Y</v>
      </c>
      <c r="L77" s="314" t="s">
        <v>323</v>
      </c>
      <c r="M77" s="272"/>
      <c r="N77" s="272"/>
      <c r="O77" s="272"/>
      <c r="P77" s="273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>
      <c r="A78" s="31" t="str">
        <f>ChkList!A62</f>
        <v>서비스 관리</v>
      </c>
      <c r="B78" s="31" t="str">
        <f>ChkList!B62</f>
        <v>U-58</v>
      </c>
      <c r="C78" s="270" t="str">
        <f>ChkList!C62</f>
        <v>불필요한 SNMP 서비스 구동 점검</v>
      </c>
      <c r="D78" s="221"/>
      <c r="E78" s="222"/>
      <c r="F78" s="31" t="str">
        <f>ChkList!D62</f>
        <v>M</v>
      </c>
      <c r="G78" s="31">
        <f>ChkList!E62</f>
        <v>2</v>
      </c>
      <c r="H78" s="168" t="s">
        <v>50</v>
      </c>
      <c r="I78" s="167" t="s">
        <v>313</v>
      </c>
      <c r="J78" s="28" t="s">
        <v>378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70" t="s">
        <v>338</v>
      </c>
      <c r="M78" s="221"/>
      <c r="N78" s="221"/>
      <c r="O78" s="221"/>
      <c r="P78" s="222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>
      <c r="A79" s="31" t="str">
        <f>ChkList!A63</f>
        <v>서비스 관리</v>
      </c>
      <c r="B79" s="31" t="str">
        <f>ChkList!B63</f>
        <v>U-59</v>
      </c>
      <c r="C79" s="270" t="str">
        <f>ChkList!C63</f>
        <v>안전한 SNMP 버전 사용</v>
      </c>
      <c r="D79" s="221"/>
      <c r="E79" s="222"/>
      <c r="F79" s="31" t="str">
        <f>ChkList!D63</f>
        <v>H</v>
      </c>
      <c r="G79" s="31">
        <f>ChkList!E63</f>
        <v>3</v>
      </c>
      <c r="H79" s="168" t="s">
        <v>50</v>
      </c>
      <c r="I79" s="167" t="s">
        <v>314</v>
      </c>
      <c r="J79" s="28" t="s">
        <v>378</v>
      </c>
      <c r="K79" s="28" t="str">
        <f t="shared" si="4"/>
        <v>Y</v>
      </c>
      <c r="L79" s="270" t="s">
        <v>339</v>
      </c>
      <c r="M79" s="221"/>
      <c r="N79" s="221"/>
      <c r="O79" s="221"/>
      <c r="P79" s="222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>
      <c r="A80" s="31" t="str">
        <f>ChkList!A64</f>
        <v>서비스 관리</v>
      </c>
      <c r="B80" s="31" t="str">
        <f>ChkList!B64</f>
        <v>U-60</v>
      </c>
      <c r="C80" s="270" t="str">
        <f>ChkList!C64</f>
        <v>SNMP Community String 복잡성 설정</v>
      </c>
      <c r="D80" s="221"/>
      <c r="E80" s="222"/>
      <c r="F80" s="31" t="str">
        <f>ChkList!D64</f>
        <v>M</v>
      </c>
      <c r="G80" s="31">
        <f>ChkList!E64</f>
        <v>2</v>
      </c>
      <c r="H80" s="168" t="s">
        <v>50</v>
      </c>
      <c r="I80" s="167" t="s">
        <v>315</v>
      </c>
      <c r="J80" s="28" t="s">
        <v>378</v>
      </c>
      <c r="K80" s="28" t="str">
        <f t="shared" si="4"/>
        <v>Y</v>
      </c>
      <c r="L80" s="270" t="s">
        <v>340</v>
      </c>
      <c r="M80" s="221"/>
      <c r="N80" s="221"/>
      <c r="O80" s="221"/>
      <c r="P80" s="222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>
      <c r="A81" s="31" t="str">
        <f>ChkList!A65</f>
        <v>서비스 관리</v>
      </c>
      <c r="B81" s="31" t="str">
        <f>ChkList!B65</f>
        <v>U-61</v>
      </c>
      <c r="C81" s="270" t="str">
        <f>ChkList!C65</f>
        <v>SNMP Access Control 설정</v>
      </c>
      <c r="D81" s="221"/>
      <c r="E81" s="222"/>
      <c r="F81" s="31" t="str">
        <f>ChkList!D65</f>
        <v>H</v>
      </c>
      <c r="G81" s="31">
        <f>ChkList!E65</f>
        <v>3</v>
      </c>
      <c r="H81" s="168" t="s">
        <v>50</v>
      </c>
      <c r="I81" s="167" t="s">
        <v>316</v>
      </c>
      <c r="J81" s="28" t="s">
        <v>378</v>
      </c>
      <c r="K81" s="28" t="str">
        <f t="shared" si="4"/>
        <v>Y</v>
      </c>
      <c r="L81" s="270" t="s">
        <v>341</v>
      </c>
      <c r="M81" s="221"/>
      <c r="N81" s="221"/>
      <c r="O81" s="221"/>
      <c r="P81" s="222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>
      <c r="A82" s="31" t="str">
        <f>ChkList!A66</f>
        <v>서비스 관리</v>
      </c>
      <c r="B82" s="31" t="str">
        <f>ChkList!B66</f>
        <v>U-62</v>
      </c>
      <c r="C82" s="270" t="str">
        <f>ChkList!C66</f>
        <v>로그인 시 경고 메시지 설정</v>
      </c>
      <c r="D82" s="221"/>
      <c r="E82" s="222"/>
      <c r="F82" s="31" t="str">
        <f>ChkList!D66</f>
        <v>L</v>
      </c>
      <c r="G82" s="31">
        <f>ChkList!E66</f>
        <v>1</v>
      </c>
      <c r="H82" s="168" t="s">
        <v>50</v>
      </c>
      <c r="I82" s="164" t="s">
        <v>317</v>
      </c>
      <c r="J82" s="28" t="s">
        <v>378</v>
      </c>
      <c r="K82" s="28" t="str">
        <f t="shared" si="4"/>
        <v>Y</v>
      </c>
      <c r="L82" s="270" t="s">
        <v>342</v>
      </c>
      <c r="M82" s="221"/>
      <c r="N82" s="221"/>
      <c r="O82" s="221"/>
      <c r="P82" s="222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>
      <c r="A83" s="31" t="str">
        <f>ChkList!A67</f>
        <v>서비스 관리</v>
      </c>
      <c r="B83" s="31" t="str">
        <f>ChkList!B67</f>
        <v>U-63</v>
      </c>
      <c r="C83" s="270" t="str">
        <f>ChkList!C67</f>
        <v>sudo 명령어 접근 관리</v>
      </c>
      <c r="D83" s="221"/>
      <c r="E83" s="222"/>
      <c r="F83" s="31" t="str">
        <f>ChkList!D67</f>
        <v>M</v>
      </c>
      <c r="G83" s="31">
        <f>ChkList!E67</f>
        <v>2</v>
      </c>
      <c r="H83" s="168" t="s">
        <v>50</v>
      </c>
      <c r="I83" s="167" t="s">
        <v>318</v>
      </c>
      <c r="J83" s="28" t="s">
        <v>378</v>
      </c>
      <c r="K83" s="28" t="str">
        <f t="shared" si="4"/>
        <v>Y</v>
      </c>
      <c r="L83" s="270" t="s">
        <v>343</v>
      </c>
      <c r="M83" s="221"/>
      <c r="N83" s="221"/>
      <c r="O83" s="221"/>
      <c r="P83" s="222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70" t="str">
        <f>ChkList!C68</f>
        <v>주기적 보안 패치 및 벤더 권고사항 적용</v>
      </c>
      <c r="D84" s="221"/>
      <c r="E84" s="222"/>
      <c r="F84" s="31" t="str">
        <f>ChkList!D68</f>
        <v>H</v>
      </c>
      <c r="G84" s="31">
        <f>ChkList!E68</f>
        <v>3</v>
      </c>
      <c r="H84" s="168" t="s">
        <v>50</v>
      </c>
      <c r="I84" s="167" t="s">
        <v>319</v>
      </c>
      <c r="J84" s="28" t="s">
        <v>378</v>
      </c>
      <c r="K84" s="28" t="str">
        <f t="shared" si="4"/>
        <v>Y</v>
      </c>
      <c r="L84" s="270" t="s">
        <v>337</v>
      </c>
      <c r="M84" s="221"/>
      <c r="N84" s="221"/>
      <c r="O84" s="221"/>
      <c r="P84" s="222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>
      <c r="A85" s="31" t="str">
        <f>ChkList!A69</f>
        <v>로그 관리</v>
      </c>
      <c r="B85" s="31" t="str">
        <f>ChkList!B69</f>
        <v>U-65</v>
      </c>
      <c r="C85" s="270" t="str">
        <f>ChkList!C69</f>
        <v>NTP 및 시각 동기화 설정</v>
      </c>
      <c r="D85" s="221"/>
      <c r="E85" s="222"/>
      <c r="F85" s="31" t="str">
        <f>ChkList!D69</f>
        <v>M</v>
      </c>
      <c r="G85" s="31">
        <f>ChkList!E69</f>
        <v>2</v>
      </c>
      <c r="H85" s="168" t="s">
        <v>50</v>
      </c>
      <c r="I85" s="167" t="s">
        <v>319</v>
      </c>
      <c r="J85" s="28" t="s">
        <v>378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70" t="s">
        <v>337</v>
      </c>
      <c r="M85" s="221"/>
      <c r="N85" s="221"/>
      <c r="O85" s="221"/>
      <c r="P85" s="222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>
      <c r="A86" s="31" t="str">
        <f>ChkList!A70</f>
        <v>로그 관리</v>
      </c>
      <c r="B86" s="31" t="str">
        <f>ChkList!B70</f>
        <v>U-66</v>
      </c>
      <c r="C86" s="270" t="str">
        <f>ChkList!C70</f>
        <v>정책에 따른 시스템 로깅 설정</v>
      </c>
      <c r="D86" s="221"/>
      <c r="E86" s="222"/>
      <c r="F86" s="31" t="str">
        <f>ChkList!D70</f>
        <v>M</v>
      </c>
      <c r="G86" s="31">
        <f>ChkList!E70</f>
        <v>2</v>
      </c>
      <c r="H86" s="168" t="s">
        <v>50</v>
      </c>
      <c r="I86" s="167" t="s">
        <v>320</v>
      </c>
      <c r="J86" s="28" t="s">
        <v>378</v>
      </c>
      <c r="K86" s="28" t="str">
        <f t="shared" si="5"/>
        <v>Y</v>
      </c>
      <c r="L86" s="270" t="s">
        <v>336</v>
      </c>
      <c r="M86" s="221"/>
      <c r="N86" s="221"/>
      <c r="O86" s="221"/>
      <c r="P86" s="222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>
      <c r="A87" s="31" t="str">
        <f>ChkList!A71</f>
        <v>로그 관리</v>
      </c>
      <c r="B87" s="31" t="str">
        <f>ChkList!B71</f>
        <v>U-67</v>
      </c>
      <c r="C87" s="270" t="str">
        <f>ChkList!C71</f>
        <v>로그 디렉터리 소유자 및 권한 설정</v>
      </c>
      <c r="D87" s="221"/>
      <c r="E87" s="222"/>
      <c r="F87" s="31" t="str">
        <f>ChkList!D71</f>
        <v>M</v>
      </c>
      <c r="G87" s="31">
        <f>ChkList!E71</f>
        <v>2</v>
      </c>
      <c r="H87" s="168" t="s">
        <v>50</v>
      </c>
      <c r="I87" s="167" t="s">
        <v>321</v>
      </c>
      <c r="J87" s="28" t="s">
        <v>378</v>
      </c>
      <c r="K87" s="28" t="str">
        <f t="shared" si="5"/>
        <v>Y</v>
      </c>
      <c r="L87" s="270" t="s">
        <v>335</v>
      </c>
      <c r="M87" s="221"/>
      <c r="N87" s="221"/>
      <c r="O87" s="221"/>
      <c r="P87" s="222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263" priority="39" operator="containsText" text="N">
      <formula>NOT(ISERROR(SEARCH("N",H21)))</formula>
    </cfRule>
    <cfRule type="cellIs" priority="40" operator="equal">
      <formula>"취약"</formula>
    </cfRule>
    <cfRule type="cellIs" priority="41" operator="equal">
      <formula>"양호"</formula>
    </cfRule>
  </conditionalFormatting>
  <conditionalFormatting sqref="J40:J42">
    <cfRule type="containsText" dxfId="262" priority="88" operator="containsText" text="N">
      <formula>NOT(ISERROR(SEARCH("N",J40)))</formula>
    </cfRule>
    <cfRule type="cellIs" priority="89" operator="equal">
      <formula>"취약"</formula>
    </cfRule>
    <cfRule type="cellIs" priority="90" operator="equal">
      <formula>"양호"</formula>
    </cfRule>
  </conditionalFormatting>
  <conditionalFormatting sqref="J44">
    <cfRule type="containsText" dxfId="261" priority="85" operator="containsText" text="N">
      <formula>NOT(ISERROR(SEARCH("N",J44)))</formula>
    </cfRule>
    <cfRule type="cellIs" priority="86" operator="equal">
      <formula>"취약"</formula>
    </cfRule>
    <cfRule type="cellIs" priority="87" operator="equal">
      <formula>"양호"</formula>
    </cfRule>
  </conditionalFormatting>
  <conditionalFormatting sqref="J46:J47">
    <cfRule type="containsText" dxfId="260" priority="79" operator="containsText" text="N">
      <formula>NOT(ISERROR(SEARCH("N",J46)))</formula>
    </cfRule>
    <cfRule type="cellIs" priority="80" operator="equal">
      <formula>"취약"</formula>
    </cfRule>
    <cfRule type="cellIs" priority="81" operator="equal">
      <formula>"양호"</formula>
    </cfRule>
  </conditionalFormatting>
  <conditionalFormatting sqref="J49">
    <cfRule type="containsText" dxfId="259" priority="76" operator="containsText" text="N">
      <formula>NOT(ISERROR(SEARCH("N",J49)))</formula>
    </cfRule>
    <cfRule type="cellIs" priority="77" operator="equal">
      <formula>"취약"</formula>
    </cfRule>
    <cfRule type="cellIs" priority="78" operator="equal">
      <formula>"양호"</formula>
    </cfRule>
  </conditionalFormatting>
  <conditionalFormatting sqref="J58">
    <cfRule type="containsText" dxfId="258" priority="73" operator="containsText" text="N">
      <formula>NOT(ISERROR(SEARCH("N",J58)))</formula>
    </cfRule>
    <cfRule type="cellIs" priority="74" operator="equal">
      <formula>"취약"</formula>
    </cfRule>
    <cfRule type="cellIs" priority="75" operator="equal">
      <formula>"양호"</formula>
    </cfRule>
  </conditionalFormatting>
  <conditionalFormatting sqref="J21:K39 K40:K42 J43:K43 K44 J45:K45 K46:K47 J48:K48 K49 J50:K57 K58">
    <cfRule type="cellIs" dxfId="257" priority="131" stopIfTrue="1" operator="equal">
      <formula>"인터뷰"</formula>
    </cfRule>
    <cfRule type="cellIs" dxfId="256" priority="132" stopIfTrue="1" operator="equal">
      <formula>"R/A"</formula>
    </cfRule>
    <cfRule type="cellIs" dxfId="255" priority="133" stopIfTrue="1" operator="equal">
      <formula>"N/A"</formula>
    </cfRule>
    <cfRule type="cellIs" dxfId="254" priority="134" stopIfTrue="1" operator="equal">
      <formula>"N"</formula>
    </cfRule>
    <cfRule type="expression" dxfId="253" priority="135">
      <formula>OR(IF(J21=0,1,0),IF(J21="-",1,0))</formula>
    </cfRule>
  </conditionalFormatting>
  <conditionalFormatting sqref="J59:K87">
    <cfRule type="cellIs" dxfId="252" priority="14" stopIfTrue="1" operator="equal">
      <formula>"인터뷰"</formula>
    </cfRule>
    <cfRule type="cellIs" dxfId="251" priority="15" stopIfTrue="1" operator="equal">
      <formula>"R/A"</formula>
    </cfRule>
    <cfRule type="cellIs" dxfId="250" priority="16" stopIfTrue="1" operator="equal">
      <formula>"N/A"</formula>
    </cfRule>
    <cfRule type="cellIs" dxfId="249" priority="17" stopIfTrue="1" operator="equal">
      <formula>"N"</formula>
    </cfRule>
    <cfRule type="expression" dxfId="248" priority="18">
      <formula>OR(IF(J59=0,1,0),IF(J59="-",1,0))</formula>
    </cfRule>
  </conditionalFormatting>
  <conditionalFormatting sqref="K21:K87">
    <cfRule type="cellIs" dxfId="247" priority="11" operator="equal">
      <formula>"위험수용"</formula>
    </cfRule>
    <cfRule type="cellIs" dxfId="246" priority="12" operator="equal">
      <formula>"미조치"</formula>
    </cfRule>
    <cfRule type="cellIs" dxfId="245" priority="13" operator="equal">
      <formula>"조치"</formula>
    </cfRule>
  </conditionalFormatting>
  <conditionalFormatting sqref="L21:L87">
    <cfRule type="cellIs" dxfId="244" priority="1" stopIfTrue="1" operator="equal">
      <formula>"인터뷰"</formula>
    </cfRule>
    <cfRule type="cellIs" dxfId="243" priority="2" stopIfTrue="1" operator="equal">
      <formula>"R/A"</formula>
    </cfRule>
    <cfRule type="cellIs" dxfId="242" priority="3" stopIfTrue="1" operator="equal">
      <formula>"N/A"</formula>
    </cfRule>
    <cfRule type="cellIs" dxfId="241" priority="4" stopIfTrue="1" operator="equal">
      <formula>"N"</formula>
    </cfRule>
    <cfRule type="expression" dxfId="240" priority="5">
      <formula>OR(IF(L21=0,1,0),IF(L21="-",1,0))</formula>
    </cfRule>
  </conditionalFormatting>
  <conditionalFormatting sqref="Y21:Y58">
    <cfRule type="cellIs" dxfId="239" priority="382" operator="equal">
      <formula>"신규 취약점(즉시조치)"</formula>
    </cfRule>
    <cfRule type="cellIs" dxfId="238" priority="383" operator="equal">
      <formula>"기존 취약점(즉시조치)"</formula>
    </cfRule>
    <cfRule type="cellIs" dxfId="237" priority="384" operator="equal">
      <formula>"기존 취약점"</formula>
    </cfRule>
    <cfRule type="cellIs" dxfId="236" priority="385" operator="equal">
      <formula>"신규 취약점"</formula>
    </cfRule>
    <cfRule type="cellIs" dxfId="235" priority="386" operator="equal">
      <formula>"확인필요"</formula>
    </cfRule>
    <cfRule type="cellIs" dxfId="234" priority="387" operator="equal">
      <formula>"확인필요"</formula>
    </cfRule>
    <cfRule type="cellIs" dxfId="233" priority="388" operator="equal">
      <formula>"신규취약점"</formula>
    </cfRule>
    <cfRule type="cellIs" dxfId="232" priority="389" operator="equal">
      <formula>"조치완료"</formula>
    </cfRule>
  </conditionalFormatting>
  <dataValidations count="4">
    <dataValidation errorStyle="warning" allowBlank="1" showInputMessage="1" showErrorMessage="1" sqref="K21:K87"/>
    <dataValidation type="list" errorStyle="warning" showInputMessage="1" showErrorMessage="1" errorTitle="오류!" error="Y, N, N/A 중에 선택" sqref="J50:J57 J21:J39 J43 J45 J48 J59:J87">
      <formula1>"Y,N,N/A,인터뷰,Y(즉시조치)"</formula1>
    </dataValidation>
    <dataValidation type="list" errorStyle="warning" allowBlank="1" showInputMessage="1" showErrorMessage="1" errorTitle="오류!" error="Y, N, N/A 중에 선택" sqref="H21:H87 J40:J42 J44 J46:J47 J49 J58">
      <formula1>"Y,N,N/A,인터뷰,Y(즉시조치)"</formula1>
    </dataValidation>
    <dataValidation allowBlank="1" showInputMessage="1" showErrorMessage="1" errorTitle="오류!" error="Y, N, N/A 중에 선택" sqref="I21:I87 L21:L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87"/>
  <sheetViews>
    <sheetView showGridLines="0" view="pageBreakPreview" topLeftCell="A28" zoomScaleNormal="85" zoomScaleSheetLayoutView="100" workbookViewId="0">
      <selection activeCell="I36" sqref="I36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54" t="s">
        <v>213</v>
      </c>
      <c r="B3" s="54"/>
      <c r="C3" s="54"/>
      <c r="D3" s="54"/>
      <c r="E3" s="54"/>
      <c r="F3" s="54"/>
      <c r="G3" s="54"/>
      <c r="H3" s="5"/>
      <c r="I3" s="5"/>
      <c r="R3" s="5" t="s">
        <v>214</v>
      </c>
      <c r="X3" s="5"/>
      <c r="Y3" s="5"/>
    </row>
    <row r="4" spans="1:25" ht="17.100000000000001" customHeight="1">
      <c r="A4" s="126" t="s">
        <v>215</v>
      </c>
      <c r="B4" s="307" t="str">
        <f ca="1">REPLACE(CELL("filename",A1),1,FIND("]",CELL("filename",A1)),"")</f>
        <v>BLOG_HQ_Rocky</v>
      </c>
      <c r="C4" s="247"/>
      <c r="D4" s="308" t="s">
        <v>216</v>
      </c>
      <c r="E4" s="250"/>
      <c r="F4" s="310" t="str">
        <f ca="1">IFERROR(VLOOKUP($B$4,자산목록!$B$1:$Q$835,8,FALSE),"N/A")</f>
        <v>LOG 백업 서버 / 지사 LOG 백업</v>
      </c>
      <c r="G4" s="311"/>
      <c r="H4" s="63"/>
      <c r="I4" s="55"/>
      <c r="R4" s="25" t="s">
        <v>15</v>
      </c>
      <c r="S4" s="41">
        <f ca="1">IFERROR(VLOOKUP($B$4,자산목록!$B$1:$Q$835,13,FALSE),"N/A")</f>
        <v>3</v>
      </c>
      <c r="T4" s="309" t="s">
        <v>217</v>
      </c>
      <c r="U4" s="287" t="str">
        <f ca="1">IFERROR(VLOOKUP($B$4,자산목록!$B$1:$Q$835,16,FALSE),"N/A")</f>
        <v>H</v>
      </c>
      <c r="X4" s="5"/>
      <c r="Y4" s="5"/>
    </row>
    <row r="5" spans="1:25" ht="17.100000000000001" customHeight="1">
      <c r="A5" s="127" t="s">
        <v>218</v>
      </c>
      <c r="B5" s="301" t="str">
        <f ca="1">IFERROR(VLOOKUP($B$4,자산목록!$B$1:$Q$835,6,FALSE)&amp;" "&amp;VLOOKUP($B$4,자산목록!$B$1:$Q$835,7,FALSE),"N/A")</f>
        <v>Rocky 8.1</v>
      </c>
      <c r="C5" s="222"/>
      <c r="D5" s="302" t="s">
        <v>219</v>
      </c>
      <c r="E5" s="303"/>
      <c r="F5" s="301" t="str">
        <f ca="1">IFERROR(VLOOKUP($B$4,자산목록!$B$1:$Q$835,2,FALSE),"N/A")</f>
        <v>10.10.40.34</v>
      </c>
      <c r="G5" s="222"/>
      <c r="H5" s="63"/>
      <c r="I5" s="55"/>
      <c r="R5" s="25" t="s">
        <v>16</v>
      </c>
      <c r="S5" s="41">
        <f ca="1">IFERROR(VLOOKUP($B$4,자산목록!$B$1:$Q$835,14,FALSE),"N/A")</f>
        <v>3</v>
      </c>
      <c r="T5" s="226"/>
      <c r="U5" s="226"/>
      <c r="X5" s="5"/>
      <c r="Y5" s="5"/>
    </row>
    <row r="6" spans="1:25" ht="17.100000000000001" customHeight="1">
      <c r="A6" s="128" t="s">
        <v>12</v>
      </c>
      <c r="B6" s="304" t="str">
        <f ca="1">IFERROR(VLOOKUP($B$4,자산목록!$B$1:$Q$835,11,FALSE),"N/A")</f>
        <v>김승우</v>
      </c>
      <c r="C6" s="234"/>
      <c r="D6" s="305" t="s">
        <v>220</v>
      </c>
      <c r="E6" s="306"/>
      <c r="F6" s="304" t="str">
        <f ca="1">IFERROR(VLOOKUP($B$4,자산목록!$B$1:$Q$835,9,FALSE),"N/A")</f>
        <v>본사 백업망</v>
      </c>
      <c r="G6" s="234"/>
      <c r="H6" s="63"/>
      <c r="I6" s="55"/>
      <c r="R6" s="25" t="s">
        <v>17</v>
      </c>
      <c r="S6" s="41">
        <f ca="1">IFERROR(VLOOKUP($B$4,자산목록!$B$1:$Q$835,15,FALSE),"N/A")</f>
        <v>3</v>
      </c>
      <c r="T6" s="225"/>
      <c r="U6" s="22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>
      <c r="A9" s="56" t="s">
        <v>222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>
      <c r="A10" s="297" t="s">
        <v>77</v>
      </c>
      <c r="B10" s="213"/>
      <c r="C10" s="213"/>
      <c r="D10" s="296" t="s">
        <v>223</v>
      </c>
      <c r="E10" s="236"/>
      <c r="F10" s="236"/>
      <c r="G10" s="236"/>
      <c r="H10" s="236"/>
      <c r="I10" s="298" t="s">
        <v>224</v>
      </c>
      <c r="J10" s="300" t="s">
        <v>190</v>
      </c>
      <c r="K10" s="236"/>
      <c r="L10" s="236"/>
      <c r="M10" s="236"/>
      <c r="N10" s="236"/>
      <c r="O10" s="245"/>
      <c r="R10" s="289" t="s">
        <v>225</v>
      </c>
      <c r="S10" s="221"/>
      <c r="T10" s="221"/>
      <c r="U10" s="222"/>
      <c r="V10" s="283" t="s">
        <v>224</v>
      </c>
      <c r="W10" s="221"/>
      <c r="X10" s="221"/>
      <c r="Y10" s="222"/>
    </row>
    <row r="11" spans="1:25" ht="20.100000000000001" customHeight="1">
      <c r="A11" s="254"/>
      <c r="B11" s="255"/>
      <c r="C11" s="255"/>
      <c r="D11" s="129" t="s">
        <v>205</v>
      </c>
      <c r="E11" s="130" t="s">
        <v>181</v>
      </c>
      <c r="F11" s="131" t="s">
        <v>182</v>
      </c>
      <c r="G11" s="132" t="s">
        <v>53</v>
      </c>
      <c r="H11" s="157" t="s">
        <v>226</v>
      </c>
      <c r="I11" s="299"/>
      <c r="J11" s="143" t="s">
        <v>191</v>
      </c>
      <c r="K11" s="133" t="s">
        <v>192</v>
      </c>
      <c r="L11" s="134" t="s">
        <v>193</v>
      </c>
      <c r="M11" s="134" t="s">
        <v>53</v>
      </c>
      <c r="N11" s="134" t="s">
        <v>199</v>
      </c>
      <c r="O11" s="135" t="s">
        <v>226</v>
      </c>
      <c r="R11" s="49" t="s">
        <v>227</v>
      </c>
      <c r="S11" s="50" t="s">
        <v>228</v>
      </c>
      <c r="T11" s="50" t="s">
        <v>229</v>
      </c>
      <c r="U11" s="52" t="s">
        <v>230</v>
      </c>
      <c r="V11" s="288" t="s">
        <v>77</v>
      </c>
      <c r="W11" s="222"/>
      <c r="X11" s="11" t="s">
        <v>223</v>
      </c>
      <c r="Y11" s="11" t="s">
        <v>190</v>
      </c>
    </row>
    <row r="12" spans="1:25" ht="32.1" customHeight="1">
      <c r="A12" s="276" t="str">
        <f>ChkList!A6</f>
        <v>계정 관리</v>
      </c>
      <c r="B12" s="221"/>
      <c r="C12" s="222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11</v>
      </c>
      <c r="F12" s="41">
        <f ca="1">COUNTIFS($A$21:INDIRECT(ADDRESS(MATCH("",$A:$A,-1),1,1,1)),$A12&amp;"*",$H$21:INDIRECT(ADDRESS(MATCH("",$A:$A,-1),8,1,1)),"N")</f>
        <v>2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0.7857142857142857</v>
      </c>
      <c r="I12" s="290"/>
      <c r="J12" s="61">
        <f ca="1">COUNTIFS($A$21:INDIRECT(ADDRESS(MATCH("",$A:$A,-1),1,1,1)),$A12,$K$21:INDIRECT(ADDRESS(MATCH("",$B:$B,-1),11,1,1)),"조치")</f>
        <v>2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>
        <f ca="1">IFERROR($J12/($F12-(M12-G12)),"N/A")</f>
        <v>1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22</v>
      </c>
      <c r="T12" s="41">
        <f t="shared" ref="T12:U16" si="1">SUMIF($A$21:$A$995, $A12, $R$21:$R$995)</f>
        <v>28</v>
      </c>
      <c r="U12" s="41">
        <f t="shared" si="1"/>
        <v>28</v>
      </c>
      <c r="V12" s="287">
        <f>B12</f>
        <v>0</v>
      </c>
      <c r="W12" s="222"/>
      <c r="X12" s="64">
        <f ca="1">H12</f>
        <v>0.7857142857142857</v>
      </c>
      <c r="Y12" s="64">
        <f t="shared" ref="Y12:Y17" ca="1" si="2">O12</f>
        <v>1</v>
      </c>
    </row>
    <row r="13" spans="1:25" ht="32.1" customHeight="1">
      <c r="A13" s="276" t="str">
        <f>ChkList!A20</f>
        <v>파일 및 디렉터리 관리</v>
      </c>
      <c r="B13" s="221"/>
      <c r="C13" s="222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11</v>
      </c>
      <c r="F13" s="41">
        <f ca="1">COUNTIFS($A$21:INDIRECT(ADDRESS(MATCH("",$A:$A,-1),1,1,1)),$A13&amp;"*",$H$21:INDIRECT(ADDRESS(MATCH("",$A:$A,-1),8,1,1)),"N")</f>
        <v>9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0.52830188679245282</v>
      </c>
      <c r="I13" s="291"/>
      <c r="J13" s="61">
        <f ca="1">COUNTIFS($A$21:INDIRECT(ADDRESS(MATCH("",$A:$A,-1),1,1,1)),$A13,$K$21:INDIRECT(ADDRESS(MATCH("",$B:$B,-1),11,1,1)),"조치")</f>
        <v>9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>
        <f ca="1">IFERROR($J13/($F13-(M13-G13)),"N/A")</f>
        <v>1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28</v>
      </c>
      <c r="T13" s="41">
        <f t="shared" si="1"/>
        <v>53</v>
      </c>
      <c r="U13" s="41">
        <f t="shared" si="1"/>
        <v>53</v>
      </c>
      <c r="V13" s="287">
        <f>B13</f>
        <v>0</v>
      </c>
      <c r="W13" s="222"/>
      <c r="X13" s="64">
        <f t="shared" ref="X13:X17" ca="1" si="3">H13</f>
        <v>0.52830188679245282</v>
      </c>
      <c r="Y13" s="64">
        <f t="shared" ca="1" si="2"/>
        <v>1</v>
      </c>
    </row>
    <row r="14" spans="1:25" ht="32.1" customHeight="1">
      <c r="A14" s="276" t="str">
        <f>ChkList!A37</f>
        <v>파일 및 디렉터리 관리</v>
      </c>
      <c r="B14" s="221"/>
      <c r="C14" s="222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11</v>
      </c>
      <c r="F14" s="41">
        <f ca="1">COUNTIFS($A$21:INDIRECT(ADDRESS(MATCH("",$A:$A,-1),1,1,1)),$A14&amp;"*",$H$21:INDIRECT(ADDRESS(MATCH("",$A:$A,-1),8,1,1)),"N")</f>
        <v>9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0.52830188679245282</v>
      </c>
      <c r="I14" s="291"/>
      <c r="J14" s="61">
        <f ca="1">COUNTIFS($A$21:INDIRECT(ADDRESS(MATCH("",$A:$A,-1),1,1,1)),$A14,$K$21:INDIRECT(ADDRESS(MATCH("",$B:$B,-1),11,1,1)),"조치")</f>
        <v>9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>
        <f ca="1">IFERROR($J14/($F14-(M14-G14)),"N/A")</f>
        <v>1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28</v>
      </c>
      <c r="T14" s="41">
        <f t="shared" si="1"/>
        <v>53</v>
      </c>
      <c r="U14" s="41">
        <f t="shared" si="1"/>
        <v>53</v>
      </c>
      <c r="V14" s="287">
        <f>B14</f>
        <v>0</v>
      </c>
      <c r="W14" s="222"/>
      <c r="X14" s="64">
        <f t="shared" ca="1" si="3"/>
        <v>0.52830188679245282</v>
      </c>
      <c r="Y14" s="64">
        <f t="shared" ca="1" si="2"/>
        <v>1</v>
      </c>
    </row>
    <row r="15" spans="1:25" ht="32.1" customHeight="1">
      <c r="A15" s="276" t="str">
        <f>ChkList!A69</f>
        <v>로그 관리</v>
      </c>
      <c r="B15" s="221"/>
      <c r="C15" s="222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91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87">
        <f>B15</f>
        <v>0</v>
      </c>
      <c r="W15" s="222"/>
      <c r="X15" s="64">
        <f t="shared" ca="1" si="3"/>
        <v>1</v>
      </c>
      <c r="Y15" s="64">
        <f t="shared" ca="1" si="2"/>
        <v>1</v>
      </c>
    </row>
    <row r="16" spans="1:25" ht="32.1" customHeight="1">
      <c r="A16" s="276" t="str">
        <f>ChkList!A70</f>
        <v>로그 관리</v>
      </c>
      <c r="B16" s="221"/>
      <c r="C16" s="222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91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85">
        <f>B16</f>
        <v>0</v>
      </c>
      <c r="W16" s="286"/>
      <c r="X16" s="68">
        <f t="shared" ca="1" si="3"/>
        <v>1</v>
      </c>
      <c r="Y16" s="68">
        <f t="shared" ca="1" si="2"/>
        <v>1</v>
      </c>
    </row>
    <row r="17" spans="1:25" ht="20.100000000000001" customHeight="1">
      <c r="A17" s="293" t="s">
        <v>231</v>
      </c>
      <c r="B17" s="294"/>
      <c r="C17" s="295"/>
      <c r="D17" s="138">
        <f ca="1">SUM(D12:D16)</f>
        <v>59</v>
      </c>
      <c r="E17" s="138">
        <f ca="1">SUM(E12:E16)</f>
        <v>39</v>
      </c>
      <c r="F17" s="138">
        <f ca="1">SUM(F12:F16)</f>
        <v>20</v>
      </c>
      <c r="G17" s="139">
        <f ca="1">SUM(G12:G16)</f>
        <v>0</v>
      </c>
      <c r="H17" s="140">
        <f t="shared" ca="1" si="0"/>
        <v>0.61643835616438358</v>
      </c>
      <c r="I17" s="292"/>
      <c r="J17" s="137">
        <f ca="1">SUM(J12:J16)</f>
        <v>20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>
        <f ca="1">IF($O17="N/A","N/A",IFERROR($J17/($F17-(M17-G17)),"N/A"))</f>
        <v>1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90</v>
      </c>
      <c r="T17" s="44">
        <f>SUM(T12:T16)</f>
        <v>146</v>
      </c>
      <c r="U17" s="43">
        <f>SUM(U12:U16)</f>
        <v>146</v>
      </c>
      <c r="V17" s="284" t="s">
        <v>232</v>
      </c>
      <c r="W17" s="256"/>
      <c r="X17" s="67">
        <f t="shared" ca="1" si="3"/>
        <v>0.61643835616438358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>
      <c r="A19" s="9" t="s">
        <v>233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234</v>
      </c>
      <c r="S19" s="17"/>
    </row>
    <row r="20" spans="1:25" ht="21.95" customHeight="1">
      <c r="A20" s="277" t="s">
        <v>77</v>
      </c>
      <c r="B20" s="278"/>
      <c r="C20" s="279" t="s">
        <v>235</v>
      </c>
      <c r="D20" s="280"/>
      <c r="E20" s="280"/>
      <c r="F20" s="281" t="s">
        <v>41</v>
      </c>
      <c r="G20" s="280"/>
      <c r="H20" s="165" t="s">
        <v>178</v>
      </c>
      <c r="I20" s="166" t="s">
        <v>236</v>
      </c>
      <c r="J20" s="159" t="s">
        <v>190</v>
      </c>
      <c r="K20" s="144" t="s">
        <v>237</v>
      </c>
      <c r="L20" s="282" t="s">
        <v>322</v>
      </c>
      <c r="M20" s="280"/>
      <c r="N20" s="280"/>
      <c r="O20" s="280"/>
      <c r="P20" s="278"/>
      <c r="Q20" s="145" t="s">
        <v>76</v>
      </c>
      <c r="R20" s="53" t="s">
        <v>239</v>
      </c>
      <c r="S20" s="52" t="s">
        <v>228</v>
      </c>
      <c r="T20" s="25" t="s">
        <v>229</v>
      </c>
      <c r="U20" s="52" t="s">
        <v>230</v>
      </c>
      <c r="V20" s="275" t="s">
        <v>190</v>
      </c>
      <c r="W20" s="222"/>
      <c r="Y20" s="69"/>
    </row>
    <row r="21" spans="1:25" ht="36">
      <c r="A21" s="31" t="str">
        <f>ChkList!A5</f>
        <v>계정 관리</v>
      </c>
      <c r="B21" s="31" t="str">
        <f>ChkList!B5</f>
        <v>U-01</v>
      </c>
      <c r="C21" s="270" t="str">
        <f>ChkList!C5</f>
        <v>root 계정 원격 접속 제한</v>
      </c>
      <c r="D21" s="221"/>
      <c r="E21" s="222"/>
      <c r="F21" s="31" t="str">
        <f>ChkList!D5</f>
        <v>H</v>
      </c>
      <c r="G21" s="31">
        <f>ChkList!E5</f>
        <v>3</v>
      </c>
      <c r="H21" s="168" t="s">
        <v>50</v>
      </c>
      <c r="I21" s="167" t="s">
        <v>240</v>
      </c>
      <c r="J21" s="28" t="s">
        <v>374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70" t="s">
        <v>373</v>
      </c>
      <c r="M21" s="221"/>
      <c r="N21" s="221"/>
      <c r="O21" s="221"/>
      <c r="P21" s="222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241</v>
      </c>
      <c r="W21" s="42" t="s">
        <v>42</v>
      </c>
      <c r="Y21" s="10"/>
    </row>
    <row r="22" spans="1:25" ht="36" customHeight="1">
      <c r="A22" s="31" t="str">
        <f>ChkList!A6</f>
        <v>계정 관리</v>
      </c>
      <c r="B22" s="31" t="str">
        <f>ChkList!B6</f>
        <v>U-02</v>
      </c>
      <c r="C22" s="270" t="str">
        <f>ChkList!C6</f>
        <v>비밀번호 관리정책 설정</v>
      </c>
      <c r="D22" s="221"/>
      <c r="E22" s="222"/>
      <c r="F22" s="31" t="str">
        <f>ChkList!D6</f>
        <v>H</v>
      </c>
      <c r="G22" s="31">
        <f>ChkList!E6</f>
        <v>3</v>
      </c>
      <c r="H22" s="168" t="s">
        <v>51</v>
      </c>
      <c r="I22" s="167" t="s">
        <v>242</v>
      </c>
      <c r="J22" s="28" t="s">
        <v>50</v>
      </c>
      <c r="K22" s="28" t="str">
        <f t="shared" si="4"/>
        <v>조치</v>
      </c>
      <c r="L22" s="270" t="s">
        <v>243</v>
      </c>
      <c r="M22" s="221"/>
      <c r="N22" s="221"/>
      <c r="O22" s="221"/>
      <c r="P22" s="222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0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191</v>
      </c>
      <c r="W22" s="28">
        <v>1</v>
      </c>
      <c r="Y22" s="10"/>
    </row>
    <row r="23" spans="1:25" ht="36" customHeight="1">
      <c r="A23" s="31" t="str">
        <f>ChkList!A7</f>
        <v>계정 관리</v>
      </c>
      <c r="B23" s="31" t="str">
        <f>ChkList!B7</f>
        <v>U-03</v>
      </c>
      <c r="C23" s="270" t="str">
        <f>ChkList!C7</f>
        <v>계정 잠금 임계값 설정</v>
      </c>
      <c r="D23" s="221"/>
      <c r="E23" s="222"/>
      <c r="F23" s="31" t="str">
        <f>ChkList!D7</f>
        <v>H</v>
      </c>
      <c r="G23" s="31">
        <f>ChkList!E7</f>
        <v>3</v>
      </c>
      <c r="H23" s="168" t="s">
        <v>51</v>
      </c>
      <c r="I23" s="167" t="s">
        <v>244</v>
      </c>
      <c r="J23" s="28" t="s">
        <v>50</v>
      </c>
      <c r="K23" s="28" t="str">
        <f t="shared" si="4"/>
        <v>조치</v>
      </c>
      <c r="L23" s="270" t="s">
        <v>245</v>
      </c>
      <c r="M23" s="221"/>
      <c r="N23" s="221"/>
      <c r="O23" s="221"/>
      <c r="P23" s="222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0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192</v>
      </c>
      <c r="W23" s="28">
        <v>0</v>
      </c>
      <c r="Y23" s="10"/>
    </row>
    <row r="24" spans="1:25" ht="36">
      <c r="A24" s="31" t="str">
        <f>ChkList!A8</f>
        <v>계정 관리</v>
      </c>
      <c r="B24" s="31" t="str">
        <f>ChkList!B8</f>
        <v>U-04</v>
      </c>
      <c r="C24" s="270" t="str">
        <f>ChkList!C8</f>
        <v>비밀번호 파일 보호</v>
      </c>
      <c r="D24" s="221"/>
      <c r="E24" s="222"/>
      <c r="F24" s="31" t="str">
        <f>ChkList!D8</f>
        <v>H</v>
      </c>
      <c r="G24" s="31">
        <f>ChkList!E8</f>
        <v>3</v>
      </c>
      <c r="H24" s="168" t="s">
        <v>50</v>
      </c>
      <c r="I24" s="167" t="s">
        <v>246</v>
      </c>
      <c r="J24" s="28" t="s">
        <v>375</v>
      </c>
      <c r="K24" s="28" t="str">
        <f t="shared" si="4"/>
        <v>Y</v>
      </c>
      <c r="L24" s="270" t="s">
        <v>324</v>
      </c>
      <c r="M24" s="221"/>
      <c r="N24" s="221"/>
      <c r="O24" s="221"/>
      <c r="P24" s="222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193</v>
      </c>
      <c r="W24" s="28">
        <v>0</v>
      </c>
      <c r="Y24" s="10"/>
    </row>
    <row r="25" spans="1:25" ht="36">
      <c r="A25" s="31" t="str">
        <f>ChkList!A9</f>
        <v>계정 관리</v>
      </c>
      <c r="B25" s="31" t="str">
        <f>ChkList!B9</f>
        <v>U-05</v>
      </c>
      <c r="C25" s="270" t="str">
        <f>ChkList!C9</f>
        <v>root 이외의 UID가 ‘0’ 금지</v>
      </c>
      <c r="D25" s="221"/>
      <c r="E25" s="222"/>
      <c r="F25" s="31" t="str">
        <f>ChkList!D9</f>
        <v>H</v>
      </c>
      <c r="G25" s="31">
        <f>ChkList!E9</f>
        <v>3</v>
      </c>
      <c r="H25" s="168" t="s">
        <v>50</v>
      </c>
      <c r="I25" s="167" t="s">
        <v>247</v>
      </c>
      <c r="J25" s="28" t="s">
        <v>376</v>
      </c>
      <c r="K25" s="28" t="str">
        <f t="shared" si="4"/>
        <v>Y</v>
      </c>
      <c r="L25" s="270" t="s">
        <v>372</v>
      </c>
      <c r="M25" s="221"/>
      <c r="N25" s="221"/>
      <c r="O25" s="221"/>
      <c r="P25" s="222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53</v>
      </c>
      <c r="W25" s="28">
        <v>0</v>
      </c>
      <c r="Y25" s="10"/>
    </row>
    <row r="26" spans="1:25" ht="66" customHeight="1">
      <c r="A26" s="31" t="str">
        <f>ChkList!A10</f>
        <v>계정 관리</v>
      </c>
      <c r="B26" s="31" t="str">
        <f>ChkList!B10</f>
        <v>U-06</v>
      </c>
      <c r="C26" s="270" t="str">
        <f>ChkList!C10</f>
        <v>사용자 계정 su 기능 제한</v>
      </c>
      <c r="D26" s="221"/>
      <c r="E26" s="222"/>
      <c r="F26" s="31" t="str">
        <f>ChkList!D10</f>
        <v>H</v>
      </c>
      <c r="G26" s="31">
        <f>ChkList!E10</f>
        <v>3</v>
      </c>
      <c r="H26" s="168" t="s">
        <v>50</v>
      </c>
      <c r="I26" s="167" t="s">
        <v>248</v>
      </c>
      <c r="J26" s="28" t="s">
        <v>377</v>
      </c>
      <c r="K26" s="28" t="str">
        <f t="shared" si="4"/>
        <v>Y</v>
      </c>
      <c r="L26" s="270" t="s">
        <v>371</v>
      </c>
      <c r="M26" s="221"/>
      <c r="N26" s="221"/>
      <c r="O26" s="221"/>
      <c r="P26" s="222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50</v>
      </c>
      <c r="W26" s="28">
        <v>1</v>
      </c>
      <c r="Y26" s="10"/>
    </row>
    <row r="27" spans="1:25" ht="35.450000000000003" customHeight="1">
      <c r="A27" s="31" t="str">
        <f>ChkList!A11</f>
        <v>계정 관리</v>
      </c>
      <c r="B27" s="31" t="str">
        <f>ChkList!B11</f>
        <v>U-07</v>
      </c>
      <c r="C27" s="270" t="str">
        <f>ChkList!C11</f>
        <v>불필요한 계정 제거</v>
      </c>
      <c r="D27" s="221"/>
      <c r="E27" s="222"/>
      <c r="F27" s="31" t="str">
        <f>ChkList!D11</f>
        <v>L</v>
      </c>
      <c r="G27" s="31">
        <f>ChkList!E11</f>
        <v>1</v>
      </c>
      <c r="H27" s="168" t="s">
        <v>50</v>
      </c>
      <c r="I27" s="167" t="s">
        <v>249</v>
      </c>
      <c r="J27" s="28" t="s">
        <v>378</v>
      </c>
      <c r="K27" s="28" t="str">
        <f t="shared" si="4"/>
        <v>Y</v>
      </c>
      <c r="L27" s="270" t="s">
        <v>370</v>
      </c>
      <c r="M27" s="221"/>
      <c r="N27" s="221"/>
      <c r="O27" s="221"/>
      <c r="P27" s="222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55</v>
      </c>
      <c r="W27" s="28">
        <v>1</v>
      </c>
      <c r="Y27" s="10"/>
    </row>
    <row r="28" spans="1:25" ht="36">
      <c r="A28" s="31" t="str">
        <f>ChkList!A12</f>
        <v>계정 관리</v>
      </c>
      <c r="B28" s="31" t="str">
        <f>ChkList!B12</f>
        <v>U-08</v>
      </c>
      <c r="C28" s="270" t="str">
        <f>ChkList!C12</f>
        <v>관리자 그룹에 최소한의 계정 포함</v>
      </c>
      <c r="D28" s="221"/>
      <c r="E28" s="222"/>
      <c r="F28" s="31" t="str">
        <f>ChkList!D12</f>
        <v>M</v>
      </c>
      <c r="G28" s="31">
        <f>ChkList!E12</f>
        <v>2</v>
      </c>
      <c r="H28" s="168" t="s">
        <v>50</v>
      </c>
      <c r="I28" s="167" t="s">
        <v>250</v>
      </c>
      <c r="J28" s="28" t="s">
        <v>377</v>
      </c>
      <c r="K28" s="28" t="str">
        <f t="shared" si="4"/>
        <v>Y</v>
      </c>
      <c r="L28" s="270" t="s">
        <v>369</v>
      </c>
      <c r="M28" s="221"/>
      <c r="N28" s="221"/>
      <c r="O28" s="221"/>
      <c r="P28" s="222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5.450000000000003" customHeight="1">
      <c r="A29" s="31" t="str">
        <f>ChkList!A13</f>
        <v>계정 관리</v>
      </c>
      <c r="B29" s="31" t="str">
        <f>ChkList!B13</f>
        <v>U-09</v>
      </c>
      <c r="C29" s="270" t="str">
        <f>ChkList!C13</f>
        <v>계정이 존재하지 않는 GID 금지</v>
      </c>
      <c r="D29" s="221"/>
      <c r="E29" s="222"/>
      <c r="F29" s="31" t="str">
        <f>ChkList!D13</f>
        <v>L</v>
      </c>
      <c r="G29" s="31">
        <f>ChkList!E13</f>
        <v>1</v>
      </c>
      <c r="H29" s="168" t="s">
        <v>50</v>
      </c>
      <c r="I29" s="167" t="s">
        <v>251</v>
      </c>
      <c r="J29" s="28" t="s">
        <v>378</v>
      </c>
      <c r="K29" s="28" t="str">
        <f t="shared" si="4"/>
        <v>Y</v>
      </c>
      <c r="L29" s="270" t="s">
        <v>368</v>
      </c>
      <c r="M29" s="221"/>
      <c r="N29" s="221"/>
      <c r="O29" s="221"/>
      <c r="P29" s="222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6">
      <c r="A30" s="31" t="str">
        <f>ChkList!A14</f>
        <v>계정 관리</v>
      </c>
      <c r="B30" s="31" t="str">
        <f>ChkList!B14</f>
        <v>U-10</v>
      </c>
      <c r="C30" s="270" t="str">
        <f>ChkList!C14</f>
        <v>동일한 UID 금지</v>
      </c>
      <c r="D30" s="221"/>
      <c r="E30" s="222"/>
      <c r="F30" s="31" t="str">
        <f>ChkList!D14</f>
        <v>M</v>
      </c>
      <c r="G30" s="31">
        <f>ChkList!E14</f>
        <v>2</v>
      </c>
      <c r="H30" s="168" t="s">
        <v>50</v>
      </c>
      <c r="I30" s="167" t="s">
        <v>252</v>
      </c>
      <c r="J30" s="28" t="s">
        <v>378</v>
      </c>
      <c r="K30" s="28" t="str">
        <f t="shared" si="4"/>
        <v>Y</v>
      </c>
      <c r="L30" s="270" t="s">
        <v>367</v>
      </c>
      <c r="M30" s="221"/>
      <c r="N30" s="221"/>
      <c r="O30" s="221"/>
      <c r="P30" s="222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6">
      <c r="A31" s="31" t="str">
        <f>ChkList!A15</f>
        <v>계정 관리</v>
      </c>
      <c r="B31" s="31" t="str">
        <f>ChkList!B15</f>
        <v>U-11</v>
      </c>
      <c r="C31" s="270" t="str">
        <f>ChkList!C15</f>
        <v>사용자 Shell 점검</v>
      </c>
      <c r="D31" s="221"/>
      <c r="E31" s="222"/>
      <c r="F31" s="31" t="str">
        <f>ChkList!D15</f>
        <v>L</v>
      </c>
      <c r="G31" s="31">
        <f>ChkList!E15</f>
        <v>1</v>
      </c>
      <c r="H31" s="168" t="s">
        <v>50</v>
      </c>
      <c r="I31" s="167" t="s">
        <v>253</v>
      </c>
      <c r="J31" s="28" t="s">
        <v>378</v>
      </c>
      <c r="K31" s="28" t="str">
        <f t="shared" si="4"/>
        <v>Y</v>
      </c>
      <c r="L31" s="270" t="s">
        <v>366</v>
      </c>
      <c r="M31" s="221"/>
      <c r="N31" s="221"/>
      <c r="O31" s="221"/>
      <c r="P31" s="222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5.450000000000003" customHeight="1">
      <c r="A32" s="31" t="str">
        <f>ChkList!A16</f>
        <v>계정 관리</v>
      </c>
      <c r="B32" s="31" t="str">
        <f>ChkList!B16</f>
        <v>U-12</v>
      </c>
      <c r="C32" s="270" t="str">
        <f>ChkList!C16</f>
        <v>세션 종료 시간 설정</v>
      </c>
      <c r="D32" s="221"/>
      <c r="E32" s="222"/>
      <c r="F32" s="31" t="str">
        <f>ChkList!D16</f>
        <v>L</v>
      </c>
      <c r="G32" s="31">
        <f>ChkList!E16</f>
        <v>1</v>
      </c>
      <c r="H32" s="168" t="s">
        <v>50</v>
      </c>
      <c r="I32" s="167" t="s">
        <v>254</v>
      </c>
      <c r="J32" s="28" t="s">
        <v>378</v>
      </c>
      <c r="K32" s="28" t="str">
        <f t="shared" si="4"/>
        <v>Y</v>
      </c>
      <c r="L32" s="270" t="s">
        <v>365</v>
      </c>
      <c r="M32" s="221"/>
      <c r="N32" s="221"/>
      <c r="O32" s="221"/>
      <c r="P32" s="222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5.450000000000003" customHeight="1">
      <c r="A33" s="31" t="str">
        <f>ChkList!A17</f>
        <v>계정 관리</v>
      </c>
      <c r="B33" s="31" t="str">
        <f>ChkList!B17</f>
        <v>U-13</v>
      </c>
      <c r="C33" s="270" t="str">
        <f>ChkList!C17</f>
        <v>안전한 비밀번호 암호화 알고리즘 사용</v>
      </c>
      <c r="D33" s="221"/>
      <c r="E33" s="222"/>
      <c r="F33" s="31" t="str">
        <f>ChkList!D17</f>
        <v>M</v>
      </c>
      <c r="G33" s="31">
        <f>ChkList!E17</f>
        <v>2</v>
      </c>
      <c r="H33" s="168" t="s">
        <v>50</v>
      </c>
      <c r="I33" s="167" t="s">
        <v>255</v>
      </c>
      <c r="J33" s="28" t="s">
        <v>378</v>
      </c>
      <c r="K33" s="28" t="str">
        <f t="shared" si="4"/>
        <v>Y</v>
      </c>
      <c r="L33" s="270" t="s">
        <v>364</v>
      </c>
      <c r="M33" s="221"/>
      <c r="N33" s="221"/>
      <c r="O33" s="221"/>
      <c r="P33" s="222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6">
      <c r="A34" s="31" t="str">
        <f>ChkList!A18</f>
        <v>파일 및 디렉터리 관리</v>
      </c>
      <c r="B34" s="31" t="str">
        <f>ChkList!B18</f>
        <v>U-14</v>
      </c>
      <c r="C34" s="270" t="str">
        <f>ChkList!C18</f>
        <v>root 홈, 패스 디렉터리 권한 및 패스 설정</v>
      </c>
      <c r="D34" s="221"/>
      <c r="E34" s="222"/>
      <c r="F34" s="31" t="str">
        <f>ChkList!D18</f>
        <v>H</v>
      </c>
      <c r="G34" s="31">
        <f>ChkList!E18</f>
        <v>3</v>
      </c>
      <c r="H34" s="168" t="s">
        <v>50</v>
      </c>
      <c r="I34" s="167" t="s">
        <v>256</v>
      </c>
      <c r="J34" s="28" t="s">
        <v>378</v>
      </c>
      <c r="K34" s="28" t="str">
        <f t="shared" si="4"/>
        <v>Y</v>
      </c>
      <c r="L34" s="270" t="s">
        <v>363</v>
      </c>
      <c r="M34" s="221"/>
      <c r="N34" s="221"/>
      <c r="O34" s="221"/>
      <c r="P34" s="222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6" customHeight="1">
      <c r="A35" s="31" t="str">
        <f>ChkList!A19</f>
        <v>파일 및 디렉터리 관리</v>
      </c>
      <c r="B35" s="31" t="str">
        <f>ChkList!B19</f>
        <v>U-15</v>
      </c>
      <c r="C35" s="270" t="str">
        <f>ChkList!C19</f>
        <v>파일 및 디렉터리 소유자 설정</v>
      </c>
      <c r="D35" s="221"/>
      <c r="E35" s="222"/>
      <c r="F35" s="31" t="str">
        <f>ChkList!D19</f>
        <v>H</v>
      </c>
      <c r="G35" s="31">
        <f>ChkList!E19</f>
        <v>3</v>
      </c>
      <c r="H35" s="168" t="s">
        <v>51</v>
      </c>
      <c r="I35" s="167" t="s">
        <v>257</v>
      </c>
      <c r="J35" s="28" t="s">
        <v>50</v>
      </c>
      <c r="K35" s="28" t="str">
        <f t="shared" si="4"/>
        <v>조치</v>
      </c>
      <c r="L35" s="270" t="s">
        <v>258</v>
      </c>
      <c r="M35" s="221"/>
      <c r="N35" s="221"/>
      <c r="O35" s="221"/>
      <c r="P35" s="222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6">
      <c r="A36" s="31" t="str">
        <f>ChkList!A20</f>
        <v>파일 및 디렉터리 관리</v>
      </c>
      <c r="B36" s="31" t="str">
        <f>ChkList!B20</f>
        <v>U-16</v>
      </c>
      <c r="C36" s="270" t="str">
        <f>ChkList!C20</f>
        <v>/etc/passwd 파일 소유자 및 권한 설정</v>
      </c>
      <c r="D36" s="221"/>
      <c r="E36" s="222"/>
      <c r="F36" s="31" t="str">
        <f>ChkList!D20</f>
        <v>H</v>
      </c>
      <c r="G36" s="31">
        <f>ChkList!E20</f>
        <v>3</v>
      </c>
      <c r="H36" s="168" t="s">
        <v>50</v>
      </c>
      <c r="I36" s="167" t="s">
        <v>559</v>
      </c>
      <c r="J36" s="28" t="s">
        <v>378</v>
      </c>
      <c r="K36" s="28" t="str">
        <f t="shared" si="4"/>
        <v>Y</v>
      </c>
      <c r="L36" s="270" t="s">
        <v>362</v>
      </c>
      <c r="M36" s="221"/>
      <c r="N36" s="221"/>
      <c r="O36" s="221"/>
      <c r="P36" s="222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450000000000003" customHeight="1">
      <c r="A37" s="31" t="str">
        <f>ChkList!A21</f>
        <v>파일 및 디렉터리 관리</v>
      </c>
      <c r="B37" s="31" t="str">
        <f>ChkList!B21</f>
        <v>U-17</v>
      </c>
      <c r="C37" s="270" t="str">
        <f>ChkList!C21</f>
        <v>시스템 시작 스크립트 권한 설정</v>
      </c>
      <c r="D37" s="221"/>
      <c r="E37" s="222"/>
      <c r="F37" s="31" t="str">
        <f>ChkList!D21</f>
        <v>H</v>
      </c>
      <c r="G37" s="31">
        <f>ChkList!E21</f>
        <v>3</v>
      </c>
      <c r="H37" s="168" t="s">
        <v>51</v>
      </c>
      <c r="I37" s="167" t="s">
        <v>558</v>
      </c>
      <c r="J37" s="28" t="s">
        <v>50</v>
      </c>
      <c r="K37" s="28" t="str">
        <f t="shared" si="4"/>
        <v>조치</v>
      </c>
      <c r="L37" s="270" t="s">
        <v>261</v>
      </c>
      <c r="M37" s="221"/>
      <c r="N37" s="221"/>
      <c r="O37" s="221"/>
      <c r="P37" s="222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5.450000000000003" customHeight="1">
      <c r="A38" s="31" t="str">
        <f>ChkList!A22</f>
        <v>파일 및 디렉터리 관리</v>
      </c>
      <c r="B38" s="31" t="str">
        <f>ChkList!B22</f>
        <v>U-18</v>
      </c>
      <c r="C38" s="270" t="str">
        <f>ChkList!C22</f>
        <v>/etc/shadow 파일 소유자 및 권한 설정</v>
      </c>
      <c r="D38" s="221"/>
      <c r="E38" s="222"/>
      <c r="F38" s="31" t="str">
        <f>ChkList!D22</f>
        <v>H</v>
      </c>
      <c r="G38" s="31">
        <f>ChkList!E22</f>
        <v>3</v>
      </c>
      <c r="H38" s="168" t="s">
        <v>50</v>
      </c>
      <c r="I38" s="167" t="s">
        <v>262</v>
      </c>
      <c r="J38" s="28" t="s">
        <v>378</v>
      </c>
      <c r="K38" s="28" t="str">
        <f t="shared" si="4"/>
        <v>Y</v>
      </c>
      <c r="L38" s="270" t="s">
        <v>361</v>
      </c>
      <c r="M38" s="221"/>
      <c r="N38" s="221"/>
      <c r="O38" s="221"/>
      <c r="P38" s="222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5.450000000000003" customHeight="1">
      <c r="A39" s="31" t="str">
        <f>ChkList!A23</f>
        <v>파일 및 디렉터리 관리</v>
      </c>
      <c r="B39" s="31" t="str">
        <f>ChkList!B23</f>
        <v>U-19</v>
      </c>
      <c r="C39" s="270" t="str">
        <f>ChkList!C23</f>
        <v>/etc/hosts 파일 소유자 및 권한 설정</v>
      </c>
      <c r="D39" s="221"/>
      <c r="E39" s="222"/>
      <c r="F39" s="31" t="str">
        <f>ChkList!D23</f>
        <v>H</v>
      </c>
      <c r="G39" s="31">
        <f>ChkList!E23</f>
        <v>3</v>
      </c>
      <c r="H39" s="168" t="s">
        <v>50</v>
      </c>
      <c r="I39" s="167" t="s">
        <v>263</v>
      </c>
      <c r="J39" s="28" t="s">
        <v>378</v>
      </c>
      <c r="K39" s="28" t="str">
        <f t="shared" si="4"/>
        <v>Y</v>
      </c>
      <c r="L39" s="270" t="s">
        <v>360</v>
      </c>
      <c r="M39" s="221"/>
      <c r="N39" s="221"/>
      <c r="O39" s="221"/>
      <c r="P39" s="222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5.450000000000003" customHeight="1">
      <c r="A40" s="31" t="str">
        <f>ChkList!A24</f>
        <v>파일 및 디렉터리 관리</v>
      </c>
      <c r="B40" s="31" t="str">
        <f>ChkList!B24</f>
        <v>U-20</v>
      </c>
      <c r="C40" s="270" t="str">
        <f>ChkList!C24</f>
        <v>/etc/(x)inetd.conf 파일 소유자 및 권한 설정</v>
      </c>
      <c r="D40" s="221"/>
      <c r="E40" s="222"/>
      <c r="F40" s="31" t="str">
        <f>ChkList!D24</f>
        <v>H</v>
      </c>
      <c r="G40" s="31">
        <f>ChkList!E24</f>
        <v>3</v>
      </c>
      <c r="H40" s="168" t="s">
        <v>51</v>
      </c>
      <c r="I40" s="167" t="s">
        <v>264</v>
      </c>
      <c r="J40" s="168" t="s">
        <v>50</v>
      </c>
      <c r="K40" s="28" t="str">
        <f t="shared" si="4"/>
        <v>조치</v>
      </c>
      <c r="L40" s="271" t="s">
        <v>265</v>
      </c>
      <c r="M40" s="272"/>
      <c r="N40" s="272"/>
      <c r="O40" s="272"/>
      <c r="P40" s="273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 customHeight="1">
      <c r="A41" s="31" t="str">
        <f>ChkList!A25</f>
        <v>파일 및 디렉터리 관리</v>
      </c>
      <c r="B41" s="31" t="str">
        <f>ChkList!B25</f>
        <v>U-21</v>
      </c>
      <c r="C41" s="270" t="str">
        <f>ChkList!C25</f>
        <v>/etc/(r)syslog.conf 파일 소유자 및 권한 설정</v>
      </c>
      <c r="D41" s="221"/>
      <c r="E41" s="222"/>
      <c r="F41" s="31" t="str">
        <f>ChkList!D25</f>
        <v>H</v>
      </c>
      <c r="G41" s="31">
        <f>ChkList!E25</f>
        <v>3</v>
      </c>
      <c r="H41" s="168" t="s">
        <v>51</v>
      </c>
      <c r="I41" s="167" t="s">
        <v>266</v>
      </c>
      <c r="J41" s="168" t="s">
        <v>50</v>
      </c>
      <c r="K41" s="28" t="str">
        <f t="shared" si="4"/>
        <v>조치</v>
      </c>
      <c r="L41" s="271" t="s">
        <v>267</v>
      </c>
      <c r="M41" s="272"/>
      <c r="N41" s="272"/>
      <c r="O41" s="272"/>
      <c r="P41" s="273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35.450000000000003" customHeight="1">
      <c r="A42" s="31" t="str">
        <f>ChkList!A26</f>
        <v>파일 및 디렉터리 관리</v>
      </c>
      <c r="B42" s="31" t="str">
        <f>ChkList!B26</f>
        <v>U-22</v>
      </c>
      <c r="C42" s="270" t="str">
        <f>ChkList!C26</f>
        <v>/etc/services 파일 소유자 및 권한 설정</v>
      </c>
      <c r="D42" s="221"/>
      <c r="E42" s="222"/>
      <c r="F42" s="31" t="str">
        <f>ChkList!D26</f>
        <v>H</v>
      </c>
      <c r="G42" s="31">
        <f>ChkList!E26</f>
        <v>3</v>
      </c>
      <c r="H42" s="168" t="s">
        <v>51</v>
      </c>
      <c r="I42" s="167" t="s">
        <v>268</v>
      </c>
      <c r="J42" s="168" t="s">
        <v>50</v>
      </c>
      <c r="K42" s="28" t="str">
        <f t="shared" si="4"/>
        <v>조치</v>
      </c>
      <c r="L42" s="271" t="s">
        <v>269</v>
      </c>
      <c r="M42" s="272"/>
      <c r="N42" s="272"/>
      <c r="O42" s="272"/>
      <c r="P42" s="273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>
      <c r="A43" s="31" t="str">
        <f>ChkList!A27</f>
        <v>파일 및 디렉터리 관리</v>
      </c>
      <c r="B43" s="31" t="str">
        <f>ChkList!B27</f>
        <v>U-23</v>
      </c>
      <c r="C43" s="270" t="str">
        <f>ChkList!C27</f>
        <v>SUID, SGID, Sticky bit 설정 파일 점검</v>
      </c>
      <c r="D43" s="221"/>
      <c r="E43" s="222"/>
      <c r="F43" s="31" t="str">
        <f>ChkList!D27</f>
        <v>H</v>
      </c>
      <c r="G43" s="31">
        <f>ChkList!E27</f>
        <v>3</v>
      </c>
      <c r="H43" s="168" t="s">
        <v>50</v>
      </c>
      <c r="I43" s="167" t="s">
        <v>270</v>
      </c>
      <c r="J43" s="28" t="s">
        <v>378</v>
      </c>
      <c r="K43" s="28" t="str">
        <f t="shared" si="4"/>
        <v>Y</v>
      </c>
      <c r="L43" s="270" t="s">
        <v>358</v>
      </c>
      <c r="M43" s="221"/>
      <c r="N43" s="221"/>
      <c r="O43" s="221"/>
      <c r="P43" s="222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5.450000000000003" customHeight="1">
      <c r="A44" s="31" t="str">
        <f>ChkList!A28</f>
        <v>파일 및 디렉터리 관리</v>
      </c>
      <c r="B44" s="31" t="str">
        <f>ChkList!B28</f>
        <v>U-24</v>
      </c>
      <c r="C44" s="270" t="str">
        <f>ChkList!C28</f>
        <v>사용자, 시스템 시작파일 및 환경파일 소유자 및 권한 설정</v>
      </c>
      <c r="D44" s="221"/>
      <c r="E44" s="222"/>
      <c r="F44" s="31" t="str">
        <f>ChkList!D28</f>
        <v>H</v>
      </c>
      <c r="G44" s="31">
        <f>ChkList!E28</f>
        <v>3</v>
      </c>
      <c r="H44" s="168" t="s">
        <v>51</v>
      </c>
      <c r="I44" s="167" t="s">
        <v>271</v>
      </c>
      <c r="J44" s="168" t="s">
        <v>50</v>
      </c>
      <c r="K44" s="28" t="str">
        <f t="shared" si="4"/>
        <v>조치</v>
      </c>
      <c r="L44" s="270" t="s">
        <v>379</v>
      </c>
      <c r="M44" s="221"/>
      <c r="N44" s="221"/>
      <c r="O44" s="221"/>
      <c r="P44" s="222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35.450000000000003" customHeight="1">
      <c r="A45" s="31" t="str">
        <f>ChkList!A29</f>
        <v>파일 및 디렉터리 관리</v>
      </c>
      <c r="B45" s="31" t="str">
        <f>ChkList!B29</f>
        <v>U-25</v>
      </c>
      <c r="C45" s="270" t="str">
        <f>ChkList!C29</f>
        <v>world writable 파일 점검</v>
      </c>
      <c r="D45" s="221"/>
      <c r="E45" s="222"/>
      <c r="F45" s="31" t="str">
        <f>ChkList!D29</f>
        <v>H</v>
      </c>
      <c r="G45" s="31">
        <f>ChkList!E29</f>
        <v>3</v>
      </c>
      <c r="H45" s="168" t="s">
        <v>50</v>
      </c>
      <c r="I45" s="167" t="s">
        <v>272</v>
      </c>
      <c r="J45" s="28" t="s">
        <v>378</v>
      </c>
      <c r="K45" s="28" t="str">
        <f t="shared" si="4"/>
        <v>Y</v>
      </c>
      <c r="L45" s="270" t="s">
        <v>355</v>
      </c>
      <c r="M45" s="221"/>
      <c r="N45" s="221"/>
      <c r="O45" s="221"/>
      <c r="P45" s="222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6" customHeight="1">
      <c r="A46" s="31" t="str">
        <f>ChkList!A30</f>
        <v>파일 및 디렉터리 관리</v>
      </c>
      <c r="B46" s="31" t="str">
        <f>ChkList!B30</f>
        <v>U-26</v>
      </c>
      <c r="C46" s="270" t="str">
        <f>ChkList!C30</f>
        <v>/dev에 존재하지 않는 device 파일 점검</v>
      </c>
      <c r="D46" s="221"/>
      <c r="E46" s="222"/>
      <c r="F46" s="31" t="str">
        <f>ChkList!D30</f>
        <v>H</v>
      </c>
      <c r="G46" s="31">
        <f>ChkList!E30</f>
        <v>3</v>
      </c>
      <c r="H46" s="168" t="s">
        <v>51</v>
      </c>
      <c r="I46" s="167" t="s">
        <v>273</v>
      </c>
      <c r="J46" s="168" t="s">
        <v>50</v>
      </c>
      <c r="K46" s="28" t="str">
        <f t="shared" si="4"/>
        <v>조치</v>
      </c>
      <c r="L46" s="270" t="s">
        <v>274</v>
      </c>
      <c r="M46" s="221"/>
      <c r="N46" s="221"/>
      <c r="O46" s="221"/>
      <c r="P46" s="222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0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5.450000000000003" customHeight="1">
      <c r="A47" s="31" t="str">
        <f>ChkList!A31</f>
        <v>파일 및 디렉터리 관리</v>
      </c>
      <c r="B47" s="31" t="str">
        <f>ChkList!B31</f>
        <v>U-27</v>
      </c>
      <c r="C47" s="270" t="str">
        <f>ChkList!C31</f>
        <v>$HOME/.rhosts, hosts.equiv 사용 금지</v>
      </c>
      <c r="D47" s="221"/>
      <c r="E47" s="222"/>
      <c r="F47" s="31" t="str">
        <f>ChkList!D31</f>
        <v>H</v>
      </c>
      <c r="G47" s="31">
        <f>ChkList!E31</f>
        <v>3</v>
      </c>
      <c r="H47" s="168" t="s">
        <v>51</v>
      </c>
      <c r="I47" s="167" t="s">
        <v>275</v>
      </c>
      <c r="J47" s="168" t="s">
        <v>50</v>
      </c>
      <c r="K47" s="28" t="str">
        <f t="shared" si="4"/>
        <v>조치</v>
      </c>
      <c r="L47" s="270" t="s">
        <v>276</v>
      </c>
      <c r="M47" s="221"/>
      <c r="N47" s="221"/>
      <c r="O47" s="221"/>
      <c r="P47" s="222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0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6">
      <c r="A48" s="31" t="str">
        <f>ChkList!A32</f>
        <v>파일 및 디렉터리 관리</v>
      </c>
      <c r="B48" s="31" t="str">
        <f>ChkList!B32</f>
        <v>U-28</v>
      </c>
      <c r="C48" s="270" t="str">
        <f>ChkList!C32</f>
        <v>접속 IP 및 포트 제한</v>
      </c>
      <c r="D48" s="221"/>
      <c r="E48" s="222"/>
      <c r="F48" s="31" t="str">
        <f>ChkList!D32</f>
        <v>H</v>
      </c>
      <c r="G48" s="31">
        <f>ChkList!E32</f>
        <v>3</v>
      </c>
      <c r="H48" s="168" t="s">
        <v>50</v>
      </c>
      <c r="I48" s="167" t="s">
        <v>277</v>
      </c>
      <c r="J48" s="28" t="s">
        <v>378</v>
      </c>
      <c r="K48" s="28" t="str">
        <f t="shared" si="4"/>
        <v>Y</v>
      </c>
      <c r="L48" s="270" t="s">
        <v>357</v>
      </c>
      <c r="M48" s="221"/>
      <c r="N48" s="221"/>
      <c r="O48" s="221"/>
      <c r="P48" s="222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6" customHeight="1">
      <c r="A49" s="31" t="str">
        <f>ChkList!A33</f>
        <v>파일 및 디렉터리 관리</v>
      </c>
      <c r="B49" s="31" t="str">
        <f>ChkList!B33</f>
        <v>U-29</v>
      </c>
      <c r="C49" s="270" t="str">
        <f>ChkList!C33</f>
        <v>hosts.lpd 파일 소유자 및 권한 설정</v>
      </c>
      <c r="D49" s="221"/>
      <c r="E49" s="222"/>
      <c r="F49" s="31" t="str">
        <f>ChkList!D33</f>
        <v>L</v>
      </c>
      <c r="G49" s="31">
        <f>ChkList!E33</f>
        <v>1</v>
      </c>
      <c r="H49" s="168" t="s">
        <v>51</v>
      </c>
      <c r="I49" s="167" t="s">
        <v>278</v>
      </c>
      <c r="J49" s="168" t="s">
        <v>50</v>
      </c>
      <c r="K49" s="28" t="str">
        <f t="shared" si="4"/>
        <v>조치</v>
      </c>
      <c r="L49" s="270" t="s">
        <v>279</v>
      </c>
      <c r="M49" s="221"/>
      <c r="N49" s="221"/>
      <c r="O49" s="221"/>
      <c r="P49" s="222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0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5.450000000000003" customHeight="1">
      <c r="A50" s="31" t="str">
        <f>ChkList!A34</f>
        <v>파일 및 디렉터리 관리</v>
      </c>
      <c r="B50" s="31" t="str">
        <f>ChkList!B34</f>
        <v>U-30</v>
      </c>
      <c r="C50" s="270" t="str">
        <f>ChkList!C34</f>
        <v>UMASK 설정 관리</v>
      </c>
      <c r="D50" s="221"/>
      <c r="E50" s="222"/>
      <c r="F50" s="31" t="str">
        <f>ChkList!D34</f>
        <v>M</v>
      </c>
      <c r="G50" s="31">
        <f>ChkList!E34</f>
        <v>2</v>
      </c>
      <c r="H50" s="168" t="s">
        <v>50</v>
      </c>
      <c r="I50" s="167" t="s">
        <v>280</v>
      </c>
      <c r="J50" s="28" t="s">
        <v>378</v>
      </c>
      <c r="K50" s="28" t="str">
        <f t="shared" si="4"/>
        <v>Y</v>
      </c>
      <c r="L50" s="270" t="s">
        <v>327</v>
      </c>
      <c r="M50" s="221"/>
      <c r="N50" s="221"/>
      <c r="O50" s="221"/>
      <c r="P50" s="222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5.450000000000003" customHeight="1">
      <c r="A51" s="31" t="str">
        <f>ChkList!A35</f>
        <v>파일 및 디렉터리 관리</v>
      </c>
      <c r="B51" s="31" t="str">
        <f>ChkList!B35</f>
        <v>U-31</v>
      </c>
      <c r="C51" s="270" t="str">
        <f>ChkList!C35</f>
        <v>홈 디렉터리 소유자 및 권한 설정</v>
      </c>
      <c r="D51" s="221"/>
      <c r="E51" s="222"/>
      <c r="F51" s="31" t="str">
        <f>ChkList!D35</f>
        <v>M</v>
      </c>
      <c r="G51" s="31">
        <f>ChkList!E35</f>
        <v>2</v>
      </c>
      <c r="H51" s="168" t="s">
        <v>50</v>
      </c>
      <c r="I51" s="167" t="s">
        <v>281</v>
      </c>
      <c r="J51" s="28" t="s">
        <v>378</v>
      </c>
      <c r="K51" s="28" t="str">
        <f t="shared" si="4"/>
        <v>Y</v>
      </c>
      <c r="L51" s="270" t="s">
        <v>356</v>
      </c>
      <c r="M51" s="221"/>
      <c r="N51" s="221"/>
      <c r="O51" s="221"/>
      <c r="P51" s="222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5.450000000000003" customHeight="1">
      <c r="A52" s="31" t="str">
        <f>ChkList!A36</f>
        <v>파일 및 디렉터리 관리</v>
      </c>
      <c r="B52" s="31" t="str">
        <f>ChkList!B36</f>
        <v>U-32</v>
      </c>
      <c r="C52" s="270" t="str">
        <f>ChkList!C36</f>
        <v>홈 디렉터리로 지정한 디렉터리의 존재 관리</v>
      </c>
      <c r="D52" s="221"/>
      <c r="E52" s="222"/>
      <c r="F52" s="31" t="str">
        <f>ChkList!D36</f>
        <v>M</v>
      </c>
      <c r="G52" s="31">
        <f>ChkList!E36</f>
        <v>2</v>
      </c>
      <c r="H52" s="168" t="s">
        <v>50</v>
      </c>
      <c r="I52" s="167" t="s">
        <v>272</v>
      </c>
      <c r="J52" s="28" t="s">
        <v>378</v>
      </c>
      <c r="K52" s="28" t="str">
        <f t="shared" si="4"/>
        <v>Y</v>
      </c>
      <c r="L52" s="270" t="s">
        <v>355</v>
      </c>
      <c r="M52" s="221"/>
      <c r="N52" s="221"/>
      <c r="O52" s="221"/>
      <c r="P52" s="222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5.450000000000003" customHeight="1">
      <c r="A53" s="31" t="str">
        <f>ChkList!A37</f>
        <v>파일 및 디렉터리 관리</v>
      </c>
      <c r="B53" s="31" t="str">
        <f>ChkList!B37</f>
        <v>U-33</v>
      </c>
      <c r="C53" s="270" t="str">
        <f>ChkList!C37</f>
        <v>숨겨진 파일 및 디렉터리 검색 및 제거</v>
      </c>
      <c r="D53" s="221"/>
      <c r="E53" s="222"/>
      <c r="F53" s="31" t="str">
        <f>ChkList!D37</f>
        <v>L</v>
      </c>
      <c r="G53" s="31">
        <f>ChkList!E37</f>
        <v>1</v>
      </c>
      <c r="H53" s="168" t="s">
        <v>50</v>
      </c>
      <c r="I53" s="167" t="s">
        <v>282</v>
      </c>
      <c r="J53" s="28" t="s">
        <v>378</v>
      </c>
      <c r="K53" s="28" t="str">
        <f t="shared" si="4"/>
        <v>Y</v>
      </c>
      <c r="L53" s="270" t="s">
        <v>354</v>
      </c>
      <c r="M53" s="221"/>
      <c r="N53" s="221"/>
      <c r="O53" s="221"/>
      <c r="P53" s="222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.1" customHeight="1">
      <c r="A54" s="31" t="str">
        <f>ChkList!A38</f>
        <v>서비스 관리</v>
      </c>
      <c r="B54" s="31" t="str">
        <f>ChkList!B38</f>
        <v>U-34</v>
      </c>
      <c r="C54" s="270" t="str">
        <f>ChkList!C38</f>
        <v>Finger 서비스 비활성화</v>
      </c>
      <c r="D54" s="221"/>
      <c r="E54" s="222"/>
      <c r="F54" s="31" t="str">
        <f>ChkList!D38</f>
        <v>H</v>
      </c>
      <c r="G54" s="31">
        <f>ChkList!E38</f>
        <v>3</v>
      </c>
      <c r="H54" s="170" t="s">
        <v>283</v>
      </c>
      <c r="I54" s="167" t="s">
        <v>283</v>
      </c>
      <c r="J54" s="28" t="s">
        <v>283</v>
      </c>
      <c r="K54" s="28"/>
      <c r="L54" s="270" t="s">
        <v>284</v>
      </c>
      <c r="M54" s="221"/>
      <c r="N54" s="221"/>
      <c r="O54" s="221"/>
      <c r="P54" s="222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5.450000000000003" customHeight="1">
      <c r="A55" s="31" t="str">
        <f>ChkList!A39</f>
        <v>서비스 관리</v>
      </c>
      <c r="B55" s="31" t="str">
        <f>ChkList!B39</f>
        <v>U-35</v>
      </c>
      <c r="C55" s="270" t="str">
        <f>ChkList!C39</f>
        <v>공유 서비스에 대한 익명 접근 제한 설정</v>
      </c>
      <c r="D55" s="221"/>
      <c r="E55" s="222"/>
      <c r="F55" s="31" t="str">
        <f>ChkList!D39</f>
        <v>H</v>
      </c>
      <c r="G55" s="31">
        <f>ChkList!E39</f>
        <v>3</v>
      </c>
      <c r="H55" s="168" t="s">
        <v>50</v>
      </c>
      <c r="I55" s="167" t="s">
        <v>285</v>
      </c>
      <c r="J55" s="28" t="s">
        <v>378</v>
      </c>
      <c r="K55" s="28" t="str">
        <f t="shared" si="4"/>
        <v>Y</v>
      </c>
      <c r="L55" s="270" t="s">
        <v>328</v>
      </c>
      <c r="M55" s="221"/>
      <c r="N55" s="221"/>
      <c r="O55" s="221"/>
      <c r="P55" s="222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5.450000000000003" customHeight="1">
      <c r="A56" s="31" t="str">
        <f>ChkList!A40</f>
        <v>서비스 관리</v>
      </c>
      <c r="B56" s="31" t="str">
        <f>ChkList!B40</f>
        <v>U-36</v>
      </c>
      <c r="C56" s="270" t="str">
        <f>ChkList!C40</f>
        <v>r 계열 서비스 비활성화</v>
      </c>
      <c r="D56" s="221"/>
      <c r="E56" s="222"/>
      <c r="F56" s="31" t="str">
        <f>ChkList!D40</f>
        <v>H</v>
      </c>
      <c r="G56" s="31">
        <f>ChkList!E40</f>
        <v>3</v>
      </c>
      <c r="H56" s="168" t="s">
        <v>50</v>
      </c>
      <c r="I56" s="167" t="s">
        <v>286</v>
      </c>
      <c r="J56" s="28" t="s">
        <v>378</v>
      </c>
      <c r="K56" s="28" t="str">
        <f t="shared" si="4"/>
        <v>Y</v>
      </c>
      <c r="L56" s="270" t="s">
        <v>352</v>
      </c>
      <c r="M56" s="221"/>
      <c r="N56" s="221"/>
      <c r="O56" s="221"/>
      <c r="P56" s="222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450000000000003" customHeight="1">
      <c r="A57" s="31" t="str">
        <f>ChkList!A41</f>
        <v>서비스 관리</v>
      </c>
      <c r="B57" s="31" t="str">
        <f>ChkList!B41</f>
        <v>U-37</v>
      </c>
      <c r="C57" s="270" t="str">
        <f>ChkList!C41</f>
        <v>crontab 설정파일 권한 설정 미흡</v>
      </c>
      <c r="D57" s="221"/>
      <c r="E57" s="222"/>
      <c r="F57" s="31" t="str">
        <f>ChkList!D41</f>
        <v>H</v>
      </c>
      <c r="G57" s="31">
        <f>ChkList!E41</f>
        <v>3</v>
      </c>
      <c r="H57" s="168" t="s">
        <v>50</v>
      </c>
      <c r="I57" s="167" t="s">
        <v>287</v>
      </c>
      <c r="J57" s="28" t="s">
        <v>378</v>
      </c>
      <c r="K57" s="28" t="str">
        <f t="shared" si="4"/>
        <v>Y</v>
      </c>
      <c r="L57" s="270" t="s">
        <v>353</v>
      </c>
      <c r="M57" s="221"/>
      <c r="N57" s="221"/>
      <c r="O57" s="221"/>
      <c r="P57" s="222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5.450000000000003" customHeight="1">
      <c r="A58" s="31" t="str">
        <f>ChkList!A42</f>
        <v>서비스 관리</v>
      </c>
      <c r="B58" s="31" t="str">
        <f>ChkList!B42</f>
        <v>U-38</v>
      </c>
      <c r="C58" s="270" t="str">
        <f>ChkList!C42</f>
        <v>DoS 공격에 취약한 서비스 비활성화</v>
      </c>
      <c r="D58" s="221"/>
      <c r="E58" s="222"/>
      <c r="F58" s="31" t="str">
        <f>ChkList!D42</f>
        <v>H</v>
      </c>
      <c r="G58" s="31">
        <f>ChkList!E42</f>
        <v>3</v>
      </c>
      <c r="H58" s="168" t="s">
        <v>51</v>
      </c>
      <c r="I58" s="167" t="s">
        <v>288</v>
      </c>
      <c r="J58" s="168" t="s">
        <v>50</v>
      </c>
      <c r="K58" s="28" t="str">
        <f t="shared" si="4"/>
        <v>조치</v>
      </c>
      <c r="L58" s="270" t="s">
        <v>289</v>
      </c>
      <c r="M58" s="221"/>
      <c r="N58" s="221"/>
      <c r="O58" s="221"/>
      <c r="P58" s="222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0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6">
      <c r="A59" s="31" t="str">
        <f>ChkList!A43</f>
        <v>서비스 관리</v>
      </c>
      <c r="B59" s="31" t="str">
        <f>ChkList!B43</f>
        <v>U-39</v>
      </c>
      <c r="C59" s="270" t="str">
        <f>ChkList!C43</f>
        <v>불필요한 NFS 서비스 비활성화</v>
      </c>
      <c r="D59" s="221"/>
      <c r="E59" s="222"/>
      <c r="F59" s="31" t="str">
        <f>ChkList!D43</f>
        <v>H</v>
      </c>
      <c r="G59" s="31">
        <f>ChkList!E43</f>
        <v>3</v>
      </c>
      <c r="H59" s="168" t="s">
        <v>50</v>
      </c>
      <c r="I59" s="167" t="s">
        <v>290</v>
      </c>
      <c r="J59" s="28" t="s">
        <v>378</v>
      </c>
      <c r="K59" s="28" t="str">
        <f t="shared" si="4"/>
        <v>Y</v>
      </c>
      <c r="L59" s="270" t="s">
        <v>329</v>
      </c>
      <c r="M59" s="221"/>
      <c r="N59" s="221"/>
      <c r="O59" s="221"/>
      <c r="P59" s="222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6">
      <c r="A60" s="31" t="str">
        <f>ChkList!A44</f>
        <v>서비스 관리</v>
      </c>
      <c r="B60" s="31" t="str">
        <f>ChkList!B44</f>
        <v>U-40</v>
      </c>
      <c r="C60" s="270" t="str">
        <f>ChkList!C44</f>
        <v>NFS 접근 통제</v>
      </c>
      <c r="D60" s="221"/>
      <c r="E60" s="222"/>
      <c r="F60" s="31" t="str">
        <f>ChkList!D44</f>
        <v>H</v>
      </c>
      <c r="G60" s="31">
        <f>ChkList!E44</f>
        <v>3</v>
      </c>
      <c r="H60" s="168" t="s">
        <v>50</v>
      </c>
      <c r="I60" s="167" t="s">
        <v>291</v>
      </c>
      <c r="J60" s="28" t="s">
        <v>378</v>
      </c>
      <c r="K60" s="28" t="str">
        <f t="shared" si="4"/>
        <v>Y</v>
      </c>
      <c r="L60" s="270" t="s">
        <v>344</v>
      </c>
      <c r="M60" s="221"/>
      <c r="N60" s="221"/>
      <c r="O60" s="221"/>
      <c r="P60" s="222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6">
      <c r="A61" s="31" t="str">
        <f>ChkList!A45</f>
        <v>서비스 관리</v>
      </c>
      <c r="B61" s="31" t="str">
        <f>ChkList!B45</f>
        <v>U-41</v>
      </c>
      <c r="C61" s="270" t="str">
        <f>ChkList!C45</f>
        <v>불필요한 automountd 제거</v>
      </c>
      <c r="D61" s="221"/>
      <c r="E61" s="222"/>
      <c r="F61" s="31" t="str">
        <f>ChkList!D45</f>
        <v>H</v>
      </c>
      <c r="G61" s="31">
        <f>ChkList!E45</f>
        <v>3</v>
      </c>
      <c r="H61" s="168" t="s">
        <v>50</v>
      </c>
      <c r="I61" s="167" t="s">
        <v>291</v>
      </c>
      <c r="J61" s="28" t="s">
        <v>378</v>
      </c>
      <c r="K61" s="28" t="str">
        <f t="shared" si="4"/>
        <v>Y</v>
      </c>
      <c r="L61" s="270" t="s">
        <v>344</v>
      </c>
      <c r="M61" s="221"/>
      <c r="N61" s="221"/>
      <c r="O61" s="221"/>
      <c r="P61" s="222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6">
      <c r="A62" s="31" t="str">
        <f>ChkList!A46</f>
        <v>서비스 관리</v>
      </c>
      <c r="B62" s="31" t="str">
        <f>ChkList!B46</f>
        <v>U-42</v>
      </c>
      <c r="C62" s="270" t="str">
        <f>ChkList!C46</f>
        <v>불필요한 RPC 서비스 비활성화</v>
      </c>
      <c r="D62" s="221"/>
      <c r="E62" s="222"/>
      <c r="F62" s="31" t="str">
        <f>ChkList!D46</f>
        <v>H</v>
      </c>
      <c r="G62" s="31">
        <f>ChkList!E46</f>
        <v>3</v>
      </c>
      <c r="H62" s="168" t="s">
        <v>50</v>
      </c>
      <c r="I62" s="167" t="s">
        <v>292</v>
      </c>
      <c r="J62" s="28" t="s">
        <v>378</v>
      </c>
      <c r="K62" s="28" t="str">
        <f t="shared" si="4"/>
        <v>Y</v>
      </c>
      <c r="L62" s="270" t="s">
        <v>345</v>
      </c>
      <c r="M62" s="221"/>
      <c r="N62" s="221"/>
      <c r="O62" s="221"/>
      <c r="P62" s="222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6">
      <c r="A63" s="31" t="str">
        <f>ChkList!A47</f>
        <v>서비스 관리</v>
      </c>
      <c r="B63" s="31" t="str">
        <f>ChkList!B47</f>
        <v>U-43</v>
      </c>
      <c r="C63" s="270" t="str">
        <f>ChkList!C47</f>
        <v>NIS, NIS+ 점검</v>
      </c>
      <c r="D63" s="221"/>
      <c r="E63" s="222"/>
      <c r="F63" s="31" t="str">
        <f>ChkList!D47</f>
        <v>H</v>
      </c>
      <c r="G63" s="31">
        <f>ChkList!E47</f>
        <v>3</v>
      </c>
      <c r="H63" s="168" t="s">
        <v>50</v>
      </c>
      <c r="I63" s="167" t="s">
        <v>293</v>
      </c>
      <c r="J63" s="28" t="s">
        <v>378</v>
      </c>
      <c r="K63" s="28" t="str">
        <f t="shared" si="4"/>
        <v>Y</v>
      </c>
      <c r="L63" s="270" t="s">
        <v>346</v>
      </c>
      <c r="M63" s="221"/>
      <c r="N63" s="221"/>
      <c r="O63" s="221"/>
      <c r="P63" s="222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6">
      <c r="A64" s="31" t="str">
        <f>ChkList!A48</f>
        <v>서비스 관리</v>
      </c>
      <c r="B64" s="31" t="str">
        <f>ChkList!B48</f>
        <v>U-44</v>
      </c>
      <c r="C64" s="270" t="str">
        <f>ChkList!C48</f>
        <v>tftp, talk 서비스 비활성화</v>
      </c>
      <c r="D64" s="221"/>
      <c r="E64" s="222"/>
      <c r="F64" s="31" t="str">
        <f>ChkList!D48</f>
        <v>H</v>
      </c>
      <c r="G64" s="31">
        <f>ChkList!E48</f>
        <v>3</v>
      </c>
      <c r="H64" s="168" t="s">
        <v>50</v>
      </c>
      <c r="I64" s="167" t="s">
        <v>294</v>
      </c>
      <c r="J64" s="28" t="s">
        <v>378</v>
      </c>
      <c r="K64" s="28" t="str">
        <f t="shared" si="4"/>
        <v>Y</v>
      </c>
      <c r="L64" s="270" t="s">
        <v>347</v>
      </c>
      <c r="M64" s="221"/>
      <c r="N64" s="221"/>
      <c r="O64" s="221"/>
      <c r="P64" s="222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>
      <c r="A65" s="31" t="str">
        <f>ChkList!A49</f>
        <v>서비스 관리</v>
      </c>
      <c r="B65" s="31" t="str">
        <f>ChkList!B49</f>
        <v>U-45</v>
      </c>
      <c r="C65" s="270" t="str">
        <f>ChkList!C49</f>
        <v>메일 서비스 버전 점검</v>
      </c>
      <c r="D65" s="221"/>
      <c r="E65" s="222"/>
      <c r="F65" s="31" t="str">
        <f>ChkList!D49</f>
        <v>H</v>
      </c>
      <c r="G65" s="31">
        <f>ChkList!E49</f>
        <v>3</v>
      </c>
      <c r="H65" s="168" t="s">
        <v>50</v>
      </c>
      <c r="I65" s="167" t="s">
        <v>295</v>
      </c>
      <c r="J65" s="28" t="s">
        <v>50</v>
      </c>
      <c r="K65" s="28" t="s">
        <v>50</v>
      </c>
      <c r="L65" s="270" t="s">
        <v>348</v>
      </c>
      <c r="M65" s="221"/>
      <c r="N65" s="221"/>
      <c r="O65" s="221"/>
      <c r="P65" s="222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>
      <c r="A66" s="31" t="str">
        <f>ChkList!A50</f>
        <v>서비스 관리</v>
      </c>
      <c r="B66" s="31" t="str">
        <f>ChkList!B50</f>
        <v>U-46</v>
      </c>
      <c r="C66" s="270" t="str">
        <f>ChkList!C50</f>
        <v>일반 사용자의 메일 서비스 실행 방지</v>
      </c>
      <c r="D66" s="221"/>
      <c r="E66" s="222"/>
      <c r="F66" s="31" t="str">
        <f>ChkList!D50</f>
        <v>H</v>
      </c>
      <c r="G66" s="31">
        <f>ChkList!E50</f>
        <v>3</v>
      </c>
      <c r="H66" s="168" t="s">
        <v>50</v>
      </c>
      <c r="I66" s="167" t="s">
        <v>296</v>
      </c>
      <c r="J66" s="28" t="s">
        <v>378</v>
      </c>
      <c r="K66" s="28" t="str">
        <f t="shared" si="4"/>
        <v>Y</v>
      </c>
      <c r="L66" s="270" t="s">
        <v>296</v>
      </c>
      <c r="M66" s="221"/>
      <c r="N66" s="221"/>
      <c r="O66" s="221"/>
      <c r="P66" s="222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>
      <c r="A67" s="31" t="str">
        <f>ChkList!A51</f>
        <v>서비스 관리</v>
      </c>
      <c r="B67" s="31" t="str">
        <f>ChkList!B51</f>
        <v>U-47</v>
      </c>
      <c r="C67" s="270" t="str">
        <f>ChkList!C51</f>
        <v>스팸 메일 릴레이 제한</v>
      </c>
      <c r="D67" s="221"/>
      <c r="E67" s="222"/>
      <c r="F67" s="31" t="str">
        <f>ChkList!D51</f>
        <v>H</v>
      </c>
      <c r="G67" s="31">
        <f>ChkList!E51</f>
        <v>3</v>
      </c>
      <c r="H67" s="168" t="s">
        <v>50</v>
      </c>
      <c r="I67" s="167" t="s">
        <v>297</v>
      </c>
      <c r="J67" s="28" t="s">
        <v>378</v>
      </c>
      <c r="K67" s="28" t="str">
        <f t="shared" si="4"/>
        <v>Y</v>
      </c>
      <c r="L67" s="270" t="s">
        <v>349</v>
      </c>
      <c r="M67" s="221"/>
      <c r="N67" s="221"/>
      <c r="O67" s="221"/>
      <c r="P67" s="222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>
      <c r="A68" s="31" t="str">
        <f>ChkList!A52</f>
        <v>서비스 관리</v>
      </c>
      <c r="B68" s="31" t="str">
        <f>ChkList!B52</f>
        <v>U-48</v>
      </c>
      <c r="C68" s="270" t="str">
        <f>ChkList!C52</f>
        <v>expn, vrfy 명령어 제한</v>
      </c>
      <c r="D68" s="221"/>
      <c r="E68" s="222"/>
      <c r="F68" s="31" t="str">
        <f>ChkList!D52</f>
        <v>M</v>
      </c>
      <c r="G68" s="31">
        <f>ChkList!E52</f>
        <v>2</v>
      </c>
      <c r="H68" s="168" t="s">
        <v>50</v>
      </c>
      <c r="I68" s="167" t="s">
        <v>297</v>
      </c>
      <c r="J68" s="28" t="s">
        <v>378</v>
      </c>
      <c r="K68" s="28" t="str">
        <f t="shared" si="4"/>
        <v>Y</v>
      </c>
      <c r="L68" s="270" t="s">
        <v>349</v>
      </c>
      <c r="M68" s="221"/>
      <c r="N68" s="221"/>
      <c r="O68" s="221"/>
      <c r="P68" s="222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>
      <c r="A69" s="31" t="str">
        <f>ChkList!A53</f>
        <v>서비스 관리</v>
      </c>
      <c r="B69" s="31" t="str">
        <f>ChkList!B53</f>
        <v>U-49</v>
      </c>
      <c r="C69" s="270" t="str">
        <f>ChkList!C53</f>
        <v>DNS 보안 버전 패치</v>
      </c>
      <c r="D69" s="221"/>
      <c r="E69" s="222"/>
      <c r="F69" s="31" t="str">
        <f>ChkList!D53</f>
        <v>H</v>
      </c>
      <c r="G69" s="31">
        <f>ChkList!E53</f>
        <v>3</v>
      </c>
      <c r="H69" s="168" t="s">
        <v>50</v>
      </c>
      <c r="I69" s="167" t="s">
        <v>298</v>
      </c>
      <c r="J69" s="28" t="s">
        <v>378</v>
      </c>
      <c r="K69" s="28" t="str">
        <f t="shared" si="4"/>
        <v>Y</v>
      </c>
      <c r="L69" s="270" t="s">
        <v>350</v>
      </c>
      <c r="M69" s="221"/>
      <c r="N69" s="221"/>
      <c r="O69" s="221"/>
      <c r="P69" s="222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>
      <c r="A70" s="31" t="str">
        <f>ChkList!A54</f>
        <v>서비스 관리</v>
      </c>
      <c r="B70" s="31" t="str">
        <f>ChkList!B54</f>
        <v>U-50</v>
      </c>
      <c r="C70" s="270" t="str">
        <f>ChkList!C54</f>
        <v>DNS Zone Transfer 설정</v>
      </c>
      <c r="D70" s="221"/>
      <c r="E70" s="222"/>
      <c r="F70" s="31" t="str">
        <f>ChkList!D54</f>
        <v>H</v>
      </c>
      <c r="G70" s="31">
        <f>ChkList!E54</f>
        <v>3</v>
      </c>
      <c r="H70" s="168" t="s">
        <v>50</v>
      </c>
      <c r="I70" s="167" t="s">
        <v>299</v>
      </c>
      <c r="J70" s="28" t="s">
        <v>378</v>
      </c>
      <c r="K70" s="28" t="str">
        <f t="shared" si="4"/>
        <v>Y</v>
      </c>
      <c r="L70" s="270" t="s">
        <v>331</v>
      </c>
      <c r="M70" s="221"/>
      <c r="N70" s="221"/>
      <c r="O70" s="221"/>
      <c r="P70" s="222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>
      <c r="A71" s="31" t="str">
        <f>ChkList!A55</f>
        <v>서비스 관리</v>
      </c>
      <c r="B71" s="31" t="str">
        <f>ChkList!B55</f>
        <v>U-51</v>
      </c>
      <c r="C71" s="270" t="str">
        <f>ChkList!C55</f>
        <v>DNS 서비스의 취약한 동적 업데이트 설정 금지</v>
      </c>
      <c r="D71" s="221"/>
      <c r="E71" s="222"/>
      <c r="F71" s="31" t="str">
        <f>ChkList!D55</f>
        <v>M</v>
      </c>
      <c r="G71" s="31">
        <f>ChkList!E55</f>
        <v>2</v>
      </c>
      <c r="H71" s="168" t="s">
        <v>50</v>
      </c>
      <c r="I71" s="167" t="s">
        <v>323</v>
      </c>
      <c r="J71" s="28" t="s">
        <v>378</v>
      </c>
      <c r="K71" s="28" t="str">
        <f t="shared" si="4"/>
        <v>Y</v>
      </c>
      <c r="L71" s="274" t="s">
        <v>323</v>
      </c>
      <c r="M71" s="312"/>
      <c r="N71" s="312"/>
      <c r="O71" s="312"/>
      <c r="P71" s="313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>
      <c r="A72" s="31" t="str">
        <f>ChkList!A56</f>
        <v>서비스 관리</v>
      </c>
      <c r="B72" s="31" t="str">
        <f>ChkList!B56</f>
        <v>U-52</v>
      </c>
      <c r="C72" s="270" t="str">
        <f>ChkList!C56</f>
        <v>Telnet 서비스 비활성화</v>
      </c>
      <c r="D72" s="221"/>
      <c r="E72" s="222"/>
      <c r="F72" s="31" t="str">
        <f>ChkList!D56</f>
        <v>M</v>
      </c>
      <c r="G72" s="31">
        <f>ChkList!E56</f>
        <v>2</v>
      </c>
      <c r="H72" s="168" t="s">
        <v>50</v>
      </c>
      <c r="I72" s="167" t="s">
        <v>323</v>
      </c>
      <c r="J72" s="28" t="s">
        <v>378</v>
      </c>
      <c r="K72" s="28" t="str">
        <f t="shared" si="4"/>
        <v>Y</v>
      </c>
      <c r="L72" s="271" t="s">
        <v>323</v>
      </c>
      <c r="M72" s="272"/>
      <c r="N72" s="272"/>
      <c r="O72" s="272"/>
      <c r="P72" s="273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>
      <c r="A73" s="31" t="str">
        <f>ChkList!A57</f>
        <v>서비스 관리</v>
      </c>
      <c r="B73" s="31" t="str">
        <f>ChkList!B57</f>
        <v>U-53</v>
      </c>
      <c r="C73" s="270" t="str">
        <f>ChkList!C57</f>
        <v>FTP 서비스 정보 노출 제한</v>
      </c>
      <c r="D73" s="221"/>
      <c r="E73" s="222"/>
      <c r="F73" s="31" t="str">
        <f>ChkList!D57</f>
        <v>L</v>
      </c>
      <c r="G73" s="31">
        <f>ChkList!E57</f>
        <v>1</v>
      </c>
      <c r="H73" s="168" t="s">
        <v>50</v>
      </c>
      <c r="I73" s="167" t="s">
        <v>323</v>
      </c>
      <c r="J73" s="28" t="s">
        <v>378</v>
      </c>
      <c r="K73" s="28" t="str">
        <f t="shared" si="4"/>
        <v>Y</v>
      </c>
      <c r="L73" s="271" t="s">
        <v>323</v>
      </c>
      <c r="M73" s="272"/>
      <c r="N73" s="272"/>
      <c r="O73" s="272"/>
      <c r="P73" s="273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>
      <c r="A74" s="31" t="str">
        <f>ChkList!A58</f>
        <v>서비스 관리</v>
      </c>
      <c r="B74" s="31" t="str">
        <f>ChkList!B58</f>
        <v>U-54</v>
      </c>
      <c r="C74" s="270" t="str">
        <f>ChkList!C58</f>
        <v>암호화되지 않는 FTP 서비스 비활성화</v>
      </c>
      <c r="D74" s="221"/>
      <c r="E74" s="222"/>
      <c r="F74" s="31" t="str">
        <f>ChkList!D58</f>
        <v>M</v>
      </c>
      <c r="G74" s="31">
        <f>ChkList!E58</f>
        <v>2</v>
      </c>
      <c r="H74" s="168" t="s">
        <v>50</v>
      </c>
      <c r="I74" s="167" t="s">
        <v>323</v>
      </c>
      <c r="J74" s="28" t="s">
        <v>378</v>
      </c>
      <c r="K74" s="28" t="str">
        <f t="shared" si="4"/>
        <v>Y</v>
      </c>
      <c r="L74" s="271" t="s">
        <v>323</v>
      </c>
      <c r="M74" s="272"/>
      <c r="N74" s="272"/>
      <c r="O74" s="272"/>
      <c r="P74" s="273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70" t="str">
        <f>ChkList!C59</f>
        <v>FTP 계정 Shell 제한</v>
      </c>
      <c r="D75" s="221"/>
      <c r="E75" s="222"/>
      <c r="F75" s="31" t="str">
        <f>ChkList!D59</f>
        <v>M</v>
      </c>
      <c r="G75" s="31">
        <f>ChkList!E59</f>
        <v>2</v>
      </c>
      <c r="H75" s="168" t="s">
        <v>50</v>
      </c>
      <c r="I75" s="167" t="s">
        <v>323</v>
      </c>
      <c r="J75" s="28" t="s">
        <v>378</v>
      </c>
      <c r="K75" s="28" t="str">
        <f t="shared" si="4"/>
        <v>Y</v>
      </c>
      <c r="L75" s="271" t="s">
        <v>323</v>
      </c>
      <c r="M75" s="272"/>
      <c r="N75" s="272"/>
      <c r="O75" s="272"/>
      <c r="P75" s="273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>
      <c r="A76" s="31" t="str">
        <f>ChkList!A60</f>
        <v>서비스 관리</v>
      </c>
      <c r="B76" s="31" t="str">
        <f>ChkList!B60</f>
        <v>U-56</v>
      </c>
      <c r="C76" s="270" t="str">
        <f>ChkList!C60</f>
        <v>FTP 서비스 접근 제어 설정</v>
      </c>
      <c r="D76" s="221"/>
      <c r="E76" s="222"/>
      <c r="F76" s="31" t="str">
        <f>ChkList!D60</f>
        <v>L</v>
      </c>
      <c r="G76" s="31">
        <f>ChkList!E60</f>
        <v>1</v>
      </c>
      <c r="H76" s="168" t="s">
        <v>50</v>
      </c>
      <c r="I76" s="167" t="s">
        <v>323</v>
      </c>
      <c r="J76" s="28" t="s">
        <v>378</v>
      </c>
      <c r="K76" s="28" t="str">
        <f t="shared" si="4"/>
        <v>Y</v>
      </c>
      <c r="L76" s="271" t="s">
        <v>323</v>
      </c>
      <c r="M76" s="272"/>
      <c r="N76" s="272"/>
      <c r="O76" s="272"/>
      <c r="P76" s="273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>
      <c r="A77" s="31" t="str">
        <f>ChkList!A61</f>
        <v>서비스 관리</v>
      </c>
      <c r="B77" s="31" t="str">
        <f>ChkList!B61</f>
        <v>U-57</v>
      </c>
      <c r="C77" s="270" t="str">
        <f>ChkList!C61</f>
        <v>Ftpusers 파일 설정</v>
      </c>
      <c r="D77" s="221"/>
      <c r="E77" s="222"/>
      <c r="F77" s="31" t="str">
        <f>ChkList!D61</f>
        <v>M</v>
      </c>
      <c r="G77" s="31">
        <f>ChkList!E61</f>
        <v>2</v>
      </c>
      <c r="H77" s="168" t="s">
        <v>50</v>
      </c>
      <c r="I77" s="167" t="s">
        <v>323</v>
      </c>
      <c r="J77" s="28" t="s">
        <v>378</v>
      </c>
      <c r="K77" s="28" t="str">
        <f t="shared" si="4"/>
        <v>Y</v>
      </c>
      <c r="L77" s="314" t="s">
        <v>323</v>
      </c>
      <c r="M77" s="272"/>
      <c r="N77" s="272"/>
      <c r="O77" s="272"/>
      <c r="P77" s="273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>
      <c r="A78" s="31" t="str">
        <f>ChkList!A62</f>
        <v>서비스 관리</v>
      </c>
      <c r="B78" s="31" t="str">
        <f>ChkList!B62</f>
        <v>U-58</v>
      </c>
      <c r="C78" s="270" t="str">
        <f>ChkList!C62</f>
        <v>불필요한 SNMP 서비스 구동 점검</v>
      </c>
      <c r="D78" s="221"/>
      <c r="E78" s="222"/>
      <c r="F78" s="31" t="str">
        <f>ChkList!D62</f>
        <v>M</v>
      </c>
      <c r="G78" s="31">
        <f>ChkList!E62</f>
        <v>2</v>
      </c>
      <c r="H78" s="168" t="s">
        <v>50</v>
      </c>
      <c r="I78" s="167" t="s">
        <v>313</v>
      </c>
      <c r="J78" s="28" t="s">
        <v>378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70" t="s">
        <v>338</v>
      </c>
      <c r="M78" s="221"/>
      <c r="N78" s="221"/>
      <c r="O78" s="221"/>
      <c r="P78" s="222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>
      <c r="A79" s="31" t="str">
        <f>ChkList!A63</f>
        <v>서비스 관리</v>
      </c>
      <c r="B79" s="31" t="str">
        <f>ChkList!B63</f>
        <v>U-59</v>
      </c>
      <c r="C79" s="270" t="str">
        <f>ChkList!C63</f>
        <v>안전한 SNMP 버전 사용</v>
      </c>
      <c r="D79" s="221"/>
      <c r="E79" s="222"/>
      <c r="F79" s="31" t="str">
        <f>ChkList!D63</f>
        <v>H</v>
      </c>
      <c r="G79" s="31">
        <f>ChkList!E63</f>
        <v>3</v>
      </c>
      <c r="H79" s="168" t="s">
        <v>50</v>
      </c>
      <c r="I79" s="167" t="s">
        <v>314</v>
      </c>
      <c r="J79" s="28" t="s">
        <v>378</v>
      </c>
      <c r="K79" s="28" t="str">
        <f t="shared" si="4"/>
        <v>Y</v>
      </c>
      <c r="L79" s="270" t="s">
        <v>339</v>
      </c>
      <c r="M79" s="221"/>
      <c r="N79" s="221"/>
      <c r="O79" s="221"/>
      <c r="P79" s="222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>
      <c r="A80" s="31" t="str">
        <f>ChkList!A64</f>
        <v>서비스 관리</v>
      </c>
      <c r="B80" s="31" t="str">
        <f>ChkList!B64</f>
        <v>U-60</v>
      </c>
      <c r="C80" s="270" t="str">
        <f>ChkList!C64</f>
        <v>SNMP Community String 복잡성 설정</v>
      </c>
      <c r="D80" s="221"/>
      <c r="E80" s="222"/>
      <c r="F80" s="31" t="str">
        <f>ChkList!D64</f>
        <v>M</v>
      </c>
      <c r="G80" s="31">
        <f>ChkList!E64</f>
        <v>2</v>
      </c>
      <c r="H80" s="168" t="s">
        <v>50</v>
      </c>
      <c r="I80" s="167" t="s">
        <v>315</v>
      </c>
      <c r="J80" s="28" t="s">
        <v>378</v>
      </c>
      <c r="K80" s="28" t="str">
        <f t="shared" si="4"/>
        <v>Y</v>
      </c>
      <c r="L80" s="270" t="s">
        <v>340</v>
      </c>
      <c r="M80" s="221"/>
      <c r="N80" s="221"/>
      <c r="O80" s="221"/>
      <c r="P80" s="222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>
      <c r="A81" s="31" t="str">
        <f>ChkList!A65</f>
        <v>서비스 관리</v>
      </c>
      <c r="B81" s="31" t="str">
        <f>ChkList!B65</f>
        <v>U-61</v>
      </c>
      <c r="C81" s="270" t="str">
        <f>ChkList!C65</f>
        <v>SNMP Access Control 설정</v>
      </c>
      <c r="D81" s="221"/>
      <c r="E81" s="222"/>
      <c r="F81" s="31" t="str">
        <f>ChkList!D65</f>
        <v>H</v>
      </c>
      <c r="G81" s="31">
        <f>ChkList!E65</f>
        <v>3</v>
      </c>
      <c r="H81" s="168" t="s">
        <v>50</v>
      </c>
      <c r="I81" s="167" t="s">
        <v>316</v>
      </c>
      <c r="J81" s="28" t="s">
        <v>378</v>
      </c>
      <c r="K81" s="28" t="str">
        <f t="shared" si="4"/>
        <v>Y</v>
      </c>
      <c r="L81" s="270" t="s">
        <v>341</v>
      </c>
      <c r="M81" s="221"/>
      <c r="N81" s="221"/>
      <c r="O81" s="221"/>
      <c r="P81" s="222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>
      <c r="A82" s="31" t="str">
        <f>ChkList!A66</f>
        <v>서비스 관리</v>
      </c>
      <c r="B82" s="31" t="str">
        <f>ChkList!B66</f>
        <v>U-62</v>
      </c>
      <c r="C82" s="270" t="str">
        <f>ChkList!C66</f>
        <v>로그인 시 경고 메시지 설정</v>
      </c>
      <c r="D82" s="221"/>
      <c r="E82" s="222"/>
      <c r="F82" s="31" t="str">
        <f>ChkList!D66</f>
        <v>L</v>
      </c>
      <c r="G82" s="31">
        <f>ChkList!E66</f>
        <v>1</v>
      </c>
      <c r="H82" s="168" t="s">
        <v>50</v>
      </c>
      <c r="I82" s="164" t="s">
        <v>317</v>
      </c>
      <c r="J82" s="28" t="s">
        <v>378</v>
      </c>
      <c r="K82" s="28" t="str">
        <f t="shared" si="4"/>
        <v>Y</v>
      </c>
      <c r="L82" s="270" t="s">
        <v>342</v>
      </c>
      <c r="M82" s="221"/>
      <c r="N82" s="221"/>
      <c r="O82" s="221"/>
      <c r="P82" s="222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>
      <c r="A83" s="31" t="str">
        <f>ChkList!A67</f>
        <v>서비스 관리</v>
      </c>
      <c r="B83" s="31" t="str">
        <f>ChkList!B67</f>
        <v>U-63</v>
      </c>
      <c r="C83" s="270" t="str">
        <f>ChkList!C67</f>
        <v>sudo 명령어 접근 관리</v>
      </c>
      <c r="D83" s="221"/>
      <c r="E83" s="222"/>
      <c r="F83" s="31" t="str">
        <f>ChkList!D67</f>
        <v>M</v>
      </c>
      <c r="G83" s="31">
        <f>ChkList!E67</f>
        <v>2</v>
      </c>
      <c r="H83" s="168" t="s">
        <v>50</v>
      </c>
      <c r="I83" s="167" t="s">
        <v>318</v>
      </c>
      <c r="J83" s="28" t="s">
        <v>378</v>
      </c>
      <c r="K83" s="28" t="str">
        <f t="shared" si="4"/>
        <v>Y</v>
      </c>
      <c r="L83" s="270" t="s">
        <v>343</v>
      </c>
      <c r="M83" s="221"/>
      <c r="N83" s="221"/>
      <c r="O83" s="221"/>
      <c r="P83" s="222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70" t="str">
        <f>ChkList!C68</f>
        <v>주기적 보안 패치 및 벤더 권고사항 적용</v>
      </c>
      <c r="D84" s="221"/>
      <c r="E84" s="222"/>
      <c r="F84" s="31" t="str">
        <f>ChkList!D68</f>
        <v>H</v>
      </c>
      <c r="G84" s="31">
        <f>ChkList!E68</f>
        <v>3</v>
      </c>
      <c r="H84" s="168" t="s">
        <v>50</v>
      </c>
      <c r="I84" s="167" t="s">
        <v>319</v>
      </c>
      <c r="J84" s="28" t="s">
        <v>378</v>
      </c>
      <c r="K84" s="28" t="str">
        <f t="shared" si="4"/>
        <v>Y</v>
      </c>
      <c r="L84" s="270" t="s">
        <v>337</v>
      </c>
      <c r="M84" s="221"/>
      <c r="N84" s="221"/>
      <c r="O84" s="221"/>
      <c r="P84" s="222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>
      <c r="A85" s="31" t="str">
        <f>ChkList!A69</f>
        <v>로그 관리</v>
      </c>
      <c r="B85" s="31" t="str">
        <f>ChkList!B69</f>
        <v>U-65</v>
      </c>
      <c r="C85" s="270" t="str">
        <f>ChkList!C69</f>
        <v>NTP 및 시각 동기화 설정</v>
      </c>
      <c r="D85" s="221"/>
      <c r="E85" s="222"/>
      <c r="F85" s="31" t="str">
        <f>ChkList!D69</f>
        <v>M</v>
      </c>
      <c r="G85" s="31">
        <f>ChkList!E69</f>
        <v>2</v>
      </c>
      <c r="H85" s="168" t="s">
        <v>50</v>
      </c>
      <c r="I85" s="167" t="s">
        <v>319</v>
      </c>
      <c r="J85" s="28" t="s">
        <v>378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70" t="s">
        <v>337</v>
      </c>
      <c r="M85" s="221"/>
      <c r="N85" s="221"/>
      <c r="O85" s="221"/>
      <c r="P85" s="222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>
      <c r="A86" s="31" t="str">
        <f>ChkList!A70</f>
        <v>로그 관리</v>
      </c>
      <c r="B86" s="31" t="str">
        <f>ChkList!B70</f>
        <v>U-66</v>
      </c>
      <c r="C86" s="270" t="str">
        <f>ChkList!C70</f>
        <v>정책에 따른 시스템 로깅 설정</v>
      </c>
      <c r="D86" s="221"/>
      <c r="E86" s="222"/>
      <c r="F86" s="31" t="str">
        <f>ChkList!D70</f>
        <v>M</v>
      </c>
      <c r="G86" s="31">
        <f>ChkList!E70</f>
        <v>2</v>
      </c>
      <c r="H86" s="168" t="s">
        <v>50</v>
      </c>
      <c r="I86" s="167" t="s">
        <v>320</v>
      </c>
      <c r="J86" s="28" t="s">
        <v>378</v>
      </c>
      <c r="K86" s="28" t="str">
        <f t="shared" si="5"/>
        <v>Y</v>
      </c>
      <c r="L86" s="270" t="s">
        <v>336</v>
      </c>
      <c r="M86" s="221"/>
      <c r="N86" s="221"/>
      <c r="O86" s="221"/>
      <c r="P86" s="222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>
      <c r="A87" s="31" t="str">
        <f>ChkList!A71</f>
        <v>로그 관리</v>
      </c>
      <c r="B87" s="31" t="str">
        <f>ChkList!B71</f>
        <v>U-67</v>
      </c>
      <c r="C87" s="270" t="str">
        <f>ChkList!C71</f>
        <v>로그 디렉터리 소유자 및 권한 설정</v>
      </c>
      <c r="D87" s="221"/>
      <c r="E87" s="222"/>
      <c r="F87" s="31" t="str">
        <f>ChkList!D71</f>
        <v>M</v>
      </c>
      <c r="G87" s="31">
        <f>ChkList!E71</f>
        <v>2</v>
      </c>
      <c r="H87" s="168" t="s">
        <v>50</v>
      </c>
      <c r="I87" s="167" t="s">
        <v>321</v>
      </c>
      <c r="J87" s="28" t="s">
        <v>378</v>
      </c>
      <c r="K87" s="28" t="str">
        <f t="shared" si="5"/>
        <v>Y</v>
      </c>
      <c r="L87" s="270" t="s">
        <v>335</v>
      </c>
      <c r="M87" s="221"/>
      <c r="N87" s="221"/>
      <c r="O87" s="221"/>
      <c r="P87" s="222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231" priority="89" operator="containsText" text="N">
      <formula>NOT(ISERROR(SEARCH("N",H21)))</formula>
    </cfRule>
    <cfRule type="cellIs" priority="90" operator="equal">
      <formula>"취약"</formula>
    </cfRule>
    <cfRule type="cellIs" priority="91" operator="equal">
      <formula>"양호"</formula>
    </cfRule>
  </conditionalFormatting>
  <conditionalFormatting sqref="J40:J42">
    <cfRule type="containsText" dxfId="230" priority="49" operator="containsText" text="N">
      <formula>NOT(ISERROR(SEARCH("N",J40)))</formula>
    </cfRule>
    <cfRule type="cellIs" priority="50" operator="equal">
      <formula>"취약"</formula>
    </cfRule>
    <cfRule type="cellIs" priority="51" operator="equal">
      <formula>"양호"</formula>
    </cfRule>
  </conditionalFormatting>
  <conditionalFormatting sqref="J44">
    <cfRule type="containsText" dxfId="229" priority="46" operator="containsText" text="N">
      <formula>NOT(ISERROR(SEARCH("N",J44)))</formula>
    </cfRule>
    <cfRule type="cellIs" priority="47" operator="equal">
      <formula>"취약"</formula>
    </cfRule>
    <cfRule type="cellIs" priority="48" operator="equal">
      <formula>"양호"</formula>
    </cfRule>
  </conditionalFormatting>
  <conditionalFormatting sqref="J46:J47">
    <cfRule type="containsText" dxfId="228" priority="40" operator="containsText" text="N">
      <formula>NOT(ISERROR(SEARCH("N",J46)))</formula>
    </cfRule>
    <cfRule type="cellIs" priority="41" operator="equal">
      <formula>"취약"</formula>
    </cfRule>
    <cfRule type="cellIs" priority="42" operator="equal">
      <formula>"양호"</formula>
    </cfRule>
  </conditionalFormatting>
  <conditionalFormatting sqref="J49">
    <cfRule type="containsText" dxfId="227" priority="37" operator="containsText" text="N">
      <formula>NOT(ISERROR(SEARCH("N",J49)))</formula>
    </cfRule>
    <cfRule type="cellIs" priority="38" operator="equal">
      <formula>"취약"</formula>
    </cfRule>
    <cfRule type="cellIs" priority="39" operator="equal">
      <formula>"양호"</formula>
    </cfRule>
  </conditionalFormatting>
  <conditionalFormatting sqref="J58">
    <cfRule type="containsText" dxfId="226" priority="34" operator="containsText" text="N">
      <formula>NOT(ISERROR(SEARCH("N",J58)))</formula>
    </cfRule>
    <cfRule type="cellIs" priority="35" operator="equal">
      <formula>"취약"</formula>
    </cfRule>
    <cfRule type="cellIs" priority="36" operator="equal">
      <formula>"양호"</formula>
    </cfRule>
  </conditionalFormatting>
  <conditionalFormatting sqref="J69:J87">
    <cfRule type="cellIs" dxfId="225" priority="6" stopIfTrue="1" operator="equal">
      <formula>"인터뷰"</formula>
    </cfRule>
    <cfRule type="cellIs" dxfId="224" priority="7" stopIfTrue="1" operator="equal">
      <formula>"R/A"</formula>
    </cfRule>
    <cfRule type="cellIs" dxfId="223" priority="8" stopIfTrue="1" operator="equal">
      <formula>"N/A"</formula>
    </cfRule>
    <cfRule type="cellIs" dxfId="222" priority="9" stopIfTrue="1" operator="equal">
      <formula>"N"</formula>
    </cfRule>
    <cfRule type="expression" dxfId="221" priority="10">
      <formula>OR(IF(J69=0,1,0),IF(J69="-",1,0))</formula>
    </cfRule>
  </conditionalFormatting>
  <conditionalFormatting sqref="J21:K39 K40:K42 J43:K43 K44 J45:K45 K46:K47 J48:K48 K49 J50:K57 K58 J59:K68">
    <cfRule type="cellIs" dxfId="220" priority="66" stopIfTrue="1" operator="equal">
      <formula>"인터뷰"</formula>
    </cfRule>
    <cfRule type="cellIs" dxfId="219" priority="67" stopIfTrue="1" operator="equal">
      <formula>"R/A"</formula>
    </cfRule>
    <cfRule type="cellIs" dxfId="218" priority="68" stopIfTrue="1" operator="equal">
      <formula>"N/A"</formula>
    </cfRule>
    <cfRule type="cellIs" dxfId="217" priority="69" stopIfTrue="1" operator="equal">
      <formula>"N"</formula>
    </cfRule>
    <cfRule type="expression" dxfId="216" priority="70">
      <formula>OR(IF(J21=0,1,0),IF(J21="-",1,0))</formula>
    </cfRule>
  </conditionalFormatting>
  <conditionalFormatting sqref="K21:K87">
    <cfRule type="cellIs" dxfId="215" priority="26" operator="equal">
      <formula>"위험수용"</formula>
    </cfRule>
    <cfRule type="cellIs" dxfId="214" priority="27" operator="equal">
      <formula>"미조치"</formula>
    </cfRule>
    <cfRule type="cellIs" dxfId="213" priority="28" operator="equal">
      <formula>"조치"</formula>
    </cfRule>
  </conditionalFormatting>
  <conditionalFormatting sqref="K69:K87">
    <cfRule type="cellIs" dxfId="212" priority="29" stopIfTrue="1" operator="equal">
      <formula>"인터뷰"</formula>
    </cfRule>
    <cfRule type="cellIs" dxfId="211" priority="30" stopIfTrue="1" operator="equal">
      <formula>"R/A"</formula>
    </cfRule>
    <cfRule type="cellIs" dxfId="210" priority="31" stopIfTrue="1" operator="equal">
      <formula>"N/A"</formula>
    </cfRule>
    <cfRule type="cellIs" dxfId="209" priority="32" stopIfTrue="1" operator="equal">
      <formula>"N"</formula>
    </cfRule>
    <cfRule type="expression" dxfId="208" priority="33">
      <formula>OR(IF(K69=0,1,0),IF(K69="-",1,0))</formula>
    </cfRule>
  </conditionalFormatting>
  <conditionalFormatting sqref="L21:L87">
    <cfRule type="cellIs" dxfId="207" priority="11" stopIfTrue="1" operator="equal">
      <formula>"인터뷰"</formula>
    </cfRule>
    <cfRule type="cellIs" dxfId="206" priority="12" stopIfTrue="1" operator="equal">
      <formula>"R/A"</formula>
    </cfRule>
    <cfRule type="cellIs" dxfId="205" priority="13" stopIfTrue="1" operator="equal">
      <formula>"N/A"</formula>
    </cfRule>
    <cfRule type="cellIs" dxfId="204" priority="14" stopIfTrue="1" operator="equal">
      <formula>"N"</formula>
    </cfRule>
    <cfRule type="expression" dxfId="203" priority="15">
      <formula>OR(IF(L21=0,1,0),IF(L21="-",1,0))</formula>
    </cfRule>
  </conditionalFormatting>
  <conditionalFormatting sqref="Y21:Y58">
    <cfRule type="cellIs" dxfId="202" priority="213" operator="equal">
      <formula>"신규 취약점(즉시조치)"</formula>
    </cfRule>
    <cfRule type="cellIs" dxfId="201" priority="214" operator="equal">
      <formula>"기존 취약점(즉시조치)"</formula>
    </cfRule>
    <cfRule type="cellIs" dxfId="200" priority="215" operator="equal">
      <formula>"기존 취약점"</formula>
    </cfRule>
    <cfRule type="cellIs" dxfId="199" priority="216" operator="equal">
      <formula>"신규 취약점"</formula>
    </cfRule>
    <cfRule type="cellIs" dxfId="198" priority="217" operator="equal">
      <formula>"확인필요"</formula>
    </cfRule>
    <cfRule type="cellIs" dxfId="197" priority="218" operator="equal">
      <formula>"확인필요"</formula>
    </cfRule>
    <cfRule type="cellIs" dxfId="196" priority="219" operator="equal">
      <formula>"신규취약점"</formula>
    </cfRule>
    <cfRule type="cellIs" dxfId="195" priority="220" operator="equal">
      <formula>"조치완료"</formula>
    </cfRule>
  </conditionalFormatting>
  <dataValidations count="4">
    <dataValidation errorStyle="warning" allowBlank="1" showInputMessage="1" showErrorMessage="1" sqref="K21:K64 K66:K87"/>
    <dataValidation type="list" errorStyle="warning" showInputMessage="1" showErrorMessage="1" errorTitle="오류!" error="Y, N, N/A 중에 선택" sqref="J50:J57 J21:J39 J43 J45 J48 J59:J87 K65">
      <formula1>"Y,N,N/A,인터뷰,Y(즉시조치)"</formula1>
    </dataValidation>
    <dataValidation type="list" errorStyle="warning" allowBlank="1" showInputMessage="1" showErrorMessage="1" errorTitle="오류!" error="Y, N, N/A 중에 선택" sqref="J58 J40:J42 J44 J46:J47 J49 H21:H87">
      <formula1>"Y,N,N/A,인터뷰,Y(즉시조치)"</formula1>
    </dataValidation>
    <dataValidation allowBlank="1" showInputMessage="1" showErrorMessage="1" errorTitle="오류!" error="Y, N, N/A 중에 선택" sqref="I21:I87 L21:L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87"/>
  <sheetViews>
    <sheetView showGridLines="0" tabSelected="1" view="pageBreakPreview" topLeftCell="A73" zoomScaleNormal="85" zoomScaleSheetLayoutView="100" workbookViewId="0">
      <selection activeCell="I85" sqref="I85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54" t="s">
        <v>213</v>
      </c>
      <c r="B3" s="54"/>
      <c r="C3" s="54"/>
      <c r="D3" s="54"/>
      <c r="E3" s="54"/>
      <c r="F3" s="54"/>
      <c r="G3" s="54"/>
      <c r="H3" s="5"/>
      <c r="I3" s="5"/>
      <c r="R3" s="5" t="s">
        <v>214</v>
      </c>
      <c r="X3" s="5"/>
      <c r="Y3" s="5"/>
    </row>
    <row r="4" spans="1:25" ht="17.100000000000001" customHeight="1">
      <c r="A4" s="126" t="s">
        <v>215</v>
      </c>
      <c r="B4" s="307" t="str">
        <f ca="1">REPLACE(CELL("filename",A1),1,FIND("]",CELL("filename",A1)),"")</f>
        <v>PHP_BR_Rocky</v>
      </c>
      <c r="C4" s="247"/>
      <c r="D4" s="308" t="s">
        <v>216</v>
      </c>
      <c r="E4" s="250"/>
      <c r="F4" s="310" t="str">
        <f ca="1">IFERROR(VLOOKUP($B$4,자산목록!$B$1:$Q$835,8,FALSE),"N/A")</f>
        <v>PHP 서버 / 딩동몰 서비스</v>
      </c>
      <c r="G4" s="311"/>
      <c r="H4" s="63"/>
      <c r="I4" s="55"/>
      <c r="R4" s="25" t="s">
        <v>15</v>
      </c>
      <c r="S4" s="41">
        <f ca="1">IFERROR(VLOOKUP($B$4,자산목록!$B$1:$Q$835,13,FALSE),"N/A")</f>
        <v>3</v>
      </c>
      <c r="T4" s="309" t="s">
        <v>217</v>
      </c>
      <c r="U4" s="287" t="str">
        <f ca="1">IFERROR(VLOOKUP($B$4,자산목록!$B$1:$Q$835,16,FALSE),"N/A")</f>
        <v>H</v>
      </c>
      <c r="X4" s="5"/>
      <c r="Y4" s="5"/>
    </row>
    <row r="5" spans="1:25" ht="17.100000000000001" customHeight="1">
      <c r="A5" s="127" t="s">
        <v>218</v>
      </c>
      <c r="B5" s="301" t="str">
        <f ca="1">IFERROR(VLOOKUP($B$4,자산목록!$B$1:$Q$835,6,FALSE)&amp;" "&amp;VLOOKUP($B$4,자산목록!$B$1:$Q$835,7,FALSE),"N/A")</f>
        <v>Rocky 8.1</v>
      </c>
      <c r="C5" s="222"/>
      <c r="D5" s="302" t="s">
        <v>219</v>
      </c>
      <c r="E5" s="303"/>
      <c r="F5" s="301" t="str">
        <f ca="1">IFERROR(VLOOKUP($B$4,자산목록!$B$1:$Q$835,2,FALSE),"N/A")</f>
        <v>10.200.40.1</v>
      </c>
      <c r="G5" s="222"/>
      <c r="H5" s="63"/>
      <c r="I5" s="55"/>
      <c r="R5" s="25" t="s">
        <v>16</v>
      </c>
      <c r="S5" s="41">
        <f ca="1">IFERROR(VLOOKUP($B$4,자산목록!$B$1:$Q$835,14,FALSE),"N/A")</f>
        <v>3</v>
      </c>
      <c r="T5" s="226"/>
      <c r="U5" s="226"/>
      <c r="X5" s="5"/>
      <c r="Y5" s="5"/>
    </row>
    <row r="6" spans="1:25" ht="17.100000000000001" customHeight="1">
      <c r="A6" s="128" t="s">
        <v>12</v>
      </c>
      <c r="B6" s="304" t="str">
        <f ca="1">IFERROR(VLOOKUP($B$4,자산목록!$B$1:$Q$835,11,FALSE),"N/A")</f>
        <v>강도윤</v>
      </c>
      <c r="C6" s="234"/>
      <c r="D6" s="305" t="s">
        <v>220</v>
      </c>
      <c r="E6" s="306"/>
      <c r="F6" s="304" t="str">
        <f ca="1">IFERROR(VLOOKUP($B$4,자산목록!$B$1:$Q$835,9,FALSE),"N/A")</f>
        <v>지사 DMZ망</v>
      </c>
      <c r="G6" s="234"/>
      <c r="H6" s="63"/>
      <c r="I6" s="55"/>
      <c r="R6" s="25" t="s">
        <v>17</v>
      </c>
      <c r="S6" s="41">
        <f ca="1">IFERROR(VLOOKUP($B$4,자산목록!$B$1:$Q$835,15,FALSE),"N/A")</f>
        <v>3</v>
      </c>
      <c r="T6" s="225"/>
      <c r="U6" s="22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>
      <c r="A9" s="56" t="s">
        <v>222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>
      <c r="A10" s="297" t="s">
        <v>77</v>
      </c>
      <c r="B10" s="213"/>
      <c r="C10" s="213"/>
      <c r="D10" s="296" t="s">
        <v>223</v>
      </c>
      <c r="E10" s="236"/>
      <c r="F10" s="236"/>
      <c r="G10" s="236"/>
      <c r="H10" s="236"/>
      <c r="I10" s="298" t="s">
        <v>224</v>
      </c>
      <c r="J10" s="300" t="s">
        <v>190</v>
      </c>
      <c r="K10" s="236"/>
      <c r="L10" s="236"/>
      <c r="M10" s="236"/>
      <c r="N10" s="236"/>
      <c r="O10" s="245"/>
      <c r="R10" s="289" t="s">
        <v>225</v>
      </c>
      <c r="S10" s="221"/>
      <c r="T10" s="221"/>
      <c r="U10" s="222"/>
      <c r="V10" s="283" t="s">
        <v>224</v>
      </c>
      <c r="W10" s="221"/>
      <c r="X10" s="221"/>
      <c r="Y10" s="222"/>
    </row>
    <row r="11" spans="1:25" ht="20.100000000000001" customHeight="1">
      <c r="A11" s="254"/>
      <c r="B11" s="255"/>
      <c r="C11" s="255"/>
      <c r="D11" s="129" t="s">
        <v>205</v>
      </c>
      <c r="E11" s="130" t="s">
        <v>181</v>
      </c>
      <c r="F11" s="131" t="s">
        <v>182</v>
      </c>
      <c r="G11" s="132" t="s">
        <v>53</v>
      </c>
      <c r="H11" s="157" t="s">
        <v>226</v>
      </c>
      <c r="I11" s="299"/>
      <c r="J11" s="143" t="s">
        <v>191</v>
      </c>
      <c r="K11" s="133" t="s">
        <v>192</v>
      </c>
      <c r="L11" s="134" t="s">
        <v>193</v>
      </c>
      <c r="M11" s="134" t="s">
        <v>53</v>
      </c>
      <c r="N11" s="134" t="s">
        <v>199</v>
      </c>
      <c r="O11" s="135" t="s">
        <v>226</v>
      </c>
      <c r="R11" s="49" t="s">
        <v>227</v>
      </c>
      <c r="S11" s="50" t="s">
        <v>228</v>
      </c>
      <c r="T11" s="50" t="s">
        <v>229</v>
      </c>
      <c r="U11" s="52" t="s">
        <v>230</v>
      </c>
      <c r="V11" s="288" t="s">
        <v>77</v>
      </c>
      <c r="W11" s="222"/>
      <c r="X11" s="11" t="s">
        <v>223</v>
      </c>
      <c r="Y11" s="11" t="s">
        <v>190</v>
      </c>
    </row>
    <row r="12" spans="1:25" ht="32.1" customHeight="1">
      <c r="A12" s="276" t="str">
        <f>ChkList!A6</f>
        <v>계정 관리</v>
      </c>
      <c r="B12" s="221"/>
      <c r="C12" s="222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90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87">
        <f>B12</f>
        <v>0</v>
      </c>
      <c r="W12" s="222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76" t="str">
        <f>ChkList!A20</f>
        <v>파일 및 디렉터리 관리</v>
      </c>
      <c r="B13" s="221"/>
      <c r="C13" s="222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91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 t="shared" si="1"/>
        <v>53</v>
      </c>
      <c r="U13" s="41">
        <f t="shared" si="1"/>
        <v>53</v>
      </c>
      <c r="V13" s="287">
        <f>B13</f>
        <v>0</v>
      </c>
      <c r="W13" s="222"/>
      <c r="X13" s="64">
        <f t="shared" ref="X13:X17" ca="1" si="3">H13</f>
        <v>1</v>
      </c>
      <c r="Y13" s="64">
        <f t="shared" ca="1" si="2"/>
        <v>1</v>
      </c>
    </row>
    <row r="14" spans="1:25" ht="32.1" customHeight="1">
      <c r="A14" s="276" t="str">
        <f>ChkList!A37</f>
        <v>파일 및 디렉터리 관리</v>
      </c>
      <c r="B14" s="221"/>
      <c r="C14" s="222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91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 t="shared" si="1"/>
        <v>53</v>
      </c>
      <c r="U14" s="41">
        <f t="shared" si="1"/>
        <v>53</v>
      </c>
      <c r="V14" s="287">
        <f>B14</f>
        <v>0</v>
      </c>
      <c r="W14" s="222"/>
      <c r="X14" s="64">
        <f t="shared" ca="1" si="3"/>
        <v>1</v>
      </c>
      <c r="Y14" s="64">
        <f t="shared" ca="1" si="2"/>
        <v>1</v>
      </c>
    </row>
    <row r="15" spans="1:25" ht="32.1" customHeight="1">
      <c r="A15" s="276" t="str">
        <f>ChkList!A69</f>
        <v>로그 관리</v>
      </c>
      <c r="B15" s="221"/>
      <c r="C15" s="222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91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87">
        <f>B15</f>
        <v>0</v>
      </c>
      <c r="W15" s="222"/>
      <c r="X15" s="64">
        <f t="shared" ca="1" si="3"/>
        <v>1</v>
      </c>
      <c r="Y15" s="64">
        <f t="shared" ca="1" si="2"/>
        <v>1</v>
      </c>
    </row>
    <row r="16" spans="1:25" ht="32.1" customHeight="1">
      <c r="A16" s="276" t="str">
        <f>ChkList!A70</f>
        <v>로그 관리</v>
      </c>
      <c r="B16" s="221"/>
      <c r="C16" s="222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91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85">
        <f>B16</f>
        <v>0</v>
      </c>
      <c r="W16" s="286"/>
      <c r="X16" s="68">
        <f t="shared" ca="1" si="3"/>
        <v>1</v>
      </c>
      <c r="Y16" s="68">
        <f t="shared" ca="1" si="2"/>
        <v>1</v>
      </c>
    </row>
    <row r="17" spans="1:25" ht="20.100000000000001" customHeight="1">
      <c r="A17" s="293" t="s">
        <v>231</v>
      </c>
      <c r="B17" s="294"/>
      <c r="C17" s="295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92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84" t="s">
        <v>232</v>
      </c>
      <c r="W17" s="256"/>
      <c r="X17" s="67">
        <f t="shared" ca="1" si="3"/>
        <v>1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>
      <c r="A19" s="9" t="s">
        <v>233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234</v>
      </c>
      <c r="S19" s="17"/>
    </row>
    <row r="20" spans="1:25" ht="21.95" customHeight="1">
      <c r="A20" s="277" t="s">
        <v>77</v>
      </c>
      <c r="B20" s="278"/>
      <c r="C20" s="279" t="s">
        <v>235</v>
      </c>
      <c r="D20" s="280"/>
      <c r="E20" s="280"/>
      <c r="F20" s="281" t="s">
        <v>41</v>
      </c>
      <c r="G20" s="280"/>
      <c r="H20" s="165" t="s">
        <v>178</v>
      </c>
      <c r="I20" s="166" t="s">
        <v>236</v>
      </c>
      <c r="J20" s="159" t="s">
        <v>190</v>
      </c>
      <c r="K20" s="144" t="s">
        <v>237</v>
      </c>
      <c r="L20" s="282" t="s">
        <v>322</v>
      </c>
      <c r="M20" s="280"/>
      <c r="N20" s="280"/>
      <c r="O20" s="280"/>
      <c r="P20" s="278"/>
      <c r="Q20" s="145" t="s">
        <v>76</v>
      </c>
      <c r="R20" s="53" t="s">
        <v>239</v>
      </c>
      <c r="S20" s="52" t="s">
        <v>228</v>
      </c>
      <c r="T20" s="25" t="s">
        <v>229</v>
      </c>
      <c r="U20" s="52" t="s">
        <v>230</v>
      </c>
      <c r="V20" s="275" t="s">
        <v>190</v>
      </c>
      <c r="W20" s="222"/>
      <c r="Y20" s="69"/>
    </row>
    <row r="21" spans="1:25" ht="36" customHeight="1">
      <c r="A21" s="31" t="str">
        <f>ChkList!A5</f>
        <v>계정 관리</v>
      </c>
      <c r="B21" s="31" t="str">
        <f>ChkList!B5</f>
        <v>U-01</v>
      </c>
      <c r="C21" s="270" t="str">
        <f>ChkList!C5</f>
        <v>root 계정 원격 접속 제한</v>
      </c>
      <c r="D21" s="221"/>
      <c r="E21" s="222"/>
      <c r="F21" s="31" t="str">
        <f>ChkList!D5</f>
        <v>H</v>
      </c>
      <c r="G21" s="31">
        <f>ChkList!E5</f>
        <v>3</v>
      </c>
      <c r="H21" s="168" t="s">
        <v>50</v>
      </c>
      <c r="I21" s="167" t="s">
        <v>546</v>
      </c>
      <c r="J21" s="28" t="s">
        <v>374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70" t="s">
        <v>373</v>
      </c>
      <c r="M21" s="221"/>
      <c r="N21" s="221"/>
      <c r="O21" s="221"/>
      <c r="P21" s="222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241</v>
      </c>
      <c r="W21" s="42" t="s">
        <v>42</v>
      </c>
      <c r="Y21" s="10"/>
    </row>
    <row r="22" spans="1:25" ht="36" customHeight="1">
      <c r="A22" s="31" t="str">
        <f>ChkList!A6</f>
        <v>계정 관리</v>
      </c>
      <c r="B22" s="31" t="str">
        <f>ChkList!B6</f>
        <v>U-02</v>
      </c>
      <c r="C22" s="270" t="str">
        <f>ChkList!C6</f>
        <v>비밀번호 관리정책 설정</v>
      </c>
      <c r="D22" s="221"/>
      <c r="E22" s="222"/>
      <c r="F22" s="31" t="str">
        <f>ChkList!D6</f>
        <v>H</v>
      </c>
      <c r="G22" s="31">
        <f>ChkList!E6</f>
        <v>3</v>
      </c>
      <c r="H22" s="168" t="s">
        <v>50</v>
      </c>
      <c r="I22" s="167" t="s">
        <v>547</v>
      </c>
      <c r="J22" s="28" t="s">
        <v>50</v>
      </c>
      <c r="K22" s="28" t="str">
        <f t="shared" si="4"/>
        <v>Y</v>
      </c>
      <c r="L22" s="270" t="s">
        <v>243</v>
      </c>
      <c r="M22" s="221"/>
      <c r="N22" s="221"/>
      <c r="O22" s="221"/>
      <c r="P22" s="222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191</v>
      </c>
      <c r="W22" s="28">
        <v>1</v>
      </c>
      <c r="Y22" s="10"/>
    </row>
    <row r="23" spans="1:25" ht="36" customHeight="1">
      <c r="A23" s="31" t="str">
        <f>ChkList!A7</f>
        <v>계정 관리</v>
      </c>
      <c r="B23" s="31" t="str">
        <f>ChkList!B7</f>
        <v>U-03</v>
      </c>
      <c r="C23" s="270" t="str">
        <f>ChkList!C7</f>
        <v>계정 잠금 임계값 설정</v>
      </c>
      <c r="D23" s="221"/>
      <c r="E23" s="222"/>
      <c r="F23" s="31" t="str">
        <f>ChkList!D7</f>
        <v>H</v>
      </c>
      <c r="G23" s="31">
        <f>ChkList!E7</f>
        <v>3</v>
      </c>
      <c r="H23" s="168" t="s">
        <v>50</v>
      </c>
      <c r="I23" s="167" t="s">
        <v>548</v>
      </c>
      <c r="J23" s="28" t="s">
        <v>50</v>
      </c>
      <c r="K23" s="28" t="str">
        <f t="shared" si="4"/>
        <v>Y</v>
      </c>
      <c r="L23" s="270" t="s">
        <v>245</v>
      </c>
      <c r="M23" s="221"/>
      <c r="N23" s="221"/>
      <c r="O23" s="221"/>
      <c r="P23" s="222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192</v>
      </c>
      <c r="W23" s="28">
        <v>0</v>
      </c>
      <c r="Y23" s="10"/>
    </row>
    <row r="24" spans="1:25" ht="36" customHeight="1">
      <c r="A24" s="31" t="str">
        <f>ChkList!A8</f>
        <v>계정 관리</v>
      </c>
      <c r="B24" s="31" t="str">
        <f>ChkList!B8</f>
        <v>U-04</v>
      </c>
      <c r="C24" s="270" t="str">
        <f>ChkList!C8</f>
        <v>비밀번호 파일 보호</v>
      </c>
      <c r="D24" s="221"/>
      <c r="E24" s="222"/>
      <c r="F24" s="31" t="str">
        <f>ChkList!D8</f>
        <v>H</v>
      </c>
      <c r="G24" s="31">
        <f>ChkList!E8</f>
        <v>3</v>
      </c>
      <c r="H24" s="168" t="s">
        <v>50</v>
      </c>
      <c r="I24" s="167" t="s">
        <v>324</v>
      </c>
      <c r="J24" s="28" t="s">
        <v>375</v>
      </c>
      <c r="K24" s="28" t="str">
        <f t="shared" si="4"/>
        <v>Y</v>
      </c>
      <c r="L24" s="270" t="s">
        <v>324</v>
      </c>
      <c r="M24" s="221"/>
      <c r="N24" s="221"/>
      <c r="O24" s="221"/>
      <c r="P24" s="222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193</v>
      </c>
      <c r="W24" s="28">
        <v>0</v>
      </c>
      <c r="Y24" s="10"/>
    </row>
    <row r="25" spans="1:25" ht="36" customHeight="1">
      <c r="A25" s="31" t="str">
        <f>ChkList!A9</f>
        <v>계정 관리</v>
      </c>
      <c r="B25" s="31" t="str">
        <f>ChkList!B9</f>
        <v>U-05</v>
      </c>
      <c r="C25" s="270" t="str">
        <f>ChkList!C9</f>
        <v>root 이외의 UID가 ‘0’ 금지</v>
      </c>
      <c r="D25" s="221"/>
      <c r="E25" s="222"/>
      <c r="F25" s="31" t="str">
        <f>ChkList!D9</f>
        <v>H</v>
      </c>
      <c r="G25" s="31">
        <f>ChkList!E9</f>
        <v>3</v>
      </c>
      <c r="H25" s="168" t="s">
        <v>50</v>
      </c>
      <c r="I25" s="167" t="s">
        <v>247</v>
      </c>
      <c r="J25" s="28" t="s">
        <v>376</v>
      </c>
      <c r="K25" s="28" t="str">
        <f t="shared" si="4"/>
        <v>Y</v>
      </c>
      <c r="L25" s="270" t="s">
        <v>372</v>
      </c>
      <c r="M25" s="221"/>
      <c r="N25" s="221"/>
      <c r="O25" s="221"/>
      <c r="P25" s="222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53</v>
      </c>
      <c r="W25" s="28">
        <v>0</v>
      </c>
      <c r="Y25" s="10"/>
    </row>
    <row r="26" spans="1:25" ht="36" customHeight="1">
      <c r="A26" s="31" t="str">
        <f>ChkList!A10</f>
        <v>계정 관리</v>
      </c>
      <c r="B26" s="31" t="str">
        <f>ChkList!B10</f>
        <v>U-06</v>
      </c>
      <c r="C26" s="270" t="str">
        <f>ChkList!C10</f>
        <v>사용자 계정 su 기능 제한</v>
      </c>
      <c r="D26" s="221"/>
      <c r="E26" s="222"/>
      <c r="F26" s="31" t="str">
        <f>ChkList!D10</f>
        <v>H</v>
      </c>
      <c r="G26" s="31">
        <f>ChkList!E10</f>
        <v>3</v>
      </c>
      <c r="H26" s="168" t="s">
        <v>50</v>
      </c>
      <c r="I26" s="167" t="s">
        <v>248</v>
      </c>
      <c r="J26" s="28" t="s">
        <v>377</v>
      </c>
      <c r="K26" s="28" t="str">
        <f t="shared" si="4"/>
        <v>Y</v>
      </c>
      <c r="L26" s="270" t="s">
        <v>371</v>
      </c>
      <c r="M26" s="221"/>
      <c r="N26" s="221"/>
      <c r="O26" s="221"/>
      <c r="P26" s="222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50</v>
      </c>
      <c r="W26" s="28">
        <v>1</v>
      </c>
      <c r="Y26" s="10"/>
    </row>
    <row r="27" spans="1:25" ht="36" customHeight="1">
      <c r="A27" s="31" t="str">
        <f>ChkList!A11</f>
        <v>계정 관리</v>
      </c>
      <c r="B27" s="31" t="str">
        <f>ChkList!B11</f>
        <v>U-07</v>
      </c>
      <c r="C27" s="270" t="str">
        <f>ChkList!C11</f>
        <v>불필요한 계정 제거</v>
      </c>
      <c r="D27" s="221"/>
      <c r="E27" s="222"/>
      <c r="F27" s="31" t="str">
        <f>ChkList!D11</f>
        <v>L</v>
      </c>
      <c r="G27" s="31">
        <f>ChkList!E11</f>
        <v>1</v>
      </c>
      <c r="H27" s="168" t="s">
        <v>50</v>
      </c>
      <c r="I27" s="167" t="s">
        <v>549</v>
      </c>
      <c r="J27" s="28" t="s">
        <v>378</v>
      </c>
      <c r="K27" s="28" t="str">
        <f t="shared" si="4"/>
        <v>Y</v>
      </c>
      <c r="L27" s="270" t="s">
        <v>370</v>
      </c>
      <c r="M27" s="221"/>
      <c r="N27" s="221"/>
      <c r="O27" s="221"/>
      <c r="P27" s="222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55</v>
      </c>
      <c r="W27" s="28">
        <v>1</v>
      </c>
      <c r="Y27" s="10"/>
    </row>
    <row r="28" spans="1:25" ht="36" customHeight="1">
      <c r="A28" s="31" t="str">
        <f>ChkList!A12</f>
        <v>계정 관리</v>
      </c>
      <c r="B28" s="31" t="str">
        <f>ChkList!B12</f>
        <v>U-08</v>
      </c>
      <c r="C28" s="270" t="str">
        <f>ChkList!C12</f>
        <v>관리자 그룹에 최소한의 계정 포함</v>
      </c>
      <c r="D28" s="221"/>
      <c r="E28" s="222"/>
      <c r="F28" s="31" t="str">
        <f>ChkList!D12</f>
        <v>M</v>
      </c>
      <c r="G28" s="31">
        <f>ChkList!E12</f>
        <v>2</v>
      </c>
      <c r="H28" s="168" t="s">
        <v>50</v>
      </c>
      <c r="I28" s="167" t="s">
        <v>550</v>
      </c>
      <c r="J28" s="28" t="s">
        <v>377</v>
      </c>
      <c r="K28" s="28" t="str">
        <f t="shared" si="4"/>
        <v>Y</v>
      </c>
      <c r="L28" s="270" t="s">
        <v>369</v>
      </c>
      <c r="M28" s="221"/>
      <c r="N28" s="221"/>
      <c r="O28" s="221"/>
      <c r="P28" s="222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 customHeight="1">
      <c r="A29" s="31" t="str">
        <f>ChkList!A13</f>
        <v>계정 관리</v>
      </c>
      <c r="B29" s="31" t="str">
        <f>ChkList!B13</f>
        <v>U-09</v>
      </c>
      <c r="C29" s="270" t="str">
        <f>ChkList!C13</f>
        <v>계정이 존재하지 않는 GID 금지</v>
      </c>
      <c r="D29" s="221"/>
      <c r="E29" s="222"/>
      <c r="F29" s="31" t="str">
        <f>ChkList!D13</f>
        <v>L</v>
      </c>
      <c r="G29" s="31">
        <f>ChkList!E13</f>
        <v>1</v>
      </c>
      <c r="H29" s="168" t="s">
        <v>50</v>
      </c>
      <c r="I29" s="167" t="s">
        <v>551</v>
      </c>
      <c r="J29" s="28" t="s">
        <v>378</v>
      </c>
      <c r="K29" s="28" t="str">
        <f t="shared" si="4"/>
        <v>Y</v>
      </c>
      <c r="L29" s="270" t="s">
        <v>368</v>
      </c>
      <c r="M29" s="221"/>
      <c r="N29" s="221"/>
      <c r="O29" s="221"/>
      <c r="P29" s="222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6" customHeight="1">
      <c r="A30" s="31" t="str">
        <f>ChkList!A14</f>
        <v>계정 관리</v>
      </c>
      <c r="B30" s="31" t="str">
        <f>ChkList!B14</f>
        <v>U-10</v>
      </c>
      <c r="C30" s="270" t="str">
        <f>ChkList!C14</f>
        <v>동일한 UID 금지</v>
      </c>
      <c r="D30" s="221"/>
      <c r="E30" s="222"/>
      <c r="F30" s="31" t="str">
        <f>ChkList!D14</f>
        <v>M</v>
      </c>
      <c r="G30" s="31">
        <f>ChkList!E14</f>
        <v>2</v>
      </c>
      <c r="H30" s="168" t="s">
        <v>50</v>
      </c>
      <c r="I30" s="167" t="s">
        <v>552</v>
      </c>
      <c r="J30" s="28" t="s">
        <v>378</v>
      </c>
      <c r="K30" s="28" t="str">
        <f t="shared" si="4"/>
        <v>Y</v>
      </c>
      <c r="L30" s="270" t="s">
        <v>367</v>
      </c>
      <c r="M30" s="221"/>
      <c r="N30" s="221"/>
      <c r="O30" s="221"/>
      <c r="P30" s="222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6" customHeight="1">
      <c r="A31" s="31" t="str">
        <f>ChkList!A15</f>
        <v>계정 관리</v>
      </c>
      <c r="B31" s="31" t="str">
        <f>ChkList!B15</f>
        <v>U-11</v>
      </c>
      <c r="C31" s="270" t="str">
        <f>ChkList!C15</f>
        <v>사용자 Shell 점검</v>
      </c>
      <c r="D31" s="221"/>
      <c r="E31" s="222"/>
      <c r="F31" s="31" t="str">
        <f>ChkList!D15</f>
        <v>L</v>
      </c>
      <c r="G31" s="31">
        <f>ChkList!E15</f>
        <v>1</v>
      </c>
      <c r="H31" s="168" t="s">
        <v>50</v>
      </c>
      <c r="I31" s="167" t="s">
        <v>553</v>
      </c>
      <c r="J31" s="28" t="s">
        <v>378</v>
      </c>
      <c r="K31" s="28" t="str">
        <f t="shared" si="4"/>
        <v>Y</v>
      </c>
      <c r="L31" s="270" t="s">
        <v>366</v>
      </c>
      <c r="M31" s="221"/>
      <c r="N31" s="221"/>
      <c r="O31" s="221"/>
      <c r="P31" s="222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6" customHeight="1">
      <c r="A32" s="31" t="str">
        <f>ChkList!A16</f>
        <v>계정 관리</v>
      </c>
      <c r="B32" s="31" t="str">
        <f>ChkList!B16</f>
        <v>U-12</v>
      </c>
      <c r="C32" s="270" t="str">
        <f>ChkList!C16</f>
        <v>세션 종료 시간 설정</v>
      </c>
      <c r="D32" s="221"/>
      <c r="E32" s="222"/>
      <c r="F32" s="31" t="str">
        <f>ChkList!D16</f>
        <v>L</v>
      </c>
      <c r="G32" s="31">
        <f>ChkList!E16</f>
        <v>1</v>
      </c>
      <c r="H32" s="168" t="s">
        <v>50</v>
      </c>
      <c r="I32" s="167" t="s">
        <v>555</v>
      </c>
      <c r="J32" s="28" t="s">
        <v>378</v>
      </c>
      <c r="K32" s="28" t="str">
        <f t="shared" si="4"/>
        <v>Y</v>
      </c>
      <c r="L32" s="270" t="s">
        <v>365</v>
      </c>
      <c r="M32" s="221"/>
      <c r="N32" s="221"/>
      <c r="O32" s="221"/>
      <c r="P32" s="222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6" customHeight="1">
      <c r="A33" s="31" t="str">
        <f>ChkList!A17</f>
        <v>계정 관리</v>
      </c>
      <c r="B33" s="31" t="str">
        <f>ChkList!B17</f>
        <v>U-13</v>
      </c>
      <c r="C33" s="270" t="str">
        <f>ChkList!C17</f>
        <v>안전한 비밀번호 암호화 알고리즘 사용</v>
      </c>
      <c r="D33" s="221"/>
      <c r="E33" s="222"/>
      <c r="F33" s="31" t="str">
        <f>ChkList!D17</f>
        <v>M</v>
      </c>
      <c r="G33" s="31">
        <f>ChkList!E17</f>
        <v>2</v>
      </c>
      <c r="H33" s="168" t="s">
        <v>50</v>
      </c>
      <c r="I33" s="167" t="s">
        <v>255</v>
      </c>
      <c r="J33" s="28" t="s">
        <v>378</v>
      </c>
      <c r="K33" s="28" t="str">
        <f t="shared" si="4"/>
        <v>Y</v>
      </c>
      <c r="L33" s="270" t="s">
        <v>364</v>
      </c>
      <c r="M33" s="221"/>
      <c r="N33" s="221"/>
      <c r="O33" s="221"/>
      <c r="P33" s="222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6" customHeight="1">
      <c r="A34" s="31" t="str">
        <f>ChkList!A18</f>
        <v>파일 및 디렉터리 관리</v>
      </c>
      <c r="B34" s="31" t="str">
        <f>ChkList!B18</f>
        <v>U-14</v>
      </c>
      <c r="C34" s="270" t="str">
        <f>ChkList!C18</f>
        <v>root 홈, 패스 디렉터리 권한 및 패스 설정</v>
      </c>
      <c r="D34" s="221"/>
      <c r="E34" s="222"/>
      <c r="F34" s="31" t="str">
        <f>ChkList!D18</f>
        <v>H</v>
      </c>
      <c r="G34" s="31">
        <f>ChkList!E18</f>
        <v>3</v>
      </c>
      <c r="H34" s="168" t="s">
        <v>50</v>
      </c>
      <c r="I34" s="167" t="s">
        <v>256</v>
      </c>
      <c r="J34" s="28" t="s">
        <v>378</v>
      </c>
      <c r="K34" s="28" t="str">
        <f t="shared" si="4"/>
        <v>Y</v>
      </c>
      <c r="L34" s="270" t="s">
        <v>363</v>
      </c>
      <c r="M34" s="221"/>
      <c r="N34" s="221"/>
      <c r="O34" s="221"/>
      <c r="P34" s="222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6" customHeight="1">
      <c r="A35" s="31" t="str">
        <f>ChkList!A19</f>
        <v>파일 및 디렉터리 관리</v>
      </c>
      <c r="B35" s="31" t="str">
        <f>ChkList!B19</f>
        <v>U-15</v>
      </c>
      <c r="C35" s="270" t="str">
        <f>ChkList!C19</f>
        <v>파일 및 디렉터리 소유자 설정</v>
      </c>
      <c r="D35" s="221"/>
      <c r="E35" s="222"/>
      <c r="F35" s="31" t="str">
        <f>ChkList!D19</f>
        <v>H</v>
      </c>
      <c r="G35" s="31">
        <f>ChkList!E19</f>
        <v>3</v>
      </c>
      <c r="H35" s="168" t="s">
        <v>50</v>
      </c>
      <c r="I35" s="167" t="s">
        <v>554</v>
      </c>
      <c r="J35" s="28" t="s">
        <v>50</v>
      </c>
      <c r="K35" s="28" t="str">
        <f t="shared" si="4"/>
        <v>Y</v>
      </c>
      <c r="L35" s="270" t="s">
        <v>258</v>
      </c>
      <c r="M35" s="221"/>
      <c r="N35" s="221"/>
      <c r="O35" s="221"/>
      <c r="P35" s="222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6" customHeight="1">
      <c r="A36" s="31" t="str">
        <f>ChkList!A20</f>
        <v>파일 및 디렉터리 관리</v>
      </c>
      <c r="B36" s="31" t="str">
        <f>ChkList!B20</f>
        <v>U-16</v>
      </c>
      <c r="C36" s="270" t="str">
        <f>ChkList!C20</f>
        <v>/etc/passwd 파일 소유자 및 권한 설정</v>
      </c>
      <c r="D36" s="221"/>
      <c r="E36" s="222"/>
      <c r="F36" s="31" t="str">
        <f>ChkList!D20</f>
        <v>H</v>
      </c>
      <c r="G36" s="31">
        <f>ChkList!E20</f>
        <v>3</v>
      </c>
      <c r="H36" s="168" t="s">
        <v>50</v>
      </c>
      <c r="I36" s="167" t="s">
        <v>556</v>
      </c>
      <c r="J36" s="28" t="s">
        <v>378</v>
      </c>
      <c r="K36" s="28" t="str">
        <f t="shared" si="4"/>
        <v>Y</v>
      </c>
      <c r="L36" s="270" t="s">
        <v>362</v>
      </c>
      <c r="M36" s="221"/>
      <c r="N36" s="221"/>
      <c r="O36" s="221"/>
      <c r="P36" s="222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450000000000003" customHeight="1">
      <c r="A37" s="31" t="str">
        <f>ChkList!A21</f>
        <v>파일 및 디렉터리 관리</v>
      </c>
      <c r="B37" s="31" t="str">
        <f>ChkList!B21</f>
        <v>U-17</v>
      </c>
      <c r="C37" s="270" t="str">
        <f>ChkList!C21</f>
        <v>시스템 시작 스크립트 권한 설정</v>
      </c>
      <c r="D37" s="221"/>
      <c r="E37" s="222"/>
      <c r="F37" s="31" t="str">
        <f>ChkList!D21</f>
        <v>H</v>
      </c>
      <c r="G37" s="31">
        <f>ChkList!E21</f>
        <v>3</v>
      </c>
      <c r="H37" s="168" t="s">
        <v>50</v>
      </c>
      <c r="I37" s="167" t="s">
        <v>560</v>
      </c>
      <c r="J37" s="28" t="s">
        <v>50</v>
      </c>
      <c r="K37" s="28" t="str">
        <f t="shared" si="4"/>
        <v>Y</v>
      </c>
      <c r="L37" s="270" t="s">
        <v>261</v>
      </c>
      <c r="M37" s="221"/>
      <c r="N37" s="221"/>
      <c r="O37" s="221"/>
      <c r="P37" s="222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 customHeight="1">
      <c r="A38" s="31" t="str">
        <f>ChkList!A22</f>
        <v>파일 및 디렉터리 관리</v>
      </c>
      <c r="B38" s="31" t="str">
        <f>ChkList!B22</f>
        <v>U-18</v>
      </c>
      <c r="C38" s="270" t="str">
        <f>ChkList!C22</f>
        <v>/etc/shadow 파일 소유자 및 권한 설정</v>
      </c>
      <c r="D38" s="221"/>
      <c r="E38" s="222"/>
      <c r="F38" s="31" t="str">
        <f>ChkList!D22</f>
        <v>H</v>
      </c>
      <c r="G38" s="31">
        <f>ChkList!E22</f>
        <v>3</v>
      </c>
      <c r="H38" s="168" t="s">
        <v>50</v>
      </c>
      <c r="I38" s="167" t="s">
        <v>263</v>
      </c>
      <c r="J38" s="28" t="s">
        <v>378</v>
      </c>
      <c r="K38" s="28" t="str">
        <f t="shared" si="4"/>
        <v>Y</v>
      </c>
      <c r="L38" s="270" t="s">
        <v>361</v>
      </c>
      <c r="M38" s="221"/>
      <c r="N38" s="221"/>
      <c r="O38" s="221"/>
      <c r="P38" s="222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 customHeight="1">
      <c r="A39" s="31" t="str">
        <f>ChkList!A23</f>
        <v>파일 및 디렉터리 관리</v>
      </c>
      <c r="B39" s="31" t="str">
        <f>ChkList!B23</f>
        <v>U-19</v>
      </c>
      <c r="C39" s="270" t="str">
        <f>ChkList!C23</f>
        <v>/etc/hosts 파일 소유자 및 권한 설정</v>
      </c>
      <c r="D39" s="221"/>
      <c r="E39" s="222"/>
      <c r="F39" s="31" t="str">
        <f>ChkList!D23</f>
        <v>H</v>
      </c>
      <c r="G39" s="31">
        <f>ChkList!E23</f>
        <v>3</v>
      </c>
      <c r="H39" s="168" t="s">
        <v>50</v>
      </c>
      <c r="I39" s="167" t="s">
        <v>557</v>
      </c>
      <c r="J39" s="28" t="s">
        <v>378</v>
      </c>
      <c r="K39" s="28" t="str">
        <f t="shared" si="4"/>
        <v>Y</v>
      </c>
      <c r="L39" s="270" t="s">
        <v>360</v>
      </c>
      <c r="M39" s="221"/>
      <c r="N39" s="221"/>
      <c r="O39" s="221"/>
      <c r="P39" s="222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 customHeight="1">
      <c r="A40" s="31" t="str">
        <f>ChkList!A24</f>
        <v>파일 및 디렉터리 관리</v>
      </c>
      <c r="B40" s="31" t="str">
        <f>ChkList!B24</f>
        <v>U-20</v>
      </c>
      <c r="C40" s="270" t="str">
        <f>ChkList!C24</f>
        <v>/etc/(x)inetd.conf 파일 소유자 및 권한 설정</v>
      </c>
      <c r="D40" s="221"/>
      <c r="E40" s="222"/>
      <c r="F40" s="31" t="str">
        <f>ChkList!D24</f>
        <v>H</v>
      </c>
      <c r="G40" s="31">
        <f>ChkList!E24</f>
        <v>3</v>
      </c>
      <c r="H40" s="168" t="s">
        <v>50</v>
      </c>
      <c r="I40" s="167" t="s">
        <v>561</v>
      </c>
      <c r="J40" s="168" t="s">
        <v>50</v>
      </c>
      <c r="K40" s="28" t="str">
        <f t="shared" si="4"/>
        <v>Y</v>
      </c>
      <c r="L40" s="271" t="s">
        <v>265</v>
      </c>
      <c r="M40" s="272"/>
      <c r="N40" s="272"/>
      <c r="O40" s="272"/>
      <c r="P40" s="273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 customHeight="1">
      <c r="A41" s="31" t="str">
        <f>ChkList!A25</f>
        <v>파일 및 디렉터리 관리</v>
      </c>
      <c r="B41" s="31" t="str">
        <f>ChkList!B25</f>
        <v>U-21</v>
      </c>
      <c r="C41" s="270" t="str">
        <f>ChkList!C25</f>
        <v>/etc/(r)syslog.conf 파일 소유자 및 권한 설정</v>
      </c>
      <c r="D41" s="221"/>
      <c r="E41" s="222"/>
      <c r="F41" s="31" t="str">
        <f>ChkList!D25</f>
        <v>H</v>
      </c>
      <c r="G41" s="31">
        <f>ChkList!E25</f>
        <v>3</v>
      </c>
      <c r="H41" s="168" t="s">
        <v>50</v>
      </c>
      <c r="I41" s="167" t="s">
        <v>564</v>
      </c>
      <c r="J41" s="168" t="s">
        <v>50</v>
      </c>
      <c r="K41" s="28" t="str">
        <f t="shared" si="4"/>
        <v>Y</v>
      </c>
      <c r="L41" s="271" t="s">
        <v>267</v>
      </c>
      <c r="M41" s="272"/>
      <c r="N41" s="272"/>
      <c r="O41" s="272"/>
      <c r="P41" s="273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36" customHeight="1">
      <c r="A42" s="31" t="str">
        <f>ChkList!A26</f>
        <v>파일 및 디렉터리 관리</v>
      </c>
      <c r="B42" s="31" t="str">
        <f>ChkList!B26</f>
        <v>U-22</v>
      </c>
      <c r="C42" s="270" t="str">
        <f>ChkList!C26</f>
        <v>/etc/services 파일 소유자 및 권한 설정</v>
      </c>
      <c r="D42" s="221"/>
      <c r="E42" s="222"/>
      <c r="F42" s="31" t="str">
        <f>ChkList!D26</f>
        <v>H</v>
      </c>
      <c r="G42" s="31">
        <f>ChkList!E26</f>
        <v>3</v>
      </c>
      <c r="H42" s="168" t="s">
        <v>50</v>
      </c>
      <c r="I42" s="167" t="s">
        <v>562</v>
      </c>
      <c r="J42" s="168" t="s">
        <v>50</v>
      </c>
      <c r="K42" s="28" t="str">
        <f t="shared" si="4"/>
        <v>Y</v>
      </c>
      <c r="L42" s="271" t="s">
        <v>269</v>
      </c>
      <c r="M42" s="272"/>
      <c r="N42" s="272"/>
      <c r="O42" s="272"/>
      <c r="P42" s="273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 customHeight="1">
      <c r="A43" s="31" t="str">
        <f>ChkList!A27</f>
        <v>파일 및 디렉터리 관리</v>
      </c>
      <c r="B43" s="31" t="str">
        <f>ChkList!B27</f>
        <v>U-23</v>
      </c>
      <c r="C43" s="270" t="str">
        <f>ChkList!C27</f>
        <v>SUID, SGID, Sticky bit 설정 파일 점검</v>
      </c>
      <c r="D43" s="221"/>
      <c r="E43" s="222"/>
      <c r="F43" s="31" t="str">
        <f>ChkList!D27</f>
        <v>H</v>
      </c>
      <c r="G43" s="31">
        <f>ChkList!E27</f>
        <v>3</v>
      </c>
      <c r="H43" s="168" t="s">
        <v>50</v>
      </c>
      <c r="I43" s="167" t="s">
        <v>563</v>
      </c>
      <c r="J43" s="28" t="s">
        <v>378</v>
      </c>
      <c r="K43" s="28" t="str">
        <f t="shared" si="4"/>
        <v>Y</v>
      </c>
      <c r="L43" s="270" t="s">
        <v>358</v>
      </c>
      <c r="M43" s="221"/>
      <c r="N43" s="221"/>
      <c r="O43" s="221"/>
      <c r="P43" s="222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 customHeight="1">
      <c r="A44" s="31" t="str">
        <f>ChkList!A28</f>
        <v>파일 및 디렉터리 관리</v>
      </c>
      <c r="B44" s="31" t="str">
        <f>ChkList!B28</f>
        <v>U-24</v>
      </c>
      <c r="C44" s="270" t="str">
        <f>ChkList!C28</f>
        <v>사용자, 시스템 시작파일 및 환경파일 소유자 및 권한 설정</v>
      </c>
      <c r="D44" s="221"/>
      <c r="E44" s="222"/>
      <c r="F44" s="31" t="str">
        <f>ChkList!D28</f>
        <v>H</v>
      </c>
      <c r="G44" s="31">
        <f>ChkList!E28</f>
        <v>3</v>
      </c>
      <c r="H44" s="168" t="s">
        <v>50</v>
      </c>
      <c r="I44" s="167" t="s">
        <v>565</v>
      </c>
      <c r="J44" s="168" t="s">
        <v>50</v>
      </c>
      <c r="K44" s="28" t="str">
        <f t="shared" si="4"/>
        <v>Y</v>
      </c>
      <c r="L44" s="270" t="s">
        <v>379</v>
      </c>
      <c r="M44" s="221"/>
      <c r="N44" s="221"/>
      <c r="O44" s="221"/>
      <c r="P44" s="222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36" customHeight="1">
      <c r="A45" s="31" t="str">
        <f>ChkList!A29</f>
        <v>파일 및 디렉터리 관리</v>
      </c>
      <c r="B45" s="31" t="str">
        <f>ChkList!B29</f>
        <v>U-25</v>
      </c>
      <c r="C45" s="270" t="str">
        <f>ChkList!C29</f>
        <v>world writable 파일 점검</v>
      </c>
      <c r="D45" s="221"/>
      <c r="E45" s="222"/>
      <c r="F45" s="31" t="str">
        <f>ChkList!D29</f>
        <v>H</v>
      </c>
      <c r="G45" s="31">
        <f>ChkList!E29</f>
        <v>3</v>
      </c>
      <c r="H45" s="168" t="s">
        <v>50</v>
      </c>
      <c r="I45" s="167" t="s">
        <v>570</v>
      </c>
      <c r="J45" s="28" t="s">
        <v>378</v>
      </c>
      <c r="K45" s="28" t="str">
        <f t="shared" si="4"/>
        <v>Y</v>
      </c>
      <c r="L45" s="270" t="s">
        <v>355</v>
      </c>
      <c r="M45" s="221"/>
      <c r="N45" s="221"/>
      <c r="O45" s="221"/>
      <c r="P45" s="222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6" customHeight="1">
      <c r="A46" s="31" t="str">
        <f>ChkList!A30</f>
        <v>파일 및 디렉터리 관리</v>
      </c>
      <c r="B46" s="31" t="str">
        <f>ChkList!B30</f>
        <v>U-26</v>
      </c>
      <c r="C46" s="270" t="str">
        <f>ChkList!C30</f>
        <v>/dev에 존재하지 않는 device 파일 점검</v>
      </c>
      <c r="D46" s="221"/>
      <c r="E46" s="222"/>
      <c r="F46" s="31" t="str">
        <f>ChkList!D30</f>
        <v>H</v>
      </c>
      <c r="G46" s="31">
        <f>ChkList!E30</f>
        <v>3</v>
      </c>
      <c r="H46" s="168" t="s">
        <v>50</v>
      </c>
      <c r="I46" s="167" t="s">
        <v>569</v>
      </c>
      <c r="J46" s="168" t="s">
        <v>50</v>
      </c>
      <c r="K46" s="28" t="str">
        <f t="shared" si="4"/>
        <v>Y</v>
      </c>
      <c r="L46" s="270" t="s">
        <v>274</v>
      </c>
      <c r="M46" s="221"/>
      <c r="N46" s="221"/>
      <c r="O46" s="221"/>
      <c r="P46" s="222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6" customHeight="1">
      <c r="A47" s="31" t="str">
        <f>ChkList!A31</f>
        <v>파일 및 디렉터리 관리</v>
      </c>
      <c r="B47" s="31" t="str">
        <f>ChkList!B31</f>
        <v>U-27</v>
      </c>
      <c r="C47" s="270" t="str">
        <f>ChkList!C31</f>
        <v>$HOME/.rhosts, hosts.equiv 사용 금지</v>
      </c>
      <c r="D47" s="221"/>
      <c r="E47" s="222"/>
      <c r="F47" s="31" t="str">
        <f>ChkList!D31</f>
        <v>H</v>
      </c>
      <c r="G47" s="31">
        <f>ChkList!E31</f>
        <v>3</v>
      </c>
      <c r="H47" s="168" t="s">
        <v>50</v>
      </c>
      <c r="I47" s="167" t="s">
        <v>571</v>
      </c>
      <c r="J47" s="168" t="s">
        <v>50</v>
      </c>
      <c r="K47" s="28" t="str">
        <f t="shared" si="4"/>
        <v>Y</v>
      </c>
      <c r="L47" s="270" t="s">
        <v>276</v>
      </c>
      <c r="M47" s="221"/>
      <c r="N47" s="221"/>
      <c r="O47" s="221"/>
      <c r="P47" s="222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6" customHeight="1">
      <c r="A48" s="31" t="str">
        <f>ChkList!A32</f>
        <v>파일 및 디렉터리 관리</v>
      </c>
      <c r="B48" s="31" t="str">
        <f>ChkList!B32</f>
        <v>U-28</v>
      </c>
      <c r="C48" s="270" t="str">
        <f>ChkList!C32</f>
        <v>접속 IP 및 포트 제한</v>
      </c>
      <c r="D48" s="221"/>
      <c r="E48" s="222"/>
      <c r="F48" s="31" t="str">
        <f>ChkList!D32</f>
        <v>H</v>
      </c>
      <c r="G48" s="31">
        <f>ChkList!E32</f>
        <v>3</v>
      </c>
      <c r="H48" s="168" t="s">
        <v>50</v>
      </c>
      <c r="I48" s="167" t="s">
        <v>566</v>
      </c>
      <c r="J48" s="28" t="s">
        <v>378</v>
      </c>
      <c r="K48" s="28" t="str">
        <f t="shared" si="4"/>
        <v>Y</v>
      </c>
      <c r="L48" s="270" t="s">
        <v>357</v>
      </c>
      <c r="M48" s="221"/>
      <c r="N48" s="221"/>
      <c r="O48" s="221"/>
      <c r="P48" s="222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6" customHeight="1">
      <c r="A49" s="31" t="str">
        <f>ChkList!A33</f>
        <v>파일 및 디렉터리 관리</v>
      </c>
      <c r="B49" s="31" t="str">
        <f>ChkList!B33</f>
        <v>U-29</v>
      </c>
      <c r="C49" s="270" t="str">
        <f>ChkList!C33</f>
        <v>hosts.lpd 파일 소유자 및 권한 설정</v>
      </c>
      <c r="D49" s="221"/>
      <c r="E49" s="222"/>
      <c r="F49" s="31" t="str">
        <f>ChkList!D33</f>
        <v>L</v>
      </c>
      <c r="G49" s="31">
        <f>ChkList!E33</f>
        <v>1</v>
      </c>
      <c r="H49" s="168" t="s">
        <v>50</v>
      </c>
      <c r="I49" s="167" t="s">
        <v>572</v>
      </c>
      <c r="J49" s="168" t="s">
        <v>50</v>
      </c>
      <c r="K49" s="28" t="str">
        <f t="shared" si="4"/>
        <v>Y</v>
      </c>
      <c r="L49" s="270" t="s">
        <v>279</v>
      </c>
      <c r="M49" s="221"/>
      <c r="N49" s="221"/>
      <c r="O49" s="221"/>
      <c r="P49" s="222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6" customHeight="1">
      <c r="A50" s="31" t="str">
        <f>ChkList!A34</f>
        <v>파일 및 디렉터리 관리</v>
      </c>
      <c r="B50" s="31" t="str">
        <f>ChkList!B34</f>
        <v>U-30</v>
      </c>
      <c r="C50" s="270" t="str">
        <f>ChkList!C34</f>
        <v>UMASK 설정 관리</v>
      </c>
      <c r="D50" s="221"/>
      <c r="E50" s="222"/>
      <c r="F50" s="31" t="str">
        <f>ChkList!D34</f>
        <v>M</v>
      </c>
      <c r="G50" s="31">
        <f>ChkList!E34</f>
        <v>2</v>
      </c>
      <c r="H50" s="168" t="s">
        <v>50</v>
      </c>
      <c r="I50" s="167" t="s">
        <v>567</v>
      </c>
      <c r="J50" s="28" t="s">
        <v>378</v>
      </c>
      <c r="K50" s="28" t="str">
        <f t="shared" si="4"/>
        <v>Y</v>
      </c>
      <c r="L50" s="270" t="s">
        <v>327</v>
      </c>
      <c r="M50" s="221"/>
      <c r="N50" s="221"/>
      <c r="O50" s="221"/>
      <c r="P50" s="222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6" customHeight="1">
      <c r="A51" s="31" t="str">
        <f>ChkList!A35</f>
        <v>파일 및 디렉터리 관리</v>
      </c>
      <c r="B51" s="31" t="str">
        <f>ChkList!B35</f>
        <v>U-31</v>
      </c>
      <c r="C51" s="270" t="str">
        <f>ChkList!C35</f>
        <v>홈 디렉터리 소유자 및 권한 설정</v>
      </c>
      <c r="D51" s="221"/>
      <c r="E51" s="222"/>
      <c r="F51" s="31" t="str">
        <f>ChkList!D35</f>
        <v>M</v>
      </c>
      <c r="G51" s="31">
        <f>ChkList!E35</f>
        <v>2</v>
      </c>
      <c r="H51" s="168" t="s">
        <v>50</v>
      </c>
      <c r="I51" s="167" t="s">
        <v>568</v>
      </c>
      <c r="J51" s="28" t="s">
        <v>378</v>
      </c>
      <c r="K51" s="28" t="str">
        <f t="shared" si="4"/>
        <v>Y</v>
      </c>
      <c r="L51" s="270" t="s">
        <v>356</v>
      </c>
      <c r="M51" s="221"/>
      <c r="N51" s="221"/>
      <c r="O51" s="221"/>
      <c r="P51" s="222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6" customHeight="1">
      <c r="A52" s="31" t="str">
        <f>ChkList!A36</f>
        <v>파일 및 디렉터리 관리</v>
      </c>
      <c r="B52" s="31" t="str">
        <f>ChkList!B36</f>
        <v>U-32</v>
      </c>
      <c r="C52" s="270" t="str">
        <f>ChkList!C36</f>
        <v>홈 디렉터리로 지정한 디렉터리의 존재 관리</v>
      </c>
      <c r="D52" s="221"/>
      <c r="E52" s="222"/>
      <c r="F52" s="31" t="str">
        <f>ChkList!D36</f>
        <v>M</v>
      </c>
      <c r="G52" s="31">
        <f>ChkList!E36</f>
        <v>2</v>
      </c>
      <c r="H52" s="168" t="s">
        <v>50</v>
      </c>
      <c r="I52" s="167" t="s">
        <v>573</v>
      </c>
      <c r="J52" s="28" t="s">
        <v>378</v>
      </c>
      <c r="K52" s="28" t="str">
        <f t="shared" si="4"/>
        <v>Y</v>
      </c>
      <c r="L52" s="270" t="s">
        <v>355</v>
      </c>
      <c r="M52" s="221"/>
      <c r="N52" s="221"/>
      <c r="O52" s="221"/>
      <c r="P52" s="222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6">
      <c r="A53" s="31" t="str">
        <f>ChkList!A37</f>
        <v>파일 및 디렉터리 관리</v>
      </c>
      <c r="B53" s="31" t="str">
        <f>ChkList!B37</f>
        <v>U-33</v>
      </c>
      <c r="C53" s="270" t="str">
        <f>ChkList!C37</f>
        <v>숨겨진 파일 및 디렉터리 검색 및 제거</v>
      </c>
      <c r="D53" s="221"/>
      <c r="E53" s="222"/>
      <c r="F53" s="31" t="str">
        <f>ChkList!D37</f>
        <v>L</v>
      </c>
      <c r="G53" s="31">
        <f>ChkList!E37</f>
        <v>1</v>
      </c>
      <c r="H53" s="168" t="s">
        <v>50</v>
      </c>
      <c r="I53" s="167" t="s">
        <v>574</v>
      </c>
      <c r="J53" s="28" t="s">
        <v>378</v>
      </c>
      <c r="K53" s="28" t="str">
        <f t="shared" si="4"/>
        <v>Y</v>
      </c>
      <c r="L53" s="270" t="s">
        <v>354</v>
      </c>
      <c r="M53" s="221"/>
      <c r="N53" s="221"/>
      <c r="O53" s="221"/>
      <c r="P53" s="222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36">
      <c r="A54" s="31" t="str">
        <f>ChkList!A38</f>
        <v>서비스 관리</v>
      </c>
      <c r="B54" s="31" t="str">
        <f>ChkList!B38</f>
        <v>U-34</v>
      </c>
      <c r="C54" s="270" t="str">
        <f>ChkList!C38</f>
        <v>Finger 서비스 비활성화</v>
      </c>
      <c r="D54" s="221"/>
      <c r="E54" s="222"/>
      <c r="F54" s="31" t="str">
        <f>ChkList!D38</f>
        <v>H</v>
      </c>
      <c r="G54" s="31">
        <f>ChkList!E38</f>
        <v>3</v>
      </c>
      <c r="H54" s="315" t="s">
        <v>50</v>
      </c>
      <c r="I54" s="167" t="s">
        <v>575</v>
      </c>
      <c r="J54" s="28" t="s">
        <v>283</v>
      </c>
      <c r="K54" s="28"/>
      <c r="L54" s="270" t="s">
        <v>284</v>
      </c>
      <c r="M54" s="221"/>
      <c r="N54" s="221"/>
      <c r="O54" s="221"/>
      <c r="P54" s="222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3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6" customHeight="1">
      <c r="A55" s="31" t="str">
        <f>ChkList!A39</f>
        <v>서비스 관리</v>
      </c>
      <c r="B55" s="31" t="str">
        <f>ChkList!B39</f>
        <v>U-35</v>
      </c>
      <c r="C55" s="270" t="str">
        <f>ChkList!C39</f>
        <v>공유 서비스에 대한 익명 접근 제한 설정</v>
      </c>
      <c r="D55" s="221"/>
      <c r="E55" s="222"/>
      <c r="F55" s="31" t="str">
        <f>ChkList!D39</f>
        <v>H</v>
      </c>
      <c r="G55" s="31">
        <f>ChkList!E39</f>
        <v>3</v>
      </c>
      <c r="H55" s="168" t="s">
        <v>50</v>
      </c>
      <c r="I55" s="167" t="s">
        <v>576</v>
      </c>
      <c r="J55" s="28" t="s">
        <v>378</v>
      </c>
      <c r="K55" s="28" t="str">
        <f t="shared" si="4"/>
        <v>Y</v>
      </c>
      <c r="L55" s="270" t="s">
        <v>328</v>
      </c>
      <c r="M55" s="221"/>
      <c r="N55" s="221"/>
      <c r="O55" s="221"/>
      <c r="P55" s="222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6" customHeight="1">
      <c r="A56" s="31" t="str">
        <f>ChkList!A40</f>
        <v>서비스 관리</v>
      </c>
      <c r="B56" s="31" t="str">
        <f>ChkList!B40</f>
        <v>U-36</v>
      </c>
      <c r="C56" s="270" t="str">
        <f>ChkList!C40</f>
        <v>r 계열 서비스 비활성화</v>
      </c>
      <c r="D56" s="221"/>
      <c r="E56" s="222"/>
      <c r="F56" s="31" t="str">
        <f>ChkList!D40</f>
        <v>H</v>
      </c>
      <c r="G56" s="31">
        <f>ChkList!E40</f>
        <v>3</v>
      </c>
      <c r="H56" s="168" t="s">
        <v>50</v>
      </c>
      <c r="I56" s="167" t="s">
        <v>579</v>
      </c>
      <c r="J56" s="28" t="s">
        <v>378</v>
      </c>
      <c r="K56" s="28" t="str">
        <f t="shared" si="4"/>
        <v>Y</v>
      </c>
      <c r="L56" s="270" t="s">
        <v>352</v>
      </c>
      <c r="M56" s="221"/>
      <c r="N56" s="221"/>
      <c r="O56" s="221"/>
      <c r="P56" s="222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450000000000003" customHeight="1">
      <c r="A57" s="31" t="str">
        <f>ChkList!A41</f>
        <v>서비스 관리</v>
      </c>
      <c r="B57" s="31" t="str">
        <f>ChkList!B41</f>
        <v>U-37</v>
      </c>
      <c r="C57" s="270" t="str">
        <f>ChkList!C41</f>
        <v>crontab 설정파일 권한 설정 미흡</v>
      </c>
      <c r="D57" s="221"/>
      <c r="E57" s="222"/>
      <c r="F57" s="31" t="str">
        <f>ChkList!D41</f>
        <v>H</v>
      </c>
      <c r="G57" s="31">
        <f>ChkList!E41</f>
        <v>3</v>
      </c>
      <c r="H57" s="168" t="s">
        <v>50</v>
      </c>
      <c r="I57" s="167" t="s">
        <v>577</v>
      </c>
      <c r="J57" s="28" t="s">
        <v>378</v>
      </c>
      <c r="K57" s="28" t="str">
        <f t="shared" si="4"/>
        <v>Y</v>
      </c>
      <c r="L57" s="270" t="s">
        <v>353</v>
      </c>
      <c r="M57" s="221"/>
      <c r="N57" s="221"/>
      <c r="O57" s="221"/>
      <c r="P57" s="222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6" customHeight="1">
      <c r="A58" s="31" t="str">
        <f>ChkList!A42</f>
        <v>서비스 관리</v>
      </c>
      <c r="B58" s="31" t="str">
        <f>ChkList!B42</f>
        <v>U-38</v>
      </c>
      <c r="C58" s="270" t="str">
        <f>ChkList!C42</f>
        <v>DoS 공격에 취약한 서비스 비활성화</v>
      </c>
      <c r="D58" s="221"/>
      <c r="E58" s="222"/>
      <c r="F58" s="31" t="str">
        <f>ChkList!D42</f>
        <v>H</v>
      </c>
      <c r="G58" s="31">
        <f>ChkList!E42</f>
        <v>3</v>
      </c>
      <c r="H58" s="168" t="s">
        <v>50</v>
      </c>
      <c r="I58" s="167" t="s">
        <v>578</v>
      </c>
      <c r="J58" s="168" t="s">
        <v>50</v>
      </c>
      <c r="K58" s="28" t="str">
        <f t="shared" si="4"/>
        <v>Y</v>
      </c>
      <c r="L58" s="270" t="s">
        <v>289</v>
      </c>
      <c r="M58" s="221"/>
      <c r="N58" s="221"/>
      <c r="O58" s="221"/>
      <c r="P58" s="222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6" customHeight="1">
      <c r="A59" s="31" t="str">
        <f>ChkList!A43</f>
        <v>서비스 관리</v>
      </c>
      <c r="B59" s="31" t="str">
        <f>ChkList!B43</f>
        <v>U-39</v>
      </c>
      <c r="C59" s="270" t="str">
        <f>ChkList!C43</f>
        <v>불필요한 NFS 서비스 비활성화</v>
      </c>
      <c r="D59" s="221"/>
      <c r="E59" s="222"/>
      <c r="F59" s="31" t="str">
        <f>ChkList!D43</f>
        <v>H</v>
      </c>
      <c r="G59" s="31">
        <f>ChkList!E43</f>
        <v>3</v>
      </c>
      <c r="H59" s="168" t="s">
        <v>50</v>
      </c>
      <c r="I59" s="167" t="s">
        <v>580</v>
      </c>
      <c r="J59" s="28" t="s">
        <v>378</v>
      </c>
      <c r="K59" s="28" t="str">
        <f t="shared" si="4"/>
        <v>Y</v>
      </c>
      <c r="L59" s="270" t="s">
        <v>329</v>
      </c>
      <c r="M59" s="221"/>
      <c r="N59" s="221"/>
      <c r="O59" s="221"/>
      <c r="P59" s="222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6" customHeight="1">
      <c r="A60" s="31" t="str">
        <f>ChkList!A44</f>
        <v>서비스 관리</v>
      </c>
      <c r="B60" s="31" t="str">
        <f>ChkList!B44</f>
        <v>U-40</v>
      </c>
      <c r="C60" s="270" t="str">
        <f>ChkList!C44</f>
        <v>NFS 접근 통제</v>
      </c>
      <c r="D60" s="221"/>
      <c r="E60" s="222"/>
      <c r="F60" s="31" t="str">
        <f>ChkList!D44</f>
        <v>H</v>
      </c>
      <c r="G60" s="31">
        <f>ChkList!E44</f>
        <v>3</v>
      </c>
      <c r="H60" s="168" t="s">
        <v>50</v>
      </c>
      <c r="I60" s="167" t="s">
        <v>581</v>
      </c>
      <c r="J60" s="28" t="s">
        <v>378</v>
      </c>
      <c r="K60" s="28" t="str">
        <f t="shared" si="4"/>
        <v>Y</v>
      </c>
      <c r="L60" s="270" t="s">
        <v>344</v>
      </c>
      <c r="M60" s="221"/>
      <c r="N60" s="221"/>
      <c r="O60" s="221"/>
      <c r="P60" s="222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6" customHeight="1">
      <c r="A61" s="31" t="str">
        <f>ChkList!A45</f>
        <v>서비스 관리</v>
      </c>
      <c r="B61" s="31" t="str">
        <f>ChkList!B45</f>
        <v>U-41</v>
      </c>
      <c r="C61" s="270" t="str">
        <f>ChkList!C45</f>
        <v>불필요한 automountd 제거</v>
      </c>
      <c r="D61" s="221"/>
      <c r="E61" s="222"/>
      <c r="F61" s="31" t="str">
        <f>ChkList!D45</f>
        <v>H</v>
      </c>
      <c r="G61" s="31">
        <f>ChkList!E45</f>
        <v>3</v>
      </c>
      <c r="H61" s="168" t="s">
        <v>50</v>
      </c>
      <c r="I61" s="167" t="s">
        <v>582</v>
      </c>
      <c r="J61" s="28" t="s">
        <v>378</v>
      </c>
      <c r="K61" s="28" t="str">
        <f t="shared" si="4"/>
        <v>Y</v>
      </c>
      <c r="L61" s="270" t="s">
        <v>344</v>
      </c>
      <c r="M61" s="221"/>
      <c r="N61" s="221"/>
      <c r="O61" s="221"/>
      <c r="P61" s="222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6" customHeight="1">
      <c r="A62" s="31" t="str">
        <f>ChkList!A46</f>
        <v>서비스 관리</v>
      </c>
      <c r="B62" s="31" t="str">
        <f>ChkList!B46</f>
        <v>U-42</v>
      </c>
      <c r="C62" s="270" t="str">
        <f>ChkList!C46</f>
        <v>불필요한 RPC 서비스 비활성화</v>
      </c>
      <c r="D62" s="221"/>
      <c r="E62" s="222"/>
      <c r="F62" s="31" t="str">
        <f>ChkList!D46</f>
        <v>H</v>
      </c>
      <c r="G62" s="31">
        <f>ChkList!E46</f>
        <v>3</v>
      </c>
      <c r="H62" s="168" t="s">
        <v>50</v>
      </c>
      <c r="I62" s="167" t="s">
        <v>583</v>
      </c>
      <c r="J62" s="28" t="s">
        <v>378</v>
      </c>
      <c r="K62" s="28" t="str">
        <f t="shared" si="4"/>
        <v>Y</v>
      </c>
      <c r="L62" s="270" t="s">
        <v>345</v>
      </c>
      <c r="M62" s="221"/>
      <c r="N62" s="221"/>
      <c r="O62" s="221"/>
      <c r="P62" s="222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6" customHeight="1">
      <c r="A63" s="31" t="str">
        <f>ChkList!A47</f>
        <v>서비스 관리</v>
      </c>
      <c r="B63" s="31" t="str">
        <f>ChkList!B47</f>
        <v>U-43</v>
      </c>
      <c r="C63" s="270" t="str">
        <f>ChkList!C47</f>
        <v>NIS, NIS+ 점검</v>
      </c>
      <c r="D63" s="221"/>
      <c r="E63" s="222"/>
      <c r="F63" s="31" t="str">
        <f>ChkList!D47</f>
        <v>H</v>
      </c>
      <c r="G63" s="31">
        <f>ChkList!E47</f>
        <v>3</v>
      </c>
      <c r="H63" s="168" t="s">
        <v>50</v>
      </c>
      <c r="I63" s="167" t="s">
        <v>584</v>
      </c>
      <c r="J63" s="28" t="s">
        <v>378</v>
      </c>
      <c r="K63" s="28" t="str">
        <f t="shared" si="4"/>
        <v>Y</v>
      </c>
      <c r="L63" s="270" t="s">
        <v>346</v>
      </c>
      <c r="M63" s="221"/>
      <c r="N63" s="221"/>
      <c r="O63" s="221"/>
      <c r="P63" s="222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6" customHeight="1">
      <c r="A64" s="31" t="str">
        <f>ChkList!A48</f>
        <v>서비스 관리</v>
      </c>
      <c r="B64" s="31" t="str">
        <f>ChkList!B48</f>
        <v>U-44</v>
      </c>
      <c r="C64" s="270" t="str">
        <f>ChkList!C48</f>
        <v>tftp, talk 서비스 비활성화</v>
      </c>
      <c r="D64" s="221"/>
      <c r="E64" s="222"/>
      <c r="F64" s="31" t="str">
        <f>ChkList!D48</f>
        <v>H</v>
      </c>
      <c r="G64" s="31">
        <f>ChkList!E48</f>
        <v>3</v>
      </c>
      <c r="H64" s="168" t="s">
        <v>50</v>
      </c>
      <c r="I64" s="167" t="s">
        <v>585</v>
      </c>
      <c r="J64" s="28" t="s">
        <v>378</v>
      </c>
      <c r="K64" s="28" t="str">
        <f t="shared" si="4"/>
        <v>Y</v>
      </c>
      <c r="L64" s="270" t="s">
        <v>347</v>
      </c>
      <c r="M64" s="221"/>
      <c r="N64" s="221"/>
      <c r="O64" s="221"/>
      <c r="P64" s="222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 customHeight="1">
      <c r="A65" s="31" t="str">
        <f>ChkList!A49</f>
        <v>서비스 관리</v>
      </c>
      <c r="B65" s="31" t="str">
        <f>ChkList!B49</f>
        <v>U-45</v>
      </c>
      <c r="C65" s="270" t="str">
        <f>ChkList!C49</f>
        <v>메일 서비스 버전 점검</v>
      </c>
      <c r="D65" s="221"/>
      <c r="E65" s="222"/>
      <c r="F65" s="31" t="str">
        <f>ChkList!D49</f>
        <v>H</v>
      </c>
      <c r="G65" s="31">
        <f>ChkList!E49</f>
        <v>3</v>
      </c>
      <c r="H65" s="168" t="s">
        <v>50</v>
      </c>
      <c r="I65" s="167" t="s">
        <v>586</v>
      </c>
      <c r="J65" s="28" t="s">
        <v>50</v>
      </c>
      <c r="K65" s="28" t="s">
        <v>50</v>
      </c>
      <c r="L65" s="270" t="s">
        <v>348</v>
      </c>
      <c r="M65" s="221"/>
      <c r="N65" s="221"/>
      <c r="O65" s="221"/>
      <c r="P65" s="222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 customHeight="1">
      <c r="A66" s="31" t="str">
        <f>ChkList!A50</f>
        <v>서비스 관리</v>
      </c>
      <c r="B66" s="31" t="str">
        <f>ChkList!B50</f>
        <v>U-46</v>
      </c>
      <c r="C66" s="270" t="str">
        <f>ChkList!C50</f>
        <v>일반 사용자의 메일 서비스 실행 방지</v>
      </c>
      <c r="D66" s="221"/>
      <c r="E66" s="222"/>
      <c r="F66" s="31" t="str">
        <f>ChkList!D50</f>
        <v>H</v>
      </c>
      <c r="G66" s="31">
        <f>ChkList!E50</f>
        <v>3</v>
      </c>
      <c r="H66" s="168" t="s">
        <v>50</v>
      </c>
      <c r="I66" s="167" t="s">
        <v>587</v>
      </c>
      <c r="J66" s="28" t="s">
        <v>378</v>
      </c>
      <c r="K66" s="28" t="str">
        <f t="shared" si="4"/>
        <v>Y</v>
      </c>
      <c r="L66" s="270" t="s">
        <v>296</v>
      </c>
      <c r="M66" s="221"/>
      <c r="N66" s="221"/>
      <c r="O66" s="221"/>
      <c r="P66" s="222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 customHeight="1">
      <c r="A67" s="31" t="str">
        <f>ChkList!A51</f>
        <v>서비스 관리</v>
      </c>
      <c r="B67" s="31" t="str">
        <f>ChkList!B51</f>
        <v>U-47</v>
      </c>
      <c r="C67" s="270" t="str">
        <f>ChkList!C51</f>
        <v>스팸 메일 릴레이 제한</v>
      </c>
      <c r="D67" s="221"/>
      <c r="E67" s="222"/>
      <c r="F67" s="31" t="str">
        <f>ChkList!D51</f>
        <v>H</v>
      </c>
      <c r="G67" s="31">
        <f>ChkList!E51</f>
        <v>3</v>
      </c>
      <c r="H67" s="168" t="s">
        <v>50</v>
      </c>
      <c r="I67" s="167" t="s">
        <v>588</v>
      </c>
      <c r="J67" s="28" t="s">
        <v>378</v>
      </c>
      <c r="K67" s="28" t="str">
        <f t="shared" si="4"/>
        <v>Y</v>
      </c>
      <c r="L67" s="270" t="s">
        <v>349</v>
      </c>
      <c r="M67" s="221"/>
      <c r="N67" s="221"/>
      <c r="O67" s="221"/>
      <c r="P67" s="222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 customHeight="1">
      <c r="A68" s="31" t="str">
        <f>ChkList!A52</f>
        <v>서비스 관리</v>
      </c>
      <c r="B68" s="31" t="str">
        <f>ChkList!B52</f>
        <v>U-48</v>
      </c>
      <c r="C68" s="270" t="str">
        <f>ChkList!C52</f>
        <v>expn, vrfy 명령어 제한</v>
      </c>
      <c r="D68" s="221"/>
      <c r="E68" s="222"/>
      <c r="F68" s="31" t="str">
        <f>ChkList!D52</f>
        <v>M</v>
      </c>
      <c r="G68" s="31">
        <f>ChkList!E52</f>
        <v>2</v>
      </c>
      <c r="H68" s="168" t="s">
        <v>50</v>
      </c>
      <c r="I68" s="167" t="s">
        <v>589</v>
      </c>
      <c r="J68" s="28" t="s">
        <v>378</v>
      </c>
      <c r="K68" s="28" t="str">
        <f t="shared" si="4"/>
        <v>Y</v>
      </c>
      <c r="L68" s="270" t="s">
        <v>349</v>
      </c>
      <c r="M68" s="221"/>
      <c r="N68" s="221"/>
      <c r="O68" s="221"/>
      <c r="P68" s="222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 customHeight="1">
      <c r="A69" s="31" t="str">
        <f>ChkList!A53</f>
        <v>서비스 관리</v>
      </c>
      <c r="B69" s="31" t="str">
        <f>ChkList!B53</f>
        <v>U-49</v>
      </c>
      <c r="C69" s="270" t="str">
        <f>ChkList!C53</f>
        <v>DNS 보안 버전 패치</v>
      </c>
      <c r="D69" s="221"/>
      <c r="E69" s="222"/>
      <c r="F69" s="31" t="str">
        <f>ChkList!D53</f>
        <v>H</v>
      </c>
      <c r="G69" s="31">
        <f>ChkList!E53</f>
        <v>3</v>
      </c>
      <c r="H69" s="168" t="s">
        <v>50</v>
      </c>
      <c r="I69" s="167" t="s">
        <v>590</v>
      </c>
      <c r="J69" s="28" t="s">
        <v>378</v>
      </c>
      <c r="K69" s="28" t="str">
        <f t="shared" si="4"/>
        <v>Y</v>
      </c>
      <c r="L69" s="270" t="s">
        <v>350</v>
      </c>
      <c r="M69" s="221"/>
      <c r="N69" s="221"/>
      <c r="O69" s="221"/>
      <c r="P69" s="222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 customHeight="1">
      <c r="A70" s="31" t="str">
        <f>ChkList!A54</f>
        <v>서비스 관리</v>
      </c>
      <c r="B70" s="31" t="str">
        <f>ChkList!B54</f>
        <v>U-50</v>
      </c>
      <c r="C70" s="270" t="str">
        <f>ChkList!C54</f>
        <v>DNS Zone Transfer 설정</v>
      </c>
      <c r="D70" s="221"/>
      <c r="E70" s="222"/>
      <c r="F70" s="31" t="str">
        <f>ChkList!D54</f>
        <v>H</v>
      </c>
      <c r="G70" s="31">
        <f>ChkList!E54</f>
        <v>3</v>
      </c>
      <c r="H70" s="168" t="s">
        <v>50</v>
      </c>
      <c r="I70" s="167" t="s">
        <v>593</v>
      </c>
      <c r="J70" s="28" t="s">
        <v>378</v>
      </c>
      <c r="K70" s="28" t="str">
        <f t="shared" si="4"/>
        <v>Y</v>
      </c>
      <c r="L70" s="270" t="s">
        <v>331</v>
      </c>
      <c r="M70" s="221"/>
      <c r="N70" s="221"/>
      <c r="O70" s="221"/>
      <c r="P70" s="222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 customHeight="1">
      <c r="A71" s="31" t="str">
        <f>ChkList!A55</f>
        <v>서비스 관리</v>
      </c>
      <c r="B71" s="31" t="str">
        <f>ChkList!B55</f>
        <v>U-51</v>
      </c>
      <c r="C71" s="270" t="str">
        <f>ChkList!C55</f>
        <v>DNS 서비스의 취약한 동적 업데이트 설정 금지</v>
      </c>
      <c r="D71" s="221"/>
      <c r="E71" s="222"/>
      <c r="F71" s="31" t="str">
        <f>ChkList!D55</f>
        <v>M</v>
      </c>
      <c r="G71" s="31">
        <f>ChkList!E55</f>
        <v>2</v>
      </c>
      <c r="H71" s="168" t="s">
        <v>50</v>
      </c>
      <c r="I71" s="167" t="s">
        <v>591</v>
      </c>
      <c r="J71" s="28" t="s">
        <v>378</v>
      </c>
      <c r="K71" s="28" t="str">
        <f t="shared" si="4"/>
        <v>Y</v>
      </c>
      <c r="L71" s="274" t="s">
        <v>323</v>
      </c>
      <c r="M71" s="312"/>
      <c r="N71" s="312"/>
      <c r="O71" s="312"/>
      <c r="P71" s="313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 customHeight="1">
      <c r="A72" s="31" t="str">
        <f>ChkList!A56</f>
        <v>서비스 관리</v>
      </c>
      <c r="B72" s="31" t="str">
        <f>ChkList!B56</f>
        <v>U-52</v>
      </c>
      <c r="C72" s="270" t="str">
        <f>ChkList!C56</f>
        <v>Telnet 서비스 비활성화</v>
      </c>
      <c r="D72" s="221"/>
      <c r="E72" s="222"/>
      <c r="F72" s="31" t="str">
        <f>ChkList!D56</f>
        <v>M</v>
      </c>
      <c r="G72" s="31">
        <f>ChkList!E56</f>
        <v>2</v>
      </c>
      <c r="H72" s="168" t="s">
        <v>50</v>
      </c>
      <c r="I72" s="167" t="s">
        <v>592</v>
      </c>
      <c r="J72" s="28" t="s">
        <v>378</v>
      </c>
      <c r="K72" s="28" t="str">
        <f t="shared" si="4"/>
        <v>Y</v>
      </c>
      <c r="L72" s="271" t="s">
        <v>323</v>
      </c>
      <c r="M72" s="272"/>
      <c r="N72" s="272"/>
      <c r="O72" s="272"/>
      <c r="P72" s="273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 customHeight="1">
      <c r="A73" s="31" t="str">
        <f>ChkList!A57</f>
        <v>서비스 관리</v>
      </c>
      <c r="B73" s="31" t="str">
        <f>ChkList!B57</f>
        <v>U-53</v>
      </c>
      <c r="C73" s="270" t="str">
        <f>ChkList!C57</f>
        <v>FTP 서비스 정보 노출 제한</v>
      </c>
      <c r="D73" s="221"/>
      <c r="E73" s="222"/>
      <c r="F73" s="31" t="str">
        <f>ChkList!D57</f>
        <v>L</v>
      </c>
      <c r="G73" s="31">
        <f>ChkList!E57</f>
        <v>1</v>
      </c>
      <c r="H73" s="168" t="s">
        <v>50</v>
      </c>
      <c r="I73" s="167" t="s">
        <v>594</v>
      </c>
      <c r="J73" s="28" t="s">
        <v>378</v>
      </c>
      <c r="K73" s="28" t="str">
        <f t="shared" si="4"/>
        <v>Y</v>
      </c>
      <c r="L73" s="271" t="s">
        <v>323</v>
      </c>
      <c r="M73" s="272"/>
      <c r="N73" s="272"/>
      <c r="O73" s="272"/>
      <c r="P73" s="273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 customHeight="1">
      <c r="A74" s="31" t="str">
        <f>ChkList!A58</f>
        <v>서비스 관리</v>
      </c>
      <c r="B74" s="31" t="str">
        <f>ChkList!B58</f>
        <v>U-54</v>
      </c>
      <c r="C74" s="270" t="str">
        <f>ChkList!C58</f>
        <v>암호화되지 않는 FTP 서비스 비활성화</v>
      </c>
      <c r="D74" s="221"/>
      <c r="E74" s="222"/>
      <c r="F74" s="31" t="str">
        <f>ChkList!D58</f>
        <v>M</v>
      </c>
      <c r="G74" s="31">
        <f>ChkList!E58</f>
        <v>2</v>
      </c>
      <c r="H74" s="168" t="s">
        <v>50</v>
      </c>
      <c r="I74" s="167" t="s">
        <v>596</v>
      </c>
      <c r="J74" s="28" t="s">
        <v>378</v>
      </c>
      <c r="K74" s="28" t="str">
        <f t="shared" si="4"/>
        <v>Y</v>
      </c>
      <c r="L74" s="271" t="s">
        <v>323</v>
      </c>
      <c r="M74" s="272"/>
      <c r="N74" s="272"/>
      <c r="O74" s="272"/>
      <c r="P74" s="273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36" customHeight="1">
      <c r="A75" s="31" t="str">
        <f>ChkList!A59</f>
        <v>서비스 관리</v>
      </c>
      <c r="B75" s="31" t="str">
        <f>ChkList!B59</f>
        <v>U-55</v>
      </c>
      <c r="C75" s="270" t="str">
        <f>ChkList!C59</f>
        <v>FTP 계정 Shell 제한</v>
      </c>
      <c r="D75" s="221"/>
      <c r="E75" s="222"/>
      <c r="F75" s="31" t="str">
        <f>ChkList!D59</f>
        <v>M</v>
      </c>
      <c r="G75" s="31">
        <f>ChkList!E59</f>
        <v>2</v>
      </c>
      <c r="H75" s="168" t="s">
        <v>50</v>
      </c>
      <c r="I75" s="167" t="s">
        <v>595</v>
      </c>
      <c r="J75" s="28" t="s">
        <v>378</v>
      </c>
      <c r="K75" s="28" t="str">
        <f t="shared" si="4"/>
        <v>Y</v>
      </c>
      <c r="L75" s="271" t="s">
        <v>323</v>
      </c>
      <c r="M75" s="272"/>
      <c r="N75" s="272"/>
      <c r="O75" s="272"/>
      <c r="P75" s="273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 customHeight="1">
      <c r="A76" s="31" t="str">
        <f>ChkList!A60</f>
        <v>서비스 관리</v>
      </c>
      <c r="B76" s="31" t="str">
        <f>ChkList!B60</f>
        <v>U-56</v>
      </c>
      <c r="C76" s="270" t="str">
        <f>ChkList!C60</f>
        <v>FTP 서비스 접근 제어 설정</v>
      </c>
      <c r="D76" s="221"/>
      <c r="E76" s="222"/>
      <c r="F76" s="31" t="str">
        <f>ChkList!D60</f>
        <v>L</v>
      </c>
      <c r="G76" s="31">
        <f>ChkList!E60</f>
        <v>1</v>
      </c>
      <c r="H76" s="168" t="s">
        <v>50</v>
      </c>
      <c r="I76" s="167" t="s">
        <v>597</v>
      </c>
      <c r="J76" s="28" t="s">
        <v>378</v>
      </c>
      <c r="K76" s="28" t="str">
        <f t="shared" si="4"/>
        <v>Y</v>
      </c>
      <c r="L76" s="271" t="s">
        <v>323</v>
      </c>
      <c r="M76" s="272"/>
      <c r="N76" s="272"/>
      <c r="O76" s="272"/>
      <c r="P76" s="273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 customHeight="1">
      <c r="A77" s="31" t="str">
        <f>ChkList!A61</f>
        <v>서비스 관리</v>
      </c>
      <c r="B77" s="31" t="str">
        <f>ChkList!B61</f>
        <v>U-57</v>
      </c>
      <c r="C77" s="270" t="str">
        <f>ChkList!C61</f>
        <v>Ftpusers 파일 설정</v>
      </c>
      <c r="D77" s="221"/>
      <c r="E77" s="222"/>
      <c r="F77" s="31" t="str">
        <f>ChkList!D61</f>
        <v>M</v>
      </c>
      <c r="G77" s="31">
        <f>ChkList!E61</f>
        <v>2</v>
      </c>
      <c r="H77" s="168" t="s">
        <v>50</v>
      </c>
      <c r="I77" s="167" t="s">
        <v>597</v>
      </c>
      <c r="J77" s="28" t="s">
        <v>378</v>
      </c>
      <c r="K77" s="28" t="str">
        <f t="shared" si="4"/>
        <v>Y</v>
      </c>
      <c r="L77" s="314" t="s">
        <v>323</v>
      </c>
      <c r="M77" s="272"/>
      <c r="N77" s="272"/>
      <c r="O77" s="272"/>
      <c r="P77" s="273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 customHeight="1">
      <c r="A78" s="31" t="str">
        <f>ChkList!A62</f>
        <v>서비스 관리</v>
      </c>
      <c r="B78" s="31" t="str">
        <f>ChkList!B62</f>
        <v>U-58</v>
      </c>
      <c r="C78" s="270" t="str">
        <f>ChkList!C62</f>
        <v>불필요한 SNMP 서비스 구동 점검</v>
      </c>
      <c r="D78" s="221"/>
      <c r="E78" s="222"/>
      <c r="F78" s="31" t="str">
        <f>ChkList!D62</f>
        <v>M</v>
      </c>
      <c r="G78" s="31">
        <f>ChkList!E62</f>
        <v>2</v>
      </c>
      <c r="H78" s="168" t="s">
        <v>50</v>
      </c>
      <c r="I78" s="167" t="s">
        <v>598</v>
      </c>
      <c r="J78" s="28" t="s">
        <v>378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70" t="s">
        <v>338</v>
      </c>
      <c r="M78" s="221"/>
      <c r="N78" s="221"/>
      <c r="O78" s="221"/>
      <c r="P78" s="222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 customHeight="1">
      <c r="A79" s="31" t="str">
        <f>ChkList!A63</f>
        <v>서비스 관리</v>
      </c>
      <c r="B79" s="31" t="str">
        <f>ChkList!B63</f>
        <v>U-59</v>
      </c>
      <c r="C79" s="270" t="str">
        <f>ChkList!C63</f>
        <v>안전한 SNMP 버전 사용</v>
      </c>
      <c r="D79" s="221"/>
      <c r="E79" s="222"/>
      <c r="F79" s="31" t="str">
        <f>ChkList!D63</f>
        <v>H</v>
      </c>
      <c r="G79" s="31">
        <f>ChkList!E63</f>
        <v>3</v>
      </c>
      <c r="H79" s="168" t="s">
        <v>50</v>
      </c>
      <c r="I79" s="167" t="s">
        <v>319</v>
      </c>
      <c r="J79" s="28" t="s">
        <v>378</v>
      </c>
      <c r="K79" s="28" t="str">
        <f t="shared" si="4"/>
        <v>Y</v>
      </c>
      <c r="L79" s="270" t="s">
        <v>339</v>
      </c>
      <c r="M79" s="221"/>
      <c r="N79" s="221"/>
      <c r="O79" s="221"/>
      <c r="P79" s="222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 customHeight="1">
      <c r="A80" s="31" t="str">
        <f>ChkList!A64</f>
        <v>서비스 관리</v>
      </c>
      <c r="B80" s="31" t="str">
        <f>ChkList!B64</f>
        <v>U-60</v>
      </c>
      <c r="C80" s="270" t="str">
        <f>ChkList!C64</f>
        <v>SNMP Community String 복잡성 설정</v>
      </c>
      <c r="D80" s="221"/>
      <c r="E80" s="222"/>
      <c r="F80" s="31" t="str">
        <f>ChkList!D64</f>
        <v>M</v>
      </c>
      <c r="G80" s="31">
        <f>ChkList!E64</f>
        <v>2</v>
      </c>
      <c r="H80" s="168" t="s">
        <v>50</v>
      </c>
      <c r="I80" s="167" t="s">
        <v>319</v>
      </c>
      <c r="J80" s="28" t="s">
        <v>378</v>
      </c>
      <c r="K80" s="28" t="str">
        <f t="shared" si="4"/>
        <v>Y</v>
      </c>
      <c r="L80" s="270" t="s">
        <v>340</v>
      </c>
      <c r="M80" s="221"/>
      <c r="N80" s="221"/>
      <c r="O80" s="221"/>
      <c r="P80" s="222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 customHeight="1">
      <c r="A81" s="31" t="str">
        <f>ChkList!A65</f>
        <v>서비스 관리</v>
      </c>
      <c r="B81" s="31" t="str">
        <f>ChkList!B65</f>
        <v>U-61</v>
      </c>
      <c r="C81" s="270" t="str">
        <f>ChkList!C65</f>
        <v>SNMP Access Control 설정</v>
      </c>
      <c r="D81" s="221"/>
      <c r="E81" s="222"/>
      <c r="F81" s="31" t="str">
        <f>ChkList!D65</f>
        <v>H</v>
      </c>
      <c r="G81" s="31">
        <f>ChkList!E65</f>
        <v>3</v>
      </c>
      <c r="H81" s="168" t="s">
        <v>50</v>
      </c>
      <c r="I81" s="167" t="s">
        <v>599</v>
      </c>
      <c r="J81" s="28" t="s">
        <v>378</v>
      </c>
      <c r="K81" s="28" t="str">
        <f t="shared" si="4"/>
        <v>Y</v>
      </c>
      <c r="L81" s="270" t="s">
        <v>341</v>
      </c>
      <c r="M81" s="221"/>
      <c r="N81" s="221"/>
      <c r="O81" s="221"/>
      <c r="P81" s="222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 customHeight="1">
      <c r="A82" s="31" t="str">
        <f>ChkList!A66</f>
        <v>서비스 관리</v>
      </c>
      <c r="B82" s="31" t="str">
        <f>ChkList!B66</f>
        <v>U-62</v>
      </c>
      <c r="C82" s="270" t="str">
        <f>ChkList!C66</f>
        <v>로그인 시 경고 메시지 설정</v>
      </c>
      <c r="D82" s="221"/>
      <c r="E82" s="222"/>
      <c r="F82" s="31" t="str">
        <f>ChkList!D66</f>
        <v>L</v>
      </c>
      <c r="G82" s="31">
        <f>ChkList!E66</f>
        <v>1</v>
      </c>
      <c r="H82" s="168" t="s">
        <v>50</v>
      </c>
      <c r="I82" s="164" t="s">
        <v>602</v>
      </c>
      <c r="J82" s="28" t="s">
        <v>378</v>
      </c>
      <c r="K82" s="28" t="str">
        <f t="shared" si="4"/>
        <v>Y</v>
      </c>
      <c r="L82" s="270" t="s">
        <v>342</v>
      </c>
      <c r="M82" s="221"/>
      <c r="N82" s="221"/>
      <c r="O82" s="221"/>
      <c r="P82" s="222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 customHeight="1">
      <c r="A83" s="31" t="str">
        <f>ChkList!A67</f>
        <v>서비스 관리</v>
      </c>
      <c r="B83" s="31" t="str">
        <f>ChkList!B67</f>
        <v>U-63</v>
      </c>
      <c r="C83" s="270" t="str">
        <f>ChkList!C67</f>
        <v>sudo 명령어 접근 관리</v>
      </c>
      <c r="D83" s="221"/>
      <c r="E83" s="222"/>
      <c r="F83" s="31" t="str">
        <f>ChkList!D67</f>
        <v>M</v>
      </c>
      <c r="G83" s="31">
        <f>ChkList!E67</f>
        <v>2</v>
      </c>
      <c r="H83" s="168" t="s">
        <v>50</v>
      </c>
      <c r="I83" s="167" t="s">
        <v>603</v>
      </c>
      <c r="J83" s="28" t="s">
        <v>378</v>
      </c>
      <c r="K83" s="28" t="str">
        <f t="shared" si="4"/>
        <v>Y</v>
      </c>
      <c r="L83" s="270" t="s">
        <v>343</v>
      </c>
      <c r="M83" s="221"/>
      <c r="N83" s="221"/>
      <c r="O83" s="221"/>
      <c r="P83" s="222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36" customHeight="1">
      <c r="A84" s="31" t="str">
        <f>ChkList!A68</f>
        <v>패치 관리</v>
      </c>
      <c r="B84" s="31" t="str">
        <f>ChkList!B68</f>
        <v>U-64</v>
      </c>
      <c r="C84" s="270" t="str">
        <f>ChkList!C68</f>
        <v>주기적 보안 패치 및 벤더 권고사항 적용</v>
      </c>
      <c r="D84" s="221"/>
      <c r="E84" s="222"/>
      <c r="F84" s="31" t="str">
        <f>ChkList!D68</f>
        <v>H</v>
      </c>
      <c r="G84" s="31">
        <f>ChkList!E68</f>
        <v>3</v>
      </c>
      <c r="H84" s="168" t="s">
        <v>50</v>
      </c>
      <c r="I84" s="167" t="s">
        <v>600</v>
      </c>
      <c r="J84" s="28" t="s">
        <v>378</v>
      </c>
      <c r="K84" s="28" t="str">
        <f t="shared" si="4"/>
        <v>Y</v>
      </c>
      <c r="L84" s="270" t="s">
        <v>337</v>
      </c>
      <c r="M84" s="221"/>
      <c r="N84" s="221"/>
      <c r="O84" s="221"/>
      <c r="P84" s="222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 customHeight="1">
      <c r="A85" s="31" t="str">
        <f>ChkList!A69</f>
        <v>로그 관리</v>
      </c>
      <c r="B85" s="31" t="str">
        <f>ChkList!B69</f>
        <v>U-65</v>
      </c>
      <c r="C85" s="270" t="str">
        <f>ChkList!C69</f>
        <v>NTP 및 시각 동기화 설정</v>
      </c>
      <c r="D85" s="221"/>
      <c r="E85" s="222"/>
      <c r="F85" s="31" t="str">
        <f>ChkList!D69</f>
        <v>M</v>
      </c>
      <c r="G85" s="31">
        <f>ChkList!E69</f>
        <v>2</v>
      </c>
      <c r="H85" s="168" t="s">
        <v>50</v>
      </c>
      <c r="I85" s="167" t="s">
        <v>605</v>
      </c>
      <c r="J85" s="28" t="s">
        <v>378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70" t="s">
        <v>337</v>
      </c>
      <c r="M85" s="221"/>
      <c r="N85" s="221"/>
      <c r="O85" s="221"/>
      <c r="P85" s="222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 customHeight="1">
      <c r="A86" s="31" t="str">
        <f>ChkList!A70</f>
        <v>로그 관리</v>
      </c>
      <c r="B86" s="31" t="str">
        <f>ChkList!B70</f>
        <v>U-66</v>
      </c>
      <c r="C86" s="270" t="str">
        <f>ChkList!C70</f>
        <v>정책에 따른 시스템 로깅 설정</v>
      </c>
      <c r="D86" s="221"/>
      <c r="E86" s="222"/>
      <c r="F86" s="31" t="str">
        <f>ChkList!D70</f>
        <v>M</v>
      </c>
      <c r="G86" s="31">
        <f>ChkList!E70</f>
        <v>2</v>
      </c>
      <c r="H86" s="168" t="s">
        <v>50</v>
      </c>
      <c r="I86" s="167" t="s">
        <v>601</v>
      </c>
      <c r="J86" s="28" t="s">
        <v>378</v>
      </c>
      <c r="K86" s="28" t="str">
        <f t="shared" si="5"/>
        <v>Y</v>
      </c>
      <c r="L86" s="270" t="s">
        <v>336</v>
      </c>
      <c r="M86" s="221"/>
      <c r="N86" s="221"/>
      <c r="O86" s="221"/>
      <c r="P86" s="222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 customHeight="1">
      <c r="A87" s="31" t="str">
        <f>ChkList!A71</f>
        <v>로그 관리</v>
      </c>
      <c r="B87" s="31" t="str">
        <f>ChkList!B71</f>
        <v>U-67</v>
      </c>
      <c r="C87" s="270" t="str">
        <f>ChkList!C71</f>
        <v>로그 디렉터리 소유자 및 권한 설정</v>
      </c>
      <c r="D87" s="221"/>
      <c r="E87" s="222"/>
      <c r="F87" s="31" t="str">
        <f>ChkList!D71</f>
        <v>M</v>
      </c>
      <c r="G87" s="31">
        <f>ChkList!E71</f>
        <v>2</v>
      </c>
      <c r="H87" s="168" t="s">
        <v>50</v>
      </c>
      <c r="I87" s="167" t="s">
        <v>604</v>
      </c>
      <c r="J87" s="28" t="s">
        <v>378</v>
      </c>
      <c r="K87" s="28" t="str">
        <f t="shared" si="5"/>
        <v>Y</v>
      </c>
      <c r="L87" s="270" t="s">
        <v>335</v>
      </c>
      <c r="M87" s="221"/>
      <c r="N87" s="221"/>
      <c r="O87" s="221"/>
      <c r="P87" s="222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194" priority="185" operator="containsText" text="N">
      <formula>NOT(ISERROR(SEARCH("N",H21)))</formula>
    </cfRule>
    <cfRule type="cellIs" priority="186" operator="equal">
      <formula>"취약"</formula>
    </cfRule>
    <cfRule type="cellIs" priority="187" operator="equal">
      <formula>"양호"</formula>
    </cfRule>
  </conditionalFormatting>
  <conditionalFormatting sqref="J40:J42">
    <cfRule type="containsText" dxfId="193" priority="49" operator="containsText" text="N">
      <formula>NOT(ISERROR(SEARCH("N",J40)))</formula>
    </cfRule>
    <cfRule type="cellIs" priority="50" operator="equal">
      <formula>"취약"</formula>
    </cfRule>
    <cfRule type="cellIs" priority="51" operator="equal">
      <formula>"양호"</formula>
    </cfRule>
  </conditionalFormatting>
  <conditionalFormatting sqref="J44">
    <cfRule type="containsText" dxfId="192" priority="46" operator="containsText" text="N">
      <formula>NOT(ISERROR(SEARCH("N",J44)))</formula>
    </cfRule>
    <cfRule type="cellIs" priority="47" operator="equal">
      <formula>"취약"</formula>
    </cfRule>
    <cfRule type="cellIs" priority="48" operator="equal">
      <formula>"양호"</formula>
    </cfRule>
  </conditionalFormatting>
  <conditionalFormatting sqref="J46:J47">
    <cfRule type="containsText" dxfId="191" priority="40" operator="containsText" text="N">
      <formula>NOT(ISERROR(SEARCH("N",J46)))</formula>
    </cfRule>
    <cfRule type="cellIs" priority="41" operator="equal">
      <formula>"취약"</formula>
    </cfRule>
    <cfRule type="cellIs" priority="42" operator="equal">
      <formula>"양호"</formula>
    </cfRule>
  </conditionalFormatting>
  <conditionalFormatting sqref="J49">
    <cfRule type="containsText" dxfId="190" priority="37" operator="containsText" text="N">
      <formula>NOT(ISERROR(SEARCH("N",J49)))</formula>
    </cfRule>
    <cfRule type="cellIs" priority="38" operator="equal">
      <formula>"취약"</formula>
    </cfRule>
    <cfRule type="cellIs" priority="39" operator="equal">
      <formula>"양호"</formula>
    </cfRule>
  </conditionalFormatting>
  <conditionalFormatting sqref="J58">
    <cfRule type="containsText" dxfId="189" priority="34" operator="containsText" text="N">
      <formula>NOT(ISERROR(SEARCH("N",J58)))</formula>
    </cfRule>
    <cfRule type="cellIs" priority="35" operator="equal">
      <formula>"취약"</formula>
    </cfRule>
    <cfRule type="cellIs" priority="36" operator="equal">
      <formula>"양호"</formula>
    </cfRule>
  </conditionalFormatting>
  <conditionalFormatting sqref="J69:J87">
    <cfRule type="cellIs" dxfId="188" priority="6" stopIfTrue="1" operator="equal">
      <formula>"인터뷰"</formula>
    </cfRule>
    <cfRule type="cellIs" dxfId="187" priority="7" stopIfTrue="1" operator="equal">
      <formula>"R/A"</formula>
    </cfRule>
    <cfRule type="cellIs" dxfId="186" priority="8" stopIfTrue="1" operator="equal">
      <formula>"N/A"</formula>
    </cfRule>
    <cfRule type="cellIs" dxfId="185" priority="9" stopIfTrue="1" operator="equal">
      <formula>"N"</formula>
    </cfRule>
    <cfRule type="expression" dxfId="184" priority="10">
      <formula>OR(IF(J69=0,1,0),IF(J69="-",1,0))</formula>
    </cfRule>
  </conditionalFormatting>
  <conditionalFormatting sqref="J21:K39 K40:K42 J43:K43 K44 J45:K45 K46:K47 J48:K48 K49 J50:K57 K58 J59:K68">
    <cfRule type="cellIs" dxfId="183" priority="66" stopIfTrue="1" operator="equal">
      <formula>"인터뷰"</formula>
    </cfRule>
    <cfRule type="cellIs" dxfId="182" priority="67" stopIfTrue="1" operator="equal">
      <formula>"R/A"</formula>
    </cfRule>
    <cfRule type="cellIs" dxfId="181" priority="68" stopIfTrue="1" operator="equal">
      <formula>"N/A"</formula>
    </cfRule>
    <cfRule type="cellIs" dxfId="180" priority="69" stopIfTrue="1" operator="equal">
      <formula>"N"</formula>
    </cfRule>
    <cfRule type="expression" dxfId="179" priority="70">
      <formula>OR(IF(J21=0,1,0),IF(J21="-",1,0))</formula>
    </cfRule>
  </conditionalFormatting>
  <conditionalFormatting sqref="K21:K87">
    <cfRule type="cellIs" dxfId="178" priority="26" operator="equal">
      <formula>"위험수용"</formula>
    </cfRule>
    <cfRule type="cellIs" dxfId="177" priority="27" operator="equal">
      <formula>"미조치"</formula>
    </cfRule>
    <cfRule type="cellIs" dxfId="176" priority="28" operator="equal">
      <formula>"조치"</formula>
    </cfRule>
  </conditionalFormatting>
  <conditionalFormatting sqref="K69:K87">
    <cfRule type="cellIs" dxfId="175" priority="29" stopIfTrue="1" operator="equal">
      <formula>"인터뷰"</formula>
    </cfRule>
    <cfRule type="cellIs" dxfId="174" priority="30" stopIfTrue="1" operator="equal">
      <formula>"R/A"</formula>
    </cfRule>
    <cfRule type="cellIs" dxfId="173" priority="31" stopIfTrue="1" operator="equal">
      <formula>"N/A"</formula>
    </cfRule>
    <cfRule type="cellIs" dxfId="172" priority="32" stopIfTrue="1" operator="equal">
      <formula>"N"</formula>
    </cfRule>
    <cfRule type="expression" dxfId="171" priority="33">
      <formula>OR(IF(K69=0,1,0),IF(K69="-",1,0))</formula>
    </cfRule>
  </conditionalFormatting>
  <conditionalFormatting sqref="L21:L87">
    <cfRule type="cellIs" dxfId="170" priority="11" stopIfTrue="1" operator="equal">
      <formula>"인터뷰"</formula>
    </cfRule>
    <cfRule type="cellIs" dxfId="169" priority="12" stopIfTrue="1" operator="equal">
      <formula>"R/A"</formula>
    </cfRule>
    <cfRule type="cellIs" dxfId="168" priority="13" stopIfTrue="1" operator="equal">
      <formula>"N/A"</formula>
    </cfRule>
    <cfRule type="cellIs" dxfId="167" priority="14" stopIfTrue="1" operator="equal">
      <formula>"N"</formula>
    </cfRule>
    <cfRule type="expression" dxfId="166" priority="15">
      <formula>OR(IF(L21=0,1,0),IF(L21="-",1,0))</formula>
    </cfRule>
  </conditionalFormatting>
  <conditionalFormatting sqref="Y21:Y58">
    <cfRule type="cellIs" dxfId="165" priority="201" operator="equal">
      <formula>"신규 취약점(즉시조치)"</formula>
    </cfRule>
    <cfRule type="cellIs" dxfId="164" priority="202" operator="equal">
      <formula>"기존 취약점(즉시조치)"</formula>
    </cfRule>
    <cfRule type="cellIs" dxfId="163" priority="203" operator="equal">
      <formula>"기존 취약점"</formula>
    </cfRule>
    <cfRule type="cellIs" dxfId="162" priority="204" operator="equal">
      <formula>"신규 취약점"</formula>
    </cfRule>
    <cfRule type="cellIs" dxfId="161" priority="205" operator="equal">
      <formula>"확인필요"</formula>
    </cfRule>
    <cfRule type="cellIs" dxfId="160" priority="206" operator="equal">
      <formula>"확인필요"</formula>
    </cfRule>
    <cfRule type="cellIs" dxfId="159" priority="207" operator="equal">
      <formula>"신규취약점"</formula>
    </cfRule>
    <cfRule type="cellIs" dxfId="158" priority="208" operator="equal">
      <formula>"조치완료"</formula>
    </cfRule>
  </conditionalFormatting>
  <dataValidations count="4">
    <dataValidation errorStyle="warning" allowBlank="1" showInputMessage="1" showErrorMessage="1" sqref="K21:K64 K66:K87"/>
    <dataValidation type="list" errorStyle="warning" showInputMessage="1" showErrorMessage="1" errorTitle="오류!" error="Y, N, N/A 중에 선택" sqref="J50:J57 J21:J39 J43 J45 J48 J59:J87 K65">
      <formula1>"Y,N,N/A,인터뷰,Y(즉시조치)"</formula1>
    </dataValidation>
    <dataValidation type="list" errorStyle="warning" allowBlank="1" showInputMessage="1" showErrorMessage="1" errorTitle="오류!" error="Y, N, N/A 중에 선택" sqref="H21:H87 J58 J40:J42 J44 J46:J47 J49">
      <formula1>"Y,N,N/A,인터뷰,Y(즉시조치)"</formula1>
    </dataValidation>
    <dataValidation allowBlank="1" showInputMessage="1" showErrorMessage="1" errorTitle="오류!" error="Y, N, N/A 중에 선택" sqref="L21:L87 I21:I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87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54" t="s">
        <v>213</v>
      </c>
      <c r="B3" s="54"/>
      <c r="C3" s="54"/>
      <c r="D3" s="54"/>
      <c r="E3" s="54"/>
      <c r="F3" s="54"/>
      <c r="G3" s="54"/>
      <c r="H3" s="5"/>
      <c r="I3" s="5"/>
      <c r="R3" s="5" t="s">
        <v>214</v>
      </c>
      <c r="X3" s="5"/>
      <c r="Y3" s="5"/>
    </row>
    <row r="4" spans="1:25" ht="17.100000000000001" customHeight="1">
      <c r="A4" s="126" t="s">
        <v>215</v>
      </c>
      <c r="B4" s="307" t="str">
        <f ca="1">REPLACE(CELL("filename",A1),1,FIND("]",CELL("filename",A1)),"")</f>
        <v>LOG_BR_Rocky</v>
      </c>
      <c r="C4" s="247"/>
      <c r="D4" s="308" t="s">
        <v>216</v>
      </c>
      <c r="E4" s="250"/>
      <c r="F4" s="310" t="str">
        <f ca="1">IFERROR(VLOOKUP($B$4,자산목록!$B$1:$Q$835,8,FALSE),"N/A")</f>
        <v>지사 LOG 서버</v>
      </c>
      <c r="G4" s="311"/>
      <c r="H4" s="63"/>
      <c r="I4" s="55"/>
      <c r="R4" s="25" t="s">
        <v>15</v>
      </c>
      <c r="S4" s="41">
        <f ca="1">IFERROR(VLOOKUP($B$4,자산목록!$B$1:$Q$835,13,FALSE),"N/A")</f>
        <v>3</v>
      </c>
      <c r="T4" s="309" t="s">
        <v>217</v>
      </c>
      <c r="U4" s="287" t="str">
        <f ca="1">IFERROR(VLOOKUP($B$4,자산목록!$B$1:$Q$835,16,FALSE),"N/A")</f>
        <v>H</v>
      </c>
      <c r="X4" s="5"/>
      <c r="Y4" s="5"/>
    </row>
    <row r="5" spans="1:25" ht="17.100000000000001" customHeight="1">
      <c r="A5" s="127" t="s">
        <v>218</v>
      </c>
      <c r="B5" s="301" t="str">
        <f ca="1">IFERROR(VLOOKUP($B$4,자산목록!$B$1:$Q$835,6,FALSE)&amp;" "&amp;VLOOKUP($B$4,자산목록!$B$1:$Q$835,7,FALSE),"N/A")</f>
        <v>Rocky 8.1</v>
      </c>
      <c r="C5" s="222"/>
      <c r="D5" s="302" t="s">
        <v>219</v>
      </c>
      <c r="E5" s="303"/>
      <c r="F5" s="301" t="str">
        <f ca="1">IFERROR(VLOOKUP($B$4,자산목록!$B$1:$Q$835,2,FALSE),"N/A")</f>
        <v>10.200.40.3</v>
      </c>
      <c r="G5" s="222"/>
      <c r="H5" s="63"/>
      <c r="I5" s="55"/>
      <c r="R5" s="25" t="s">
        <v>16</v>
      </c>
      <c r="S5" s="41">
        <f ca="1">IFERROR(VLOOKUP($B$4,자산목록!$B$1:$Q$835,14,FALSE),"N/A")</f>
        <v>3</v>
      </c>
      <c r="T5" s="226"/>
      <c r="U5" s="226"/>
      <c r="X5" s="5"/>
      <c r="Y5" s="5"/>
    </row>
    <row r="6" spans="1:25" ht="17.100000000000001" customHeight="1">
      <c r="A6" s="128" t="s">
        <v>12</v>
      </c>
      <c r="B6" s="304" t="str">
        <f ca="1">IFERROR(VLOOKUP($B$4,자산목록!$B$1:$Q$835,11,FALSE),"N/A")</f>
        <v>조아린</v>
      </c>
      <c r="C6" s="234"/>
      <c r="D6" s="305" t="s">
        <v>220</v>
      </c>
      <c r="E6" s="306"/>
      <c r="F6" s="304" t="str">
        <f ca="1">IFERROR(VLOOKUP($B$4,자산목록!$B$1:$Q$835,9,FALSE),"N/A")</f>
        <v>지사 DMZ망</v>
      </c>
      <c r="G6" s="234"/>
      <c r="H6" s="63"/>
      <c r="I6" s="55"/>
      <c r="R6" s="25" t="s">
        <v>17</v>
      </c>
      <c r="S6" s="41">
        <f ca="1">IFERROR(VLOOKUP($B$4,자산목록!$B$1:$Q$835,15,FALSE),"N/A")</f>
        <v>3</v>
      </c>
      <c r="T6" s="225"/>
      <c r="U6" s="22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>
      <c r="A9" s="56" t="s">
        <v>222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>
      <c r="A10" s="297" t="s">
        <v>77</v>
      </c>
      <c r="B10" s="213"/>
      <c r="C10" s="213"/>
      <c r="D10" s="296" t="s">
        <v>223</v>
      </c>
      <c r="E10" s="236"/>
      <c r="F10" s="236"/>
      <c r="G10" s="236"/>
      <c r="H10" s="236"/>
      <c r="I10" s="298" t="s">
        <v>224</v>
      </c>
      <c r="J10" s="300" t="s">
        <v>190</v>
      </c>
      <c r="K10" s="236"/>
      <c r="L10" s="236"/>
      <c r="M10" s="236"/>
      <c r="N10" s="236"/>
      <c r="O10" s="245"/>
      <c r="R10" s="289" t="s">
        <v>225</v>
      </c>
      <c r="S10" s="221"/>
      <c r="T10" s="221"/>
      <c r="U10" s="222"/>
      <c r="V10" s="283" t="s">
        <v>224</v>
      </c>
      <c r="W10" s="221"/>
      <c r="X10" s="221"/>
      <c r="Y10" s="222"/>
    </row>
    <row r="11" spans="1:25" ht="20.100000000000001" customHeight="1">
      <c r="A11" s="254"/>
      <c r="B11" s="255"/>
      <c r="C11" s="255"/>
      <c r="D11" s="129" t="s">
        <v>205</v>
      </c>
      <c r="E11" s="130" t="s">
        <v>181</v>
      </c>
      <c r="F11" s="131" t="s">
        <v>182</v>
      </c>
      <c r="G11" s="132" t="s">
        <v>53</v>
      </c>
      <c r="H11" s="157" t="s">
        <v>226</v>
      </c>
      <c r="I11" s="299"/>
      <c r="J11" s="143" t="s">
        <v>191</v>
      </c>
      <c r="K11" s="133" t="s">
        <v>192</v>
      </c>
      <c r="L11" s="134" t="s">
        <v>193</v>
      </c>
      <c r="M11" s="134" t="s">
        <v>53</v>
      </c>
      <c r="N11" s="134" t="s">
        <v>199</v>
      </c>
      <c r="O11" s="135" t="s">
        <v>226</v>
      </c>
      <c r="R11" s="49" t="s">
        <v>227</v>
      </c>
      <c r="S11" s="50" t="s">
        <v>228</v>
      </c>
      <c r="T11" s="50" t="s">
        <v>229</v>
      </c>
      <c r="U11" s="52" t="s">
        <v>230</v>
      </c>
      <c r="V11" s="288" t="s">
        <v>77</v>
      </c>
      <c r="W11" s="222"/>
      <c r="X11" s="11" t="s">
        <v>223</v>
      </c>
      <c r="Y11" s="11" t="s">
        <v>190</v>
      </c>
    </row>
    <row r="12" spans="1:25" ht="32.1" customHeight="1">
      <c r="A12" s="276" t="str">
        <f>ChkList!A6</f>
        <v>계정 관리</v>
      </c>
      <c r="B12" s="221"/>
      <c r="C12" s="222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90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87">
        <f>B12</f>
        <v>0</v>
      </c>
      <c r="W12" s="222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76" t="str">
        <f>ChkList!A20</f>
        <v>파일 및 디렉터리 관리</v>
      </c>
      <c r="B13" s="221"/>
      <c r="C13" s="222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91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 t="shared" si="1"/>
        <v>53</v>
      </c>
      <c r="U13" s="41">
        <f t="shared" si="1"/>
        <v>53</v>
      </c>
      <c r="V13" s="287">
        <f>B13</f>
        <v>0</v>
      </c>
      <c r="W13" s="222"/>
      <c r="X13" s="64">
        <f t="shared" ref="X13:X17" ca="1" si="3">H13</f>
        <v>1</v>
      </c>
      <c r="Y13" s="64">
        <f t="shared" ca="1" si="2"/>
        <v>1</v>
      </c>
    </row>
    <row r="14" spans="1:25" ht="32.1" customHeight="1">
      <c r="A14" s="276" t="str">
        <f>ChkList!A37</f>
        <v>파일 및 디렉터리 관리</v>
      </c>
      <c r="B14" s="221"/>
      <c r="C14" s="222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91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 t="shared" si="1"/>
        <v>53</v>
      </c>
      <c r="U14" s="41">
        <f t="shared" si="1"/>
        <v>53</v>
      </c>
      <c r="V14" s="287">
        <f>B14</f>
        <v>0</v>
      </c>
      <c r="W14" s="222"/>
      <c r="X14" s="64">
        <f t="shared" ca="1" si="3"/>
        <v>1</v>
      </c>
      <c r="Y14" s="64">
        <f t="shared" ca="1" si="2"/>
        <v>1</v>
      </c>
    </row>
    <row r="15" spans="1:25" ht="32.1" customHeight="1">
      <c r="A15" s="276" t="str">
        <f>ChkList!A69</f>
        <v>로그 관리</v>
      </c>
      <c r="B15" s="221"/>
      <c r="C15" s="222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91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87">
        <f>B15</f>
        <v>0</v>
      </c>
      <c r="W15" s="222"/>
      <c r="X15" s="64">
        <f t="shared" ca="1" si="3"/>
        <v>1</v>
      </c>
      <c r="Y15" s="64">
        <f t="shared" ca="1" si="2"/>
        <v>1</v>
      </c>
    </row>
    <row r="16" spans="1:25" ht="32.1" customHeight="1">
      <c r="A16" s="276" t="str">
        <f>ChkList!A70</f>
        <v>로그 관리</v>
      </c>
      <c r="B16" s="221"/>
      <c r="C16" s="222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91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85">
        <f>B16</f>
        <v>0</v>
      </c>
      <c r="W16" s="286"/>
      <c r="X16" s="68">
        <f t="shared" ca="1" si="3"/>
        <v>1</v>
      </c>
      <c r="Y16" s="68">
        <f t="shared" ca="1" si="2"/>
        <v>1</v>
      </c>
    </row>
    <row r="17" spans="1:25" ht="20.100000000000001" customHeight="1">
      <c r="A17" s="293" t="s">
        <v>231</v>
      </c>
      <c r="B17" s="294"/>
      <c r="C17" s="295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92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84" t="s">
        <v>232</v>
      </c>
      <c r="W17" s="256"/>
      <c r="X17" s="67">
        <f t="shared" ca="1" si="3"/>
        <v>1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>
      <c r="A19" s="9" t="s">
        <v>233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234</v>
      </c>
      <c r="S19" s="17"/>
    </row>
    <row r="20" spans="1:25" ht="21.95" customHeight="1">
      <c r="A20" s="277" t="s">
        <v>77</v>
      </c>
      <c r="B20" s="278"/>
      <c r="C20" s="279" t="s">
        <v>235</v>
      </c>
      <c r="D20" s="280"/>
      <c r="E20" s="280"/>
      <c r="F20" s="281" t="s">
        <v>41</v>
      </c>
      <c r="G20" s="280"/>
      <c r="H20" s="165" t="s">
        <v>178</v>
      </c>
      <c r="I20" s="166" t="s">
        <v>236</v>
      </c>
      <c r="J20" s="159" t="s">
        <v>190</v>
      </c>
      <c r="K20" s="144" t="s">
        <v>237</v>
      </c>
      <c r="L20" s="282" t="s">
        <v>322</v>
      </c>
      <c r="M20" s="280"/>
      <c r="N20" s="280"/>
      <c r="O20" s="280"/>
      <c r="P20" s="278"/>
      <c r="Q20" s="145" t="s">
        <v>76</v>
      </c>
      <c r="R20" s="53" t="s">
        <v>239</v>
      </c>
      <c r="S20" s="52" t="s">
        <v>228</v>
      </c>
      <c r="T20" s="25" t="s">
        <v>229</v>
      </c>
      <c r="U20" s="52" t="s">
        <v>230</v>
      </c>
      <c r="V20" s="275" t="s">
        <v>190</v>
      </c>
      <c r="W20" s="222"/>
      <c r="Y20" s="69"/>
    </row>
    <row r="21" spans="1:25" ht="36">
      <c r="A21" s="31" t="str">
        <f>ChkList!A5</f>
        <v>계정 관리</v>
      </c>
      <c r="B21" s="31" t="str">
        <f>ChkList!B5</f>
        <v>U-01</v>
      </c>
      <c r="C21" s="270" t="str">
        <f>ChkList!C5</f>
        <v>root 계정 원격 접속 제한</v>
      </c>
      <c r="D21" s="221"/>
      <c r="E21" s="222"/>
      <c r="F21" s="31" t="str">
        <f>ChkList!D5</f>
        <v>H</v>
      </c>
      <c r="G21" s="31">
        <f>ChkList!E5</f>
        <v>3</v>
      </c>
      <c r="H21" s="168" t="s">
        <v>50</v>
      </c>
      <c r="I21" s="167" t="s">
        <v>240</v>
      </c>
      <c r="J21" s="28" t="s">
        <v>374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70" t="s">
        <v>373</v>
      </c>
      <c r="M21" s="221"/>
      <c r="N21" s="221"/>
      <c r="O21" s="221"/>
      <c r="P21" s="222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241</v>
      </c>
      <c r="W21" s="42" t="s">
        <v>42</v>
      </c>
      <c r="Y21" s="10"/>
    </row>
    <row r="22" spans="1:25" ht="36">
      <c r="A22" s="31" t="str">
        <f>ChkList!A6</f>
        <v>계정 관리</v>
      </c>
      <c r="B22" s="31" t="str">
        <f>ChkList!B6</f>
        <v>U-02</v>
      </c>
      <c r="C22" s="270" t="str">
        <f>ChkList!C6</f>
        <v>비밀번호 관리정책 설정</v>
      </c>
      <c r="D22" s="221"/>
      <c r="E22" s="222"/>
      <c r="F22" s="31" t="str">
        <f>ChkList!D6</f>
        <v>H</v>
      </c>
      <c r="G22" s="31">
        <f>ChkList!E6</f>
        <v>3</v>
      </c>
      <c r="H22" s="168" t="s">
        <v>50</v>
      </c>
      <c r="I22" s="167" t="s">
        <v>243</v>
      </c>
      <c r="J22" s="28" t="s">
        <v>50</v>
      </c>
      <c r="K22" s="28" t="str">
        <f t="shared" si="4"/>
        <v>Y</v>
      </c>
      <c r="L22" s="270" t="s">
        <v>243</v>
      </c>
      <c r="M22" s="221"/>
      <c r="N22" s="221"/>
      <c r="O22" s="221"/>
      <c r="P22" s="222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191</v>
      </c>
      <c r="W22" s="28">
        <v>1</v>
      </c>
      <c r="Y22" s="10"/>
    </row>
    <row r="23" spans="1:25" ht="36">
      <c r="A23" s="31" t="str">
        <f>ChkList!A7</f>
        <v>계정 관리</v>
      </c>
      <c r="B23" s="31" t="str">
        <f>ChkList!B7</f>
        <v>U-03</v>
      </c>
      <c r="C23" s="270" t="str">
        <f>ChkList!C7</f>
        <v>계정 잠금 임계값 설정</v>
      </c>
      <c r="D23" s="221"/>
      <c r="E23" s="222"/>
      <c r="F23" s="31" t="str">
        <f>ChkList!D7</f>
        <v>H</v>
      </c>
      <c r="G23" s="31">
        <f>ChkList!E7</f>
        <v>3</v>
      </c>
      <c r="H23" s="168" t="s">
        <v>50</v>
      </c>
      <c r="I23" s="167" t="s">
        <v>245</v>
      </c>
      <c r="J23" s="28" t="s">
        <v>50</v>
      </c>
      <c r="K23" s="28" t="str">
        <f t="shared" si="4"/>
        <v>Y</v>
      </c>
      <c r="L23" s="270" t="s">
        <v>245</v>
      </c>
      <c r="M23" s="221"/>
      <c r="N23" s="221"/>
      <c r="O23" s="221"/>
      <c r="P23" s="222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192</v>
      </c>
      <c r="W23" s="28">
        <v>0</v>
      </c>
      <c r="Y23" s="10"/>
    </row>
    <row r="24" spans="1:25" ht="36">
      <c r="A24" s="31" t="str">
        <f>ChkList!A8</f>
        <v>계정 관리</v>
      </c>
      <c r="B24" s="31" t="str">
        <f>ChkList!B8</f>
        <v>U-04</v>
      </c>
      <c r="C24" s="270" t="str">
        <f>ChkList!C8</f>
        <v>비밀번호 파일 보호</v>
      </c>
      <c r="D24" s="221"/>
      <c r="E24" s="222"/>
      <c r="F24" s="31" t="str">
        <f>ChkList!D8</f>
        <v>H</v>
      </c>
      <c r="G24" s="31">
        <f>ChkList!E8</f>
        <v>3</v>
      </c>
      <c r="H24" s="168" t="s">
        <v>50</v>
      </c>
      <c r="I24" s="167" t="s">
        <v>324</v>
      </c>
      <c r="J24" s="28" t="s">
        <v>375</v>
      </c>
      <c r="K24" s="28" t="str">
        <f t="shared" si="4"/>
        <v>Y</v>
      </c>
      <c r="L24" s="270" t="s">
        <v>324</v>
      </c>
      <c r="M24" s="221"/>
      <c r="N24" s="221"/>
      <c r="O24" s="221"/>
      <c r="P24" s="222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193</v>
      </c>
      <c r="W24" s="28">
        <v>0</v>
      </c>
      <c r="Y24" s="10"/>
    </row>
    <row r="25" spans="1:25" ht="36">
      <c r="A25" s="31" t="str">
        <f>ChkList!A9</f>
        <v>계정 관리</v>
      </c>
      <c r="B25" s="31" t="str">
        <f>ChkList!B9</f>
        <v>U-05</v>
      </c>
      <c r="C25" s="270" t="str">
        <f>ChkList!C9</f>
        <v>root 이외의 UID가 ‘0’ 금지</v>
      </c>
      <c r="D25" s="221"/>
      <c r="E25" s="222"/>
      <c r="F25" s="31" t="str">
        <f>ChkList!D9</f>
        <v>H</v>
      </c>
      <c r="G25" s="31">
        <f>ChkList!E9</f>
        <v>3</v>
      </c>
      <c r="H25" s="168" t="s">
        <v>50</v>
      </c>
      <c r="I25" s="167" t="s">
        <v>247</v>
      </c>
      <c r="J25" s="28" t="s">
        <v>376</v>
      </c>
      <c r="K25" s="28" t="str">
        <f t="shared" si="4"/>
        <v>Y</v>
      </c>
      <c r="L25" s="270" t="s">
        <v>372</v>
      </c>
      <c r="M25" s="221"/>
      <c r="N25" s="221"/>
      <c r="O25" s="221"/>
      <c r="P25" s="222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53</v>
      </c>
      <c r="W25" s="28">
        <v>0</v>
      </c>
      <c r="Y25" s="10"/>
    </row>
    <row r="26" spans="1:25" ht="36">
      <c r="A26" s="31" t="str">
        <f>ChkList!A10</f>
        <v>계정 관리</v>
      </c>
      <c r="B26" s="31" t="str">
        <f>ChkList!B10</f>
        <v>U-06</v>
      </c>
      <c r="C26" s="270" t="str">
        <f>ChkList!C10</f>
        <v>사용자 계정 su 기능 제한</v>
      </c>
      <c r="D26" s="221"/>
      <c r="E26" s="222"/>
      <c r="F26" s="31" t="str">
        <f>ChkList!D10</f>
        <v>H</v>
      </c>
      <c r="G26" s="31">
        <f>ChkList!E10</f>
        <v>3</v>
      </c>
      <c r="H26" s="168" t="s">
        <v>50</v>
      </c>
      <c r="I26" s="167" t="s">
        <v>248</v>
      </c>
      <c r="J26" s="28" t="s">
        <v>377</v>
      </c>
      <c r="K26" s="28" t="str">
        <f t="shared" si="4"/>
        <v>Y</v>
      </c>
      <c r="L26" s="270" t="s">
        <v>371</v>
      </c>
      <c r="M26" s="221"/>
      <c r="N26" s="221"/>
      <c r="O26" s="221"/>
      <c r="P26" s="222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50</v>
      </c>
      <c r="W26" s="28">
        <v>1</v>
      </c>
      <c r="Y26" s="10"/>
    </row>
    <row r="27" spans="1:25" ht="36">
      <c r="A27" s="31" t="str">
        <f>ChkList!A11</f>
        <v>계정 관리</v>
      </c>
      <c r="B27" s="31" t="str">
        <f>ChkList!B11</f>
        <v>U-07</v>
      </c>
      <c r="C27" s="270" t="str">
        <f>ChkList!C11</f>
        <v>불필요한 계정 제거</v>
      </c>
      <c r="D27" s="221"/>
      <c r="E27" s="222"/>
      <c r="F27" s="31" t="str">
        <f>ChkList!D11</f>
        <v>L</v>
      </c>
      <c r="G27" s="31">
        <f>ChkList!E11</f>
        <v>1</v>
      </c>
      <c r="H27" s="168" t="s">
        <v>50</v>
      </c>
      <c r="I27" s="167" t="s">
        <v>249</v>
      </c>
      <c r="J27" s="28" t="s">
        <v>378</v>
      </c>
      <c r="K27" s="28" t="str">
        <f t="shared" si="4"/>
        <v>Y</v>
      </c>
      <c r="L27" s="270" t="s">
        <v>370</v>
      </c>
      <c r="M27" s="221"/>
      <c r="N27" s="221"/>
      <c r="O27" s="221"/>
      <c r="P27" s="222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55</v>
      </c>
      <c r="W27" s="28">
        <v>1</v>
      </c>
      <c r="Y27" s="10"/>
    </row>
    <row r="28" spans="1:25" ht="36">
      <c r="A28" s="31" t="str">
        <f>ChkList!A12</f>
        <v>계정 관리</v>
      </c>
      <c r="B28" s="31" t="str">
        <f>ChkList!B12</f>
        <v>U-08</v>
      </c>
      <c r="C28" s="270" t="str">
        <f>ChkList!C12</f>
        <v>관리자 그룹에 최소한의 계정 포함</v>
      </c>
      <c r="D28" s="221"/>
      <c r="E28" s="222"/>
      <c r="F28" s="31" t="str">
        <f>ChkList!D12</f>
        <v>M</v>
      </c>
      <c r="G28" s="31">
        <f>ChkList!E12</f>
        <v>2</v>
      </c>
      <c r="H28" s="168" t="s">
        <v>50</v>
      </c>
      <c r="I28" s="167" t="s">
        <v>250</v>
      </c>
      <c r="J28" s="28" t="s">
        <v>377</v>
      </c>
      <c r="K28" s="28" t="str">
        <f t="shared" si="4"/>
        <v>Y</v>
      </c>
      <c r="L28" s="270" t="s">
        <v>369</v>
      </c>
      <c r="M28" s="221"/>
      <c r="N28" s="221"/>
      <c r="O28" s="221"/>
      <c r="P28" s="222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>
      <c r="A29" s="31" t="str">
        <f>ChkList!A13</f>
        <v>계정 관리</v>
      </c>
      <c r="B29" s="31" t="str">
        <f>ChkList!B13</f>
        <v>U-09</v>
      </c>
      <c r="C29" s="270" t="str">
        <f>ChkList!C13</f>
        <v>계정이 존재하지 않는 GID 금지</v>
      </c>
      <c r="D29" s="221"/>
      <c r="E29" s="222"/>
      <c r="F29" s="31" t="str">
        <f>ChkList!D13</f>
        <v>L</v>
      </c>
      <c r="G29" s="31">
        <f>ChkList!E13</f>
        <v>1</v>
      </c>
      <c r="H29" s="168" t="s">
        <v>50</v>
      </c>
      <c r="I29" s="167" t="s">
        <v>251</v>
      </c>
      <c r="J29" s="28" t="s">
        <v>378</v>
      </c>
      <c r="K29" s="28" t="str">
        <f t="shared" si="4"/>
        <v>Y</v>
      </c>
      <c r="L29" s="270" t="s">
        <v>368</v>
      </c>
      <c r="M29" s="221"/>
      <c r="N29" s="221"/>
      <c r="O29" s="221"/>
      <c r="P29" s="222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6">
      <c r="A30" s="31" t="str">
        <f>ChkList!A14</f>
        <v>계정 관리</v>
      </c>
      <c r="B30" s="31" t="str">
        <f>ChkList!B14</f>
        <v>U-10</v>
      </c>
      <c r="C30" s="270" t="str">
        <f>ChkList!C14</f>
        <v>동일한 UID 금지</v>
      </c>
      <c r="D30" s="221"/>
      <c r="E30" s="222"/>
      <c r="F30" s="31" t="str">
        <f>ChkList!D14</f>
        <v>M</v>
      </c>
      <c r="G30" s="31">
        <f>ChkList!E14</f>
        <v>2</v>
      </c>
      <c r="H30" s="168" t="s">
        <v>50</v>
      </c>
      <c r="I30" s="167" t="s">
        <v>252</v>
      </c>
      <c r="J30" s="28" t="s">
        <v>378</v>
      </c>
      <c r="K30" s="28" t="str">
        <f t="shared" si="4"/>
        <v>Y</v>
      </c>
      <c r="L30" s="270" t="s">
        <v>367</v>
      </c>
      <c r="M30" s="221"/>
      <c r="N30" s="221"/>
      <c r="O30" s="221"/>
      <c r="P30" s="222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6">
      <c r="A31" s="31" t="str">
        <f>ChkList!A15</f>
        <v>계정 관리</v>
      </c>
      <c r="B31" s="31" t="str">
        <f>ChkList!B15</f>
        <v>U-11</v>
      </c>
      <c r="C31" s="270" t="str">
        <f>ChkList!C15</f>
        <v>사용자 Shell 점검</v>
      </c>
      <c r="D31" s="221"/>
      <c r="E31" s="222"/>
      <c r="F31" s="31" t="str">
        <f>ChkList!D15</f>
        <v>L</v>
      </c>
      <c r="G31" s="31">
        <f>ChkList!E15</f>
        <v>1</v>
      </c>
      <c r="H31" s="168" t="s">
        <v>50</v>
      </c>
      <c r="I31" s="167" t="s">
        <v>253</v>
      </c>
      <c r="J31" s="28" t="s">
        <v>378</v>
      </c>
      <c r="K31" s="28" t="str">
        <f t="shared" si="4"/>
        <v>Y</v>
      </c>
      <c r="L31" s="270" t="s">
        <v>366</v>
      </c>
      <c r="M31" s="221"/>
      <c r="N31" s="221"/>
      <c r="O31" s="221"/>
      <c r="P31" s="222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6">
      <c r="A32" s="31" t="str">
        <f>ChkList!A16</f>
        <v>계정 관리</v>
      </c>
      <c r="B32" s="31" t="str">
        <f>ChkList!B16</f>
        <v>U-12</v>
      </c>
      <c r="C32" s="270" t="str">
        <f>ChkList!C16</f>
        <v>세션 종료 시간 설정</v>
      </c>
      <c r="D32" s="221"/>
      <c r="E32" s="222"/>
      <c r="F32" s="31" t="str">
        <f>ChkList!D16</f>
        <v>L</v>
      </c>
      <c r="G32" s="31">
        <f>ChkList!E16</f>
        <v>1</v>
      </c>
      <c r="H32" s="168" t="s">
        <v>50</v>
      </c>
      <c r="I32" s="167" t="s">
        <v>254</v>
      </c>
      <c r="J32" s="28" t="s">
        <v>378</v>
      </c>
      <c r="K32" s="28" t="str">
        <f t="shared" si="4"/>
        <v>Y</v>
      </c>
      <c r="L32" s="270" t="s">
        <v>365</v>
      </c>
      <c r="M32" s="221"/>
      <c r="N32" s="221"/>
      <c r="O32" s="221"/>
      <c r="P32" s="222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6">
      <c r="A33" s="31" t="str">
        <f>ChkList!A17</f>
        <v>계정 관리</v>
      </c>
      <c r="B33" s="31" t="str">
        <f>ChkList!B17</f>
        <v>U-13</v>
      </c>
      <c r="C33" s="270" t="str">
        <f>ChkList!C17</f>
        <v>안전한 비밀번호 암호화 알고리즘 사용</v>
      </c>
      <c r="D33" s="221"/>
      <c r="E33" s="222"/>
      <c r="F33" s="31" t="str">
        <f>ChkList!D17</f>
        <v>M</v>
      </c>
      <c r="G33" s="31">
        <f>ChkList!E17</f>
        <v>2</v>
      </c>
      <c r="H33" s="168" t="s">
        <v>50</v>
      </c>
      <c r="I33" s="167" t="s">
        <v>255</v>
      </c>
      <c r="J33" s="28" t="s">
        <v>378</v>
      </c>
      <c r="K33" s="28" t="str">
        <f t="shared" si="4"/>
        <v>Y</v>
      </c>
      <c r="L33" s="270" t="s">
        <v>364</v>
      </c>
      <c r="M33" s="221"/>
      <c r="N33" s="221"/>
      <c r="O33" s="221"/>
      <c r="P33" s="222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6">
      <c r="A34" s="31" t="str">
        <f>ChkList!A18</f>
        <v>파일 및 디렉터리 관리</v>
      </c>
      <c r="B34" s="31" t="str">
        <f>ChkList!B18</f>
        <v>U-14</v>
      </c>
      <c r="C34" s="270" t="str">
        <f>ChkList!C18</f>
        <v>root 홈, 패스 디렉터리 권한 및 패스 설정</v>
      </c>
      <c r="D34" s="221"/>
      <c r="E34" s="222"/>
      <c r="F34" s="31" t="str">
        <f>ChkList!D18</f>
        <v>H</v>
      </c>
      <c r="G34" s="31">
        <f>ChkList!E18</f>
        <v>3</v>
      </c>
      <c r="H34" s="168" t="s">
        <v>50</v>
      </c>
      <c r="I34" s="167" t="s">
        <v>256</v>
      </c>
      <c r="J34" s="28" t="s">
        <v>378</v>
      </c>
      <c r="K34" s="28" t="str">
        <f t="shared" si="4"/>
        <v>Y</v>
      </c>
      <c r="L34" s="270" t="s">
        <v>363</v>
      </c>
      <c r="M34" s="221"/>
      <c r="N34" s="221"/>
      <c r="O34" s="221"/>
      <c r="P34" s="222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6">
      <c r="A35" s="31" t="str">
        <f>ChkList!A19</f>
        <v>파일 및 디렉터리 관리</v>
      </c>
      <c r="B35" s="31" t="str">
        <f>ChkList!B19</f>
        <v>U-15</v>
      </c>
      <c r="C35" s="270" t="str">
        <f>ChkList!C19</f>
        <v>파일 및 디렉터리 소유자 설정</v>
      </c>
      <c r="D35" s="221"/>
      <c r="E35" s="222"/>
      <c r="F35" s="31" t="str">
        <f>ChkList!D19</f>
        <v>H</v>
      </c>
      <c r="G35" s="31">
        <f>ChkList!E19</f>
        <v>3</v>
      </c>
      <c r="H35" s="168" t="s">
        <v>50</v>
      </c>
      <c r="I35" s="167" t="s">
        <v>258</v>
      </c>
      <c r="J35" s="28" t="s">
        <v>50</v>
      </c>
      <c r="K35" s="28" t="str">
        <f t="shared" si="4"/>
        <v>Y</v>
      </c>
      <c r="L35" s="270" t="s">
        <v>258</v>
      </c>
      <c r="M35" s="221"/>
      <c r="N35" s="221"/>
      <c r="O35" s="221"/>
      <c r="P35" s="222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6">
      <c r="A36" s="31" t="str">
        <f>ChkList!A20</f>
        <v>파일 및 디렉터리 관리</v>
      </c>
      <c r="B36" s="31" t="str">
        <f>ChkList!B20</f>
        <v>U-16</v>
      </c>
      <c r="C36" s="270" t="str">
        <f>ChkList!C20</f>
        <v>/etc/passwd 파일 소유자 및 권한 설정</v>
      </c>
      <c r="D36" s="221"/>
      <c r="E36" s="222"/>
      <c r="F36" s="31" t="str">
        <f>ChkList!D20</f>
        <v>H</v>
      </c>
      <c r="G36" s="31">
        <f>ChkList!E20</f>
        <v>3</v>
      </c>
      <c r="H36" s="168" t="s">
        <v>50</v>
      </c>
      <c r="I36" s="167" t="s">
        <v>259</v>
      </c>
      <c r="J36" s="28" t="s">
        <v>378</v>
      </c>
      <c r="K36" s="28" t="str">
        <f t="shared" si="4"/>
        <v>Y</v>
      </c>
      <c r="L36" s="270" t="s">
        <v>362</v>
      </c>
      <c r="M36" s="221"/>
      <c r="N36" s="221"/>
      <c r="O36" s="221"/>
      <c r="P36" s="222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450000000000003" customHeight="1">
      <c r="A37" s="31" t="str">
        <f>ChkList!A21</f>
        <v>파일 및 디렉터리 관리</v>
      </c>
      <c r="B37" s="31" t="str">
        <f>ChkList!B21</f>
        <v>U-17</v>
      </c>
      <c r="C37" s="270" t="str">
        <f>ChkList!C21</f>
        <v>시스템 시작 스크립트 권한 설정</v>
      </c>
      <c r="D37" s="221"/>
      <c r="E37" s="222"/>
      <c r="F37" s="31" t="str">
        <f>ChkList!D21</f>
        <v>H</v>
      </c>
      <c r="G37" s="31">
        <f>ChkList!E21</f>
        <v>3</v>
      </c>
      <c r="H37" s="168" t="s">
        <v>50</v>
      </c>
      <c r="I37" s="167" t="s">
        <v>261</v>
      </c>
      <c r="J37" s="28" t="s">
        <v>50</v>
      </c>
      <c r="K37" s="28" t="str">
        <f t="shared" si="4"/>
        <v>Y</v>
      </c>
      <c r="L37" s="270" t="s">
        <v>261</v>
      </c>
      <c r="M37" s="221"/>
      <c r="N37" s="221"/>
      <c r="O37" s="221"/>
      <c r="P37" s="222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1" t="str">
        <f>ChkList!A22</f>
        <v>파일 및 디렉터리 관리</v>
      </c>
      <c r="B38" s="31" t="str">
        <f>ChkList!B22</f>
        <v>U-18</v>
      </c>
      <c r="C38" s="270" t="str">
        <f>ChkList!C22</f>
        <v>/etc/shadow 파일 소유자 및 권한 설정</v>
      </c>
      <c r="D38" s="221"/>
      <c r="E38" s="222"/>
      <c r="F38" s="31" t="str">
        <f>ChkList!D22</f>
        <v>H</v>
      </c>
      <c r="G38" s="31">
        <f>ChkList!E22</f>
        <v>3</v>
      </c>
      <c r="H38" s="168" t="s">
        <v>50</v>
      </c>
      <c r="I38" s="167" t="s">
        <v>262</v>
      </c>
      <c r="J38" s="28" t="s">
        <v>378</v>
      </c>
      <c r="K38" s="28" t="str">
        <f t="shared" si="4"/>
        <v>Y</v>
      </c>
      <c r="L38" s="270" t="s">
        <v>361</v>
      </c>
      <c r="M38" s="221"/>
      <c r="N38" s="221"/>
      <c r="O38" s="221"/>
      <c r="P38" s="222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1" t="str">
        <f>ChkList!A23</f>
        <v>파일 및 디렉터리 관리</v>
      </c>
      <c r="B39" s="31" t="str">
        <f>ChkList!B23</f>
        <v>U-19</v>
      </c>
      <c r="C39" s="270" t="str">
        <f>ChkList!C23</f>
        <v>/etc/hosts 파일 소유자 및 권한 설정</v>
      </c>
      <c r="D39" s="221"/>
      <c r="E39" s="222"/>
      <c r="F39" s="31" t="str">
        <f>ChkList!D23</f>
        <v>H</v>
      </c>
      <c r="G39" s="31">
        <f>ChkList!E23</f>
        <v>3</v>
      </c>
      <c r="H39" s="168" t="s">
        <v>50</v>
      </c>
      <c r="I39" s="167" t="s">
        <v>263</v>
      </c>
      <c r="J39" s="28" t="s">
        <v>378</v>
      </c>
      <c r="K39" s="28" t="str">
        <f t="shared" si="4"/>
        <v>Y</v>
      </c>
      <c r="L39" s="270" t="s">
        <v>360</v>
      </c>
      <c r="M39" s="221"/>
      <c r="N39" s="221"/>
      <c r="O39" s="221"/>
      <c r="P39" s="222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43.5" customHeight="1">
      <c r="A40" s="31" t="str">
        <f>ChkList!A24</f>
        <v>파일 및 디렉터리 관리</v>
      </c>
      <c r="B40" s="31" t="str">
        <f>ChkList!B24</f>
        <v>U-20</v>
      </c>
      <c r="C40" s="270" t="str">
        <f>ChkList!C24</f>
        <v>/etc/(x)inetd.conf 파일 소유자 및 권한 설정</v>
      </c>
      <c r="D40" s="221"/>
      <c r="E40" s="222"/>
      <c r="F40" s="31" t="str">
        <f>ChkList!D24</f>
        <v>H</v>
      </c>
      <c r="G40" s="31">
        <f>ChkList!E24</f>
        <v>3</v>
      </c>
      <c r="H40" s="168" t="s">
        <v>50</v>
      </c>
      <c r="I40" s="167" t="s">
        <v>264</v>
      </c>
      <c r="J40" s="168" t="s">
        <v>50</v>
      </c>
      <c r="K40" s="28" t="str">
        <f t="shared" si="4"/>
        <v>Y</v>
      </c>
      <c r="L40" s="271" t="s">
        <v>265</v>
      </c>
      <c r="M40" s="272"/>
      <c r="N40" s="272"/>
      <c r="O40" s="272"/>
      <c r="P40" s="273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>
      <c r="A41" s="31" t="str">
        <f>ChkList!A25</f>
        <v>파일 및 디렉터리 관리</v>
      </c>
      <c r="B41" s="31" t="str">
        <f>ChkList!B25</f>
        <v>U-21</v>
      </c>
      <c r="C41" s="270" t="str">
        <f>ChkList!C25</f>
        <v>/etc/(r)syslog.conf 파일 소유자 및 권한 설정</v>
      </c>
      <c r="D41" s="221"/>
      <c r="E41" s="222"/>
      <c r="F41" s="31" t="str">
        <f>ChkList!D25</f>
        <v>H</v>
      </c>
      <c r="G41" s="31">
        <f>ChkList!E25</f>
        <v>3</v>
      </c>
      <c r="H41" s="168" t="s">
        <v>50</v>
      </c>
      <c r="I41" s="167" t="s">
        <v>266</v>
      </c>
      <c r="J41" s="168" t="s">
        <v>50</v>
      </c>
      <c r="K41" s="28" t="str">
        <f t="shared" si="4"/>
        <v>Y</v>
      </c>
      <c r="L41" s="271" t="s">
        <v>267</v>
      </c>
      <c r="M41" s="272"/>
      <c r="N41" s="272"/>
      <c r="O41" s="272"/>
      <c r="P41" s="273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43.5" customHeight="1">
      <c r="A42" s="31" t="str">
        <f>ChkList!A26</f>
        <v>파일 및 디렉터리 관리</v>
      </c>
      <c r="B42" s="31" t="str">
        <f>ChkList!B26</f>
        <v>U-22</v>
      </c>
      <c r="C42" s="270" t="str">
        <f>ChkList!C26</f>
        <v>/etc/services 파일 소유자 및 권한 설정</v>
      </c>
      <c r="D42" s="221"/>
      <c r="E42" s="222"/>
      <c r="F42" s="31" t="str">
        <f>ChkList!D26</f>
        <v>H</v>
      </c>
      <c r="G42" s="31">
        <f>ChkList!E26</f>
        <v>3</v>
      </c>
      <c r="H42" s="168" t="s">
        <v>50</v>
      </c>
      <c r="I42" s="167" t="s">
        <v>269</v>
      </c>
      <c r="J42" s="168" t="s">
        <v>50</v>
      </c>
      <c r="K42" s="28" t="str">
        <f t="shared" si="4"/>
        <v>Y</v>
      </c>
      <c r="L42" s="271" t="s">
        <v>269</v>
      </c>
      <c r="M42" s="272"/>
      <c r="N42" s="272"/>
      <c r="O42" s="272"/>
      <c r="P42" s="273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>
      <c r="A43" s="31" t="str">
        <f>ChkList!A27</f>
        <v>파일 및 디렉터리 관리</v>
      </c>
      <c r="B43" s="31" t="str">
        <f>ChkList!B27</f>
        <v>U-23</v>
      </c>
      <c r="C43" s="270" t="str">
        <f>ChkList!C27</f>
        <v>SUID, SGID, Sticky bit 설정 파일 점검</v>
      </c>
      <c r="D43" s="221"/>
      <c r="E43" s="222"/>
      <c r="F43" s="31" t="str">
        <f>ChkList!D27</f>
        <v>H</v>
      </c>
      <c r="G43" s="31">
        <f>ChkList!E27</f>
        <v>3</v>
      </c>
      <c r="H43" s="168" t="s">
        <v>50</v>
      </c>
      <c r="I43" s="167" t="s">
        <v>325</v>
      </c>
      <c r="J43" s="28" t="s">
        <v>378</v>
      </c>
      <c r="K43" s="28" t="str">
        <f t="shared" si="4"/>
        <v>Y</v>
      </c>
      <c r="L43" s="270" t="s">
        <v>358</v>
      </c>
      <c r="M43" s="221"/>
      <c r="N43" s="221"/>
      <c r="O43" s="221"/>
      <c r="P43" s="222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1" t="str">
        <f>ChkList!A28</f>
        <v>파일 및 디렉터리 관리</v>
      </c>
      <c r="B44" s="31" t="str">
        <f>ChkList!B28</f>
        <v>U-24</v>
      </c>
      <c r="C44" s="270" t="str">
        <f>ChkList!C28</f>
        <v>사용자, 시스템 시작파일 및 환경파일 소유자 및 권한 설정</v>
      </c>
      <c r="D44" s="221"/>
      <c r="E44" s="222"/>
      <c r="F44" s="31" t="str">
        <f>ChkList!D28</f>
        <v>H</v>
      </c>
      <c r="G44" s="31">
        <f>ChkList!E28</f>
        <v>3</v>
      </c>
      <c r="H44" s="168" t="s">
        <v>50</v>
      </c>
      <c r="I44" s="167" t="s">
        <v>326</v>
      </c>
      <c r="J44" s="168" t="s">
        <v>50</v>
      </c>
      <c r="K44" s="28" t="str">
        <f t="shared" si="4"/>
        <v>Y</v>
      </c>
      <c r="L44" s="270" t="s">
        <v>379</v>
      </c>
      <c r="M44" s="221"/>
      <c r="N44" s="221"/>
      <c r="O44" s="221"/>
      <c r="P44" s="222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43.5" customHeight="1">
      <c r="A45" s="31" t="str">
        <f>ChkList!A29</f>
        <v>파일 및 디렉터리 관리</v>
      </c>
      <c r="B45" s="31" t="str">
        <f>ChkList!B29</f>
        <v>U-25</v>
      </c>
      <c r="C45" s="270" t="str">
        <f>ChkList!C29</f>
        <v>world writable 파일 점검</v>
      </c>
      <c r="D45" s="221"/>
      <c r="E45" s="222"/>
      <c r="F45" s="31" t="str">
        <f>ChkList!D29</f>
        <v>H</v>
      </c>
      <c r="G45" s="31">
        <f>ChkList!E29</f>
        <v>3</v>
      </c>
      <c r="H45" s="168" t="s">
        <v>50</v>
      </c>
      <c r="I45" s="167" t="s">
        <v>272</v>
      </c>
      <c r="J45" s="28" t="s">
        <v>378</v>
      </c>
      <c r="K45" s="28" t="str">
        <f t="shared" si="4"/>
        <v>Y</v>
      </c>
      <c r="L45" s="270" t="s">
        <v>355</v>
      </c>
      <c r="M45" s="221"/>
      <c r="N45" s="221"/>
      <c r="O45" s="221"/>
      <c r="P45" s="222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6">
      <c r="A46" s="31" t="str">
        <f>ChkList!A30</f>
        <v>파일 및 디렉터리 관리</v>
      </c>
      <c r="B46" s="31" t="str">
        <f>ChkList!B30</f>
        <v>U-26</v>
      </c>
      <c r="C46" s="270" t="str">
        <f>ChkList!C30</f>
        <v>/dev에 존재하지 않는 device 파일 점검</v>
      </c>
      <c r="D46" s="221"/>
      <c r="E46" s="222"/>
      <c r="F46" s="31" t="str">
        <f>ChkList!D30</f>
        <v>H</v>
      </c>
      <c r="G46" s="31">
        <f>ChkList!E30</f>
        <v>3</v>
      </c>
      <c r="H46" s="168" t="s">
        <v>50</v>
      </c>
      <c r="I46" s="167" t="s">
        <v>274</v>
      </c>
      <c r="J46" s="168" t="s">
        <v>50</v>
      </c>
      <c r="K46" s="28" t="str">
        <f t="shared" si="4"/>
        <v>Y</v>
      </c>
      <c r="L46" s="270" t="s">
        <v>274</v>
      </c>
      <c r="M46" s="221"/>
      <c r="N46" s="221"/>
      <c r="O46" s="221"/>
      <c r="P46" s="222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6">
      <c r="A47" s="31" t="str">
        <f>ChkList!A31</f>
        <v>파일 및 디렉터리 관리</v>
      </c>
      <c r="B47" s="31" t="str">
        <f>ChkList!B31</f>
        <v>U-27</v>
      </c>
      <c r="C47" s="270" t="str">
        <f>ChkList!C31</f>
        <v>$HOME/.rhosts, hosts.equiv 사용 금지</v>
      </c>
      <c r="D47" s="221"/>
      <c r="E47" s="222"/>
      <c r="F47" s="31" t="str">
        <f>ChkList!D31</f>
        <v>H</v>
      </c>
      <c r="G47" s="31">
        <f>ChkList!E31</f>
        <v>3</v>
      </c>
      <c r="H47" s="168" t="s">
        <v>50</v>
      </c>
      <c r="I47" s="167" t="s">
        <v>276</v>
      </c>
      <c r="J47" s="168" t="s">
        <v>50</v>
      </c>
      <c r="K47" s="28" t="str">
        <f t="shared" si="4"/>
        <v>Y</v>
      </c>
      <c r="L47" s="270" t="s">
        <v>276</v>
      </c>
      <c r="M47" s="221"/>
      <c r="N47" s="221"/>
      <c r="O47" s="221"/>
      <c r="P47" s="222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6">
      <c r="A48" s="31" t="str">
        <f>ChkList!A32</f>
        <v>파일 및 디렉터리 관리</v>
      </c>
      <c r="B48" s="31" t="str">
        <f>ChkList!B32</f>
        <v>U-28</v>
      </c>
      <c r="C48" s="270" t="str">
        <f>ChkList!C32</f>
        <v>접속 IP 및 포트 제한</v>
      </c>
      <c r="D48" s="221"/>
      <c r="E48" s="222"/>
      <c r="F48" s="31" t="str">
        <f>ChkList!D32</f>
        <v>H</v>
      </c>
      <c r="G48" s="31">
        <f>ChkList!E32</f>
        <v>3</v>
      </c>
      <c r="H48" s="168" t="s">
        <v>50</v>
      </c>
      <c r="I48" s="167" t="s">
        <v>277</v>
      </c>
      <c r="J48" s="28" t="s">
        <v>378</v>
      </c>
      <c r="K48" s="28" t="str">
        <f t="shared" si="4"/>
        <v>Y</v>
      </c>
      <c r="L48" s="270" t="s">
        <v>357</v>
      </c>
      <c r="M48" s="221"/>
      <c r="N48" s="221"/>
      <c r="O48" s="221"/>
      <c r="P48" s="222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6">
      <c r="A49" s="31" t="str">
        <f>ChkList!A33</f>
        <v>파일 및 디렉터리 관리</v>
      </c>
      <c r="B49" s="31" t="str">
        <f>ChkList!B33</f>
        <v>U-29</v>
      </c>
      <c r="C49" s="270" t="str">
        <f>ChkList!C33</f>
        <v>hosts.lpd 파일 소유자 및 권한 설정</v>
      </c>
      <c r="D49" s="221"/>
      <c r="E49" s="222"/>
      <c r="F49" s="31" t="str">
        <f>ChkList!D33</f>
        <v>L</v>
      </c>
      <c r="G49" s="31">
        <f>ChkList!E33</f>
        <v>1</v>
      </c>
      <c r="H49" s="168" t="s">
        <v>50</v>
      </c>
      <c r="I49" s="167" t="s">
        <v>279</v>
      </c>
      <c r="J49" s="168" t="s">
        <v>50</v>
      </c>
      <c r="K49" s="28" t="str">
        <f t="shared" si="4"/>
        <v>Y</v>
      </c>
      <c r="L49" s="270" t="s">
        <v>279</v>
      </c>
      <c r="M49" s="221"/>
      <c r="N49" s="221"/>
      <c r="O49" s="221"/>
      <c r="P49" s="222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6">
      <c r="A50" s="31" t="str">
        <f>ChkList!A34</f>
        <v>파일 및 디렉터리 관리</v>
      </c>
      <c r="B50" s="31" t="str">
        <f>ChkList!B34</f>
        <v>U-30</v>
      </c>
      <c r="C50" s="270" t="str">
        <f>ChkList!C34</f>
        <v>UMASK 설정 관리</v>
      </c>
      <c r="D50" s="221"/>
      <c r="E50" s="222"/>
      <c r="F50" s="31" t="str">
        <f>ChkList!D34</f>
        <v>M</v>
      </c>
      <c r="G50" s="31">
        <f>ChkList!E34</f>
        <v>2</v>
      </c>
      <c r="H50" s="168" t="s">
        <v>50</v>
      </c>
      <c r="I50" s="167" t="s">
        <v>327</v>
      </c>
      <c r="J50" s="28" t="s">
        <v>378</v>
      </c>
      <c r="K50" s="28" t="str">
        <f t="shared" si="4"/>
        <v>Y</v>
      </c>
      <c r="L50" s="270" t="s">
        <v>327</v>
      </c>
      <c r="M50" s="221"/>
      <c r="N50" s="221"/>
      <c r="O50" s="221"/>
      <c r="P50" s="222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6">
      <c r="A51" s="31" t="str">
        <f>ChkList!A35</f>
        <v>파일 및 디렉터리 관리</v>
      </c>
      <c r="B51" s="31" t="str">
        <f>ChkList!B35</f>
        <v>U-31</v>
      </c>
      <c r="C51" s="270" t="str">
        <f>ChkList!C35</f>
        <v>홈 디렉터리 소유자 및 권한 설정</v>
      </c>
      <c r="D51" s="221"/>
      <c r="E51" s="222"/>
      <c r="F51" s="31" t="str">
        <f>ChkList!D35</f>
        <v>M</v>
      </c>
      <c r="G51" s="31">
        <f>ChkList!E35</f>
        <v>2</v>
      </c>
      <c r="H51" s="168" t="s">
        <v>50</v>
      </c>
      <c r="I51" s="167" t="s">
        <v>281</v>
      </c>
      <c r="J51" s="28" t="s">
        <v>378</v>
      </c>
      <c r="K51" s="28" t="str">
        <f t="shared" si="4"/>
        <v>Y</v>
      </c>
      <c r="L51" s="270" t="s">
        <v>356</v>
      </c>
      <c r="M51" s="221"/>
      <c r="N51" s="221"/>
      <c r="O51" s="221"/>
      <c r="P51" s="222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6">
      <c r="A52" s="31" t="str">
        <f>ChkList!A36</f>
        <v>파일 및 디렉터리 관리</v>
      </c>
      <c r="B52" s="31" t="str">
        <f>ChkList!B36</f>
        <v>U-32</v>
      </c>
      <c r="C52" s="270" t="str">
        <f>ChkList!C36</f>
        <v>홈 디렉터리로 지정한 디렉터리의 존재 관리</v>
      </c>
      <c r="D52" s="221"/>
      <c r="E52" s="222"/>
      <c r="F52" s="31" t="str">
        <f>ChkList!D36</f>
        <v>M</v>
      </c>
      <c r="G52" s="31">
        <f>ChkList!E36</f>
        <v>2</v>
      </c>
      <c r="H52" s="168" t="s">
        <v>50</v>
      </c>
      <c r="I52" s="167" t="s">
        <v>272</v>
      </c>
      <c r="J52" s="28" t="s">
        <v>378</v>
      </c>
      <c r="K52" s="28" t="str">
        <f t="shared" si="4"/>
        <v>Y</v>
      </c>
      <c r="L52" s="270" t="s">
        <v>355</v>
      </c>
      <c r="M52" s="221"/>
      <c r="N52" s="221"/>
      <c r="O52" s="221"/>
      <c r="P52" s="222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6">
      <c r="A53" s="31" t="str">
        <f>ChkList!A37</f>
        <v>파일 및 디렉터리 관리</v>
      </c>
      <c r="B53" s="31" t="str">
        <f>ChkList!B37</f>
        <v>U-33</v>
      </c>
      <c r="C53" s="270" t="str">
        <f>ChkList!C37</f>
        <v>숨겨진 파일 및 디렉터리 검색 및 제거</v>
      </c>
      <c r="D53" s="221"/>
      <c r="E53" s="222"/>
      <c r="F53" s="31" t="str">
        <f>ChkList!D37</f>
        <v>L</v>
      </c>
      <c r="G53" s="31">
        <f>ChkList!E37</f>
        <v>1</v>
      </c>
      <c r="H53" s="168" t="s">
        <v>50</v>
      </c>
      <c r="I53" s="167" t="s">
        <v>282</v>
      </c>
      <c r="J53" s="28" t="s">
        <v>378</v>
      </c>
      <c r="K53" s="28" t="str">
        <f t="shared" si="4"/>
        <v>Y</v>
      </c>
      <c r="L53" s="270" t="s">
        <v>354</v>
      </c>
      <c r="M53" s="221"/>
      <c r="N53" s="221"/>
      <c r="O53" s="221"/>
      <c r="P53" s="222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.1" customHeight="1">
      <c r="A54" s="31" t="str">
        <f>ChkList!A38</f>
        <v>서비스 관리</v>
      </c>
      <c r="B54" s="31" t="str">
        <f>ChkList!B38</f>
        <v>U-34</v>
      </c>
      <c r="C54" s="270" t="str">
        <f>ChkList!C38</f>
        <v>Finger 서비스 비활성화</v>
      </c>
      <c r="D54" s="221"/>
      <c r="E54" s="222"/>
      <c r="F54" s="31" t="str">
        <f>ChkList!D38</f>
        <v>H</v>
      </c>
      <c r="G54" s="31">
        <f>ChkList!E38</f>
        <v>3</v>
      </c>
      <c r="H54" s="170" t="s">
        <v>283</v>
      </c>
      <c r="I54" s="167" t="s">
        <v>283</v>
      </c>
      <c r="J54" s="28" t="s">
        <v>283</v>
      </c>
      <c r="K54" s="28"/>
      <c r="L54" s="270" t="s">
        <v>284</v>
      </c>
      <c r="M54" s="221"/>
      <c r="N54" s="221"/>
      <c r="O54" s="221"/>
      <c r="P54" s="222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6">
      <c r="A55" s="31" t="str">
        <f>ChkList!A39</f>
        <v>서비스 관리</v>
      </c>
      <c r="B55" s="31" t="str">
        <f>ChkList!B39</f>
        <v>U-35</v>
      </c>
      <c r="C55" s="270" t="str">
        <f>ChkList!C39</f>
        <v>공유 서비스에 대한 익명 접근 제한 설정</v>
      </c>
      <c r="D55" s="221"/>
      <c r="E55" s="222"/>
      <c r="F55" s="31" t="str">
        <f>ChkList!D39</f>
        <v>H</v>
      </c>
      <c r="G55" s="31">
        <f>ChkList!E39</f>
        <v>3</v>
      </c>
      <c r="H55" s="168" t="s">
        <v>50</v>
      </c>
      <c r="I55" s="167" t="s">
        <v>328</v>
      </c>
      <c r="J55" s="28" t="s">
        <v>378</v>
      </c>
      <c r="K55" s="28" t="str">
        <f t="shared" si="4"/>
        <v>Y</v>
      </c>
      <c r="L55" s="270" t="s">
        <v>328</v>
      </c>
      <c r="M55" s="221"/>
      <c r="N55" s="221"/>
      <c r="O55" s="221"/>
      <c r="P55" s="222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6">
      <c r="A56" s="31" t="str">
        <f>ChkList!A40</f>
        <v>서비스 관리</v>
      </c>
      <c r="B56" s="31" t="str">
        <f>ChkList!B40</f>
        <v>U-36</v>
      </c>
      <c r="C56" s="270" t="str">
        <f>ChkList!C40</f>
        <v>r 계열 서비스 비활성화</v>
      </c>
      <c r="D56" s="221"/>
      <c r="E56" s="222"/>
      <c r="F56" s="31" t="str">
        <f>ChkList!D40</f>
        <v>H</v>
      </c>
      <c r="G56" s="31">
        <f>ChkList!E40</f>
        <v>3</v>
      </c>
      <c r="H56" s="168" t="s">
        <v>50</v>
      </c>
      <c r="I56" s="167" t="s">
        <v>286</v>
      </c>
      <c r="J56" s="28" t="s">
        <v>378</v>
      </c>
      <c r="K56" s="28" t="str">
        <f t="shared" si="4"/>
        <v>Y</v>
      </c>
      <c r="L56" s="270" t="s">
        <v>352</v>
      </c>
      <c r="M56" s="221"/>
      <c r="N56" s="221"/>
      <c r="O56" s="221"/>
      <c r="P56" s="222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450000000000003" customHeight="1">
      <c r="A57" s="31" t="str">
        <f>ChkList!A41</f>
        <v>서비스 관리</v>
      </c>
      <c r="B57" s="31" t="str">
        <f>ChkList!B41</f>
        <v>U-37</v>
      </c>
      <c r="C57" s="270" t="str">
        <f>ChkList!C41</f>
        <v>crontab 설정파일 권한 설정 미흡</v>
      </c>
      <c r="D57" s="221"/>
      <c r="E57" s="222"/>
      <c r="F57" s="31" t="str">
        <f>ChkList!D41</f>
        <v>H</v>
      </c>
      <c r="G57" s="31">
        <f>ChkList!E41</f>
        <v>3</v>
      </c>
      <c r="H57" s="168" t="s">
        <v>50</v>
      </c>
      <c r="I57" s="167" t="s">
        <v>287</v>
      </c>
      <c r="J57" s="28" t="s">
        <v>378</v>
      </c>
      <c r="K57" s="28" t="str">
        <f t="shared" si="4"/>
        <v>Y</v>
      </c>
      <c r="L57" s="270" t="s">
        <v>353</v>
      </c>
      <c r="M57" s="221"/>
      <c r="N57" s="221"/>
      <c r="O57" s="221"/>
      <c r="P57" s="222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6">
      <c r="A58" s="31" t="str">
        <f>ChkList!A42</f>
        <v>서비스 관리</v>
      </c>
      <c r="B58" s="31" t="str">
        <f>ChkList!B42</f>
        <v>U-38</v>
      </c>
      <c r="C58" s="270" t="str">
        <f>ChkList!C42</f>
        <v>DoS 공격에 취약한 서비스 비활성화</v>
      </c>
      <c r="D58" s="221"/>
      <c r="E58" s="222"/>
      <c r="F58" s="31" t="str">
        <f>ChkList!D42</f>
        <v>H</v>
      </c>
      <c r="G58" s="31">
        <f>ChkList!E42</f>
        <v>3</v>
      </c>
      <c r="H58" s="168" t="s">
        <v>50</v>
      </c>
      <c r="I58" s="167" t="s">
        <v>289</v>
      </c>
      <c r="J58" s="168" t="s">
        <v>50</v>
      </c>
      <c r="K58" s="28" t="str">
        <f t="shared" si="4"/>
        <v>Y</v>
      </c>
      <c r="L58" s="270" t="s">
        <v>289</v>
      </c>
      <c r="M58" s="221"/>
      <c r="N58" s="221"/>
      <c r="O58" s="221"/>
      <c r="P58" s="222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6">
      <c r="A59" s="31" t="str">
        <f>ChkList!A43</f>
        <v>서비스 관리</v>
      </c>
      <c r="B59" s="31" t="str">
        <f>ChkList!B43</f>
        <v>U-39</v>
      </c>
      <c r="C59" s="270" t="str">
        <f>ChkList!C43</f>
        <v>불필요한 NFS 서비스 비활성화</v>
      </c>
      <c r="D59" s="221"/>
      <c r="E59" s="222"/>
      <c r="F59" s="31" t="str">
        <f>ChkList!D43</f>
        <v>H</v>
      </c>
      <c r="G59" s="31">
        <f>ChkList!E43</f>
        <v>3</v>
      </c>
      <c r="H59" s="168" t="s">
        <v>50</v>
      </c>
      <c r="I59" s="167" t="s">
        <v>329</v>
      </c>
      <c r="J59" s="28" t="s">
        <v>378</v>
      </c>
      <c r="K59" s="28" t="str">
        <f t="shared" si="4"/>
        <v>Y</v>
      </c>
      <c r="L59" s="270" t="s">
        <v>329</v>
      </c>
      <c r="M59" s="221"/>
      <c r="N59" s="221"/>
      <c r="O59" s="221"/>
      <c r="P59" s="222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6">
      <c r="A60" s="31" t="str">
        <f>ChkList!A44</f>
        <v>서비스 관리</v>
      </c>
      <c r="B60" s="31" t="str">
        <f>ChkList!B44</f>
        <v>U-40</v>
      </c>
      <c r="C60" s="270" t="str">
        <f>ChkList!C44</f>
        <v>NFS 접근 통제</v>
      </c>
      <c r="D60" s="221"/>
      <c r="E60" s="222"/>
      <c r="F60" s="31" t="str">
        <f>ChkList!D44</f>
        <v>H</v>
      </c>
      <c r="G60" s="31">
        <f>ChkList!E44</f>
        <v>3</v>
      </c>
      <c r="H60" s="168" t="s">
        <v>50</v>
      </c>
      <c r="I60" s="167" t="s">
        <v>291</v>
      </c>
      <c r="J60" s="28" t="s">
        <v>378</v>
      </c>
      <c r="K60" s="28" t="str">
        <f t="shared" si="4"/>
        <v>Y</v>
      </c>
      <c r="L60" s="270" t="s">
        <v>344</v>
      </c>
      <c r="M60" s="221"/>
      <c r="N60" s="221"/>
      <c r="O60" s="221"/>
      <c r="P60" s="222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6">
      <c r="A61" s="31" t="str">
        <f>ChkList!A45</f>
        <v>서비스 관리</v>
      </c>
      <c r="B61" s="31" t="str">
        <f>ChkList!B45</f>
        <v>U-41</v>
      </c>
      <c r="C61" s="270" t="str">
        <f>ChkList!C45</f>
        <v>불필요한 automountd 제거</v>
      </c>
      <c r="D61" s="221"/>
      <c r="E61" s="222"/>
      <c r="F61" s="31" t="str">
        <f>ChkList!D45</f>
        <v>H</v>
      </c>
      <c r="G61" s="31">
        <f>ChkList!E45</f>
        <v>3</v>
      </c>
      <c r="H61" s="168" t="s">
        <v>50</v>
      </c>
      <c r="I61" s="167" t="s">
        <v>291</v>
      </c>
      <c r="J61" s="28" t="s">
        <v>378</v>
      </c>
      <c r="K61" s="28" t="str">
        <f t="shared" si="4"/>
        <v>Y</v>
      </c>
      <c r="L61" s="270" t="s">
        <v>344</v>
      </c>
      <c r="M61" s="221"/>
      <c r="N61" s="221"/>
      <c r="O61" s="221"/>
      <c r="P61" s="222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6">
      <c r="A62" s="31" t="str">
        <f>ChkList!A46</f>
        <v>서비스 관리</v>
      </c>
      <c r="B62" s="31" t="str">
        <f>ChkList!B46</f>
        <v>U-42</v>
      </c>
      <c r="C62" s="270" t="str">
        <f>ChkList!C46</f>
        <v>불필요한 RPC 서비스 비활성화</v>
      </c>
      <c r="D62" s="221"/>
      <c r="E62" s="222"/>
      <c r="F62" s="31" t="str">
        <f>ChkList!D46</f>
        <v>H</v>
      </c>
      <c r="G62" s="31">
        <f>ChkList!E46</f>
        <v>3</v>
      </c>
      <c r="H62" s="168" t="s">
        <v>50</v>
      </c>
      <c r="I62" s="167" t="s">
        <v>292</v>
      </c>
      <c r="J62" s="28" t="s">
        <v>378</v>
      </c>
      <c r="K62" s="28" t="str">
        <f t="shared" si="4"/>
        <v>Y</v>
      </c>
      <c r="L62" s="270" t="s">
        <v>345</v>
      </c>
      <c r="M62" s="221"/>
      <c r="N62" s="221"/>
      <c r="O62" s="221"/>
      <c r="P62" s="222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6">
      <c r="A63" s="31" t="str">
        <f>ChkList!A47</f>
        <v>서비스 관리</v>
      </c>
      <c r="B63" s="31" t="str">
        <f>ChkList!B47</f>
        <v>U-43</v>
      </c>
      <c r="C63" s="270" t="str">
        <f>ChkList!C47</f>
        <v>NIS, NIS+ 점검</v>
      </c>
      <c r="D63" s="221"/>
      <c r="E63" s="222"/>
      <c r="F63" s="31" t="str">
        <f>ChkList!D47</f>
        <v>H</v>
      </c>
      <c r="G63" s="31">
        <f>ChkList!E47</f>
        <v>3</v>
      </c>
      <c r="H63" s="168" t="s">
        <v>50</v>
      </c>
      <c r="I63" s="167" t="s">
        <v>293</v>
      </c>
      <c r="J63" s="28" t="s">
        <v>378</v>
      </c>
      <c r="K63" s="28" t="str">
        <f t="shared" si="4"/>
        <v>Y</v>
      </c>
      <c r="L63" s="270" t="s">
        <v>346</v>
      </c>
      <c r="M63" s="221"/>
      <c r="N63" s="221"/>
      <c r="O63" s="221"/>
      <c r="P63" s="222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6">
      <c r="A64" s="31" t="str">
        <f>ChkList!A48</f>
        <v>서비스 관리</v>
      </c>
      <c r="B64" s="31" t="str">
        <f>ChkList!B48</f>
        <v>U-44</v>
      </c>
      <c r="C64" s="270" t="str">
        <f>ChkList!C48</f>
        <v>tftp, talk 서비스 비활성화</v>
      </c>
      <c r="D64" s="221"/>
      <c r="E64" s="222"/>
      <c r="F64" s="31" t="str">
        <f>ChkList!D48</f>
        <v>H</v>
      </c>
      <c r="G64" s="31">
        <f>ChkList!E48</f>
        <v>3</v>
      </c>
      <c r="H64" s="168" t="s">
        <v>50</v>
      </c>
      <c r="I64" s="167" t="s">
        <v>294</v>
      </c>
      <c r="J64" s="28" t="s">
        <v>378</v>
      </c>
      <c r="K64" s="28" t="str">
        <f t="shared" si="4"/>
        <v>Y</v>
      </c>
      <c r="L64" s="270" t="s">
        <v>347</v>
      </c>
      <c r="M64" s="221"/>
      <c r="N64" s="221"/>
      <c r="O64" s="221"/>
      <c r="P64" s="222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23.1" customHeight="1">
      <c r="A65" s="31" t="str">
        <f>ChkList!A49</f>
        <v>서비스 관리</v>
      </c>
      <c r="B65" s="31" t="str">
        <f>ChkList!B49</f>
        <v>U-45</v>
      </c>
      <c r="C65" s="270" t="str">
        <f>ChkList!C49</f>
        <v>메일 서비스 버전 점검</v>
      </c>
      <c r="D65" s="221"/>
      <c r="E65" s="222"/>
      <c r="F65" s="31" t="str">
        <f>ChkList!D49</f>
        <v>H</v>
      </c>
      <c r="G65" s="31">
        <f>ChkList!E49</f>
        <v>3</v>
      </c>
      <c r="H65" s="170" t="s">
        <v>283</v>
      </c>
      <c r="I65" s="167" t="s">
        <v>283</v>
      </c>
      <c r="J65" s="28" t="s">
        <v>283</v>
      </c>
      <c r="K65" s="28" t="s">
        <v>50</v>
      </c>
      <c r="L65" s="270" t="s">
        <v>380</v>
      </c>
      <c r="M65" s="221"/>
      <c r="N65" s="221"/>
      <c r="O65" s="221"/>
      <c r="P65" s="222"/>
      <c r="Q65" s="21" t="str">
        <f>IF($J65="",IF(OR($H65="N",$H65="인터뷰"), ChkList!$F46, ""), IF(OR($J65="N",$J65="인터뷰"), ChkList!$F46, ""))</f>
        <v>불필요한 RPC 서비스를 중지하고 비활성화</v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0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>
      <c r="A66" s="31" t="str">
        <f>ChkList!A50</f>
        <v>서비스 관리</v>
      </c>
      <c r="B66" s="31" t="str">
        <f>ChkList!B50</f>
        <v>U-46</v>
      </c>
      <c r="C66" s="270" t="str">
        <f>ChkList!C50</f>
        <v>일반 사용자의 메일 서비스 실행 방지</v>
      </c>
      <c r="D66" s="221"/>
      <c r="E66" s="222"/>
      <c r="F66" s="31" t="str">
        <f>ChkList!D50</f>
        <v>H</v>
      </c>
      <c r="G66" s="31">
        <f>ChkList!E50</f>
        <v>3</v>
      </c>
      <c r="H66" s="168" t="s">
        <v>50</v>
      </c>
      <c r="I66" s="167" t="s">
        <v>330</v>
      </c>
      <c r="J66" s="28" t="s">
        <v>378</v>
      </c>
      <c r="K66" s="28" t="str">
        <f t="shared" si="4"/>
        <v>Y</v>
      </c>
      <c r="L66" s="270" t="s">
        <v>296</v>
      </c>
      <c r="M66" s="221"/>
      <c r="N66" s="221"/>
      <c r="O66" s="221"/>
      <c r="P66" s="222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>
      <c r="A67" s="31" t="str">
        <f>ChkList!A51</f>
        <v>서비스 관리</v>
      </c>
      <c r="B67" s="31" t="str">
        <f>ChkList!B51</f>
        <v>U-47</v>
      </c>
      <c r="C67" s="270" t="str">
        <f>ChkList!C51</f>
        <v>스팸 메일 릴레이 제한</v>
      </c>
      <c r="D67" s="221"/>
      <c r="E67" s="222"/>
      <c r="F67" s="31" t="str">
        <f>ChkList!D51</f>
        <v>H</v>
      </c>
      <c r="G67" s="31">
        <f>ChkList!E51</f>
        <v>3</v>
      </c>
      <c r="H67" s="168" t="s">
        <v>50</v>
      </c>
      <c r="I67" s="167" t="s">
        <v>297</v>
      </c>
      <c r="J67" s="28" t="s">
        <v>378</v>
      </c>
      <c r="K67" s="28" t="str">
        <f t="shared" si="4"/>
        <v>Y</v>
      </c>
      <c r="L67" s="270" t="s">
        <v>349</v>
      </c>
      <c r="M67" s="221"/>
      <c r="N67" s="221"/>
      <c r="O67" s="221"/>
      <c r="P67" s="222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>
      <c r="A68" s="31" t="str">
        <f>ChkList!A52</f>
        <v>서비스 관리</v>
      </c>
      <c r="B68" s="31" t="str">
        <f>ChkList!B52</f>
        <v>U-48</v>
      </c>
      <c r="C68" s="270" t="str">
        <f>ChkList!C52</f>
        <v>expn, vrfy 명령어 제한</v>
      </c>
      <c r="D68" s="221"/>
      <c r="E68" s="222"/>
      <c r="F68" s="31" t="str">
        <f>ChkList!D52</f>
        <v>M</v>
      </c>
      <c r="G68" s="31">
        <f>ChkList!E52</f>
        <v>2</v>
      </c>
      <c r="H68" s="168" t="s">
        <v>50</v>
      </c>
      <c r="I68" s="167" t="s">
        <v>297</v>
      </c>
      <c r="J68" s="28" t="s">
        <v>378</v>
      </c>
      <c r="K68" s="28" t="str">
        <f t="shared" si="4"/>
        <v>Y</v>
      </c>
      <c r="L68" s="270" t="s">
        <v>349</v>
      </c>
      <c r="M68" s="221"/>
      <c r="N68" s="221"/>
      <c r="O68" s="221"/>
      <c r="P68" s="222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>
      <c r="A69" s="31" t="str">
        <f>ChkList!A53</f>
        <v>서비스 관리</v>
      </c>
      <c r="B69" s="31" t="str">
        <f>ChkList!B53</f>
        <v>U-49</v>
      </c>
      <c r="C69" s="270" t="str">
        <f>ChkList!C53</f>
        <v>DNS 보안 버전 패치</v>
      </c>
      <c r="D69" s="221"/>
      <c r="E69" s="222"/>
      <c r="F69" s="31" t="str">
        <f>ChkList!D53</f>
        <v>H</v>
      </c>
      <c r="G69" s="31">
        <f>ChkList!E53</f>
        <v>3</v>
      </c>
      <c r="H69" s="168" t="s">
        <v>50</v>
      </c>
      <c r="I69" s="167" t="s">
        <v>298</v>
      </c>
      <c r="J69" s="28" t="s">
        <v>378</v>
      </c>
      <c r="K69" s="28" t="str">
        <f t="shared" si="4"/>
        <v>Y</v>
      </c>
      <c r="L69" s="270" t="s">
        <v>350</v>
      </c>
      <c r="M69" s="221"/>
      <c r="N69" s="221"/>
      <c r="O69" s="221"/>
      <c r="P69" s="222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>
      <c r="A70" s="31" t="str">
        <f>ChkList!A54</f>
        <v>서비스 관리</v>
      </c>
      <c r="B70" s="31" t="str">
        <f>ChkList!B54</f>
        <v>U-50</v>
      </c>
      <c r="C70" s="270" t="str">
        <f>ChkList!C54</f>
        <v>DNS Zone Transfer 설정</v>
      </c>
      <c r="D70" s="221"/>
      <c r="E70" s="222"/>
      <c r="F70" s="31" t="str">
        <f>ChkList!D54</f>
        <v>H</v>
      </c>
      <c r="G70" s="31">
        <f>ChkList!E54</f>
        <v>3</v>
      </c>
      <c r="H70" s="168" t="s">
        <v>50</v>
      </c>
      <c r="I70" s="167" t="s">
        <v>331</v>
      </c>
      <c r="J70" s="28" t="s">
        <v>378</v>
      </c>
      <c r="K70" s="28" t="str">
        <f t="shared" si="4"/>
        <v>Y</v>
      </c>
      <c r="L70" s="270" t="s">
        <v>331</v>
      </c>
      <c r="M70" s="221"/>
      <c r="N70" s="221"/>
      <c r="O70" s="221"/>
      <c r="P70" s="222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>
      <c r="A71" s="31" t="str">
        <f>ChkList!A55</f>
        <v>서비스 관리</v>
      </c>
      <c r="B71" s="31" t="str">
        <f>ChkList!B55</f>
        <v>U-51</v>
      </c>
      <c r="C71" s="270" t="str">
        <f>ChkList!C55</f>
        <v>DNS 서비스의 취약한 동적 업데이트 설정 금지</v>
      </c>
      <c r="D71" s="221"/>
      <c r="E71" s="222"/>
      <c r="F71" s="31" t="str">
        <f>ChkList!D55</f>
        <v>M</v>
      </c>
      <c r="G71" s="31">
        <f>ChkList!E55</f>
        <v>2</v>
      </c>
      <c r="H71" s="168" t="s">
        <v>50</v>
      </c>
      <c r="I71" s="167" t="s">
        <v>323</v>
      </c>
      <c r="J71" s="28" t="s">
        <v>378</v>
      </c>
      <c r="K71" s="28" t="str">
        <f t="shared" si="4"/>
        <v>Y</v>
      </c>
      <c r="L71" s="274" t="s">
        <v>323</v>
      </c>
      <c r="M71" s="312"/>
      <c r="N71" s="312"/>
      <c r="O71" s="312"/>
      <c r="P71" s="313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>
      <c r="A72" s="31" t="str">
        <f>ChkList!A56</f>
        <v>서비스 관리</v>
      </c>
      <c r="B72" s="31" t="str">
        <f>ChkList!B56</f>
        <v>U-52</v>
      </c>
      <c r="C72" s="270" t="str">
        <f>ChkList!C56</f>
        <v>Telnet 서비스 비활성화</v>
      </c>
      <c r="D72" s="221"/>
      <c r="E72" s="222"/>
      <c r="F72" s="31" t="str">
        <f>ChkList!D56</f>
        <v>M</v>
      </c>
      <c r="G72" s="31">
        <f>ChkList!E56</f>
        <v>2</v>
      </c>
      <c r="H72" s="168" t="s">
        <v>50</v>
      </c>
      <c r="I72" s="167" t="s">
        <v>323</v>
      </c>
      <c r="J72" s="28" t="s">
        <v>378</v>
      </c>
      <c r="K72" s="28" t="str">
        <f t="shared" si="4"/>
        <v>Y</v>
      </c>
      <c r="L72" s="271" t="s">
        <v>323</v>
      </c>
      <c r="M72" s="272"/>
      <c r="N72" s="272"/>
      <c r="O72" s="272"/>
      <c r="P72" s="273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>
      <c r="A73" s="31" t="str">
        <f>ChkList!A57</f>
        <v>서비스 관리</v>
      </c>
      <c r="B73" s="31" t="str">
        <f>ChkList!B57</f>
        <v>U-53</v>
      </c>
      <c r="C73" s="270" t="str">
        <f>ChkList!C57</f>
        <v>FTP 서비스 정보 노출 제한</v>
      </c>
      <c r="D73" s="221"/>
      <c r="E73" s="222"/>
      <c r="F73" s="31" t="str">
        <f>ChkList!D57</f>
        <v>L</v>
      </c>
      <c r="G73" s="31">
        <f>ChkList!E57</f>
        <v>1</v>
      </c>
      <c r="H73" s="168" t="s">
        <v>50</v>
      </c>
      <c r="I73" s="167" t="s">
        <v>323</v>
      </c>
      <c r="J73" s="28" t="s">
        <v>378</v>
      </c>
      <c r="K73" s="28" t="str">
        <f t="shared" si="4"/>
        <v>Y</v>
      </c>
      <c r="L73" s="271" t="s">
        <v>323</v>
      </c>
      <c r="M73" s="272"/>
      <c r="N73" s="272"/>
      <c r="O73" s="272"/>
      <c r="P73" s="273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>
      <c r="A74" s="31" t="str">
        <f>ChkList!A58</f>
        <v>서비스 관리</v>
      </c>
      <c r="B74" s="31" t="str">
        <f>ChkList!B58</f>
        <v>U-54</v>
      </c>
      <c r="C74" s="270" t="str">
        <f>ChkList!C58</f>
        <v>암호화되지 않는 FTP 서비스 비활성화</v>
      </c>
      <c r="D74" s="221"/>
      <c r="E74" s="222"/>
      <c r="F74" s="31" t="str">
        <f>ChkList!D58</f>
        <v>M</v>
      </c>
      <c r="G74" s="31">
        <f>ChkList!E58</f>
        <v>2</v>
      </c>
      <c r="H74" s="168" t="s">
        <v>50</v>
      </c>
      <c r="I74" s="167" t="s">
        <v>323</v>
      </c>
      <c r="J74" s="28" t="s">
        <v>378</v>
      </c>
      <c r="K74" s="28" t="str">
        <f t="shared" si="4"/>
        <v>Y</v>
      </c>
      <c r="L74" s="271" t="s">
        <v>323</v>
      </c>
      <c r="M74" s="272"/>
      <c r="N74" s="272"/>
      <c r="O74" s="272"/>
      <c r="P74" s="273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70" t="str">
        <f>ChkList!C59</f>
        <v>FTP 계정 Shell 제한</v>
      </c>
      <c r="D75" s="221"/>
      <c r="E75" s="222"/>
      <c r="F75" s="31" t="str">
        <f>ChkList!D59</f>
        <v>M</v>
      </c>
      <c r="G75" s="31">
        <f>ChkList!E59</f>
        <v>2</v>
      </c>
      <c r="H75" s="168" t="s">
        <v>50</v>
      </c>
      <c r="I75" s="167" t="s">
        <v>323</v>
      </c>
      <c r="J75" s="28" t="s">
        <v>378</v>
      </c>
      <c r="K75" s="28" t="str">
        <f t="shared" si="4"/>
        <v>Y</v>
      </c>
      <c r="L75" s="271" t="s">
        <v>323</v>
      </c>
      <c r="M75" s="272"/>
      <c r="N75" s="272"/>
      <c r="O75" s="272"/>
      <c r="P75" s="273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>
      <c r="A76" s="31" t="str">
        <f>ChkList!A60</f>
        <v>서비스 관리</v>
      </c>
      <c r="B76" s="31" t="str">
        <f>ChkList!B60</f>
        <v>U-56</v>
      </c>
      <c r="C76" s="270" t="str">
        <f>ChkList!C60</f>
        <v>FTP 서비스 접근 제어 설정</v>
      </c>
      <c r="D76" s="221"/>
      <c r="E76" s="222"/>
      <c r="F76" s="31" t="str">
        <f>ChkList!D60</f>
        <v>L</v>
      </c>
      <c r="G76" s="31">
        <f>ChkList!E60</f>
        <v>1</v>
      </c>
      <c r="H76" s="168" t="s">
        <v>50</v>
      </c>
      <c r="I76" s="167" t="s">
        <v>323</v>
      </c>
      <c r="J76" s="28" t="s">
        <v>378</v>
      </c>
      <c r="K76" s="28" t="str">
        <f t="shared" si="4"/>
        <v>Y</v>
      </c>
      <c r="L76" s="271" t="s">
        <v>323</v>
      </c>
      <c r="M76" s="272"/>
      <c r="N76" s="272"/>
      <c r="O76" s="272"/>
      <c r="P76" s="273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>
      <c r="A77" s="31" t="str">
        <f>ChkList!A61</f>
        <v>서비스 관리</v>
      </c>
      <c r="B77" s="31" t="str">
        <f>ChkList!B61</f>
        <v>U-57</v>
      </c>
      <c r="C77" s="270" t="str">
        <f>ChkList!C61</f>
        <v>Ftpusers 파일 설정</v>
      </c>
      <c r="D77" s="221"/>
      <c r="E77" s="222"/>
      <c r="F77" s="31" t="str">
        <f>ChkList!D61</f>
        <v>M</v>
      </c>
      <c r="G77" s="31">
        <f>ChkList!E61</f>
        <v>2</v>
      </c>
      <c r="H77" s="168" t="s">
        <v>50</v>
      </c>
      <c r="I77" s="167" t="s">
        <v>323</v>
      </c>
      <c r="J77" s="28" t="s">
        <v>378</v>
      </c>
      <c r="K77" s="28" t="str">
        <f t="shared" si="4"/>
        <v>Y</v>
      </c>
      <c r="L77" s="314" t="s">
        <v>323</v>
      </c>
      <c r="M77" s="272"/>
      <c r="N77" s="272"/>
      <c r="O77" s="272"/>
      <c r="P77" s="273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>
      <c r="A78" s="31" t="str">
        <f>ChkList!A62</f>
        <v>서비스 관리</v>
      </c>
      <c r="B78" s="31" t="str">
        <f>ChkList!B62</f>
        <v>U-58</v>
      </c>
      <c r="C78" s="270" t="str">
        <f>ChkList!C62</f>
        <v>불필요한 SNMP 서비스 구동 점검</v>
      </c>
      <c r="D78" s="221"/>
      <c r="E78" s="222"/>
      <c r="F78" s="31" t="str">
        <f>ChkList!D62</f>
        <v>M</v>
      </c>
      <c r="G78" s="31">
        <f>ChkList!E62</f>
        <v>2</v>
      </c>
      <c r="H78" s="168" t="s">
        <v>50</v>
      </c>
      <c r="I78" s="167" t="s">
        <v>313</v>
      </c>
      <c r="J78" s="28" t="s">
        <v>378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70" t="s">
        <v>338</v>
      </c>
      <c r="M78" s="221"/>
      <c r="N78" s="221"/>
      <c r="O78" s="221"/>
      <c r="P78" s="222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>
      <c r="A79" s="31" t="str">
        <f>ChkList!A63</f>
        <v>서비스 관리</v>
      </c>
      <c r="B79" s="31" t="str">
        <f>ChkList!B63</f>
        <v>U-59</v>
      </c>
      <c r="C79" s="270" t="str">
        <f>ChkList!C63</f>
        <v>안전한 SNMP 버전 사용</v>
      </c>
      <c r="D79" s="221"/>
      <c r="E79" s="222"/>
      <c r="F79" s="31" t="str">
        <f>ChkList!D63</f>
        <v>H</v>
      </c>
      <c r="G79" s="31">
        <f>ChkList!E63</f>
        <v>3</v>
      </c>
      <c r="H79" s="168" t="s">
        <v>50</v>
      </c>
      <c r="I79" s="167" t="s">
        <v>314</v>
      </c>
      <c r="J79" s="28" t="s">
        <v>378</v>
      </c>
      <c r="K79" s="28" t="str">
        <f t="shared" si="4"/>
        <v>Y</v>
      </c>
      <c r="L79" s="270" t="s">
        <v>339</v>
      </c>
      <c r="M79" s="221"/>
      <c r="N79" s="221"/>
      <c r="O79" s="221"/>
      <c r="P79" s="222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>
      <c r="A80" s="31" t="str">
        <f>ChkList!A64</f>
        <v>서비스 관리</v>
      </c>
      <c r="B80" s="31" t="str">
        <f>ChkList!B64</f>
        <v>U-60</v>
      </c>
      <c r="C80" s="270" t="str">
        <f>ChkList!C64</f>
        <v>SNMP Community String 복잡성 설정</v>
      </c>
      <c r="D80" s="221"/>
      <c r="E80" s="222"/>
      <c r="F80" s="31" t="str">
        <f>ChkList!D64</f>
        <v>M</v>
      </c>
      <c r="G80" s="31">
        <f>ChkList!E64</f>
        <v>2</v>
      </c>
      <c r="H80" s="168" t="s">
        <v>50</v>
      </c>
      <c r="I80" s="167" t="s">
        <v>315</v>
      </c>
      <c r="J80" s="28" t="s">
        <v>378</v>
      </c>
      <c r="K80" s="28" t="str">
        <f t="shared" si="4"/>
        <v>Y</v>
      </c>
      <c r="L80" s="270" t="s">
        <v>340</v>
      </c>
      <c r="M80" s="221"/>
      <c r="N80" s="221"/>
      <c r="O80" s="221"/>
      <c r="P80" s="222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>
      <c r="A81" s="31" t="str">
        <f>ChkList!A65</f>
        <v>서비스 관리</v>
      </c>
      <c r="B81" s="31" t="str">
        <f>ChkList!B65</f>
        <v>U-61</v>
      </c>
      <c r="C81" s="270" t="str">
        <f>ChkList!C65</f>
        <v>SNMP Access Control 설정</v>
      </c>
      <c r="D81" s="221"/>
      <c r="E81" s="222"/>
      <c r="F81" s="31" t="str">
        <f>ChkList!D65</f>
        <v>H</v>
      </c>
      <c r="G81" s="31">
        <f>ChkList!E65</f>
        <v>3</v>
      </c>
      <c r="H81" s="168" t="s">
        <v>50</v>
      </c>
      <c r="I81" s="167" t="s">
        <v>316</v>
      </c>
      <c r="J81" s="28" t="s">
        <v>378</v>
      </c>
      <c r="K81" s="28" t="str">
        <f t="shared" si="4"/>
        <v>Y</v>
      </c>
      <c r="L81" s="270" t="s">
        <v>341</v>
      </c>
      <c r="M81" s="221"/>
      <c r="N81" s="221"/>
      <c r="O81" s="221"/>
      <c r="P81" s="222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>
      <c r="A82" s="31" t="str">
        <f>ChkList!A66</f>
        <v>서비스 관리</v>
      </c>
      <c r="B82" s="31" t="str">
        <f>ChkList!B66</f>
        <v>U-62</v>
      </c>
      <c r="C82" s="270" t="str">
        <f>ChkList!C66</f>
        <v>로그인 시 경고 메시지 설정</v>
      </c>
      <c r="D82" s="221"/>
      <c r="E82" s="222"/>
      <c r="F82" s="31" t="str">
        <f>ChkList!D66</f>
        <v>L</v>
      </c>
      <c r="G82" s="31">
        <f>ChkList!E66</f>
        <v>1</v>
      </c>
      <c r="H82" s="168" t="s">
        <v>50</v>
      </c>
      <c r="I82" s="164" t="s">
        <v>317</v>
      </c>
      <c r="J82" s="28" t="s">
        <v>378</v>
      </c>
      <c r="K82" s="28" t="str">
        <f t="shared" si="4"/>
        <v>Y</v>
      </c>
      <c r="L82" s="270" t="s">
        <v>342</v>
      </c>
      <c r="M82" s="221"/>
      <c r="N82" s="221"/>
      <c r="O82" s="221"/>
      <c r="P82" s="222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>
      <c r="A83" s="31" t="str">
        <f>ChkList!A67</f>
        <v>서비스 관리</v>
      </c>
      <c r="B83" s="31" t="str">
        <f>ChkList!B67</f>
        <v>U-63</v>
      </c>
      <c r="C83" s="270" t="str">
        <f>ChkList!C67</f>
        <v>sudo 명령어 접근 관리</v>
      </c>
      <c r="D83" s="221"/>
      <c r="E83" s="222"/>
      <c r="F83" s="31" t="str">
        <f>ChkList!D67</f>
        <v>M</v>
      </c>
      <c r="G83" s="31">
        <f>ChkList!E67</f>
        <v>2</v>
      </c>
      <c r="H83" s="168" t="s">
        <v>50</v>
      </c>
      <c r="I83" s="167" t="s">
        <v>332</v>
      </c>
      <c r="J83" s="28" t="s">
        <v>378</v>
      </c>
      <c r="K83" s="28" t="str">
        <f t="shared" si="4"/>
        <v>Y</v>
      </c>
      <c r="L83" s="270" t="s">
        <v>343</v>
      </c>
      <c r="M83" s="221"/>
      <c r="N83" s="221"/>
      <c r="O83" s="221"/>
      <c r="P83" s="222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70" t="str">
        <f>ChkList!C68</f>
        <v>주기적 보안 패치 및 벤더 권고사항 적용</v>
      </c>
      <c r="D84" s="221"/>
      <c r="E84" s="222"/>
      <c r="F84" s="31" t="str">
        <f>ChkList!D68</f>
        <v>H</v>
      </c>
      <c r="G84" s="31">
        <f>ChkList!E68</f>
        <v>3</v>
      </c>
      <c r="H84" s="168" t="s">
        <v>50</v>
      </c>
      <c r="I84" s="167" t="s">
        <v>319</v>
      </c>
      <c r="J84" s="28" t="s">
        <v>378</v>
      </c>
      <c r="K84" s="28" t="str">
        <f t="shared" si="4"/>
        <v>Y</v>
      </c>
      <c r="L84" s="270" t="s">
        <v>337</v>
      </c>
      <c r="M84" s="221"/>
      <c r="N84" s="221"/>
      <c r="O84" s="221"/>
      <c r="P84" s="222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>
      <c r="A85" s="31" t="str">
        <f>ChkList!A69</f>
        <v>로그 관리</v>
      </c>
      <c r="B85" s="31" t="str">
        <f>ChkList!B69</f>
        <v>U-65</v>
      </c>
      <c r="C85" s="270" t="str">
        <f>ChkList!C69</f>
        <v>NTP 및 시각 동기화 설정</v>
      </c>
      <c r="D85" s="221"/>
      <c r="E85" s="222"/>
      <c r="F85" s="31" t="str">
        <f>ChkList!D69</f>
        <v>M</v>
      </c>
      <c r="G85" s="31">
        <f>ChkList!E69</f>
        <v>2</v>
      </c>
      <c r="H85" s="168" t="s">
        <v>50</v>
      </c>
      <c r="I85" s="167" t="s">
        <v>319</v>
      </c>
      <c r="J85" s="28" t="s">
        <v>378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70" t="s">
        <v>337</v>
      </c>
      <c r="M85" s="221"/>
      <c r="N85" s="221"/>
      <c r="O85" s="221"/>
      <c r="P85" s="222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>
      <c r="A86" s="31" t="str">
        <f>ChkList!A70</f>
        <v>로그 관리</v>
      </c>
      <c r="B86" s="31" t="str">
        <f>ChkList!B70</f>
        <v>U-66</v>
      </c>
      <c r="C86" s="270" t="str">
        <f>ChkList!C70</f>
        <v>정책에 따른 시스템 로깅 설정</v>
      </c>
      <c r="D86" s="221"/>
      <c r="E86" s="222"/>
      <c r="F86" s="31" t="str">
        <f>ChkList!D70</f>
        <v>M</v>
      </c>
      <c r="G86" s="31">
        <f>ChkList!E70</f>
        <v>2</v>
      </c>
      <c r="H86" s="168" t="s">
        <v>50</v>
      </c>
      <c r="I86" s="167" t="s">
        <v>333</v>
      </c>
      <c r="J86" s="28" t="s">
        <v>378</v>
      </c>
      <c r="K86" s="28" t="str">
        <f t="shared" si="5"/>
        <v>Y</v>
      </c>
      <c r="L86" s="270" t="s">
        <v>336</v>
      </c>
      <c r="M86" s="221"/>
      <c r="N86" s="221"/>
      <c r="O86" s="221"/>
      <c r="P86" s="222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>
      <c r="A87" s="31" t="str">
        <f>ChkList!A71</f>
        <v>로그 관리</v>
      </c>
      <c r="B87" s="31" t="str">
        <f>ChkList!B71</f>
        <v>U-67</v>
      </c>
      <c r="C87" s="270" t="str">
        <f>ChkList!C71</f>
        <v>로그 디렉터리 소유자 및 권한 설정</v>
      </c>
      <c r="D87" s="221"/>
      <c r="E87" s="222"/>
      <c r="F87" s="31" t="str">
        <f>ChkList!D71</f>
        <v>M</v>
      </c>
      <c r="G87" s="31">
        <f>ChkList!E71</f>
        <v>2</v>
      </c>
      <c r="H87" s="168" t="s">
        <v>50</v>
      </c>
      <c r="I87" s="167" t="s">
        <v>321</v>
      </c>
      <c r="J87" s="28" t="s">
        <v>378</v>
      </c>
      <c r="K87" s="28" t="str">
        <f t="shared" si="5"/>
        <v>Y</v>
      </c>
      <c r="L87" s="270" t="s">
        <v>335</v>
      </c>
      <c r="M87" s="221"/>
      <c r="N87" s="221"/>
      <c r="O87" s="221"/>
      <c r="P87" s="222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157" priority="102" operator="containsText" text="N">
      <formula>NOT(ISERROR(SEARCH("N",H21)))</formula>
    </cfRule>
    <cfRule type="cellIs" priority="103" operator="equal">
      <formula>"취약"</formula>
    </cfRule>
    <cfRule type="cellIs" priority="104" operator="equal">
      <formula>"양호"</formula>
    </cfRule>
  </conditionalFormatting>
  <conditionalFormatting sqref="J40:J42">
    <cfRule type="containsText" dxfId="156" priority="62" operator="containsText" text="N">
      <formula>NOT(ISERROR(SEARCH("N",J40)))</formula>
    </cfRule>
    <cfRule type="cellIs" priority="63" operator="equal">
      <formula>"취약"</formula>
    </cfRule>
    <cfRule type="cellIs" priority="64" operator="equal">
      <formula>"양호"</formula>
    </cfRule>
  </conditionalFormatting>
  <conditionalFormatting sqref="J44">
    <cfRule type="containsText" dxfId="155" priority="59" operator="containsText" text="N">
      <formula>NOT(ISERROR(SEARCH("N",J44)))</formula>
    </cfRule>
    <cfRule type="cellIs" priority="60" operator="equal">
      <formula>"취약"</formula>
    </cfRule>
    <cfRule type="cellIs" priority="61" operator="equal">
      <formula>"양호"</formula>
    </cfRule>
  </conditionalFormatting>
  <conditionalFormatting sqref="J46:J47">
    <cfRule type="containsText" dxfId="154" priority="53" operator="containsText" text="N">
      <formula>NOT(ISERROR(SEARCH("N",J46)))</formula>
    </cfRule>
    <cfRule type="cellIs" priority="54" operator="equal">
      <formula>"취약"</formula>
    </cfRule>
    <cfRule type="cellIs" priority="55" operator="equal">
      <formula>"양호"</formula>
    </cfRule>
  </conditionalFormatting>
  <conditionalFormatting sqref="J49">
    <cfRule type="containsText" dxfId="153" priority="50" operator="containsText" text="N">
      <formula>NOT(ISERROR(SEARCH("N",J49)))</formula>
    </cfRule>
    <cfRule type="cellIs" priority="51" operator="equal">
      <formula>"취약"</formula>
    </cfRule>
    <cfRule type="cellIs" priority="52" operator="equal">
      <formula>"양호"</formula>
    </cfRule>
  </conditionalFormatting>
  <conditionalFormatting sqref="J58">
    <cfRule type="containsText" dxfId="152" priority="47" operator="containsText" text="N">
      <formula>NOT(ISERROR(SEARCH("N",J58)))</formula>
    </cfRule>
    <cfRule type="cellIs" priority="48" operator="equal">
      <formula>"취약"</formula>
    </cfRule>
    <cfRule type="cellIs" priority="49" operator="equal">
      <formula>"양호"</formula>
    </cfRule>
  </conditionalFormatting>
  <conditionalFormatting sqref="J65">
    <cfRule type="cellIs" dxfId="151" priority="6" stopIfTrue="1" operator="equal">
      <formula>"인터뷰"</formula>
    </cfRule>
    <cfRule type="cellIs" dxfId="150" priority="7" stopIfTrue="1" operator="equal">
      <formula>"R/A"</formula>
    </cfRule>
    <cfRule type="cellIs" dxfId="149" priority="8" stopIfTrue="1" operator="equal">
      <formula>"N/A"</formula>
    </cfRule>
    <cfRule type="cellIs" dxfId="148" priority="9" stopIfTrue="1" operator="equal">
      <formula>"N"</formula>
    </cfRule>
    <cfRule type="expression" dxfId="147" priority="10">
      <formula>OR(IF(J65=0,1,0),IF(J65="-",1,0))</formula>
    </cfRule>
  </conditionalFormatting>
  <conditionalFormatting sqref="J69:J87">
    <cfRule type="cellIs" dxfId="146" priority="19" stopIfTrue="1" operator="equal">
      <formula>"인터뷰"</formula>
    </cfRule>
    <cfRule type="cellIs" dxfId="145" priority="20" stopIfTrue="1" operator="equal">
      <formula>"R/A"</formula>
    </cfRule>
    <cfRule type="cellIs" dxfId="144" priority="21" stopIfTrue="1" operator="equal">
      <formula>"N/A"</formula>
    </cfRule>
    <cfRule type="cellIs" dxfId="143" priority="22" stopIfTrue="1" operator="equal">
      <formula>"N"</formula>
    </cfRule>
    <cfRule type="expression" dxfId="142" priority="23">
      <formula>OR(IF(J69=0,1,0),IF(J69="-",1,0))</formula>
    </cfRule>
  </conditionalFormatting>
  <conditionalFormatting sqref="J21:K39 K40:K42 J43:K43 K44 J45:K45 K46:K47 J48:K48 K49 J50:K57 K58 J59:K64 K65 J66:K68">
    <cfRule type="cellIs" dxfId="141" priority="79" stopIfTrue="1" operator="equal">
      <formula>"인터뷰"</formula>
    </cfRule>
    <cfRule type="cellIs" dxfId="140" priority="80" stopIfTrue="1" operator="equal">
      <formula>"R/A"</formula>
    </cfRule>
    <cfRule type="cellIs" dxfId="139" priority="81" stopIfTrue="1" operator="equal">
      <formula>"N/A"</formula>
    </cfRule>
    <cfRule type="cellIs" dxfId="138" priority="82" stopIfTrue="1" operator="equal">
      <formula>"N"</formula>
    </cfRule>
    <cfRule type="expression" dxfId="137" priority="83">
      <formula>OR(IF(J21=0,1,0),IF(J21="-",1,0))</formula>
    </cfRule>
  </conditionalFormatting>
  <conditionalFormatting sqref="K21:K87">
    <cfRule type="cellIs" dxfId="136" priority="39" operator="equal">
      <formula>"위험수용"</formula>
    </cfRule>
    <cfRule type="cellIs" dxfId="135" priority="40" operator="equal">
      <formula>"미조치"</formula>
    </cfRule>
    <cfRule type="cellIs" dxfId="134" priority="41" operator="equal">
      <formula>"조치"</formula>
    </cfRule>
  </conditionalFormatting>
  <conditionalFormatting sqref="K69:K87">
    <cfRule type="cellIs" dxfId="133" priority="42" stopIfTrue="1" operator="equal">
      <formula>"인터뷰"</formula>
    </cfRule>
    <cfRule type="cellIs" dxfId="132" priority="43" stopIfTrue="1" operator="equal">
      <formula>"R/A"</formula>
    </cfRule>
    <cfRule type="cellIs" dxfId="131" priority="44" stopIfTrue="1" operator="equal">
      <formula>"N/A"</formula>
    </cfRule>
    <cfRule type="cellIs" dxfId="130" priority="45" stopIfTrue="1" operator="equal">
      <formula>"N"</formula>
    </cfRule>
    <cfRule type="expression" dxfId="129" priority="46">
      <formula>OR(IF(K69=0,1,0),IF(K69="-",1,0))</formula>
    </cfRule>
  </conditionalFormatting>
  <conditionalFormatting sqref="L21:L87">
    <cfRule type="cellIs" dxfId="128" priority="1" stopIfTrue="1" operator="equal">
      <formula>"인터뷰"</formula>
    </cfRule>
    <cfRule type="cellIs" dxfId="127" priority="2" stopIfTrue="1" operator="equal">
      <formula>"R/A"</formula>
    </cfRule>
    <cfRule type="cellIs" dxfId="126" priority="3" stopIfTrue="1" operator="equal">
      <formula>"N/A"</formula>
    </cfRule>
    <cfRule type="cellIs" dxfId="125" priority="4" stopIfTrue="1" operator="equal">
      <formula>"N"</formula>
    </cfRule>
    <cfRule type="expression" dxfId="124" priority="5">
      <formula>OR(IF(L21=0,1,0),IF(L21="-",1,0))</formula>
    </cfRule>
  </conditionalFormatting>
  <conditionalFormatting sqref="Y21:Y58">
    <cfRule type="cellIs" dxfId="123" priority="118" operator="equal">
      <formula>"신규 취약점(즉시조치)"</formula>
    </cfRule>
    <cfRule type="cellIs" dxfId="122" priority="119" operator="equal">
      <formula>"기존 취약점(즉시조치)"</formula>
    </cfRule>
    <cfRule type="cellIs" dxfId="121" priority="120" operator="equal">
      <formula>"기존 취약점"</formula>
    </cfRule>
    <cfRule type="cellIs" dxfId="120" priority="121" operator="equal">
      <formula>"신규 취약점"</formula>
    </cfRule>
    <cfRule type="cellIs" dxfId="119" priority="122" operator="equal">
      <formula>"확인필요"</formula>
    </cfRule>
    <cfRule type="cellIs" dxfId="118" priority="123" operator="equal">
      <formula>"확인필요"</formula>
    </cfRule>
    <cfRule type="cellIs" dxfId="117" priority="124" operator="equal">
      <formula>"신규취약점"</formula>
    </cfRule>
    <cfRule type="cellIs" dxfId="116" priority="125" operator="equal">
      <formula>"조치완료"</formula>
    </cfRule>
  </conditionalFormatting>
  <dataValidations count="4">
    <dataValidation errorStyle="warning" allowBlank="1" showInputMessage="1" showErrorMessage="1" sqref="K21:K64 K66:K87"/>
    <dataValidation type="list" errorStyle="warning" showInputMessage="1" showErrorMessage="1" errorTitle="오류!" error="Y, N, N/A 중에 선택" sqref="J50:J57 J21:J39 J43 J45 J48 J65:K65 J59:J64 J66:J87">
      <formula1>"Y,N,N/A,인터뷰,Y(즉시조치)"</formula1>
    </dataValidation>
    <dataValidation type="list" errorStyle="warning" allowBlank="1" showInputMessage="1" showErrorMessage="1" errorTitle="오류!" error="Y, N, N/A 중에 선택" sqref="H21:H87 J58 J40:J42 J44 J46:J47 J49">
      <formula1>"Y,N,N/A,인터뷰,Y(즉시조치)"</formula1>
    </dataValidation>
    <dataValidation allowBlank="1" showInputMessage="1" showErrorMessage="1" errorTitle="오류!" error="Y, N, N/A 중에 선택" sqref="I21:I87 L21:L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91"/>
  <sheetViews>
    <sheetView showGridLines="0" view="pageBreakPreview" zoomScaleNormal="85" zoomScaleSheetLayoutView="100" workbookViewId="0">
      <selection activeCell="A88" sqref="A88:C94"/>
    </sheetView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4" t="s">
        <v>213</v>
      </c>
      <c r="B3" s="54"/>
      <c r="C3" s="54"/>
      <c r="D3" s="54"/>
      <c r="E3" s="54"/>
      <c r="F3" s="54"/>
      <c r="G3" s="54"/>
      <c r="H3" s="5"/>
      <c r="I3" s="5"/>
      <c r="R3" s="5" t="s">
        <v>214</v>
      </c>
      <c r="X3" s="5"/>
      <c r="Y3" s="5"/>
    </row>
    <row r="4" spans="1:25" ht="17.100000000000001" customHeight="1" thickBot="1">
      <c r="A4" s="126" t="s">
        <v>215</v>
      </c>
      <c r="B4" s="307" t="str">
        <f ca="1">REPLACE(CELL("filename",A1),1,FIND("]",CELL("filename",A1)),"")</f>
        <v>DB_BR_Rocky</v>
      </c>
      <c r="C4" s="247"/>
      <c r="D4" s="308" t="s">
        <v>216</v>
      </c>
      <c r="E4" s="250"/>
      <c r="F4" s="310" t="str">
        <f ca="1">IFERROR(VLOOKUP($B$4,자산목록!$B$1:$Q$835,8,FALSE),"N/A")</f>
        <v>지사 DB 서버</v>
      </c>
      <c r="G4" s="311"/>
      <c r="H4" s="63"/>
      <c r="I4" s="55"/>
      <c r="R4" s="25" t="s">
        <v>15</v>
      </c>
      <c r="S4" s="41">
        <f ca="1">IFERROR(VLOOKUP($B$4,자산목록!$B$1:$Q$835,13,FALSE),"N/A")</f>
        <v>3</v>
      </c>
      <c r="T4" s="309" t="s">
        <v>217</v>
      </c>
      <c r="U4" s="287" t="str">
        <f ca="1">IFERROR(VLOOKUP($B$4,자산목록!$B$1:$Q$835,16,FALSE),"N/A")</f>
        <v>H</v>
      </c>
      <c r="X4" s="5"/>
      <c r="Y4" s="5"/>
    </row>
    <row r="5" spans="1:25" ht="17.100000000000001" customHeight="1" thickBot="1">
      <c r="A5" s="127" t="s">
        <v>218</v>
      </c>
      <c r="B5" s="301" t="str">
        <f ca="1">IFERROR(VLOOKUP($B$4,자산목록!$B$1:$Q$835,6,FALSE)&amp;" "&amp;VLOOKUP($B$4,자산목록!$B$1:$Q$835,7,FALSE),"N/A")</f>
        <v>Rocky 8.1</v>
      </c>
      <c r="C5" s="222"/>
      <c r="D5" s="302" t="s">
        <v>219</v>
      </c>
      <c r="E5" s="303"/>
      <c r="F5" s="301" t="str">
        <f ca="1">IFERROR(VLOOKUP($B$4,자산목록!$B$1:$Q$835,2,FALSE),"N/A")</f>
        <v>10.200.40.18</v>
      </c>
      <c r="G5" s="222"/>
      <c r="H5" s="63"/>
      <c r="I5" s="55"/>
      <c r="R5" s="25" t="s">
        <v>16</v>
      </c>
      <c r="S5" s="41">
        <f ca="1">IFERROR(VLOOKUP($B$4,자산목록!$B$1:$Q$835,14,FALSE),"N/A")</f>
        <v>3</v>
      </c>
      <c r="T5" s="226"/>
      <c r="U5" s="226"/>
      <c r="X5" s="5"/>
      <c r="Y5" s="5"/>
    </row>
    <row r="6" spans="1:25" ht="17.100000000000001" customHeight="1" thickBot="1">
      <c r="A6" s="128" t="s">
        <v>12</v>
      </c>
      <c r="B6" s="304" t="str">
        <f ca="1">IFERROR(VLOOKUP($B$4,자산목록!$B$1:$Q$835,11,FALSE),"N/A")</f>
        <v>윤은우</v>
      </c>
      <c r="C6" s="234"/>
      <c r="D6" s="305" t="s">
        <v>220</v>
      </c>
      <c r="E6" s="306"/>
      <c r="F6" s="304" t="str">
        <f ca="1">IFERROR(VLOOKUP($B$4,자산목록!$B$1:$Q$835,9,FALSE),"N/A")</f>
        <v>지사 서버망</v>
      </c>
      <c r="G6" s="234"/>
      <c r="H6" s="63"/>
      <c r="I6" s="55"/>
      <c r="R6" s="25" t="s">
        <v>17</v>
      </c>
      <c r="S6" s="41">
        <f ca="1">IFERROR(VLOOKUP($B$4,자산목록!$B$1:$Q$835,15,FALSE),"N/A")</f>
        <v>3</v>
      </c>
      <c r="T6" s="225"/>
      <c r="U6" s="22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6" t="s">
        <v>222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 thickBot="1">
      <c r="A10" s="297" t="s">
        <v>77</v>
      </c>
      <c r="B10" s="213"/>
      <c r="C10" s="213"/>
      <c r="D10" s="296" t="s">
        <v>223</v>
      </c>
      <c r="E10" s="236"/>
      <c r="F10" s="236"/>
      <c r="G10" s="236"/>
      <c r="H10" s="236"/>
      <c r="I10" s="298" t="s">
        <v>224</v>
      </c>
      <c r="J10" s="300" t="s">
        <v>190</v>
      </c>
      <c r="K10" s="236"/>
      <c r="L10" s="236"/>
      <c r="M10" s="236"/>
      <c r="N10" s="236"/>
      <c r="O10" s="245"/>
      <c r="R10" s="289" t="s">
        <v>225</v>
      </c>
      <c r="S10" s="221"/>
      <c r="T10" s="221"/>
      <c r="U10" s="222"/>
      <c r="V10" s="283" t="s">
        <v>224</v>
      </c>
      <c r="W10" s="221"/>
      <c r="X10" s="221"/>
      <c r="Y10" s="222"/>
    </row>
    <row r="11" spans="1:25" ht="20.100000000000001" customHeight="1">
      <c r="A11" s="254"/>
      <c r="B11" s="255"/>
      <c r="C11" s="255"/>
      <c r="D11" s="129" t="s">
        <v>205</v>
      </c>
      <c r="E11" s="130" t="s">
        <v>181</v>
      </c>
      <c r="F11" s="131" t="s">
        <v>182</v>
      </c>
      <c r="G11" s="132" t="s">
        <v>53</v>
      </c>
      <c r="H11" s="157" t="s">
        <v>226</v>
      </c>
      <c r="I11" s="299"/>
      <c r="J11" s="143" t="s">
        <v>191</v>
      </c>
      <c r="K11" s="133" t="s">
        <v>192</v>
      </c>
      <c r="L11" s="134" t="s">
        <v>193</v>
      </c>
      <c r="M11" s="134" t="s">
        <v>53</v>
      </c>
      <c r="N11" s="134" t="s">
        <v>199</v>
      </c>
      <c r="O11" s="135" t="s">
        <v>226</v>
      </c>
      <c r="R11" s="49" t="s">
        <v>227</v>
      </c>
      <c r="S11" s="50" t="s">
        <v>228</v>
      </c>
      <c r="T11" s="50" t="s">
        <v>229</v>
      </c>
      <c r="U11" s="52" t="s">
        <v>230</v>
      </c>
      <c r="V11" s="288" t="s">
        <v>77</v>
      </c>
      <c r="W11" s="222"/>
      <c r="X11" s="11" t="s">
        <v>223</v>
      </c>
      <c r="Y11" s="11" t="s">
        <v>190</v>
      </c>
    </row>
    <row r="12" spans="1:25" ht="32.1" customHeight="1">
      <c r="A12" s="276" t="str">
        <f>ChkList!A6</f>
        <v>계정 관리</v>
      </c>
      <c r="B12" s="221"/>
      <c r="C12" s="222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90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87">
        <f>B12</f>
        <v>0</v>
      </c>
      <c r="W12" s="222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76" t="str">
        <f>ChkList!A20</f>
        <v>파일 및 디렉터리 관리</v>
      </c>
      <c r="B13" s="221"/>
      <c r="C13" s="222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91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 t="shared" si="1"/>
        <v>53</v>
      </c>
      <c r="U13" s="41">
        <f t="shared" si="1"/>
        <v>53</v>
      </c>
      <c r="V13" s="287">
        <f>B13</f>
        <v>0</v>
      </c>
      <c r="W13" s="222"/>
      <c r="X13" s="64">
        <f t="shared" ref="X13:X17" ca="1" si="3">H13</f>
        <v>1</v>
      </c>
      <c r="Y13" s="64">
        <f t="shared" ca="1" si="2"/>
        <v>1</v>
      </c>
    </row>
    <row r="14" spans="1:25" ht="32.1" customHeight="1">
      <c r="A14" s="276" t="str">
        <f>ChkList!A37</f>
        <v>파일 및 디렉터리 관리</v>
      </c>
      <c r="B14" s="221"/>
      <c r="C14" s="222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91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 t="shared" si="1"/>
        <v>53</v>
      </c>
      <c r="U14" s="41">
        <f t="shared" si="1"/>
        <v>53</v>
      </c>
      <c r="V14" s="287">
        <f>B14</f>
        <v>0</v>
      </c>
      <c r="W14" s="222"/>
      <c r="X14" s="64">
        <f t="shared" ca="1" si="3"/>
        <v>1</v>
      </c>
      <c r="Y14" s="64">
        <f t="shared" ca="1" si="2"/>
        <v>1</v>
      </c>
    </row>
    <row r="15" spans="1:25" ht="32.1" customHeight="1">
      <c r="A15" s="276" t="str">
        <f>ChkList!A69</f>
        <v>로그 관리</v>
      </c>
      <c r="B15" s="221"/>
      <c r="C15" s="222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91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87">
        <f>B15</f>
        <v>0</v>
      </c>
      <c r="W15" s="222"/>
      <c r="X15" s="64">
        <f t="shared" ca="1" si="3"/>
        <v>1</v>
      </c>
      <c r="Y15" s="64">
        <f t="shared" ca="1" si="2"/>
        <v>1</v>
      </c>
    </row>
    <row r="16" spans="1:25" ht="32.1" customHeight="1" thickBot="1">
      <c r="A16" s="276" t="str">
        <f>ChkList!A70</f>
        <v>로그 관리</v>
      </c>
      <c r="B16" s="221"/>
      <c r="C16" s="222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91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85">
        <f>B16</f>
        <v>0</v>
      </c>
      <c r="W16" s="286"/>
      <c r="X16" s="68">
        <f t="shared" ca="1" si="3"/>
        <v>1</v>
      </c>
      <c r="Y16" s="68">
        <f t="shared" ca="1" si="2"/>
        <v>1</v>
      </c>
    </row>
    <row r="17" spans="1:25" ht="20.100000000000001" customHeight="1" thickTop="1" thickBot="1">
      <c r="A17" s="293" t="s">
        <v>231</v>
      </c>
      <c r="B17" s="294"/>
      <c r="C17" s="295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92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84" t="s">
        <v>232</v>
      </c>
      <c r="W17" s="256"/>
      <c r="X17" s="67">
        <f t="shared" ca="1" si="3"/>
        <v>1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 thickBot="1">
      <c r="A19" s="9" t="s">
        <v>233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234</v>
      </c>
      <c r="S19" s="17"/>
    </row>
    <row r="20" spans="1:25" ht="21.95" customHeight="1">
      <c r="A20" s="277" t="s">
        <v>77</v>
      </c>
      <c r="B20" s="278"/>
      <c r="C20" s="279" t="s">
        <v>235</v>
      </c>
      <c r="D20" s="280"/>
      <c r="E20" s="280"/>
      <c r="F20" s="281" t="s">
        <v>41</v>
      </c>
      <c r="G20" s="280"/>
      <c r="H20" s="165" t="s">
        <v>178</v>
      </c>
      <c r="I20" s="166" t="s">
        <v>236</v>
      </c>
      <c r="J20" s="159" t="s">
        <v>190</v>
      </c>
      <c r="K20" s="144" t="s">
        <v>237</v>
      </c>
      <c r="L20" s="282" t="s">
        <v>322</v>
      </c>
      <c r="M20" s="280"/>
      <c r="N20" s="280"/>
      <c r="O20" s="280"/>
      <c r="P20" s="278"/>
      <c r="Q20" s="145" t="s">
        <v>76</v>
      </c>
      <c r="R20" s="53" t="s">
        <v>239</v>
      </c>
      <c r="S20" s="52" t="s">
        <v>228</v>
      </c>
      <c r="T20" s="25" t="s">
        <v>229</v>
      </c>
      <c r="U20" s="52" t="s">
        <v>230</v>
      </c>
      <c r="V20" s="275" t="s">
        <v>190</v>
      </c>
      <c r="W20" s="222"/>
      <c r="Y20" s="69"/>
    </row>
    <row r="21" spans="1:25" ht="36">
      <c r="A21" s="31" t="str">
        <f>ChkList!A5</f>
        <v>계정 관리</v>
      </c>
      <c r="B21" s="31" t="str">
        <f>ChkList!B5</f>
        <v>U-01</v>
      </c>
      <c r="C21" s="270" t="str">
        <f>ChkList!C5</f>
        <v>root 계정 원격 접속 제한</v>
      </c>
      <c r="D21" s="221"/>
      <c r="E21" s="222"/>
      <c r="F21" s="31" t="str">
        <f>ChkList!D5</f>
        <v>H</v>
      </c>
      <c r="G21" s="31">
        <f>ChkList!E5</f>
        <v>3</v>
      </c>
      <c r="H21" s="168" t="s">
        <v>50</v>
      </c>
      <c r="I21" s="167" t="s">
        <v>240</v>
      </c>
      <c r="J21" s="28" t="s">
        <v>374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70" t="s">
        <v>373</v>
      </c>
      <c r="M21" s="221"/>
      <c r="N21" s="221"/>
      <c r="O21" s="221"/>
      <c r="P21" s="222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241</v>
      </c>
      <c r="W21" s="42" t="s">
        <v>42</v>
      </c>
      <c r="Y21" s="10"/>
    </row>
    <row r="22" spans="1:25" ht="36">
      <c r="A22" s="31" t="str">
        <f>ChkList!A6</f>
        <v>계정 관리</v>
      </c>
      <c r="B22" s="31" t="str">
        <f>ChkList!B6</f>
        <v>U-02</v>
      </c>
      <c r="C22" s="270" t="str">
        <f>ChkList!C6</f>
        <v>비밀번호 관리정책 설정</v>
      </c>
      <c r="D22" s="221"/>
      <c r="E22" s="222"/>
      <c r="F22" s="31" t="str">
        <f>ChkList!D6</f>
        <v>H</v>
      </c>
      <c r="G22" s="31">
        <f>ChkList!E6</f>
        <v>3</v>
      </c>
      <c r="H22" s="168" t="s">
        <v>50</v>
      </c>
      <c r="I22" s="167" t="s">
        <v>243</v>
      </c>
      <c r="J22" s="28" t="s">
        <v>50</v>
      </c>
      <c r="K22" s="28" t="str">
        <f t="shared" si="4"/>
        <v>Y</v>
      </c>
      <c r="L22" s="270" t="s">
        <v>243</v>
      </c>
      <c r="M22" s="221"/>
      <c r="N22" s="221"/>
      <c r="O22" s="221"/>
      <c r="P22" s="222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191</v>
      </c>
      <c r="W22" s="28">
        <v>1</v>
      </c>
      <c r="Y22" s="10"/>
    </row>
    <row r="23" spans="1:25" ht="36">
      <c r="A23" s="31" t="str">
        <f>ChkList!A7</f>
        <v>계정 관리</v>
      </c>
      <c r="B23" s="31" t="str">
        <f>ChkList!B7</f>
        <v>U-03</v>
      </c>
      <c r="C23" s="270" t="str">
        <f>ChkList!C7</f>
        <v>계정 잠금 임계값 설정</v>
      </c>
      <c r="D23" s="221"/>
      <c r="E23" s="222"/>
      <c r="F23" s="31" t="str">
        <f>ChkList!D7</f>
        <v>H</v>
      </c>
      <c r="G23" s="31">
        <f>ChkList!E7</f>
        <v>3</v>
      </c>
      <c r="H23" s="168" t="s">
        <v>50</v>
      </c>
      <c r="I23" s="167" t="s">
        <v>245</v>
      </c>
      <c r="J23" s="28" t="s">
        <v>50</v>
      </c>
      <c r="K23" s="28" t="str">
        <f t="shared" si="4"/>
        <v>Y</v>
      </c>
      <c r="L23" s="270" t="s">
        <v>245</v>
      </c>
      <c r="M23" s="221"/>
      <c r="N23" s="221"/>
      <c r="O23" s="221"/>
      <c r="P23" s="222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192</v>
      </c>
      <c r="W23" s="28">
        <v>0</v>
      </c>
      <c r="Y23" s="10"/>
    </row>
    <row r="24" spans="1:25" ht="36">
      <c r="A24" s="31" t="str">
        <f>ChkList!A8</f>
        <v>계정 관리</v>
      </c>
      <c r="B24" s="31" t="str">
        <f>ChkList!B8</f>
        <v>U-04</v>
      </c>
      <c r="C24" s="270" t="str">
        <f>ChkList!C8</f>
        <v>비밀번호 파일 보호</v>
      </c>
      <c r="D24" s="221"/>
      <c r="E24" s="222"/>
      <c r="F24" s="31" t="str">
        <f>ChkList!D8</f>
        <v>H</v>
      </c>
      <c r="G24" s="31">
        <f>ChkList!E8</f>
        <v>3</v>
      </c>
      <c r="H24" s="168" t="s">
        <v>50</v>
      </c>
      <c r="I24" s="167" t="s">
        <v>324</v>
      </c>
      <c r="J24" s="28" t="s">
        <v>375</v>
      </c>
      <c r="K24" s="28" t="str">
        <f t="shared" si="4"/>
        <v>Y</v>
      </c>
      <c r="L24" s="270" t="s">
        <v>324</v>
      </c>
      <c r="M24" s="221"/>
      <c r="N24" s="221"/>
      <c r="O24" s="221"/>
      <c r="P24" s="222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193</v>
      </c>
      <c r="W24" s="28">
        <v>0</v>
      </c>
      <c r="Y24" s="10"/>
    </row>
    <row r="25" spans="1:25" ht="36">
      <c r="A25" s="31" t="str">
        <f>ChkList!A9</f>
        <v>계정 관리</v>
      </c>
      <c r="B25" s="31" t="str">
        <f>ChkList!B9</f>
        <v>U-05</v>
      </c>
      <c r="C25" s="270" t="str">
        <f>ChkList!C9</f>
        <v>root 이외의 UID가 ‘0’ 금지</v>
      </c>
      <c r="D25" s="221"/>
      <c r="E25" s="222"/>
      <c r="F25" s="31" t="str">
        <f>ChkList!D9</f>
        <v>H</v>
      </c>
      <c r="G25" s="31">
        <f>ChkList!E9</f>
        <v>3</v>
      </c>
      <c r="H25" s="168" t="s">
        <v>50</v>
      </c>
      <c r="I25" s="167" t="s">
        <v>247</v>
      </c>
      <c r="J25" s="28" t="s">
        <v>376</v>
      </c>
      <c r="K25" s="28" t="str">
        <f t="shared" si="4"/>
        <v>Y</v>
      </c>
      <c r="L25" s="270" t="s">
        <v>372</v>
      </c>
      <c r="M25" s="221"/>
      <c r="N25" s="221"/>
      <c r="O25" s="221"/>
      <c r="P25" s="222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53</v>
      </c>
      <c r="W25" s="28">
        <v>0</v>
      </c>
      <c r="Y25" s="10"/>
    </row>
    <row r="26" spans="1:25" ht="36">
      <c r="A26" s="31" t="str">
        <f>ChkList!A10</f>
        <v>계정 관리</v>
      </c>
      <c r="B26" s="31" t="str">
        <f>ChkList!B10</f>
        <v>U-06</v>
      </c>
      <c r="C26" s="270" t="str">
        <f>ChkList!C10</f>
        <v>사용자 계정 su 기능 제한</v>
      </c>
      <c r="D26" s="221"/>
      <c r="E26" s="222"/>
      <c r="F26" s="31" t="str">
        <f>ChkList!D10</f>
        <v>H</v>
      </c>
      <c r="G26" s="31">
        <f>ChkList!E10</f>
        <v>3</v>
      </c>
      <c r="H26" s="168" t="s">
        <v>50</v>
      </c>
      <c r="I26" s="167" t="s">
        <v>248</v>
      </c>
      <c r="J26" s="28" t="s">
        <v>377</v>
      </c>
      <c r="K26" s="28" t="str">
        <f t="shared" si="4"/>
        <v>Y</v>
      </c>
      <c r="L26" s="270" t="s">
        <v>371</v>
      </c>
      <c r="M26" s="221"/>
      <c r="N26" s="221"/>
      <c r="O26" s="221"/>
      <c r="P26" s="222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50</v>
      </c>
      <c r="W26" s="28">
        <v>1</v>
      </c>
      <c r="Y26" s="10"/>
    </row>
    <row r="27" spans="1:25" ht="36">
      <c r="A27" s="31" t="str">
        <f>ChkList!A11</f>
        <v>계정 관리</v>
      </c>
      <c r="B27" s="31" t="str">
        <f>ChkList!B11</f>
        <v>U-07</v>
      </c>
      <c r="C27" s="270" t="str">
        <f>ChkList!C11</f>
        <v>불필요한 계정 제거</v>
      </c>
      <c r="D27" s="221"/>
      <c r="E27" s="222"/>
      <c r="F27" s="31" t="str">
        <f>ChkList!D11</f>
        <v>L</v>
      </c>
      <c r="G27" s="31">
        <f>ChkList!E11</f>
        <v>1</v>
      </c>
      <c r="H27" s="168" t="s">
        <v>50</v>
      </c>
      <c r="I27" s="167" t="s">
        <v>249</v>
      </c>
      <c r="J27" s="28" t="s">
        <v>378</v>
      </c>
      <c r="K27" s="28" t="str">
        <f t="shared" si="4"/>
        <v>Y</v>
      </c>
      <c r="L27" s="270" t="s">
        <v>370</v>
      </c>
      <c r="M27" s="221"/>
      <c r="N27" s="221"/>
      <c r="O27" s="221"/>
      <c r="P27" s="222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55</v>
      </c>
      <c r="W27" s="28">
        <v>1</v>
      </c>
      <c r="Y27" s="10"/>
    </row>
    <row r="28" spans="1:25" ht="36">
      <c r="A28" s="31" t="str">
        <f>ChkList!A12</f>
        <v>계정 관리</v>
      </c>
      <c r="B28" s="31" t="str">
        <f>ChkList!B12</f>
        <v>U-08</v>
      </c>
      <c r="C28" s="270" t="str">
        <f>ChkList!C12</f>
        <v>관리자 그룹에 최소한의 계정 포함</v>
      </c>
      <c r="D28" s="221"/>
      <c r="E28" s="222"/>
      <c r="F28" s="31" t="str">
        <f>ChkList!D12</f>
        <v>M</v>
      </c>
      <c r="G28" s="31">
        <f>ChkList!E12</f>
        <v>2</v>
      </c>
      <c r="H28" s="168" t="s">
        <v>50</v>
      </c>
      <c r="I28" s="167" t="s">
        <v>250</v>
      </c>
      <c r="J28" s="28" t="s">
        <v>377</v>
      </c>
      <c r="K28" s="28" t="str">
        <f t="shared" si="4"/>
        <v>Y</v>
      </c>
      <c r="L28" s="270" t="s">
        <v>369</v>
      </c>
      <c r="M28" s="221"/>
      <c r="N28" s="221"/>
      <c r="O28" s="221"/>
      <c r="P28" s="222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>
      <c r="A29" s="31" t="str">
        <f>ChkList!A13</f>
        <v>계정 관리</v>
      </c>
      <c r="B29" s="31" t="str">
        <f>ChkList!B13</f>
        <v>U-09</v>
      </c>
      <c r="C29" s="270" t="str">
        <f>ChkList!C13</f>
        <v>계정이 존재하지 않는 GID 금지</v>
      </c>
      <c r="D29" s="221"/>
      <c r="E29" s="222"/>
      <c r="F29" s="31" t="str">
        <f>ChkList!D13</f>
        <v>L</v>
      </c>
      <c r="G29" s="31">
        <f>ChkList!E13</f>
        <v>1</v>
      </c>
      <c r="H29" s="168" t="s">
        <v>50</v>
      </c>
      <c r="I29" s="167" t="s">
        <v>251</v>
      </c>
      <c r="J29" s="28" t="s">
        <v>378</v>
      </c>
      <c r="K29" s="28" t="str">
        <f t="shared" si="4"/>
        <v>Y</v>
      </c>
      <c r="L29" s="270" t="s">
        <v>368</v>
      </c>
      <c r="M29" s="221"/>
      <c r="N29" s="221"/>
      <c r="O29" s="221"/>
      <c r="P29" s="222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6">
      <c r="A30" s="31" t="str">
        <f>ChkList!A14</f>
        <v>계정 관리</v>
      </c>
      <c r="B30" s="31" t="str">
        <f>ChkList!B14</f>
        <v>U-10</v>
      </c>
      <c r="C30" s="270" t="str">
        <f>ChkList!C14</f>
        <v>동일한 UID 금지</v>
      </c>
      <c r="D30" s="221"/>
      <c r="E30" s="222"/>
      <c r="F30" s="31" t="str">
        <f>ChkList!D14</f>
        <v>M</v>
      </c>
      <c r="G30" s="31">
        <f>ChkList!E14</f>
        <v>2</v>
      </c>
      <c r="H30" s="168" t="s">
        <v>50</v>
      </c>
      <c r="I30" s="167" t="s">
        <v>252</v>
      </c>
      <c r="J30" s="28" t="s">
        <v>378</v>
      </c>
      <c r="K30" s="28" t="str">
        <f t="shared" si="4"/>
        <v>Y</v>
      </c>
      <c r="L30" s="270" t="s">
        <v>367</v>
      </c>
      <c r="M30" s="221"/>
      <c r="N30" s="221"/>
      <c r="O30" s="221"/>
      <c r="P30" s="222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6">
      <c r="A31" s="31" t="str">
        <f>ChkList!A15</f>
        <v>계정 관리</v>
      </c>
      <c r="B31" s="31" t="str">
        <f>ChkList!B15</f>
        <v>U-11</v>
      </c>
      <c r="C31" s="270" t="str">
        <f>ChkList!C15</f>
        <v>사용자 Shell 점검</v>
      </c>
      <c r="D31" s="221"/>
      <c r="E31" s="222"/>
      <c r="F31" s="31" t="str">
        <f>ChkList!D15</f>
        <v>L</v>
      </c>
      <c r="G31" s="31">
        <f>ChkList!E15</f>
        <v>1</v>
      </c>
      <c r="H31" s="168" t="s">
        <v>50</v>
      </c>
      <c r="I31" s="167" t="s">
        <v>253</v>
      </c>
      <c r="J31" s="28" t="s">
        <v>378</v>
      </c>
      <c r="K31" s="28" t="str">
        <f t="shared" si="4"/>
        <v>Y</v>
      </c>
      <c r="L31" s="270" t="s">
        <v>366</v>
      </c>
      <c r="M31" s="221"/>
      <c r="N31" s="221"/>
      <c r="O31" s="221"/>
      <c r="P31" s="222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6">
      <c r="A32" s="31" t="str">
        <f>ChkList!A16</f>
        <v>계정 관리</v>
      </c>
      <c r="B32" s="31" t="str">
        <f>ChkList!B16</f>
        <v>U-12</v>
      </c>
      <c r="C32" s="270" t="str">
        <f>ChkList!C16</f>
        <v>세션 종료 시간 설정</v>
      </c>
      <c r="D32" s="221"/>
      <c r="E32" s="222"/>
      <c r="F32" s="31" t="str">
        <f>ChkList!D16</f>
        <v>L</v>
      </c>
      <c r="G32" s="31">
        <f>ChkList!E16</f>
        <v>1</v>
      </c>
      <c r="H32" s="168" t="s">
        <v>50</v>
      </c>
      <c r="I32" s="167" t="s">
        <v>254</v>
      </c>
      <c r="J32" s="28" t="s">
        <v>378</v>
      </c>
      <c r="K32" s="28" t="str">
        <f t="shared" si="4"/>
        <v>Y</v>
      </c>
      <c r="L32" s="270" t="s">
        <v>365</v>
      </c>
      <c r="M32" s="221"/>
      <c r="N32" s="221"/>
      <c r="O32" s="221"/>
      <c r="P32" s="222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6">
      <c r="A33" s="31" t="str">
        <f>ChkList!A17</f>
        <v>계정 관리</v>
      </c>
      <c r="B33" s="31" t="str">
        <f>ChkList!B17</f>
        <v>U-13</v>
      </c>
      <c r="C33" s="270" t="str">
        <f>ChkList!C17</f>
        <v>안전한 비밀번호 암호화 알고리즘 사용</v>
      </c>
      <c r="D33" s="221"/>
      <c r="E33" s="222"/>
      <c r="F33" s="31" t="str">
        <f>ChkList!D17</f>
        <v>M</v>
      </c>
      <c r="G33" s="31">
        <f>ChkList!E17</f>
        <v>2</v>
      </c>
      <c r="H33" s="168" t="s">
        <v>50</v>
      </c>
      <c r="I33" s="167" t="s">
        <v>255</v>
      </c>
      <c r="J33" s="28" t="s">
        <v>378</v>
      </c>
      <c r="K33" s="28" t="str">
        <f t="shared" si="4"/>
        <v>Y</v>
      </c>
      <c r="L33" s="270" t="s">
        <v>364</v>
      </c>
      <c r="M33" s="221"/>
      <c r="N33" s="221"/>
      <c r="O33" s="221"/>
      <c r="P33" s="222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6">
      <c r="A34" s="31" t="str">
        <f>ChkList!A18</f>
        <v>파일 및 디렉터리 관리</v>
      </c>
      <c r="B34" s="31" t="str">
        <f>ChkList!B18</f>
        <v>U-14</v>
      </c>
      <c r="C34" s="270" t="str">
        <f>ChkList!C18</f>
        <v>root 홈, 패스 디렉터리 권한 및 패스 설정</v>
      </c>
      <c r="D34" s="221"/>
      <c r="E34" s="222"/>
      <c r="F34" s="31" t="str">
        <f>ChkList!D18</f>
        <v>H</v>
      </c>
      <c r="G34" s="31">
        <f>ChkList!E18</f>
        <v>3</v>
      </c>
      <c r="H34" s="168" t="s">
        <v>50</v>
      </c>
      <c r="I34" s="167" t="s">
        <v>256</v>
      </c>
      <c r="J34" s="28" t="s">
        <v>378</v>
      </c>
      <c r="K34" s="28" t="str">
        <f t="shared" si="4"/>
        <v>Y</v>
      </c>
      <c r="L34" s="270" t="s">
        <v>363</v>
      </c>
      <c r="M34" s="221"/>
      <c r="N34" s="221"/>
      <c r="O34" s="221"/>
      <c r="P34" s="222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6">
      <c r="A35" s="31" t="str">
        <f>ChkList!A19</f>
        <v>파일 및 디렉터리 관리</v>
      </c>
      <c r="B35" s="31" t="str">
        <f>ChkList!B19</f>
        <v>U-15</v>
      </c>
      <c r="C35" s="270" t="str">
        <f>ChkList!C19</f>
        <v>파일 및 디렉터리 소유자 설정</v>
      </c>
      <c r="D35" s="221"/>
      <c r="E35" s="222"/>
      <c r="F35" s="31" t="str">
        <f>ChkList!D19</f>
        <v>H</v>
      </c>
      <c r="G35" s="31">
        <f>ChkList!E19</f>
        <v>3</v>
      </c>
      <c r="H35" s="168" t="s">
        <v>50</v>
      </c>
      <c r="I35" s="167" t="s">
        <v>258</v>
      </c>
      <c r="J35" s="28" t="s">
        <v>50</v>
      </c>
      <c r="K35" s="28" t="str">
        <f t="shared" si="4"/>
        <v>Y</v>
      </c>
      <c r="L35" s="270" t="s">
        <v>258</v>
      </c>
      <c r="M35" s="221"/>
      <c r="N35" s="221"/>
      <c r="O35" s="221"/>
      <c r="P35" s="222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6">
      <c r="A36" s="31" t="str">
        <f>ChkList!A20</f>
        <v>파일 및 디렉터리 관리</v>
      </c>
      <c r="B36" s="31" t="str">
        <f>ChkList!B20</f>
        <v>U-16</v>
      </c>
      <c r="C36" s="270" t="str">
        <f>ChkList!C20</f>
        <v>/etc/passwd 파일 소유자 및 권한 설정</v>
      </c>
      <c r="D36" s="221"/>
      <c r="E36" s="222"/>
      <c r="F36" s="31" t="str">
        <f>ChkList!D20</f>
        <v>H</v>
      </c>
      <c r="G36" s="31">
        <f>ChkList!E20</f>
        <v>3</v>
      </c>
      <c r="H36" s="168" t="s">
        <v>50</v>
      </c>
      <c r="I36" s="167" t="s">
        <v>259</v>
      </c>
      <c r="J36" s="28" t="s">
        <v>378</v>
      </c>
      <c r="K36" s="28" t="str">
        <f t="shared" si="4"/>
        <v>Y</v>
      </c>
      <c r="L36" s="270" t="s">
        <v>362</v>
      </c>
      <c r="M36" s="221"/>
      <c r="N36" s="221"/>
      <c r="O36" s="221"/>
      <c r="P36" s="222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450000000000003" customHeight="1">
      <c r="A37" s="31" t="str">
        <f>ChkList!A21</f>
        <v>파일 및 디렉터리 관리</v>
      </c>
      <c r="B37" s="31" t="str">
        <f>ChkList!B21</f>
        <v>U-17</v>
      </c>
      <c r="C37" s="270" t="str">
        <f>ChkList!C21</f>
        <v>시스템 시작 스크립트 권한 설정</v>
      </c>
      <c r="D37" s="221"/>
      <c r="E37" s="222"/>
      <c r="F37" s="31" t="str">
        <f>ChkList!D21</f>
        <v>H</v>
      </c>
      <c r="G37" s="31">
        <f>ChkList!E21</f>
        <v>3</v>
      </c>
      <c r="H37" s="168" t="s">
        <v>50</v>
      </c>
      <c r="I37" s="167" t="s">
        <v>261</v>
      </c>
      <c r="J37" s="28" t="s">
        <v>50</v>
      </c>
      <c r="K37" s="28" t="str">
        <f t="shared" si="4"/>
        <v>Y</v>
      </c>
      <c r="L37" s="270" t="s">
        <v>261</v>
      </c>
      <c r="M37" s="221"/>
      <c r="N37" s="221"/>
      <c r="O37" s="221"/>
      <c r="P37" s="222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1" t="str">
        <f>ChkList!A22</f>
        <v>파일 및 디렉터리 관리</v>
      </c>
      <c r="B38" s="31" t="str">
        <f>ChkList!B22</f>
        <v>U-18</v>
      </c>
      <c r="C38" s="270" t="str">
        <f>ChkList!C22</f>
        <v>/etc/shadow 파일 소유자 및 권한 설정</v>
      </c>
      <c r="D38" s="221"/>
      <c r="E38" s="222"/>
      <c r="F38" s="31" t="str">
        <f>ChkList!D22</f>
        <v>H</v>
      </c>
      <c r="G38" s="31">
        <f>ChkList!E22</f>
        <v>3</v>
      </c>
      <c r="H38" s="168" t="s">
        <v>50</v>
      </c>
      <c r="I38" s="167" t="s">
        <v>262</v>
      </c>
      <c r="J38" s="28" t="s">
        <v>378</v>
      </c>
      <c r="K38" s="28" t="str">
        <f t="shared" si="4"/>
        <v>Y</v>
      </c>
      <c r="L38" s="270" t="s">
        <v>361</v>
      </c>
      <c r="M38" s="221"/>
      <c r="N38" s="221"/>
      <c r="O38" s="221"/>
      <c r="P38" s="222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1" t="str">
        <f>ChkList!A23</f>
        <v>파일 및 디렉터리 관리</v>
      </c>
      <c r="B39" s="31" t="str">
        <f>ChkList!B23</f>
        <v>U-19</v>
      </c>
      <c r="C39" s="270" t="str">
        <f>ChkList!C23</f>
        <v>/etc/hosts 파일 소유자 및 권한 설정</v>
      </c>
      <c r="D39" s="221"/>
      <c r="E39" s="222"/>
      <c r="F39" s="31" t="str">
        <f>ChkList!D23</f>
        <v>H</v>
      </c>
      <c r="G39" s="31">
        <f>ChkList!E23</f>
        <v>3</v>
      </c>
      <c r="H39" s="168" t="s">
        <v>50</v>
      </c>
      <c r="I39" s="167" t="s">
        <v>263</v>
      </c>
      <c r="J39" s="28" t="s">
        <v>378</v>
      </c>
      <c r="K39" s="28" t="str">
        <f t="shared" si="4"/>
        <v>Y</v>
      </c>
      <c r="L39" s="270" t="s">
        <v>360</v>
      </c>
      <c r="M39" s="221"/>
      <c r="N39" s="221"/>
      <c r="O39" s="221"/>
      <c r="P39" s="222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43.5" customHeight="1">
      <c r="A40" s="31" t="str">
        <f>ChkList!A24</f>
        <v>파일 및 디렉터리 관리</v>
      </c>
      <c r="B40" s="31" t="str">
        <f>ChkList!B24</f>
        <v>U-20</v>
      </c>
      <c r="C40" s="270" t="str">
        <f>ChkList!C24</f>
        <v>/etc/(x)inetd.conf 파일 소유자 및 권한 설정</v>
      </c>
      <c r="D40" s="221"/>
      <c r="E40" s="222"/>
      <c r="F40" s="31" t="str">
        <f>ChkList!D24</f>
        <v>H</v>
      </c>
      <c r="G40" s="31">
        <f>ChkList!E24</f>
        <v>3</v>
      </c>
      <c r="H40" s="168" t="s">
        <v>50</v>
      </c>
      <c r="I40" s="167" t="s">
        <v>264</v>
      </c>
      <c r="J40" s="168" t="s">
        <v>50</v>
      </c>
      <c r="K40" s="28" t="str">
        <f t="shared" si="4"/>
        <v>Y</v>
      </c>
      <c r="L40" s="271" t="s">
        <v>265</v>
      </c>
      <c r="M40" s="272"/>
      <c r="N40" s="272"/>
      <c r="O40" s="272"/>
      <c r="P40" s="273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>
      <c r="A41" s="31" t="str">
        <f>ChkList!A25</f>
        <v>파일 및 디렉터리 관리</v>
      </c>
      <c r="B41" s="31" t="str">
        <f>ChkList!B25</f>
        <v>U-21</v>
      </c>
      <c r="C41" s="270" t="str">
        <f>ChkList!C25</f>
        <v>/etc/(r)syslog.conf 파일 소유자 및 권한 설정</v>
      </c>
      <c r="D41" s="221"/>
      <c r="E41" s="222"/>
      <c r="F41" s="31" t="str">
        <f>ChkList!D25</f>
        <v>H</v>
      </c>
      <c r="G41" s="31">
        <f>ChkList!E25</f>
        <v>3</v>
      </c>
      <c r="H41" s="168" t="s">
        <v>50</v>
      </c>
      <c r="I41" s="167" t="s">
        <v>266</v>
      </c>
      <c r="J41" s="168" t="s">
        <v>50</v>
      </c>
      <c r="K41" s="28" t="str">
        <f t="shared" si="4"/>
        <v>Y</v>
      </c>
      <c r="L41" s="271" t="s">
        <v>267</v>
      </c>
      <c r="M41" s="272"/>
      <c r="N41" s="272"/>
      <c r="O41" s="272"/>
      <c r="P41" s="273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43.5" customHeight="1">
      <c r="A42" s="31" t="str">
        <f>ChkList!A26</f>
        <v>파일 및 디렉터리 관리</v>
      </c>
      <c r="B42" s="31" t="str">
        <f>ChkList!B26</f>
        <v>U-22</v>
      </c>
      <c r="C42" s="270" t="str">
        <f>ChkList!C26</f>
        <v>/etc/services 파일 소유자 및 권한 설정</v>
      </c>
      <c r="D42" s="221"/>
      <c r="E42" s="222"/>
      <c r="F42" s="31" t="str">
        <f>ChkList!D26</f>
        <v>H</v>
      </c>
      <c r="G42" s="31">
        <f>ChkList!E26</f>
        <v>3</v>
      </c>
      <c r="H42" s="168" t="s">
        <v>50</v>
      </c>
      <c r="I42" s="167" t="s">
        <v>269</v>
      </c>
      <c r="J42" s="168" t="s">
        <v>50</v>
      </c>
      <c r="K42" s="28" t="str">
        <f t="shared" si="4"/>
        <v>Y</v>
      </c>
      <c r="L42" s="271" t="s">
        <v>269</v>
      </c>
      <c r="M42" s="272"/>
      <c r="N42" s="272"/>
      <c r="O42" s="272"/>
      <c r="P42" s="273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>
      <c r="A43" s="31" t="str">
        <f>ChkList!A27</f>
        <v>파일 및 디렉터리 관리</v>
      </c>
      <c r="B43" s="31" t="str">
        <f>ChkList!B27</f>
        <v>U-23</v>
      </c>
      <c r="C43" s="270" t="str">
        <f>ChkList!C27</f>
        <v>SUID, SGID, Sticky bit 설정 파일 점검</v>
      </c>
      <c r="D43" s="221"/>
      <c r="E43" s="222"/>
      <c r="F43" s="31" t="str">
        <f>ChkList!D27</f>
        <v>H</v>
      </c>
      <c r="G43" s="31">
        <f>ChkList!E27</f>
        <v>3</v>
      </c>
      <c r="H43" s="168" t="s">
        <v>50</v>
      </c>
      <c r="I43" s="167" t="s">
        <v>325</v>
      </c>
      <c r="J43" s="28" t="s">
        <v>378</v>
      </c>
      <c r="K43" s="28" t="str">
        <f t="shared" si="4"/>
        <v>Y</v>
      </c>
      <c r="L43" s="270" t="s">
        <v>358</v>
      </c>
      <c r="M43" s="221"/>
      <c r="N43" s="221"/>
      <c r="O43" s="221"/>
      <c r="P43" s="222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1" t="str">
        <f>ChkList!A28</f>
        <v>파일 및 디렉터리 관리</v>
      </c>
      <c r="B44" s="31" t="str">
        <f>ChkList!B28</f>
        <v>U-24</v>
      </c>
      <c r="C44" s="270" t="str">
        <f>ChkList!C28</f>
        <v>사용자, 시스템 시작파일 및 환경파일 소유자 및 권한 설정</v>
      </c>
      <c r="D44" s="221"/>
      <c r="E44" s="222"/>
      <c r="F44" s="31" t="str">
        <f>ChkList!D28</f>
        <v>H</v>
      </c>
      <c r="G44" s="31">
        <f>ChkList!E28</f>
        <v>3</v>
      </c>
      <c r="H44" s="168" t="s">
        <v>50</v>
      </c>
      <c r="I44" s="167" t="s">
        <v>326</v>
      </c>
      <c r="J44" s="168" t="s">
        <v>50</v>
      </c>
      <c r="K44" s="28" t="str">
        <f t="shared" si="4"/>
        <v>Y</v>
      </c>
      <c r="L44" s="270" t="s">
        <v>379</v>
      </c>
      <c r="M44" s="221"/>
      <c r="N44" s="221"/>
      <c r="O44" s="221"/>
      <c r="P44" s="222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43.5" customHeight="1">
      <c r="A45" s="31" t="str">
        <f>ChkList!A29</f>
        <v>파일 및 디렉터리 관리</v>
      </c>
      <c r="B45" s="31" t="str">
        <f>ChkList!B29</f>
        <v>U-25</v>
      </c>
      <c r="C45" s="270" t="str">
        <f>ChkList!C29</f>
        <v>world writable 파일 점검</v>
      </c>
      <c r="D45" s="221"/>
      <c r="E45" s="222"/>
      <c r="F45" s="31" t="str">
        <f>ChkList!D29</f>
        <v>H</v>
      </c>
      <c r="G45" s="31">
        <f>ChkList!E29</f>
        <v>3</v>
      </c>
      <c r="H45" s="168" t="s">
        <v>50</v>
      </c>
      <c r="I45" s="167" t="s">
        <v>272</v>
      </c>
      <c r="J45" s="28" t="s">
        <v>378</v>
      </c>
      <c r="K45" s="28" t="str">
        <f t="shared" si="4"/>
        <v>Y</v>
      </c>
      <c r="L45" s="270" t="s">
        <v>355</v>
      </c>
      <c r="M45" s="221"/>
      <c r="N45" s="221"/>
      <c r="O45" s="221"/>
      <c r="P45" s="222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6">
      <c r="A46" s="31" t="str">
        <f>ChkList!A30</f>
        <v>파일 및 디렉터리 관리</v>
      </c>
      <c r="B46" s="31" t="str">
        <f>ChkList!B30</f>
        <v>U-26</v>
      </c>
      <c r="C46" s="270" t="str">
        <f>ChkList!C30</f>
        <v>/dev에 존재하지 않는 device 파일 점검</v>
      </c>
      <c r="D46" s="221"/>
      <c r="E46" s="222"/>
      <c r="F46" s="31" t="str">
        <f>ChkList!D30</f>
        <v>H</v>
      </c>
      <c r="G46" s="31">
        <f>ChkList!E30</f>
        <v>3</v>
      </c>
      <c r="H46" s="168" t="s">
        <v>50</v>
      </c>
      <c r="I46" s="167" t="s">
        <v>274</v>
      </c>
      <c r="J46" s="168" t="s">
        <v>50</v>
      </c>
      <c r="K46" s="28" t="str">
        <f t="shared" si="4"/>
        <v>Y</v>
      </c>
      <c r="L46" s="270" t="s">
        <v>274</v>
      </c>
      <c r="M46" s="221"/>
      <c r="N46" s="221"/>
      <c r="O46" s="221"/>
      <c r="P46" s="222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6">
      <c r="A47" s="31" t="str">
        <f>ChkList!A31</f>
        <v>파일 및 디렉터리 관리</v>
      </c>
      <c r="B47" s="31" t="str">
        <f>ChkList!B31</f>
        <v>U-27</v>
      </c>
      <c r="C47" s="270" t="str">
        <f>ChkList!C31</f>
        <v>$HOME/.rhosts, hosts.equiv 사용 금지</v>
      </c>
      <c r="D47" s="221"/>
      <c r="E47" s="222"/>
      <c r="F47" s="31" t="str">
        <f>ChkList!D31</f>
        <v>H</v>
      </c>
      <c r="G47" s="31">
        <f>ChkList!E31</f>
        <v>3</v>
      </c>
      <c r="H47" s="168" t="s">
        <v>50</v>
      </c>
      <c r="I47" s="167" t="s">
        <v>276</v>
      </c>
      <c r="J47" s="168" t="s">
        <v>50</v>
      </c>
      <c r="K47" s="28" t="str">
        <f t="shared" si="4"/>
        <v>Y</v>
      </c>
      <c r="L47" s="270" t="s">
        <v>276</v>
      </c>
      <c r="M47" s="221"/>
      <c r="N47" s="221"/>
      <c r="O47" s="221"/>
      <c r="P47" s="222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6">
      <c r="A48" s="31" t="str">
        <f>ChkList!A32</f>
        <v>파일 및 디렉터리 관리</v>
      </c>
      <c r="B48" s="31" t="str">
        <f>ChkList!B32</f>
        <v>U-28</v>
      </c>
      <c r="C48" s="270" t="str">
        <f>ChkList!C32</f>
        <v>접속 IP 및 포트 제한</v>
      </c>
      <c r="D48" s="221"/>
      <c r="E48" s="222"/>
      <c r="F48" s="31" t="str">
        <f>ChkList!D32</f>
        <v>H</v>
      </c>
      <c r="G48" s="31">
        <f>ChkList!E32</f>
        <v>3</v>
      </c>
      <c r="H48" s="168" t="s">
        <v>50</v>
      </c>
      <c r="I48" s="167" t="s">
        <v>277</v>
      </c>
      <c r="J48" s="28" t="s">
        <v>378</v>
      </c>
      <c r="K48" s="28" t="str">
        <f t="shared" si="4"/>
        <v>Y</v>
      </c>
      <c r="L48" s="270" t="s">
        <v>357</v>
      </c>
      <c r="M48" s="221"/>
      <c r="N48" s="221"/>
      <c r="O48" s="221"/>
      <c r="P48" s="222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6">
      <c r="A49" s="31" t="str">
        <f>ChkList!A33</f>
        <v>파일 및 디렉터리 관리</v>
      </c>
      <c r="B49" s="31" t="str">
        <f>ChkList!B33</f>
        <v>U-29</v>
      </c>
      <c r="C49" s="270" t="str">
        <f>ChkList!C33</f>
        <v>hosts.lpd 파일 소유자 및 권한 설정</v>
      </c>
      <c r="D49" s="221"/>
      <c r="E49" s="222"/>
      <c r="F49" s="31" t="str">
        <f>ChkList!D33</f>
        <v>L</v>
      </c>
      <c r="G49" s="31">
        <f>ChkList!E33</f>
        <v>1</v>
      </c>
      <c r="H49" s="168" t="s">
        <v>50</v>
      </c>
      <c r="I49" s="167" t="s">
        <v>279</v>
      </c>
      <c r="J49" s="168" t="s">
        <v>50</v>
      </c>
      <c r="K49" s="28" t="str">
        <f t="shared" si="4"/>
        <v>Y</v>
      </c>
      <c r="L49" s="270" t="s">
        <v>279</v>
      </c>
      <c r="M49" s="221"/>
      <c r="N49" s="221"/>
      <c r="O49" s="221"/>
      <c r="P49" s="222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6">
      <c r="A50" s="31" t="str">
        <f>ChkList!A34</f>
        <v>파일 및 디렉터리 관리</v>
      </c>
      <c r="B50" s="31" t="str">
        <f>ChkList!B34</f>
        <v>U-30</v>
      </c>
      <c r="C50" s="270" t="str">
        <f>ChkList!C34</f>
        <v>UMASK 설정 관리</v>
      </c>
      <c r="D50" s="221"/>
      <c r="E50" s="222"/>
      <c r="F50" s="31" t="str">
        <f>ChkList!D34</f>
        <v>M</v>
      </c>
      <c r="G50" s="31">
        <f>ChkList!E34</f>
        <v>2</v>
      </c>
      <c r="H50" s="168" t="s">
        <v>50</v>
      </c>
      <c r="I50" s="167" t="s">
        <v>327</v>
      </c>
      <c r="J50" s="28" t="s">
        <v>378</v>
      </c>
      <c r="K50" s="28" t="str">
        <f t="shared" si="4"/>
        <v>Y</v>
      </c>
      <c r="L50" s="270" t="s">
        <v>327</v>
      </c>
      <c r="M50" s="221"/>
      <c r="N50" s="221"/>
      <c r="O50" s="221"/>
      <c r="P50" s="222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6">
      <c r="A51" s="31" t="str">
        <f>ChkList!A35</f>
        <v>파일 및 디렉터리 관리</v>
      </c>
      <c r="B51" s="31" t="str">
        <f>ChkList!B35</f>
        <v>U-31</v>
      </c>
      <c r="C51" s="270" t="str">
        <f>ChkList!C35</f>
        <v>홈 디렉터리 소유자 및 권한 설정</v>
      </c>
      <c r="D51" s="221"/>
      <c r="E51" s="222"/>
      <c r="F51" s="31" t="str">
        <f>ChkList!D35</f>
        <v>M</v>
      </c>
      <c r="G51" s="31">
        <f>ChkList!E35</f>
        <v>2</v>
      </c>
      <c r="H51" s="168" t="s">
        <v>50</v>
      </c>
      <c r="I51" s="167" t="s">
        <v>281</v>
      </c>
      <c r="J51" s="28" t="s">
        <v>378</v>
      </c>
      <c r="K51" s="28" t="str">
        <f t="shared" si="4"/>
        <v>Y</v>
      </c>
      <c r="L51" s="270" t="s">
        <v>356</v>
      </c>
      <c r="M51" s="221"/>
      <c r="N51" s="221"/>
      <c r="O51" s="221"/>
      <c r="P51" s="222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6">
      <c r="A52" s="31" t="str">
        <f>ChkList!A36</f>
        <v>파일 및 디렉터리 관리</v>
      </c>
      <c r="B52" s="31" t="str">
        <f>ChkList!B36</f>
        <v>U-32</v>
      </c>
      <c r="C52" s="270" t="str">
        <f>ChkList!C36</f>
        <v>홈 디렉터리로 지정한 디렉터리의 존재 관리</v>
      </c>
      <c r="D52" s="221"/>
      <c r="E52" s="222"/>
      <c r="F52" s="31" t="str">
        <f>ChkList!D36</f>
        <v>M</v>
      </c>
      <c r="G52" s="31">
        <f>ChkList!E36</f>
        <v>2</v>
      </c>
      <c r="H52" s="168" t="s">
        <v>50</v>
      </c>
      <c r="I52" s="167" t="s">
        <v>272</v>
      </c>
      <c r="J52" s="28" t="s">
        <v>378</v>
      </c>
      <c r="K52" s="28" t="str">
        <f t="shared" si="4"/>
        <v>Y</v>
      </c>
      <c r="L52" s="270" t="s">
        <v>355</v>
      </c>
      <c r="M52" s="221"/>
      <c r="N52" s="221"/>
      <c r="O52" s="221"/>
      <c r="P52" s="222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6">
      <c r="A53" s="31" t="str">
        <f>ChkList!A37</f>
        <v>파일 및 디렉터리 관리</v>
      </c>
      <c r="B53" s="31" t="str">
        <f>ChkList!B37</f>
        <v>U-33</v>
      </c>
      <c r="C53" s="270" t="str">
        <f>ChkList!C37</f>
        <v>숨겨진 파일 및 디렉터리 검색 및 제거</v>
      </c>
      <c r="D53" s="221"/>
      <c r="E53" s="222"/>
      <c r="F53" s="31" t="str">
        <f>ChkList!D37</f>
        <v>L</v>
      </c>
      <c r="G53" s="31">
        <f>ChkList!E37</f>
        <v>1</v>
      </c>
      <c r="H53" s="168" t="s">
        <v>50</v>
      </c>
      <c r="I53" s="167" t="s">
        <v>282</v>
      </c>
      <c r="J53" s="28" t="s">
        <v>378</v>
      </c>
      <c r="K53" s="28" t="str">
        <f t="shared" si="4"/>
        <v>Y</v>
      </c>
      <c r="L53" s="270" t="s">
        <v>354</v>
      </c>
      <c r="M53" s="221"/>
      <c r="N53" s="221"/>
      <c r="O53" s="221"/>
      <c r="P53" s="222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.1" customHeight="1">
      <c r="A54" s="31" t="str">
        <f>ChkList!A38</f>
        <v>서비스 관리</v>
      </c>
      <c r="B54" s="31" t="str">
        <f>ChkList!B38</f>
        <v>U-34</v>
      </c>
      <c r="C54" s="270" t="str">
        <f>ChkList!C38</f>
        <v>Finger 서비스 비활성화</v>
      </c>
      <c r="D54" s="221"/>
      <c r="E54" s="222"/>
      <c r="F54" s="31" t="str">
        <f>ChkList!D38</f>
        <v>H</v>
      </c>
      <c r="G54" s="31">
        <f>ChkList!E38</f>
        <v>3</v>
      </c>
      <c r="H54" s="170" t="s">
        <v>283</v>
      </c>
      <c r="I54" s="167" t="s">
        <v>283</v>
      </c>
      <c r="J54" s="28" t="s">
        <v>283</v>
      </c>
      <c r="K54" s="28"/>
      <c r="L54" s="270" t="s">
        <v>284</v>
      </c>
      <c r="M54" s="221"/>
      <c r="N54" s="221"/>
      <c r="O54" s="221"/>
      <c r="P54" s="222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6">
      <c r="A55" s="31" t="str">
        <f>ChkList!A39</f>
        <v>서비스 관리</v>
      </c>
      <c r="B55" s="31" t="str">
        <f>ChkList!B39</f>
        <v>U-35</v>
      </c>
      <c r="C55" s="270" t="str">
        <f>ChkList!C39</f>
        <v>공유 서비스에 대한 익명 접근 제한 설정</v>
      </c>
      <c r="D55" s="221"/>
      <c r="E55" s="222"/>
      <c r="F55" s="31" t="str">
        <f>ChkList!D39</f>
        <v>H</v>
      </c>
      <c r="G55" s="31">
        <f>ChkList!E39</f>
        <v>3</v>
      </c>
      <c r="H55" s="168" t="s">
        <v>50</v>
      </c>
      <c r="I55" s="167" t="s">
        <v>328</v>
      </c>
      <c r="J55" s="28" t="s">
        <v>378</v>
      </c>
      <c r="K55" s="28" t="str">
        <f t="shared" si="4"/>
        <v>Y</v>
      </c>
      <c r="L55" s="270" t="s">
        <v>328</v>
      </c>
      <c r="M55" s="221"/>
      <c r="N55" s="221"/>
      <c r="O55" s="221"/>
      <c r="P55" s="222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6">
      <c r="A56" s="31" t="str">
        <f>ChkList!A40</f>
        <v>서비스 관리</v>
      </c>
      <c r="B56" s="31" t="str">
        <f>ChkList!B40</f>
        <v>U-36</v>
      </c>
      <c r="C56" s="270" t="str">
        <f>ChkList!C40</f>
        <v>r 계열 서비스 비활성화</v>
      </c>
      <c r="D56" s="221"/>
      <c r="E56" s="222"/>
      <c r="F56" s="31" t="str">
        <f>ChkList!D40</f>
        <v>H</v>
      </c>
      <c r="G56" s="31">
        <f>ChkList!E40</f>
        <v>3</v>
      </c>
      <c r="H56" s="168" t="s">
        <v>50</v>
      </c>
      <c r="I56" s="167" t="s">
        <v>286</v>
      </c>
      <c r="J56" s="28" t="s">
        <v>378</v>
      </c>
      <c r="K56" s="28" t="str">
        <f t="shared" si="4"/>
        <v>Y</v>
      </c>
      <c r="L56" s="270" t="s">
        <v>352</v>
      </c>
      <c r="M56" s="221"/>
      <c r="N56" s="221"/>
      <c r="O56" s="221"/>
      <c r="P56" s="222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450000000000003" customHeight="1">
      <c r="A57" s="31" t="str">
        <f>ChkList!A41</f>
        <v>서비스 관리</v>
      </c>
      <c r="B57" s="31" t="str">
        <f>ChkList!B41</f>
        <v>U-37</v>
      </c>
      <c r="C57" s="270" t="str">
        <f>ChkList!C41</f>
        <v>crontab 설정파일 권한 설정 미흡</v>
      </c>
      <c r="D57" s="221"/>
      <c r="E57" s="222"/>
      <c r="F57" s="31" t="str">
        <f>ChkList!D41</f>
        <v>H</v>
      </c>
      <c r="G57" s="31">
        <f>ChkList!E41</f>
        <v>3</v>
      </c>
      <c r="H57" s="168" t="s">
        <v>50</v>
      </c>
      <c r="I57" s="167" t="s">
        <v>287</v>
      </c>
      <c r="J57" s="28" t="s">
        <v>378</v>
      </c>
      <c r="K57" s="28" t="str">
        <f t="shared" si="4"/>
        <v>Y</v>
      </c>
      <c r="L57" s="270" t="s">
        <v>353</v>
      </c>
      <c r="M57" s="221"/>
      <c r="N57" s="221"/>
      <c r="O57" s="221"/>
      <c r="P57" s="222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6">
      <c r="A58" s="31" t="str">
        <f>ChkList!A42</f>
        <v>서비스 관리</v>
      </c>
      <c r="B58" s="31" t="str">
        <f>ChkList!B42</f>
        <v>U-38</v>
      </c>
      <c r="C58" s="270" t="str">
        <f>ChkList!C42</f>
        <v>DoS 공격에 취약한 서비스 비활성화</v>
      </c>
      <c r="D58" s="221"/>
      <c r="E58" s="222"/>
      <c r="F58" s="31" t="str">
        <f>ChkList!D42</f>
        <v>H</v>
      </c>
      <c r="G58" s="31">
        <f>ChkList!E42</f>
        <v>3</v>
      </c>
      <c r="H58" s="168" t="s">
        <v>50</v>
      </c>
      <c r="I58" s="167" t="s">
        <v>289</v>
      </c>
      <c r="J58" s="168" t="s">
        <v>50</v>
      </c>
      <c r="K58" s="28" t="str">
        <f t="shared" si="4"/>
        <v>Y</v>
      </c>
      <c r="L58" s="270" t="s">
        <v>289</v>
      </c>
      <c r="M58" s="221"/>
      <c r="N58" s="221"/>
      <c r="O58" s="221"/>
      <c r="P58" s="222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6">
      <c r="A59" s="31" t="str">
        <f>ChkList!A43</f>
        <v>서비스 관리</v>
      </c>
      <c r="B59" s="31" t="str">
        <f>ChkList!B43</f>
        <v>U-39</v>
      </c>
      <c r="C59" s="270" t="str">
        <f>ChkList!C43</f>
        <v>불필요한 NFS 서비스 비활성화</v>
      </c>
      <c r="D59" s="221"/>
      <c r="E59" s="222"/>
      <c r="F59" s="31" t="str">
        <f>ChkList!D43</f>
        <v>H</v>
      </c>
      <c r="G59" s="31">
        <f>ChkList!E43</f>
        <v>3</v>
      </c>
      <c r="H59" s="168" t="s">
        <v>50</v>
      </c>
      <c r="I59" s="167" t="s">
        <v>329</v>
      </c>
      <c r="J59" s="28" t="s">
        <v>378</v>
      </c>
      <c r="K59" s="28" t="str">
        <f t="shared" si="4"/>
        <v>Y</v>
      </c>
      <c r="L59" s="270" t="s">
        <v>329</v>
      </c>
      <c r="M59" s="221"/>
      <c r="N59" s="221"/>
      <c r="O59" s="221"/>
      <c r="P59" s="222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6">
      <c r="A60" s="31" t="str">
        <f>ChkList!A44</f>
        <v>서비스 관리</v>
      </c>
      <c r="B60" s="31" t="str">
        <f>ChkList!B44</f>
        <v>U-40</v>
      </c>
      <c r="C60" s="270" t="str">
        <f>ChkList!C44</f>
        <v>NFS 접근 통제</v>
      </c>
      <c r="D60" s="221"/>
      <c r="E60" s="222"/>
      <c r="F60" s="31" t="str">
        <f>ChkList!D44</f>
        <v>H</v>
      </c>
      <c r="G60" s="31">
        <f>ChkList!E44</f>
        <v>3</v>
      </c>
      <c r="H60" s="168" t="s">
        <v>50</v>
      </c>
      <c r="I60" s="167" t="s">
        <v>291</v>
      </c>
      <c r="J60" s="28" t="s">
        <v>378</v>
      </c>
      <c r="K60" s="28" t="str">
        <f t="shared" si="4"/>
        <v>Y</v>
      </c>
      <c r="L60" s="270" t="s">
        <v>344</v>
      </c>
      <c r="M60" s="221"/>
      <c r="N60" s="221"/>
      <c r="O60" s="221"/>
      <c r="P60" s="222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6">
      <c r="A61" s="31" t="str">
        <f>ChkList!A45</f>
        <v>서비스 관리</v>
      </c>
      <c r="B61" s="31" t="str">
        <f>ChkList!B45</f>
        <v>U-41</v>
      </c>
      <c r="C61" s="270" t="str">
        <f>ChkList!C45</f>
        <v>불필요한 automountd 제거</v>
      </c>
      <c r="D61" s="221"/>
      <c r="E61" s="222"/>
      <c r="F61" s="31" t="str">
        <f>ChkList!D45</f>
        <v>H</v>
      </c>
      <c r="G61" s="31">
        <f>ChkList!E45</f>
        <v>3</v>
      </c>
      <c r="H61" s="168" t="s">
        <v>50</v>
      </c>
      <c r="I61" s="167" t="s">
        <v>291</v>
      </c>
      <c r="J61" s="28" t="s">
        <v>378</v>
      </c>
      <c r="K61" s="28" t="str">
        <f t="shared" si="4"/>
        <v>Y</v>
      </c>
      <c r="L61" s="270" t="s">
        <v>344</v>
      </c>
      <c r="M61" s="221"/>
      <c r="N61" s="221"/>
      <c r="O61" s="221"/>
      <c r="P61" s="222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6">
      <c r="A62" s="31" t="str">
        <f>ChkList!A46</f>
        <v>서비스 관리</v>
      </c>
      <c r="B62" s="31" t="str">
        <f>ChkList!B46</f>
        <v>U-42</v>
      </c>
      <c r="C62" s="270" t="str">
        <f>ChkList!C46</f>
        <v>불필요한 RPC 서비스 비활성화</v>
      </c>
      <c r="D62" s="221"/>
      <c r="E62" s="222"/>
      <c r="F62" s="31" t="str">
        <f>ChkList!D46</f>
        <v>H</v>
      </c>
      <c r="G62" s="31">
        <f>ChkList!E46</f>
        <v>3</v>
      </c>
      <c r="H62" s="168" t="s">
        <v>50</v>
      </c>
      <c r="I62" s="167" t="s">
        <v>292</v>
      </c>
      <c r="J62" s="28" t="s">
        <v>378</v>
      </c>
      <c r="K62" s="28" t="str">
        <f t="shared" si="4"/>
        <v>Y</v>
      </c>
      <c r="L62" s="270" t="s">
        <v>345</v>
      </c>
      <c r="M62" s="221"/>
      <c r="N62" s="221"/>
      <c r="O62" s="221"/>
      <c r="P62" s="222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6">
      <c r="A63" s="31" t="str">
        <f>ChkList!A47</f>
        <v>서비스 관리</v>
      </c>
      <c r="B63" s="31" t="str">
        <f>ChkList!B47</f>
        <v>U-43</v>
      </c>
      <c r="C63" s="270" t="str">
        <f>ChkList!C47</f>
        <v>NIS, NIS+ 점검</v>
      </c>
      <c r="D63" s="221"/>
      <c r="E63" s="222"/>
      <c r="F63" s="31" t="str">
        <f>ChkList!D47</f>
        <v>H</v>
      </c>
      <c r="G63" s="31">
        <f>ChkList!E47</f>
        <v>3</v>
      </c>
      <c r="H63" s="168" t="s">
        <v>50</v>
      </c>
      <c r="I63" s="167" t="s">
        <v>293</v>
      </c>
      <c r="J63" s="28" t="s">
        <v>378</v>
      </c>
      <c r="K63" s="28" t="str">
        <f t="shared" si="4"/>
        <v>Y</v>
      </c>
      <c r="L63" s="270" t="s">
        <v>346</v>
      </c>
      <c r="M63" s="221"/>
      <c r="N63" s="221"/>
      <c r="O63" s="221"/>
      <c r="P63" s="222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6">
      <c r="A64" s="31" t="str">
        <f>ChkList!A48</f>
        <v>서비스 관리</v>
      </c>
      <c r="B64" s="31" t="str">
        <f>ChkList!B48</f>
        <v>U-44</v>
      </c>
      <c r="C64" s="270" t="str">
        <f>ChkList!C48</f>
        <v>tftp, talk 서비스 비활성화</v>
      </c>
      <c r="D64" s="221"/>
      <c r="E64" s="222"/>
      <c r="F64" s="31" t="str">
        <f>ChkList!D48</f>
        <v>H</v>
      </c>
      <c r="G64" s="31">
        <f>ChkList!E48</f>
        <v>3</v>
      </c>
      <c r="H64" s="168" t="s">
        <v>50</v>
      </c>
      <c r="I64" s="167" t="s">
        <v>294</v>
      </c>
      <c r="J64" s="28" t="s">
        <v>378</v>
      </c>
      <c r="K64" s="28" t="str">
        <f t="shared" si="4"/>
        <v>Y</v>
      </c>
      <c r="L64" s="270" t="s">
        <v>347</v>
      </c>
      <c r="M64" s="221"/>
      <c r="N64" s="221"/>
      <c r="O64" s="221"/>
      <c r="P64" s="222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22.5" customHeight="1">
      <c r="A65" s="31" t="str">
        <f>ChkList!A49</f>
        <v>서비스 관리</v>
      </c>
      <c r="B65" s="31" t="str">
        <f>ChkList!B49</f>
        <v>U-45</v>
      </c>
      <c r="C65" s="270" t="str">
        <f>ChkList!C49</f>
        <v>메일 서비스 버전 점검</v>
      </c>
      <c r="D65" s="221"/>
      <c r="E65" s="222"/>
      <c r="F65" s="31" t="str">
        <f>ChkList!D49</f>
        <v>H</v>
      </c>
      <c r="G65" s="31">
        <f>ChkList!E49</f>
        <v>3</v>
      </c>
      <c r="H65" s="170" t="s">
        <v>283</v>
      </c>
      <c r="I65" s="167" t="s">
        <v>283</v>
      </c>
      <c r="J65" s="28" t="s">
        <v>283</v>
      </c>
      <c r="K65" s="28" t="s">
        <v>50</v>
      </c>
      <c r="L65" s="270" t="s">
        <v>381</v>
      </c>
      <c r="M65" s="272"/>
      <c r="N65" s="272"/>
      <c r="O65" s="272"/>
      <c r="P65" s="273"/>
      <c r="Q65" s="21" t="str">
        <f>IF($J65="",IF(OR($H65="N",$H65="인터뷰"), ChkList!$F46, ""), IF(OR($J65="N",$J65="인터뷰"), ChkList!$F46, ""))</f>
        <v>불필요한 RPC 서비스를 중지하고 비활성화</v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0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>
      <c r="A66" s="31" t="str">
        <f>ChkList!A50</f>
        <v>서비스 관리</v>
      </c>
      <c r="B66" s="31" t="str">
        <f>ChkList!B50</f>
        <v>U-46</v>
      </c>
      <c r="C66" s="270" t="str">
        <f>ChkList!C50</f>
        <v>일반 사용자의 메일 서비스 실행 방지</v>
      </c>
      <c r="D66" s="221"/>
      <c r="E66" s="222"/>
      <c r="F66" s="31" t="str">
        <f>ChkList!D50</f>
        <v>H</v>
      </c>
      <c r="G66" s="31">
        <f>ChkList!E50</f>
        <v>3</v>
      </c>
      <c r="H66" s="168" t="s">
        <v>50</v>
      </c>
      <c r="I66" s="167" t="s">
        <v>330</v>
      </c>
      <c r="J66" s="28" t="s">
        <v>378</v>
      </c>
      <c r="K66" s="28" t="str">
        <f t="shared" si="4"/>
        <v>Y</v>
      </c>
      <c r="L66" s="270" t="s">
        <v>296</v>
      </c>
      <c r="M66" s="221"/>
      <c r="N66" s="221"/>
      <c r="O66" s="221"/>
      <c r="P66" s="222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>
      <c r="A67" s="31" t="str">
        <f>ChkList!A51</f>
        <v>서비스 관리</v>
      </c>
      <c r="B67" s="31" t="str">
        <f>ChkList!B51</f>
        <v>U-47</v>
      </c>
      <c r="C67" s="270" t="str">
        <f>ChkList!C51</f>
        <v>스팸 메일 릴레이 제한</v>
      </c>
      <c r="D67" s="221"/>
      <c r="E67" s="222"/>
      <c r="F67" s="31" t="str">
        <f>ChkList!D51</f>
        <v>H</v>
      </c>
      <c r="G67" s="31">
        <f>ChkList!E51</f>
        <v>3</v>
      </c>
      <c r="H67" s="168" t="s">
        <v>50</v>
      </c>
      <c r="I67" s="167" t="s">
        <v>297</v>
      </c>
      <c r="J67" s="28" t="s">
        <v>378</v>
      </c>
      <c r="K67" s="28" t="str">
        <f t="shared" si="4"/>
        <v>Y</v>
      </c>
      <c r="L67" s="270" t="s">
        <v>349</v>
      </c>
      <c r="M67" s="221"/>
      <c r="N67" s="221"/>
      <c r="O67" s="221"/>
      <c r="P67" s="222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>
      <c r="A68" s="31" t="str">
        <f>ChkList!A52</f>
        <v>서비스 관리</v>
      </c>
      <c r="B68" s="31" t="str">
        <f>ChkList!B52</f>
        <v>U-48</v>
      </c>
      <c r="C68" s="270" t="str">
        <f>ChkList!C52</f>
        <v>expn, vrfy 명령어 제한</v>
      </c>
      <c r="D68" s="221"/>
      <c r="E68" s="222"/>
      <c r="F68" s="31" t="str">
        <f>ChkList!D52</f>
        <v>M</v>
      </c>
      <c r="G68" s="31">
        <f>ChkList!E52</f>
        <v>2</v>
      </c>
      <c r="H68" s="168" t="s">
        <v>50</v>
      </c>
      <c r="I68" s="167" t="s">
        <v>297</v>
      </c>
      <c r="J68" s="28" t="s">
        <v>378</v>
      </c>
      <c r="K68" s="28" t="str">
        <f t="shared" si="4"/>
        <v>Y</v>
      </c>
      <c r="L68" s="270" t="s">
        <v>349</v>
      </c>
      <c r="M68" s="221"/>
      <c r="N68" s="221"/>
      <c r="O68" s="221"/>
      <c r="P68" s="222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>
      <c r="A69" s="31" t="str">
        <f>ChkList!A53</f>
        <v>서비스 관리</v>
      </c>
      <c r="B69" s="31" t="str">
        <f>ChkList!B53</f>
        <v>U-49</v>
      </c>
      <c r="C69" s="270" t="str">
        <f>ChkList!C53</f>
        <v>DNS 보안 버전 패치</v>
      </c>
      <c r="D69" s="221"/>
      <c r="E69" s="222"/>
      <c r="F69" s="31" t="str">
        <f>ChkList!D53</f>
        <v>H</v>
      </c>
      <c r="G69" s="31">
        <f>ChkList!E53</f>
        <v>3</v>
      </c>
      <c r="H69" s="168" t="s">
        <v>50</v>
      </c>
      <c r="I69" s="167" t="s">
        <v>298</v>
      </c>
      <c r="J69" s="28" t="s">
        <v>378</v>
      </c>
      <c r="K69" s="28" t="str">
        <f t="shared" si="4"/>
        <v>Y</v>
      </c>
      <c r="L69" s="270" t="s">
        <v>350</v>
      </c>
      <c r="M69" s="221"/>
      <c r="N69" s="221"/>
      <c r="O69" s="221"/>
      <c r="P69" s="222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>
      <c r="A70" s="31" t="str">
        <f>ChkList!A54</f>
        <v>서비스 관리</v>
      </c>
      <c r="B70" s="31" t="str">
        <f>ChkList!B54</f>
        <v>U-50</v>
      </c>
      <c r="C70" s="270" t="str">
        <f>ChkList!C54</f>
        <v>DNS Zone Transfer 설정</v>
      </c>
      <c r="D70" s="221"/>
      <c r="E70" s="222"/>
      <c r="F70" s="31" t="str">
        <f>ChkList!D54</f>
        <v>H</v>
      </c>
      <c r="G70" s="31">
        <f>ChkList!E54</f>
        <v>3</v>
      </c>
      <c r="H70" s="168" t="s">
        <v>50</v>
      </c>
      <c r="I70" s="167" t="s">
        <v>331</v>
      </c>
      <c r="J70" s="28" t="s">
        <v>378</v>
      </c>
      <c r="K70" s="28" t="str">
        <f t="shared" si="4"/>
        <v>Y</v>
      </c>
      <c r="L70" s="270" t="s">
        <v>331</v>
      </c>
      <c r="M70" s="221"/>
      <c r="N70" s="221"/>
      <c r="O70" s="221"/>
      <c r="P70" s="222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>
      <c r="A71" s="31" t="str">
        <f>ChkList!A55</f>
        <v>서비스 관리</v>
      </c>
      <c r="B71" s="31" t="str">
        <f>ChkList!B55</f>
        <v>U-51</v>
      </c>
      <c r="C71" s="270" t="str">
        <f>ChkList!C55</f>
        <v>DNS 서비스의 취약한 동적 업데이트 설정 금지</v>
      </c>
      <c r="D71" s="221"/>
      <c r="E71" s="222"/>
      <c r="F71" s="31" t="str">
        <f>ChkList!D55</f>
        <v>M</v>
      </c>
      <c r="G71" s="31">
        <f>ChkList!E55</f>
        <v>2</v>
      </c>
      <c r="H71" s="168" t="s">
        <v>50</v>
      </c>
      <c r="I71" s="167" t="s">
        <v>323</v>
      </c>
      <c r="J71" s="28" t="s">
        <v>378</v>
      </c>
      <c r="K71" s="28" t="str">
        <f t="shared" si="4"/>
        <v>Y</v>
      </c>
      <c r="L71" s="274" t="s">
        <v>323</v>
      </c>
      <c r="M71" s="312"/>
      <c r="N71" s="312"/>
      <c r="O71" s="312"/>
      <c r="P71" s="313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>
      <c r="A72" s="31" t="str">
        <f>ChkList!A56</f>
        <v>서비스 관리</v>
      </c>
      <c r="B72" s="31" t="str">
        <f>ChkList!B56</f>
        <v>U-52</v>
      </c>
      <c r="C72" s="270" t="str">
        <f>ChkList!C56</f>
        <v>Telnet 서비스 비활성화</v>
      </c>
      <c r="D72" s="221"/>
      <c r="E72" s="222"/>
      <c r="F72" s="31" t="str">
        <f>ChkList!D56</f>
        <v>M</v>
      </c>
      <c r="G72" s="31">
        <f>ChkList!E56</f>
        <v>2</v>
      </c>
      <c r="H72" s="168" t="s">
        <v>50</v>
      </c>
      <c r="I72" s="167" t="s">
        <v>323</v>
      </c>
      <c r="J72" s="28" t="s">
        <v>378</v>
      </c>
      <c r="K72" s="28" t="str">
        <f t="shared" si="4"/>
        <v>Y</v>
      </c>
      <c r="L72" s="271" t="s">
        <v>323</v>
      </c>
      <c r="M72" s="272"/>
      <c r="N72" s="272"/>
      <c r="O72" s="272"/>
      <c r="P72" s="273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>
      <c r="A73" s="31" t="str">
        <f>ChkList!A57</f>
        <v>서비스 관리</v>
      </c>
      <c r="B73" s="31" t="str">
        <f>ChkList!B57</f>
        <v>U-53</v>
      </c>
      <c r="C73" s="270" t="str">
        <f>ChkList!C57</f>
        <v>FTP 서비스 정보 노출 제한</v>
      </c>
      <c r="D73" s="221"/>
      <c r="E73" s="222"/>
      <c r="F73" s="31" t="str">
        <f>ChkList!D57</f>
        <v>L</v>
      </c>
      <c r="G73" s="31">
        <f>ChkList!E57</f>
        <v>1</v>
      </c>
      <c r="H73" s="168" t="s">
        <v>50</v>
      </c>
      <c r="I73" s="167" t="s">
        <v>323</v>
      </c>
      <c r="J73" s="28" t="s">
        <v>378</v>
      </c>
      <c r="K73" s="28" t="str">
        <f t="shared" si="4"/>
        <v>Y</v>
      </c>
      <c r="L73" s="271" t="s">
        <v>323</v>
      </c>
      <c r="M73" s="272"/>
      <c r="N73" s="272"/>
      <c r="O73" s="272"/>
      <c r="P73" s="273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>
      <c r="A74" s="31" t="str">
        <f>ChkList!A58</f>
        <v>서비스 관리</v>
      </c>
      <c r="B74" s="31" t="str">
        <f>ChkList!B58</f>
        <v>U-54</v>
      </c>
      <c r="C74" s="270" t="str">
        <f>ChkList!C58</f>
        <v>암호화되지 않는 FTP 서비스 비활성화</v>
      </c>
      <c r="D74" s="221"/>
      <c r="E74" s="222"/>
      <c r="F74" s="31" t="str">
        <f>ChkList!D58</f>
        <v>M</v>
      </c>
      <c r="G74" s="31">
        <f>ChkList!E58</f>
        <v>2</v>
      </c>
      <c r="H74" s="168" t="s">
        <v>50</v>
      </c>
      <c r="I74" s="167" t="s">
        <v>323</v>
      </c>
      <c r="J74" s="28" t="s">
        <v>378</v>
      </c>
      <c r="K74" s="28" t="str">
        <f t="shared" si="4"/>
        <v>Y</v>
      </c>
      <c r="L74" s="271" t="s">
        <v>323</v>
      </c>
      <c r="M74" s="272"/>
      <c r="N74" s="272"/>
      <c r="O74" s="272"/>
      <c r="P74" s="273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70" t="str">
        <f>ChkList!C59</f>
        <v>FTP 계정 Shell 제한</v>
      </c>
      <c r="D75" s="221"/>
      <c r="E75" s="222"/>
      <c r="F75" s="31" t="str">
        <f>ChkList!D59</f>
        <v>M</v>
      </c>
      <c r="G75" s="31">
        <f>ChkList!E59</f>
        <v>2</v>
      </c>
      <c r="H75" s="168" t="s">
        <v>50</v>
      </c>
      <c r="I75" s="167" t="s">
        <v>323</v>
      </c>
      <c r="J75" s="28" t="s">
        <v>378</v>
      </c>
      <c r="K75" s="28" t="str">
        <f t="shared" si="4"/>
        <v>Y</v>
      </c>
      <c r="L75" s="271" t="s">
        <v>323</v>
      </c>
      <c r="M75" s="272"/>
      <c r="N75" s="272"/>
      <c r="O75" s="272"/>
      <c r="P75" s="273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>
      <c r="A76" s="31" t="str">
        <f>ChkList!A60</f>
        <v>서비스 관리</v>
      </c>
      <c r="B76" s="31" t="str">
        <f>ChkList!B60</f>
        <v>U-56</v>
      </c>
      <c r="C76" s="270" t="str">
        <f>ChkList!C60</f>
        <v>FTP 서비스 접근 제어 설정</v>
      </c>
      <c r="D76" s="221"/>
      <c r="E76" s="222"/>
      <c r="F76" s="31" t="str">
        <f>ChkList!D60</f>
        <v>L</v>
      </c>
      <c r="G76" s="31">
        <f>ChkList!E60</f>
        <v>1</v>
      </c>
      <c r="H76" s="168" t="s">
        <v>50</v>
      </c>
      <c r="I76" s="167" t="s">
        <v>323</v>
      </c>
      <c r="J76" s="28" t="s">
        <v>378</v>
      </c>
      <c r="K76" s="28" t="str">
        <f t="shared" si="4"/>
        <v>Y</v>
      </c>
      <c r="L76" s="271" t="s">
        <v>323</v>
      </c>
      <c r="M76" s="272"/>
      <c r="N76" s="272"/>
      <c r="O76" s="272"/>
      <c r="P76" s="273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>
      <c r="A77" s="31" t="str">
        <f>ChkList!A61</f>
        <v>서비스 관리</v>
      </c>
      <c r="B77" s="31" t="str">
        <f>ChkList!B61</f>
        <v>U-57</v>
      </c>
      <c r="C77" s="270" t="str">
        <f>ChkList!C61</f>
        <v>Ftpusers 파일 설정</v>
      </c>
      <c r="D77" s="221"/>
      <c r="E77" s="222"/>
      <c r="F77" s="31" t="str">
        <f>ChkList!D61</f>
        <v>M</v>
      </c>
      <c r="G77" s="31">
        <f>ChkList!E61</f>
        <v>2</v>
      </c>
      <c r="H77" s="168" t="s">
        <v>50</v>
      </c>
      <c r="I77" s="167" t="s">
        <v>323</v>
      </c>
      <c r="J77" s="28" t="s">
        <v>378</v>
      </c>
      <c r="K77" s="28" t="str">
        <f t="shared" si="4"/>
        <v>Y</v>
      </c>
      <c r="L77" s="314" t="s">
        <v>323</v>
      </c>
      <c r="M77" s="272"/>
      <c r="N77" s="272"/>
      <c r="O77" s="272"/>
      <c r="P77" s="273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>
      <c r="A78" s="31" t="str">
        <f>ChkList!A62</f>
        <v>서비스 관리</v>
      </c>
      <c r="B78" s="31" t="str">
        <f>ChkList!B62</f>
        <v>U-58</v>
      </c>
      <c r="C78" s="270" t="str">
        <f>ChkList!C62</f>
        <v>불필요한 SNMP 서비스 구동 점검</v>
      </c>
      <c r="D78" s="221"/>
      <c r="E78" s="222"/>
      <c r="F78" s="31" t="str">
        <f>ChkList!D62</f>
        <v>M</v>
      </c>
      <c r="G78" s="31">
        <f>ChkList!E62</f>
        <v>2</v>
      </c>
      <c r="H78" s="168" t="s">
        <v>50</v>
      </c>
      <c r="I78" s="167" t="s">
        <v>313</v>
      </c>
      <c r="J78" s="28" t="s">
        <v>378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70" t="s">
        <v>338</v>
      </c>
      <c r="M78" s="221"/>
      <c r="N78" s="221"/>
      <c r="O78" s="221"/>
      <c r="P78" s="222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>
      <c r="A79" s="31" t="str">
        <f>ChkList!A63</f>
        <v>서비스 관리</v>
      </c>
      <c r="B79" s="31" t="str">
        <f>ChkList!B63</f>
        <v>U-59</v>
      </c>
      <c r="C79" s="270" t="str">
        <f>ChkList!C63</f>
        <v>안전한 SNMP 버전 사용</v>
      </c>
      <c r="D79" s="221"/>
      <c r="E79" s="222"/>
      <c r="F79" s="31" t="str">
        <f>ChkList!D63</f>
        <v>H</v>
      </c>
      <c r="G79" s="31">
        <f>ChkList!E63</f>
        <v>3</v>
      </c>
      <c r="H79" s="168" t="s">
        <v>50</v>
      </c>
      <c r="I79" s="167" t="s">
        <v>314</v>
      </c>
      <c r="J79" s="28" t="s">
        <v>378</v>
      </c>
      <c r="K79" s="28" t="str">
        <f t="shared" si="4"/>
        <v>Y</v>
      </c>
      <c r="L79" s="270" t="s">
        <v>339</v>
      </c>
      <c r="M79" s="221"/>
      <c r="N79" s="221"/>
      <c r="O79" s="221"/>
      <c r="P79" s="222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>
      <c r="A80" s="31" t="str">
        <f>ChkList!A64</f>
        <v>서비스 관리</v>
      </c>
      <c r="B80" s="31" t="str">
        <f>ChkList!B64</f>
        <v>U-60</v>
      </c>
      <c r="C80" s="270" t="str">
        <f>ChkList!C64</f>
        <v>SNMP Community String 복잡성 설정</v>
      </c>
      <c r="D80" s="221"/>
      <c r="E80" s="222"/>
      <c r="F80" s="31" t="str">
        <f>ChkList!D64</f>
        <v>M</v>
      </c>
      <c r="G80" s="31">
        <f>ChkList!E64</f>
        <v>2</v>
      </c>
      <c r="H80" s="168" t="s">
        <v>50</v>
      </c>
      <c r="I80" s="167" t="s">
        <v>315</v>
      </c>
      <c r="J80" s="28" t="s">
        <v>378</v>
      </c>
      <c r="K80" s="28" t="str">
        <f t="shared" si="4"/>
        <v>Y</v>
      </c>
      <c r="L80" s="270" t="s">
        <v>340</v>
      </c>
      <c r="M80" s="221"/>
      <c r="N80" s="221"/>
      <c r="O80" s="221"/>
      <c r="P80" s="222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>
      <c r="A81" s="31" t="str">
        <f>ChkList!A65</f>
        <v>서비스 관리</v>
      </c>
      <c r="B81" s="31" t="str">
        <f>ChkList!B65</f>
        <v>U-61</v>
      </c>
      <c r="C81" s="270" t="str">
        <f>ChkList!C65</f>
        <v>SNMP Access Control 설정</v>
      </c>
      <c r="D81" s="221"/>
      <c r="E81" s="222"/>
      <c r="F81" s="31" t="str">
        <f>ChkList!D65</f>
        <v>H</v>
      </c>
      <c r="G81" s="31">
        <f>ChkList!E65</f>
        <v>3</v>
      </c>
      <c r="H81" s="168" t="s">
        <v>50</v>
      </c>
      <c r="I81" s="167" t="s">
        <v>316</v>
      </c>
      <c r="J81" s="28" t="s">
        <v>378</v>
      </c>
      <c r="K81" s="28" t="str">
        <f t="shared" si="4"/>
        <v>Y</v>
      </c>
      <c r="L81" s="270" t="s">
        <v>341</v>
      </c>
      <c r="M81" s="221"/>
      <c r="N81" s="221"/>
      <c r="O81" s="221"/>
      <c r="P81" s="222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>
      <c r="A82" s="31" t="str">
        <f>ChkList!A66</f>
        <v>서비스 관리</v>
      </c>
      <c r="B82" s="31" t="str">
        <f>ChkList!B66</f>
        <v>U-62</v>
      </c>
      <c r="C82" s="270" t="str">
        <f>ChkList!C66</f>
        <v>로그인 시 경고 메시지 설정</v>
      </c>
      <c r="D82" s="221"/>
      <c r="E82" s="222"/>
      <c r="F82" s="31" t="str">
        <f>ChkList!D66</f>
        <v>L</v>
      </c>
      <c r="G82" s="31">
        <f>ChkList!E66</f>
        <v>1</v>
      </c>
      <c r="H82" s="168" t="s">
        <v>50</v>
      </c>
      <c r="I82" s="164" t="s">
        <v>317</v>
      </c>
      <c r="J82" s="28" t="s">
        <v>378</v>
      </c>
      <c r="K82" s="28" t="str">
        <f t="shared" si="4"/>
        <v>Y</v>
      </c>
      <c r="L82" s="270" t="s">
        <v>342</v>
      </c>
      <c r="M82" s="221"/>
      <c r="N82" s="221"/>
      <c r="O82" s="221"/>
      <c r="P82" s="222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>
      <c r="A83" s="31" t="str">
        <f>ChkList!A67</f>
        <v>서비스 관리</v>
      </c>
      <c r="B83" s="31" t="str">
        <f>ChkList!B67</f>
        <v>U-63</v>
      </c>
      <c r="C83" s="270" t="str">
        <f>ChkList!C67</f>
        <v>sudo 명령어 접근 관리</v>
      </c>
      <c r="D83" s="221"/>
      <c r="E83" s="222"/>
      <c r="F83" s="31" t="str">
        <f>ChkList!D67</f>
        <v>M</v>
      </c>
      <c r="G83" s="31">
        <f>ChkList!E67</f>
        <v>2</v>
      </c>
      <c r="H83" s="168" t="s">
        <v>50</v>
      </c>
      <c r="I83" s="167" t="s">
        <v>332</v>
      </c>
      <c r="J83" s="28" t="s">
        <v>378</v>
      </c>
      <c r="K83" s="28" t="str">
        <f t="shared" si="4"/>
        <v>Y</v>
      </c>
      <c r="L83" s="270" t="s">
        <v>343</v>
      </c>
      <c r="M83" s="221"/>
      <c r="N83" s="221"/>
      <c r="O83" s="221"/>
      <c r="P83" s="222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70" t="str">
        <f>ChkList!C68</f>
        <v>주기적 보안 패치 및 벤더 권고사항 적용</v>
      </c>
      <c r="D84" s="221"/>
      <c r="E84" s="222"/>
      <c r="F84" s="31" t="str">
        <f>ChkList!D68</f>
        <v>H</v>
      </c>
      <c r="G84" s="31">
        <f>ChkList!E68</f>
        <v>3</v>
      </c>
      <c r="H84" s="168" t="s">
        <v>50</v>
      </c>
      <c r="I84" s="167" t="s">
        <v>319</v>
      </c>
      <c r="J84" s="28" t="s">
        <v>378</v>
      </c>
      <c r="K84" s="28" t="str">
        <f t="shared" si="4"/>
        <v>Y</v>
      </c>
      <c r="L84" s="270" t="s">
        <v>337</v>
      </c>
      <c r="M84" s="221"/>
      <c r="N84" s="221"/>
      <c r="O84" s="221"/>
      <c r="P84" s="222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>
      <c r="A85" s="31" t="str">
        <f>ChkList!A69</f>
        <v>로그 관리</v>
      </c>
      <c r="B85" s="31" t="str">
        <f>ChkList!B69</f>
        <v>U-65</v>
      </c>
      <c r="C85" s="270" t="str">
        <f>ChkList!C69</f>
        <v>NTP 및 시각 동기화 설정</v>
      </c>
      <c r="D85" s="221"/>
      <c r="E85" s="222"/>
      <c r="F85" s="31" t="str">
        <f>ChkList!D69</f>
        <v>M</v>
      </c>
      <c r="G85" s="31">
        <f>ChkList!E69</f>
        <v>2</v>
      </c>
      <c r="H85" s="168" t="s">
        <v>50</v>
      </c>
      <c r="I85" s="167" t="s">
        <v>319</v>
      </c>
      <c r="J85" s="28" t="s">
        <v>378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70" t="s">
        <v>337</v>
      </c>
      <c r="M85" s="221"/>
      <c r="N85" s="221"/>
      <c r="O85" s="221"/>
      <c r="P85" s="222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>
      <c r="A86" s="31" t="str">
        <f>ChkList!A70</f>
        <v>로그 관리</v>
      </c>
      <c r="B86" s="31" t="str">
        <f>ChkList!B70</f>
        <v>U-66</v>
      </c>
      <c r="C86" s="270" t="str">
        <f>ChkList!C70</f>
        <v>정책에 따른 시스템 로깅 설정</v>
      </c>
      <c r="D86" s="221"/>
      <c r="E86" s="222"/>
      <c r="F86" s="31" t="str">
        <f>ChkList!D70</f>
        <v>M</v>
      </c>
      <c r="G86" s="31">
        <f>ChkList!E70</f>
        <v>2</v>
      </c>
      <c r="H86" s="168" t="s">
        <v>50</v>
      </c>
      <c r="I86" s="167" t="s">
        <v>333</v>
      </c>
      <c r="J86" s="28" t="s">
        <v>378</v>
      </c>
      <c r="K86" s="28" t="str">
        <f t="shared" si="5"/>
        <v>Y</v>
      </c>
      <c r="L86" s="270" t="s">
        <v>336</v>
      </c>
      <c r="M86" s="221"/>
      <c r="N86" s="221"/>
      <c r="O86" s="221"/>
      <c r="P86" s="222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>
      <c r="A87" s="31" t="str">
        <f>ChkList!A71</f>
        <v>로그 관리</v>
      </c>
      <c r="B87" s="31" t="str">
        <f>ChkList!B71</f>
        <v>U-67</v>
      </c>
      <c r="C87" s="270" t="str">
        <f>ChkList!C71</f>
        <v>로그 디렉터리 소유자 및 권한 설정</v>
      </c>
      <c r="D87" s="221"/>
      <c r="E87" s="222"/>
      <c r="F87" s="31" t="str">
        <f>ChkList!D71</f>
        <v>M</v>
      </c>
      <c r="G87" s="31">
        <f>ChkList!E71</f>
        <v>2</v>
      </c>
      <c r="H87" s="168" t="s">
        <v>50</v>
      </c>
      <c r="I87" s="167" t="s">
        <v>321</v>
      </c>
      <c r="J87" s="28" t="s">
        <v>378</v>
      </c>
      <c r="K87" s="28" t="str">
        <f t="shared" si="5"/>
        <v>Y</v>
      </c>
      <c r="L87" s="270" t="s">
        <v>335</v>
      </c>
      <c r="M87" s="221"/>
      <c r="N87" s="221"/>
      <c r="O87" s="221"/>
      <c r="P87" s="222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  <row r="91" spans="1:21">
      <c r="B91" s="197"/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115" priority="102" operator="containsText" text="N">
      <formula>NOT(ISERROR(SEARCH("N",H21)))</formula>
    </cfRule>
    <cfRule type="cellIs" priority="103" operator="equal">
      <formula>"취약"</formula>
    </cfRule>
    <cfRule type="cellIs" priority="104" operator="equal">
      <formula>"양호"</formula>
    </cfRule>
  </conditionalFormatting>
  <conditionalFormatting sqref="J40:J42">
    <cfRule type="containsText" dxfId="114" priority="62" operator="containsText" text="N">
      <formula>NOT(ISERROR(SEARCH("N",J40)))</formula>
    </cfRule>
    <cfRule type="cellIs" priority="63" operator="equal">
      <formula>"취약"</formula>
    </cfRule>
    <cfRule type="cellIs" priority="64" operator="equal">
      <formula>"양호"</formula>
    </cfRule>
  </conditionalFormatting>
  <conditionalFormatting sqref="J44">
    <cfRule type="containsText" dxfId="113" priority="59" operator="containsText" text="N">
      <formula>NOT(ISERROR(SEARCH("N",J44)))</formula>
    </cfRule>
    <cfRule type="cellIs" priority="60" operator="equal">
      <formula>"취약"</formula>
    </cfRule>
    <cfRule type="cellIs" priority="61" operator="equal">
      <formula>"양호"</formula>
    </cfRule>
  </conditionalFormatting>
  <conditionalFormatting sqref="J46:J47">
    <cfRule type="containsText" dxfId="112" priority="53" operator="containsText" text="N">
      <formula>NOT(ISERROR(SEARCH("N",J46)))</formula>
    </cfRule>
    <cfRule type="cellIs" priority="54" operator="equal">
      <formula>"취약"</formula>
    </cfRule>
    <cfRule type="cellIs" priority="55" operator="equal">
      <formula>"양호"</formula>
    </cfRule>
  </conditionalFormatting>
  <conditionalFormatting sqref="J49">
    <cfRule type="containsText" dxfId="111" priority="50" operator="containsText" text="N">
      <formula>NOT(ISERROR(SEARCH("N",J49)))</formula>
    </cfRule>
    <cfRule type="cellIs" priority="51" operator="equal">
      <formula>"취약"</formula>
    </cfRule>
    <cfRule type="cellIs" priority="52" operator="equal">
      <formula>"양호"</formula>
    </cfRule>
  </conditionalFormatting>
  <conditionalFormatting sqref="J58">
    <cfRule type="containsText" dxfId="110" priority="47" operator="containsText" text="N">
      <formula>NOT(ISERROR(SEARCH("N",J58)))</formula>
    </cfRule>
    <cfRule type="cellIs" priority="48" operator="equal">
      <formula>"취약"</formula>
    </cfRule>
    <cfRule type="cellIs" priority="49" operator="equal">
      <formula>"양호"</formula>
    </cfRule>
  </conditionalFormatting>
  <conditionalFormatting sqref="J65">
    <cfRule type="cellIs" dxfId="109" priority="1" stopIfTrue="1" operator="equal">
      <formula>"인터뷰"</formula>
    </cfRule>
    <cfRule type="cellIs" dxfId="108" priority="2" stopIfTrue="1" operator="equal">
      <formula>"R/A"</formula>
    </cfRule>
    <cfRule type="cellIs" dxfId="107" priority="3" stopIfTrue="1" operator="equal">
      <formula>"N/A"</formula>
    </cfRule>
    <cfRule type="cellIs" dxfId="106" priority="4" stopIfTrue="1" operator="equal">
      <formula>"N"</formula>
    </cfRule>
    <cfRule type="expression" dxfId="105" priority="5">
      <formula>OR(IF(J65=0,1,0),IF(J65="-",1,0))</formula>
    </cfRule>
  </conditionalFormatting>
  <conditionalFormatting sqref="J69:J87">
    <cfRule type="cellIs" dxfId="104" priority="19" stopIfTrue="1" operator="equal">
      <formula>"인터뷰"</formula>
    </cfRule>
    <cfRule type="cellIs" dxfId="103" priority="20" stopIfTrue="1" operator="equal">
      <formula>"R/A"</formula>
    </cfRule>
    <cfRule type="cellIs" dxfId="102" priority="21" stopIfTrue="1" operator="equal">
      <formula>"N/A"</formula>
    </cfRule>
    <cfRule type="cellIs" dxfId="101" priority="22" stopIfTrue="1" operator="equal">
      <formula>"N"</formula>
    </cfRule>
    <cfRule type="expression" dxfId="100" priority="23">
      <formula>OR(IF(J69=0,1,0),IF(J69="-",1,0))</formula>
    </cfRule>
  </conditionalFormatting>
  <conditionalFormatting sqref="J21:K39 K40:K42 J43:K43 K44 J45:K45 K46:K47 J48:K48 K49 J50:K57 K58 J59:K64 K65 J66:K68">
    <cfRule type="cellIs" dxfId="99" priority="79" stopIfTrue="1" operator="equal">
      <formula>"인터뷰"</formula>
    </cfRule>
    <cfRule type="cellIs" dxfId="98" priority="80" stopIfTrue="1" operator="equal">
      <formula>"R/A"</formula>
    </cfRule>
    <cfRule type="cellIs" dxfId="97" priority="81" stopIfTrue="1" operator="equal">
      <formula>"N/A"</formula>
    </cfRule>
    <cfRule type="cellIs" dxfId="96" priority="82" stopIfTrue="1" operator="equal">
      <formula>"N"</formula>
    </cfRule>
    <cfRule type="expression" dxfId="95" priority="83">
      <formula>OR(IF(J21=0,1,0),IF(J21="-",1,0))</formula>
    </cfRule>
  </conditionalFormatting>
  <conditionalFormatting sqref="K21:K87">
    <cfRule type="cellIs" dxfId="94" priority="39" operator="equal">
      <formula>"위험수용"</formula>
    </cfRule>
    <cfRule type="cellIs" dxfId="93" priority="40" operator="equal">
      <formula>"미조치"</formula>
    </cfRule>
    <cfRule type="cellIs" dxfId="92" priority="41" operator="equal">
      <formula>"조치"</formula>
    </cfRule>
  </conditionalFormatting>
  <conditionalFormatting sqref="K69:K87">
    <cfRule type="cellIs" dxfId="91" priority="42" stopIfTrue="1" operator="equal">
      <formula>"인터뷰"</formula>
    </cfRule>
    <cfRule type="cellIs" dxfId="90" priority="43" stopIfTrue="1" operator="equal">
      <formula>"R/A"</formula>
    </cfRule>
    <cfRule type="cellIs" dxfId="89" priority="44" stopIfTrue="1" operator="equal">
      <formula>"N/A"</formula>
    </cfRule>
    <cfRule type="cellIs" dxfId="88" priority="45" stopIfTrue="1" operator="equal">
      <formula>"N"</formula>
    </cfRule>
    <cfRule type="expression" dxfId="87" priority="46">
      <formula>OR(IF(K69=0,1,0),IF(K69="-",1,0))</formula>
    </cfRule>
  </conditionalFormatting>
  <conditionalFormatting sqref="L21:L87">
    <cfRule type="cellIs" dxfId="86" priority="6" stopIfTrue="1" operator="equal">
      <formula>"인터뷰"</formula>
    </cfRule>
    <cfRule type="cellIs" dxfId="85" priority="7" stopIfTrue="1" operator="equal">
      <formula>"R/A"</formula>
    </cfRule>
    <cfRule type="cellIs" dxfId="84" priority="8" stopIfTrue="1" operator="equal">
      <formula>"N/A"</formula>
    </cfRule>
    <cfRule type="cellIs" dxfId="83" priority="9" stopIfTrue="1" operator="equal">
      <formula>"N"</formula>
    </cfRule>
    <cfRule type="expression" dxfId="82" priority="10">
      <formula>OR(IF(L21=0,1,0),IF(L21="-",1,0))</formula>
    </cfRule>
  </conditionalFormatting>
  <conditionalFormatting sqref="Y21:Y58">
    <cfRule type="cellIs" dxfId="81" priority="390" operator="equal">
      <formula>"신규 취약점(즉시조치)"</formula>
    </cfRule>
    <cfRule type="cellIs" dxfId="80" priority="391" operator="equal">
      <formula>"기존 취약점(즉시조치)"</formula>
    </cfRule>
    <cfRule type="cellIs" dxfId="79" priority="392" operator="equal">
      <formula>"기존 취약점"</formula>
    </cfRule>
    <cfRule type="cellIs" dxfId="78" priority="393" operator="equal">
      <formula>"신규 취약점"</formula>
    </cfRule>
    <cfRule type="cellIs" dxfId="77" priority="394" operator="equal">
      <formula>"확인필요"</formula>
    </cfRule>
    <cfRule type="cellIs" dxfId="76" priority="395" operator="equal">
      <formula>"확인필요"</formula>
    </cfRule>
    <cfRule type="cellIs" dxfId="75" priority="396" operator="equal">
      <formula>"신규취약점"</formula>
    </cfRule>
    <cfRule type="cellIs" dxfId="74" priority="397" operator="equal">
      <formula>"조치완료"</formula>
    </cfRule>
  </conditionalFormatting>
  <dataValidations count="4">
    <dataValidation allowBlank="1" showInputMessage="1" showErrorMessage="1" errorTitle="오류!" error="Y, N, N/A 중에 선택" sqref="I21:I87 L21:L87"/>
    <dataValidation type="list" errorStyle="warning" allowBlank="1" showInputMessage="1" showErrorMessage="1" errorTitle="오류!" error="Y, N, N/A 중에 선택" sqref="H21:H87 J58 J40:J42 J44 J46:J47 J49">
      <formula1>"Y,N,N/A,인터뷰,Y(즉시조치)"</formula1>
    </dataValidation>
    <dataValidation type="list" errorStyle="warning" showInputMessage="1" showErrorMessage="1" errorTitle="오류!" error="Y, N, N/A 중에 선택" sqref="J50:J57 J21:J39 J43 J45 J48 J65:K65 J59:J64 J66:J87">
      <formula1>"Y,N,N/A,인터뷰,Y(즉시조치)"</formula1>
    </dataValidation>
    <dataValidation errorStyle="warning" allowBlank="1" showInputMessage="1" showErrorMessage="1" sqref="K21:K64 K66:K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87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54" t="s">
        <v>213</v>
      </c>
      <c r="B3" s="54"/>
      <c r="C3" s="54"/>
      <c r="D3" s="54"/>
      <c r="E3" s="54"/>
      <c r="F3" s="54"/>
      <c r="G3" s="54"/>
      <c r="H3" s="5"/>
      <c r="I3" s="5"/>
      <c r="R3" s="5" t="s">
        <v>214</v>
      </c>
      <c r="X3" s="5"/>
      <c r="Y3" s="5"/>
    </row>
    <row r="4" spans="1:25" ht="17.100000000000001" customHeight="1">
      <c r="A4" s="126" t="s">
        <v>215</v>
      </c>
      <c r="B4" s="307" t="str">
        <f ca="1">REPLACE(CELL("filename",A1),1,FIND("]",CELL("filename",A1)),"")</f>
        <v>BDB_BR_Rocky</v>
      </c>
      <c r="C4" s="247"/>
      <c r="D4" s="308" t="s">
        <v>216</v>
      </c>
      <c r="E4" s="250"/>
      <c r="F4" s="310" t="str">
        <f ca="1">IFERROR(VLOOKUP($B$4,자산목록!$B$1:$Q$835,8,FALSE),"N/A")</f>
        <v>DB 백업 서버 / 본사 DB 백업</v>
      </c>
      <c r="G4" s="311"/>
      <c r="H4" s="63"/>
      <c r="I4" s="55"/>
      <c r="R4" s="25" t="s">
        <v>15</v>
      </c>
      <c r="S4" s="41">
        <f ca="1">IFERROR(VLOOKUP($B$4,자산목록!$B$1:$Q$835,13,FALSE),"N/A")</f>
        <v>3</v>
      </c>
      <c r="T4" s="309" t="s">
        <v>217</v>
      </c>
      <c r="U4" s="287" t="str">
        <f ca="1">IFERROR(VLOOKUP($B$4,자산목록!$B$1:$Q$835,16,FALSE),"N/A")</f>
        <v>H</v>
      </c>
      <c r="X4" s="5"/>
      <c r="Y4" s="5"/>
    </row>
    <row r="5" spans="1:25" ht="17.100000000000001" customHeight="1">
      <c r="A5" s="127" t="s">
        <v>218</v>
      </c>
      <c r="B5" s="301" t="str">
        <f ca="1">IFERROR(VLOOKUP($B$4,자산목록!$B$1:$Q$835,6,FALSE)&amp;" "&amp;VLOOKUP($B$4,자산목록!$B$1:$Q$835,7,FALSE),"N/A")</f>
        <v>Rocky 8.1</v>
      </c>
      <c r="C5" s="222"/>
      <c r="D5" s="302" t="s">
        <v>219</v>
      </c>
      <c r="E5" s="303"/>
      <c r="F5" s="301" t="str">
        <f ca="1">IFERROR(VLOOKUP($B$4,자산목록!$B$1:$Q$835,2,FALSE),"N/A")</f>
        <v>10.200.40.33</v>
      </c>
      <c r="G5" s="222"/>
      <c r="H5" s="63"/>
      <c r="I5" s="55"/>
      <c r="R5" s="25" t="s">
        <v>16</v>
      </c>
      <c r="S5" s="41">
        <f ca="1">IFERROR(VLOOKUP($B$4,자산목록!$B$1:$Q$835,14,FALSE),"N/A")</f>
        <v>3</v>
      </c>
      <c r="T5" s="226"/>
      <c r="U5" s="226"/>
      <c r="X5" s="5"/>
      <c r="Y5" s="5"/>
    </row>
    <row r="6" spans="1:25" ht="17.100000000000001" customHeight="1">
      <c r="A6" s="128" t="s">
        <v>12</v>
      </c>
      <c r="B6" s="304" t="str">
        <f ca="1">IFERROR(VLOOKUP($B$4,자산목록!$B$1:$Q$835,11,FALSE),"N/A")</f>
        <v>장예나</v>
      </c>
      <c r="C6" s="234"/>
      <c r="D6" s="305" t="s">
        <v>220</v>
      </c>
      <c r="E6" s="306"/>
      <c r="F6" s="304" t="str">
        <f ca="1">IFERROR(VLOOKUP($B$4,자산목록!$B$1:$Q$835,9,FALSE),"N/A")</f>
        <v>지사 백업망</v>
      </c>
      <c r="G6" s="234"/>
      <c r="H6" s="63"/>
      <c r="I6" s="55"/>
      <c r="R6" s="25" t="s">
        <v>17</v>
      </c>
      <c r="S6" s="41">
        <f ca="1">IFERROR(VLOOKUP($B$4,자산목록!$B$1:$Q$835,15,FALSE),"N/A")</f>
        <v>3</v>
      </c>
      <c r="T6" s="225"/>
      <c r="U6" s="22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>
      <c r="A9" s="56" t="s">
        <v>222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>
      <c r="A10" s="297" t="s">
        <v>77</v>
      </c>
      <c r="B10" s="213"/>
      <c r="C10" s="213"/>
      <c r="D10" s="296" t="s">
        <v>223</v>
      </c>
      <c r="E10" s="236"/>
      <c r="F10" s="236"/>
      <c r="G10" s="236"/>
      <c r="H10" s="236"/>
      <c r="I10" s="298" t="s">
        <v>224</v>
      </c>
      <c r="J10" s="300" t="s">
        <v>190</v>
      </c>
      <c r="K10" s="236"/>
      <c r="L10" s="236"/>
      <c r="M10" s="236"/>
      <c r="N10" s="236"/>
      <c r="O10" s="245"/>
      <c r="R10" s="289" t="s">
        <v>225</v>
      </c>
      <c r="S10" s="221"/>
      <c r="T10" s="221"/>
      <c r="U10" s="222"/>
      <c r="V10" s="283" t="s">
        <v>224</v>
      </c>
      <c r="W10" s="221"/>
      <c r="X10" s="221"/>
      <c r="Y10" s="222"/>
    </row>
    <row r="11" spans="1:25" ht="20.100000000000001" customHeight="1">
      <c r="A11" s="254"/>
      <c r="B11" s="255"/>
      <c r="C11" s="255"/>
      <c r="D11" s="129" t="s">
        <v>205</v>
      </c>
      <c r="E11" s="130" t="s">
        <v>181</v>
      </c>
      <c r="F11" s="131" t="s">
        <v>182</v>
      </c>
      <c r="G11" s="132" t="s">
        <v>53</v>
      </c>
      <c r="H11" s="157" t="s">
        <v>226</v>
      </c>
      <c r="I11" s="299"/>
      <c r="J11" s="143" t="s">
        <v>191</v>
      </c>
      <c r="K11" s="133" t="s">
        <v>192</v>
      </c>
      <c r="L11" s="134" t="s">
        <v>193</v>
      </c>
      <c r="M11" s="134" t="s">
        <v>53</v>
      </c>
      <c r="N11" s="134" t="s">
        <v>199</v>
      </c>
      <c r="O11" s="135" t="s">
        <v>226</v>
      </c>
      <c r="R11" s="49" t="s">
        <v>227</v>
      </c>
      <c r="S11" s="50" t="s">
        <v>228</v>
      </c>
      <c r="T11" s="50" t="s">
        <v>229</v>
      </c>
      <c r="U11" s="52" t="s">
        <v>230</v>
      </c>
      <c r="V11" s="288" t="s">
        <v>77</v>
      </c>
      <c r="W11" s="222"/>
      <c r="X11" s="11" t="s">
        <v>223</v>
      </c>
      <c r="Y11" s="11" t="s">
        <v>190</v>
      </c>
    </row>
    <row r="12" spans="1:25" ht="32.1" customHeight="1">
      <c r="A12" s="276" t="str">
        <f>ChkList!A6</f>
        <v>계정 관리</v>
      </c>
      <c r="B12" s="221"/>
      <c r="C12" s="222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90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87">
        <f>B12</f>
        <v>0</v>
      </c>
      <c r="W12" s="222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76" t="str">
        <f>ChkList!A20</f>
        <v>파일 및 디렉터리 관리</v>
      </c>
      <c r="B13" s="221"/>
      <c r="C13" s="222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91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 t="shared" si="1"/>
        <v>53</v>
      </c>
      <c r="U13" s="41">
        <f t="shared" si="1"/>
        <v>53</v>
      </c>
      <c r="V13" s="287">
        <f>B13</f>
        <v>0</v>
      </c>
      <c r="W13" s="222"/>
      <c r="X13" s="64">
        <f t="shared" ref="X13:X17" ca="1" si="3">H13</f>
        <v>1</v>
      </c>
      <c r="Y13" s="64">
        <f t="shared" ca="1" si="2"/>
        <v>1</v>
      </c>
    </row>
    <row r="14" spans="1:25" ht="32.1" customHeight="1">
      <c r="A14" s="276" t="str">
        <f>ChkList!A37</f>
        <v>파일 및 디렉터리 관리</v>
      </c>
      <c r="B14" s="221"/>
      <c r="C14" s="222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91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 t="shared" si="1"/>
        <v>53</v>
      </c>
      <c r="U14" s="41">
        <f t="shared" si="1"/>
        <v>53</v>
      </c>
      <c r="V14" s="287">
        <f>B14</f>
        <v>0</v>
      </c>
      <c r="W14" s="222"/>
      <c r="X14" s="64">
        <f t="shared" ca="1" si="3"/>
        <v>1</v>
      </c>
      <c r="Y14" s="64">
        <f t="shared" ca="1" si="2"/>
        <v>1</v>
      </c>
    </row>
    <row r="15" spans="1:25" ht="32.1" customHeight="1">
      <c r="A15" s="276" t="str">
        <f>ChkList!A69</f>
        <v>로그 관리</v>
      </c>
      <c r="B15" s="221"/>
      <c r="C15" s="222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91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87">
        <f>B15</f>
        <v>0</v>
      </c>
      <c r="W15" s="222"/>
      <c r="X15" s="64">
        <f t="shared" ca="1" si="3"/>
        <v>1</v>
      </c>
      <c r="Y15" s="64">
        <f t="shared" ca="1" si="2"/>
        <v>1</v>
      </c>
    </row>
    <row r="16" spans="1:25" ht="32.1" customHeight="1">
      <c r="A16" s="276" t="str">
        <f>ChkList!A70</f>
        <v>로그 관리</v>
      </c>
      <c r="B16" s="221"/>
      <c r="C16" s="222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91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85">
        <f>B16</f>
        <v>0</v>
      </c>
      <c r="W16" s="286"/>
      <c r="X16" s="68">
        <f t="shared" ca="1" si="3"/>
        <v>1</v>
      </c>
      <c r="Y16" s="68">
        <f t="shared" ca="1" si="2"/>
        <v>1</v>
      </c>
    </row>
    <row r="17" spans="1:25" ht="20.100000000000001" customHeight="1">
      <c r="A17" s="293" t="s">
        <v>231</v>
      </c>
      <c r="B17" s="294"/>
      <c r="C17" s="295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92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84" t="s">
        <v>232</v>
      </c>
      <c r="W17" s="256"/>
      <c r="X17" s="67">
        <f t="shared" ca="1" si="3"/>
        <v>1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>
      <c r="A19" s="9" t="s">
        <v>233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234</v>
      </c>
      <c r="S19" s="17"/>
    </row>
    <row r="20" spans="1:25" ht="21.95" customHeight="1">
      <c r="A20" s="277" t="s">
        <v>77</v>
      </c>
      <c r="B20" s="278"/>
      <c r="C20" s="279" t="s">
        <v>235</v>
      </c>
      <c r="D20" s="280"/>
      <c r="E20" s="280"/>
      <c r="F20" s="281" t="s">
        <v>41</v>
      </c>
      <c r="G20" s="280"/>
      <c r="H20" s="165" t="s">
        <v>178</v>
      </c>
      <c r="I20" s="166" t="s">
        <v>236</v>
      </c>
      <c r="J20" s="159" t="s">
        <v>190</v>
      </c>
      <c r="K20" s="144" t="s">
        <v>237</v>
      </c>
      <c r="L20" s="282" t="s">
        <v>322</v>
      </c>
      <c r="M20" s="280"/>
      <c r="N20" s="280"/>
      <c r="O20" s="280"/>
      <c r="P20" s="278"/>
      <c r="Q20" s="145" t="s">
        <v>76</v>
      </c>
      <c r="R20" s="53" t="s">
        <v>239</v>
      </c>
      <c r="S20" s="52" t="s">
        <v>228</v>
      </c>
      <c r="T20" s="25" t="s">
        <v>229</v>
      </c>
      <c r="U20" s="52" t="s">
        <v>230</v>
      </c>
      <c r="V20" s="275" t="s">
        <v>190</v>
      </c>
      <c r="W20" s="222"/>
      <c r="Y20" s="69"/>
    </row>
    <row r="21" spans="1:25" ht="36">
      <c r="A21" s="31" t="str">
        <f>ChkList!A5</f>
        <v>계정 관리</v>
      </c>
      <c r="B21" s="31" t="str">
        <f>ChkList!B5</f>
        <v>U-01</v>
      </c>
      <c r="C21" s="270" t="str">
        <f>ChkList!C5</f>
        <v>root 계정 원격 접속 제한</v>
      </c>
      <c r="D21" s="221"/>
      <c r="E21" s="222"/>
      <c r="F21" s="31" t="str">
        <f>ChkList!D5</f>
        <v>H</v>
      </c>
      <c r="G21" s="31">
        <f>ChkList!E5</f>
        <v>3</v>
      </c>
      <c r="H21" s="168" t="s">
        <v>50</v>
      </c>
      <c r="I21" s="167" t="s">
        <v>240</v>
      </c>
      <c r="J21" s="28" t="s">
        <v>374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70" t="s">
        <v>373</v>
      </c>
      <c r="M21" s="221"/>
      <c r="N21" s="221"/>
      <c r="O21" s="221"/>
      <c r="P21" s="222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241</v>
      </c>
      <c r="W21" s="42" t="s">
        <v>42</v>
      </c>
      <c r="Y21" s="10"/>
    </row>
    <row r="22" spans="1:25" ht="36">
      <c r="A22" s="31" t="str">
        <f>ChkList!A6</f>
        <v>계정 관리</v>
      </c>
      <c r="B22" s="31" t="str">
        <f>ChkList!B6</f>
        <v>U-02</v>
      </c>
      <c r="C22" s="270" t="str">
        <f>ChkList!C6</f>
        <v>비밀번호 관리정책 설정</v>
      </c>
      <c r="D22" s="221"/>
      <c r="E22" s="222"/>
      <c r="F22" s="31" t="str">
        <f>ChkList!D6</f>
        <v>H</v>
      </c>
      <c r="G22" s="31">
        <f>ChkList!E6</f>
        <v>3</v>
      </c>
      <c r="H22" s="168" t="s">
        <v>50</v>
      </c>
      <c r="I22" s="167" t="s">
        <v>243</v>
      </c>
      <c r="J22" s="28" t="s">
        <v>50</v>
      </c>
      <c r="K22" s="28" t="str">
        <f t="shared" si="4"/>
        <v>Y</v>
      </c>
      <c r="L22" s="270" t="s">
        <v>243</v>
      </c>
      <c r="M22" s="221"/>
      <c r="N22" s="221"/>
      <c r="O22" s="221"/>
      <c r="P22" s="222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191</v>
      </c>
      <c r="W22" s="28">
        <v>1</v>
      </c>
      <c r="Y22" s="10"/>
    </row>
    <row r="23" spans="1:25" ht="36">
      <c r="A23" s="31" t="str">
        <f>ChkList!A7</f>
        <v>계정 관리</v>
      </c>
      <c r="B23" s="31" t="str">
        <f>ChkList!B7</f>
        <v>U-03</v>
      </c>
      <c r="C23" s="270" t="str">
        <f>ChkList!C7</f>
        <v>계정 잠금 임계값 설정</v>
      </c>
      <c r="D23" s="221"/>
      <c r="E23" s="222"/>
      <c r="F23" s="31" t="str">
        <f>ChkList!D7</f>
        <v>H</v>
      </c>
      <c r="G23" s="31">
        <f>ChkList!E7</f>
        <v>3</v>
      </c>
      <c r="H23" s="168" t="s">
        <v>50</v>
      </c>
      <c r="I23" s="167" t="s">
        <v>245</v>
      </c>
      <c r="J23" s="28" t="s">
        <v>50</v>
      </c>
      <c r="K23" s="28" t="str">
        <f t="shared" si="4"/>
        <v>Y</v>
      </c>
      <c r="L23" s="270" t="s">
        <v>245</v>
      </c>
      <c r="M23" s="221"/>
      <c r="N23" s="221"/>
      <c r="O23" s="221"/>
      <c r="P23" s="222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192</v>
      </c>
      <c r="W23" s="28">
        <v>0</v>
      </c>
      <c r="Y23" s="10"/>
    </row>
    <row r="24" spans="1:25" ht="36">
      <c r="A24" s="31" t="str">
        <f>ChkList!A8</f>
        <v>계정 관리</v>
      </c>
      <c r="B24" s="31" t="str">
        <f>ChkList!B8</f>
        <v>U-04</v>
      </c>
      <c r="C24" s="270" t="str">
        <f>ChkList!C8</f>
        <v>비밀번호 파일 보호</v>
      </c>
      <c r="D24" s="221"/>
      <c r="E24" s="222"/>
      <c r="F24" s="31" t="str">
        <f>ChkList!D8</f>
        <v>H</v>
      </c>
      <c r="G24" s="31">
        <f>ChkList!E8</f>
        <v>3</v>
      </c>
      <c r="H24" s="168" t="s">
        <v>50</v>
      </c>
      <c r="I24" s="167" t="s">
        <v>324</v>
      </c>
      <c r="J24" s="28" t="s">
        <v>375</v>
      </c>
      <c r="K24" s="28" t="str">
        <f t="shared" si="4"/>
        <v>Y</v>
      </c>
      <c r="L24" s="270" t="s">
        <v>324</v>
      </c>
      <c r="M24" s="221"/>
      <c r="N24" s="221"/>
      <c r="O24" s="221"/>
      <c r="P24" s="222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193</v>
      </c>
      <c r="W24" s="28">
        <v>0</v>
      </c>
      <c r="Y24" s="10"/>
    </row>
    <row r="25" spans="1:25" ht="36">
      <c r="A25" s="31" t="str">
        <f>ChkList!A9</f>
        <v>계정 관리</v>
      </c>
      <c r="B25" s="31" t="str">
        <f>ChkList!B9</f>
        <v>U-05</v>
      </c>
      <c r="C25" s="270" t="str">
        <f>ChkList!C9</f>
        <v>root 이외의 UID가 ‘0’ 금지</v>
      </c>
      <c r="D25" s="221"/>
      <c r="E25" s="222"/>
      <c r="F25" s="31" t="str">
        <f>ChkList!D9</f>
        <v>H</v>
      </c>
      <c r="G25" s="31">
        <f>ChkList!E9</f>
        <v>3</v>
      </c>
      <c r="H25" s="168" t="s">
        <v>50</v>
      </c>
      <c r="I25" s="167" t="s">
        <v>247</v>
      </c>
      <c r="J25" s="28" t="s">
        <v>376</v>
      </c>
      <c r="K25" s="28" t="str">
        <f t="shared" si="4"/>
        <v>Y</v>
      </c>
      <c r="L25" s="270" t="s">
        <v>372</v>
      </c>
      <c r="M25" s="221"/>
      <c r="N25" s="221"/>
      <c r="O25" s="221"/>
      <c r="P25" s="222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53</v>
      </c>
      <c r="W25" s="28">
        <v>0</v>
      </c>
      <c r="Y25" s="10"/>
    </row>
    <row r="26" spans="1:25" ht="36">
      <c r="A26" s="31" t="str">
        <f>ChkList!A10</f>
        <v>계정 관리</v>
      </c>
      <c r="B26" s="31" t="str">
        <f>ChkList!B10</f>
        <v>U-06</v>
      </c>
      <c r="C26" s="270" t="str">
        <f>ChkList!C10</f>
        <v>사용자 계정 su 기능 제한</v>
      </c>
      <c r="D26" s="221"/>
      <c r="E26" s="222"/>
      <c r="F26" s="31" t="str">
        <f>ChkList!D10</f>
        <v>H</v>
      </c>
      <c r="G26" s="31">
        <f>ChkList!E10</f>
        <v>3</v>
      </c>
      <c r="H26" s="168" t="s">
        <v>50</v>
      </c>
      <c r="I26" s="167" t="s">
        <v>248</v>
      </c>
      <c r="J26" s="28" t="s">
        <v>377</v>
      </c>
      <c r="K26" s="28" t="str">
        <f t="shared" si="4"/>
        <v>Y</v>
      </c>
      <c r="L26" s="270" t="s">
        <v>371</v>
      </c>
      <c r="M26" s="221"/>
      <c r="N26" s="221"/>
      <c r="O26" s="221"/>
      <c r="P26" s="222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50</v>
      </c>
      <c r="W26" s="28">
        <v>1</v>
      </c>
      <c r="Y26" s="10"/>
    </row>
    <row r="27" spans="1:25" ht="36">
      <c r="A27" s="31" t="str">
        <f>ChkList!A11</f>
        <v>계정 관리</v>
      </c>
      <c r="B27" s="31" t="str">
        <f>ChkList!B11</f>
        <v>U-07</v>
      </c>
      <c r="C27" s="270" t="str">
        <f>ChkList!C11</f>
        <v>불필요한 계정 제거</v>
      </c>
      <c r="D27" s="221"/>
      <c r="E27" s="222"/>
      <c r="F27" s="31" t="str">
        <f>ChkList!D11</f>
        <v>L</v>
      </c>
      <c r="G27" s="31">
        <f>ChkList!E11</f>
        <v>1</v>
      </c>
      <c r="H27" s="168" t="s">
        <v>50</v>
      </c>
      <c r="I27" s="167" t="s">
        <v>249</v>
      </c>
      <c r="J27" s="28" t="s">
        <v>378</v>
      </c>
      <c r="K27" s="28" t="str">
        <f t="shared" si="4"/>
        <v>Y</v>
      </c>
      <c r="L27" s="270" t="s">
        <v>370</v>
      </c>
      <c r="M27" s="221"/>
      <c r="N27" s="221"/>
      <c r="O27" s="221"/>
      <c r="P27" s="222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55</v>
      </c>
      <c r="W27" s="28">
        <v>1</v>
      </c>
      <c r="Y27" s="10"/>
    </row>
    <row r="28" spans="1:25" ht="36">
      <c r="A28" s="31" t="str">
        <f>ChkList!A12</f>
        <v>계정 관리</v>
      </c>
      <c r="B28" s="31" t="str">
        <f>ChkList!B12</f>
        <v>U-08</v>
      </c>
      <c r="C28" s="270" t="str">
        <f>ChkList!C12</f>
        <v>관리자 그룹에 최소한의 계정 포함</v>
      </c>
      <c r="D28" s="221"/>
      <c r="E28" s="222"/>
      <c r="F28" s="31" t="str">
        <f>ChkList!D12</f>
        <v>M</v>
      </c>
      <c r="G28" s="31">
        <f>ChkList!E12</f>
        <v>2</v>
      </c>
      <c r="H28" s="168" t="s">
        <v>50</v>
      </c>
      <c r="I28" s="167" t="s">
        <v>250</v>
      </c>
      <c r="J28" s="28" t="s">
        <v>377</v>
      </c>
      <c r="K28" s="28" t="str">
        <f t="shared" si="4"/>
        <v>Y</v>
      </c>
      <c r="L28" s="270" t="s">
        <v>369</v>
      </c>
      <c r="M28" s="221"/>
      <c r="N28" s="221"/>
      <c r="O28" s="221"/>
      <c r="P28" s="222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>
      <c r="A29" s="31" t="str">
        <f>ChkList!A13</f>
        <v>계정 관리</v>
      </c>
      <c r="B29" s="31" t="str">
        <f>ChkList!B13</f>
        <v>U-09</v>
      </c>
      <c r="C29" s="270" t="str">
        <f>ChkList!C13</f>
        <v>계정이 존재하지 않는 GID 금지</v>
      </c>
      <c r="D29" s="221"/>
      <c r="E29" s="222"/>
      <c r="F29" s="31" t="str">
        <f>ChkList!D13</f>
        <v>L</v>
      </c>
      <c r="G29" s="31">
        <f>ChkList!E13</f>
        <v>1</v>
      </c>
      <c r="H29" s="168" t="s">
        <v>50</v>
      </c>
      <c r="I29" s="167" t="s">
        <v>251</v>
      </c>
      <c r="J29" s="28" t="s">
        <v>378</v>
      </c>
      <c r="K29" s="28" t="str">
        <f t="shared" si="4"/>
        <v>Y</v>
      </c>
      <c r="L29" s="270" t="s">
        <v>368</v>
      </c>
      <c r="M29" s="221"/>
      <c r="N29" s="221"/>
      <c r="O29" s="221"/>
      <c r="P29" s="222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6">
      <c r="A30" s="31" t="str">
        <f>ChkList!A14</f>
        <v>계정 관리</v>
      </c>
      <c r="B30" s="31" t="str">
        <f>ChkList!B14</f>
        <v>U-10</v>
      </c>
      <c r="C30" s="270" t="str">
        <f>ChkList!C14</f>
        <v>동일한 UID 금지</v>
      </c>
      <c r="D30" s="221"/>
      <c r="E30" s="222"/>
      <c r="F30" s="31" t="str">
        <f>ChkList!D14</f>
        <v>M</v>
      </c>
      <c r="G30" s="31">
        <f>ChkList!E14</f>
        <v>2</v>
      </c>
      <c r="H30" s="168" t="s">
        <v>50</v>
      </c>
      <c r="I30" s="167" t="s">
        <v>252</v>
      </c>
      <c r="J30" s="28" t="s">
        <v>378</v>
      </c>
      <c r="K30" s="28" t="str">
        <f t="shared" si="4"/>
        <v>Y</v>
      </c>
      <c r="L30" s="270" t="s">
        <v>367</v>
      </c>
      <c r="M30" s="221"/>
      <c r="N30" s="221"/>
      <c r="O30" s="221"/>
      <c r="P30" s="222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6">
      <c r="A31" s="31" t="str">
        <f>ChkList!A15</f>
        <v>계정 관리</v>
      </c>
      <c r="B31" s="31" t="str">
        <f>ChkList!B15</f>
        <v>U-11</v>
      </c>
      <c r="C31" s="270" t="str">
        <f>ChkList!C15</f>
        <v>사용자 Shell 점검</v>
      </c>
      <c r="D31" s="221"/>
      <c r="E31" s="222"/>
      <c r="F31" s="31" t="str">
        <f>ChkList!D15</f>
        <v>L</v>
      </c>
      <c r="G31" s="31">
        <f>ChkList!E15</f>
        <v>1</v>
      </c>
      <c r="H31" s="168" t="s">
        <v>50</v>
      </c>
      <c r="I31" s="167" t="s">
        <v>253</v>
      </c>
      <c r="J31" s="28" t="s">
        <v>378</v>
      </c>
      <c r="K31" s="28" t="str">
        <f t="shared" si="4"/>
        <v>Y</v>
      </c>
      <c r="L31" s="270" t="s">
        <v>366</v>
      </c>
      <c r="M31" s="221"/>
      <c r="N31" s="221"/>
      <c r="O31" s="221"/>
      <c r="P31" s="222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6">
      <c r="A32" s="31" t="str">
        <f>ChkList!A16</f>
        <v>계정 관리</v>
      </c>
      <c r="B32" s="31" t="str">
        <f>ChkList!B16</f>
        <v>U-12</v>
      </c>
      <c r="C32" s="270" t="str">
        <f>ChkList!C16</f>
        <v>세션 종료 시간 설정</v>
      </c>
      <c r="D32" s="221"/>
      <c r="E32" s="222"/>
      <c r="F32" s="31" t="str">
        <f>ChkList!D16</f>
        <v>L</v>
      </c>
      <c r="G32" s="31">
        <f>ChkList!E16</f>
        <v>1</v>
      </c>
      <c r="H32" s="168" t="s">
        <v>50</v>
      </c>
      <c r="I32" s="167" t="s">
        <v>254</v>
      </c>
      <c r="J32" s="28" t="s">
        <v>378</v>
      </c>
      <c r="K32" s="28" t="str">
        <f t="shared" si="4"/>
        <v>Y</v>
      </c>
      <c r="L32" s="270" t="s">
        <v>365</v>
      </c>
      <c r="M32" s="221"/>
      <c r="N32" s="221"/>
      <c r="O32" s="221"/>
      <c r="P32" s="222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6">
      <c r="A33" s="31" t="str">
        <f>ChkList!A17</f>
        <v>계정 관리</v>
      </c>
      <c r="B33" s="31" t="str">
        <f>ChkList!B17</f>
        <v>U-13</v>
      </c>
      <c r="C33" s="270" t="str">
        <f>ChkList!C17</f>
        <v>안전한 비밀번호 암호화 알고리즘 사용</v>
      </c>
      <c r="D33" s="221"/>
      <c r="E33" s="222"/>
      <c r="F33" s="31" t="str">
        <f>ChkList!D17</f>
        <v>M</v>
      </c>
      <c r="G33" s="31">
        <f>ChkList!E17</f>
        <v>2</v>
      </c>
      <c r="H33" s="168" t="s">
        <v>50</v>
      </c>
      <c r="I33" s="167" t="s">
        <v>255</v>
      </c>
      <c r="J33" s="28" t="s">
        <v>378</v>
      </c>
      <c r="K33" s="28" t="str">
        <f t="shared" si="4"/>
        <v>Y</v>
      </c>
      <c r="L33" s="270" t="s">
        <v>364</v>
      </c>
      <c r="M33" s="221"/>
      <c r="N33" s="221"/>
      <c r="O33" s="221"/>
      <c r="P33" s="222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6">
      <c r="A34" s="31" t="str">
        <f>ChkList!A18</f>
        <v>파일 및 디렉터리 관리</v>
      </c>
      <c r="B34" s="31" t="str">
        <f>ChkList!B18</f>
        <v>U-14</v>
      </c>
      <c r="C34" s="270" t="str">
        <f>ChkList!C18</f>
        <v>root 홈, 패스 디렉터리 권한 및 패스 설정</v>
      </c>
      <c r="D34" s="221"/>
      <c r="E34" s="222"/>
      <c r="F34" s="31" t="str">
        <f>ChkList!D18</f>
        <v>H</v>
      </c>
      <c r="G34" s="31">
        <f>ChkList!E18</f>
        <v>3</v>
      </c>
      <c r="H34" s="168" t="s">
        <v>50</v>
      </c>
      <c r="I34" s="167" t="s">
        <v>256</v>
      </c>
      <c r="J34" s="28" t="s">
        <v>378</v>
      </c>
      <c r="K34" s="28" t="str">
        <f t="shared" si="4"/>
        <v>Y</v>
      </c>
      <c r="L34" s="270" t="s">
        <v>363</v>
      </c>
      <c r="M34" s="221"/>
      <c r="N34" s="221"/>
      <c r="O34" s="221"/>
      <c r="P34" s="222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6">
      <c r="A35" s="31" t="str">
        <f>ChkList!A19</f>
        <v>파일 및 디렉터리 관리</v>
      </c>
      <c r="B35" s="31" t="str">
        <f>ChkList!B19</f>
        <v>U-15</v>
      </c>
      <c r="C35" s="270" t="str">
        <f>ChkList!C19</f>
        <v>파일 및 디렉터리 소유자 설정</v>
      </c>
      <c r="D35" s="221"/>
      <c r="E35" s="222"/>
      <c r="F35" s="31" t="str">
        <f>ChkList!D19</f>
        <v>H</v>
      </c>
      <c r="G35" s="31">
        <f>ChkList!E19</f>
        <v>3</v>
      </c>
      <c r="H35" s="168" t="s">
        <v>50</v>
      </c>
      <c r="I35" s="167" t="s">
        <v>258</v>
      </c>
      <c r="J35" s="28" t="s">
        <v>50</v>
      </c>
      <c r="K35" s="28" t="str">
        <f t="shared" si="4"/>
        <v>Y</v>
      </c>
      <c r="L35" s="270" t="s">
        <v>258</v>
      </c>
      <c r="M35" s="221"/>
      <c r="N35" s="221"/>
      <c r="O35" s="221"/>
      <c r="P35" s="222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6">
      <c r="A36" s="31" t="str">
        <f>ChkList!A20</f>
        <v>파일 및 디렉터리 관리</v>
      </c>
      <c r="B36" s="31" t="str">
        <f>ChkList!B20</f>
        <v>U-16</v>
      </c>
      <c r="C36" s="270" t="str">
        <f>ChkList!C20</f>
        <v>/etc/passwd 파일 소유자 및 권한 설정</v>
      </c>
      <c r="D36" s="221"/>
      <c r="E36" s="222"/>
      <c r="F36" s="31" t="str">
        <f>ChkList!D20</f>
        <v>H</v>
      </c>
      <c r="G36" s="31">
        <f>ChkList!E20</f>
        <v>3</v>
      </c>
      <c r="H36" s="168" t="s">
        <v>50</v>
      </c>
      <c r="I36" s="167" t="s">
        <v>259</v>
      </c>
      <c r="J36" s="28" t="s">
        <v>378</v>
      </c>
      <c r="K36" s="28" t="str">
        <f t="shared" si="4"/>
        <v>Y</v>
      </c>
      <c r="L36" s="270" t="s">
        <v>362</v>
      </c>
      <c r="M36" s="221"/>
      <c r="N36" s="221"/>
      <c r="O36" s="221"/>
      <c r="P36" s="222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450000000000003" customHeight="1">
      <c r="A37" s="31" t="str">
        <f>ChkList!A21</f>
        <v>파일 및 디렉터리 관리</v>
      </c>
      <c r="B37" s="31" t="str">
        <f>ChkList!B21</f>
        <v>U-17</v>
      </c>
      <c r="C37" s="270" t="str">
        <f>ChkList!C21</f>
        <v>시스템 시작 스크립트 권한 설정</v>
      </c>
      <c r="D37" s="221"/>
      <c r="E37" s="222"/>
      <c r="F37" s="31" t="str">
        <f>ChkList!D21</f>
        <v>H</v>
      </c>
      <c r="G37" s="31">
        <f>ChkList!E21</f>
        <v>3</v>
      </c>
      <c r="H37" s="168" t="s">
        <v>50</v>
      </c>
      <c r="I37" s="167" t="s">
        <v>261</v>
      </c>
      <c r="J37" s="28" t="s">
        <v>50</v>
      </c>
      <c r="K37" s="28" t="str">
        <f t="shared" si="4"/>
        <v>Y</v>
      </c>
      <c r="L37" s="270" t="s">
        <v>261</v>
      </c>
      <c r="M37" s="221"/>
      <c r="N37" s="221"/>
      <c r="O37" s="221"/>
      <c r="P37" s="222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1" t="str">
        <f>ChkList!A22</f>
        <v>파일 및 디렉터리 관리</v>
      </c>
      <c r="B38" s="31" t="str">
        <f>ChkList!B22</f>
        <v>U-18</v>
      </c>
      <c r="C38" s="270" t="str">
        <f>ChkList!C22</f>
        <v>/etc/shadow 파일 소유자 및 권한 설정</v>
      </c>
      <c r="D38" s="221"/>
      <c r="E38" s="222"/>
      <c r="F38" s="31" t="str">
        <f>ChkList!D22</f>
        <v>H</v>
      </c>
      <c r="G38" s="31">
        <f>ChkList!E22</f>
        <v>3</v>
      </c>
      <c r="H38" s="168" t="s">
        <v>50</v>
      </c>
      <c r="I38" s="167" t="s">
        <v>262</v>
      </c>
      <c r="J38" s="28" t="s">
        <v>378</v>
      </c>
      <c r="K38" s="28" t="str">
        <f t="shared" si="4"/>
        <v>Y</v>
      </c>
      <c r="L38" s="270" t="s">
        <v>361</v>
      </c>
      <c r="M38" s="221"/>
      <c r="N38" s="221"/>
      <c r="O38" s="221"/>
      <c r="P38" s="222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1" t="str">
        <f>ChkList!A23</f>
        <v>파일 및 디렉터리 관리</v>
      </c>
      <c r="B39" s="31" t="str">
        <f>ChkList!B23</f>
        <v>U-19</v>
      </c>
      <c r="C39" s="270" t="str">
        <f>ChkList!C23</f>
        <v>/etc/hosts 파일 소유자 및 권한 설정</v>
      </c>
      <c r="D39" s="221"/>
      <c r="E39" s="222"/>
      <c r="F39" s="31" t="str">
        <f>ChkList!D23</f>
        <v>H</v>
      </c>
      <c r="G39" s="31">
        <f>ChkList!E23</f>
        <v>3</v>
      </c>
      <c r="H39" s="168" t="s">
        <v>50</v>
      </c>
      <c r="I39" s="167" t="s">
        <v>263</v>
      </c>
      <c r="J39" s="28" t="s">
        <v>378</v>
      </c>
      <c r="K39" s="28" t="str">
        <f t="shared" si="4"/>
        <v>Y</v>
      </c>
      <c r="L39" s="270" t="s">
        <v>360</v>
      </c>
      <c r="M39" s="221"/>
      <c r="N39" s="221"/>
      <c r="O39" s="221"/>
      <c r="P39" s="222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43.5" customHeight="1">
      <c r="A40" s="31" t="str">
        <f>ChkList!A24</f>
        <v>파일 및 디렉터리 관리</v>
      </c>
      <c r="B40" s="31" t="str">
        <f>ChkList!B24</f>
        <v>U-20</v>
      </c>
      <c r="C40" s="270" t="str">
        <f>ChkList!C24</f>
        <v>/etc/(x)inetd.conf 파일 소유자 및 권한 설정</v>
      </c>
      <c r="D40" s="221"/>
      <c r="E40" s="222"/>
      <c r="F40" s="31" t="str">
        <f>ChkList!D24</f>
        <v>H</v>
      </c>
      <c r="G40" s="31">
        <f>ChkList!E24</f>
        <v>3</v>
      </c>
      <c r="H40" s="168" t="s">
        <v>50</v>
      </c>
      <c r="I40" s="167" t="s">
        <v>264</v>
      </c>
      <c r="J40" s="168" t="s">
        <v>50</v>
      </c>
      <c r="K40" s="28" t="str">
        <f t="shared" si="4"/>
        <v>Y</v>
      </c>
      <c r="L40" s="271" t="s">
        <v>265</v>
      </c>
      <c r="M40" s="272"/>
      <c r="N40" s="272"/>
      <c r="O40" s="272"/>
      <c r="P40" s="273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>
      <c r="A41" s="31" t="str">
        <f>ChkList!A25</f>
        <v>파일 및 디렉터리 관리</v>
      </c>
      <c r="B41" s="31" t="str">
        <f>ChkList!B25</f>
        <v>U-21</v>
      </c>
      <c r="C41" s="270" t="str">
        <f>ChkList!C25</f>
        <v>/etc/(r)syslog.conf 파일 소유자 및 권한 설정</v>
      </c>
      <c r="D41" s="221"/>
      <c r="E41" s="222"/>
      <c r="F41" s="31" t="str">
        <f>ChkList!D25</f>
        <v>H</v>
      </c>
      <c r="G41" s="31">
        <f>ChkList!E25</f>
        <v>3</v>
      </c>
      <c r="H41" s="168" t="s">
        <v>50</v>
      </c>
      <c r="I41" s="167" t="s">
        <v>266</v>
      </c>
      <c r="J41" s="168" t="s">
        <v>50</v>
      </c>
      <c r="K41" s="28" t="str">
        <f t="shared" si="4"/>
        <v>Y</v>
      </c>
      <c r="L41" s="271" t="s">
        <v>267</v>
      </c>
      <c r="M41" s="272"/>
      <c r="N41" s="272"/>
      <c r="O41" s="272"/>
      <c r="P41" s="273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43.5" customHeight="1">
      <c r="A42" s="31" t="str">
        <f>ChkList!A26</f>
        <v>파일 및 디렉터리 관리</v>
      </c>
      <c r="B42" s="31" t="str">
        <f>ChkList!B26</f>
        <v>U-22</v>
      </c>
      <c r="C42" s="270" t="str">
        <f>ChkList!C26</f>
        <v>/etc/services 파일 소유자 및 권한 설정</v>
      </c>
      <c r="D42" s="221"/>
      <c r="E42" s="222"/>
      <c r="F42" s="31" t="str">
        <f>ChkList!D26</f>
        <v>H</v>
      </c>
      <c r="G42" s="31">
        <f>ChkList!E26</f>
        <v>3</v>
      </c>
      <c r="H42" s="168" t="s">
        <v>50</v>
      </c>
      <c r="I42" s="167" t="s">
        <v>269</v>
      </c>
      <c r="J42" s="168" t="s">
        <v>50</v>
      </c>
      <c r="K42" s="28" t="str">
        <f t="shared" si="4"/>
        <v>Y</v>
      </c>
      <c r="L42" s="271" t="s">
        <v>269</v>
      </c>
      <c r="M42" s="272"/>
      <c r="N42" s="272"/>
      <c r="O42" s="272"/>
      <c r="P42" s="273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>
      <c r="A43" s="31" t="str">
        <f>ChkList!A27</f>
        <v>파일 및 디렉터리 관리</v>
      </c>
      <c r="B43" s="31" t="str">
        <f>ChkList!B27</f>
        <v>U-23</v>
      </c>
      <c r="C43" s="270" t="str">
        <f>ChkList!C27</f>
        <v>SUID, SGID, Sticky bit 설정 파일 점검</v>
      </c>
      <c r="D43" s="221"/>
      <c r="E43" s="222"/>
      <c r="F43" s="31" t="str">
        <f>ChkList!D27</f>
        <v>H</v>
      </c>
      <c r="G43" s="31">
        <f>ChkList!E27</f>
        <v>3</v>
      </c>
      <c r="H43" s="168" t="s">
        <v>50</v>
      </c>
      <c r="I43" s="167" t="s">
        <v>325</v>
      </c>
      <c r="J43" s="28" t="s">
        <v>378</v>
      </c>
      <c r="K43" s="28" t="str">
        <f t="shared" si="4"/>
        <v>Y</v>
      </c>
      <c r="L43" s="270" t="s">
        <v>358</v>
      </c>
      <c r="M43" s="221"/>
      <c r="N43" s="221"/>
      <c r="O43" s="221"/>
      <c r="P43" s="222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1" t="str">
        <f>ChkList!A28</f>
        <v>파일 및 디렉터리 관리</v>
      </c>
      <c r="B44" s="31" t="str">
        <f>ChkList!B28</f>
        <v>U-24</v>
      </c>
      <c r="C44" s="270" t="str">
        <f>ChkList!C28</f>
        <v>사용자, 시스템 시작파일 및 환경파일 소유자 및 권한 설정</v>
      </c>
      <c r="D44" s="221"/>
      <c r="E44" s="222"/>
      <c r="F44" s="31" t="str">
        <f>ChkList!D28</f>
        <v>H</v>
      </c>
      <c r="G44" s="31">
        <f>ChkList!E28</f>
        <v>3</v>
      </c>
      <c r="H44" s="168" t="s">
        <v>50</v>
      </c>
      <c r="I44" s="167" t="s">
        <v>326</v>
      </c>
      <c r="J44" s="168" t="s">
        <v>50</v>
      </c>
      <c r="K44" s="28" t="str">
        <f t="shared" si="4"/>
        <v>Y</v>
      </c>
      <c r="L44" s="270" t="s">
        <v>379</v>
      </c>
      <c r="M44" s="221"/>
      <c r="N44" s="221"/>
      <c r="O44" s="221"/>
      <c r="P44" s="222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43.5" customHeight="1">
      <c r="A45" s="31" t="str">
        <f>ChkList!A29</f>
        <v>파일 및 디렉터리 관리</v>
      </c>
      <c r="B45" s="31" t="str">
        <f>ChkList!B29</f>
        <v>U-25</v>
      </c>
      <c r="C45" s="270" t="str">
        <f>ChkList!C29</f>
        <v>world writable 파일 점검</v>
      </c>
      <c r="D45" s="221"/>
      <c r="E45" s="222"/>
      <c r="F45" s="31" t="str">
        <f>ChkList!D29</f>
        <v>H</v>
      </c>
      <c r="G45" s="31">
        <f>ChkList!E29</f>
        <v>3</v>
      </c>
      <c r="H45" s="168" t="s">
        <v>50</v>
      </c>
      <c r="I45" s="167" t="s">
        <v>272</v>
      </c>
      <c r="J45" s="28" t="s">
        <v>378</v>
      </c>
      <c r="K45" s="28" t="str">
        <f t="shared" si="4"/>
        <v>Y</v>
      </c>
      <c r="L45" s="270" t="s">
        <v>355</v>
      </c>
      <c r="M45" s="221"/>
      <c r="N45" s="221"/>
      <c r="O45" s="221"/>
      <c r="P45" s="222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6">
      <c r="A46" s="31" t="str">
        <f>ChkList!A30</f>
        <v>파일 및 디렉터리 관리</v>
      </c>
      <c r="B46" s="31" t="str">
        <f>ChkList!B30</f>
        <v>U-26</v>
      </c>
      <c r="C46" s="270" t="str">
        <f>ChkList!C30</f>
        <v>/dev에 존재하지 않는 device 파일 점검</v>
      </c>
      <c r="D46" s="221"/>
      <c r="E46" s="222"/>
      <c r="F46" s="31" t="str">
        <f>ChkList!D30</f>
        <v>H</v>
      </c>
      <c r="G46" s="31">
        <f>ChkList!E30</f>
        <v>3</v>
      </c>
      <c r="H46" s="168" t="s">
        <v>50</v>
      </c>
      <c r="I46" s="167" t="s">
        <v>274</v>
      </c>
      <c r="J46" s="168" t="s">
        <v>50</v>
      </c>
      <c r="K46" s="28" t="str">
        <f t="shared" si="4"/>
        <v>Y</v>
      </c>
      <c r="L46" s="270" t="s">
        <v>274</v>
      </c>
      <c r="M46" s="221"/>
      <c r="N46" s="221"/>
      <c r="O46" s="221"/>
      <c r="P46" s="222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6">
      <c r="A47" s="31" t="str">
        <f>ChkList!A31</f>
        <v>파일 및 디렉터리 관리</v>
      </c>
      <c r="B47" s="31" t="str">
        <f>ChkList!B31</f>
        <v>U-27</v>
      </c>
      <c r="C47" s="270" t="str">
        <f>ChkList!C31</f>
        <v>$HOME/.rhosts, hosts.equiv 사용 금지</v>
      </c>
      <c r="D47" s="221"/>
      <c r="E47" s="222"/>
      <c r="F47" s="31" t="str">
        <f>ChkList!D31</f>
        <v>H</v>
      </c>
      <c r="G47" s="31">
        <f>ChkList!E31</f>
        <v>3</v>
      </c>
      <c r="H47" s="168" t="s">
        <v>50</v>
      </c>
      <c r="I47" s="167" t="s">
        <v>276</v>
      </c>
      <c r="J47" s="168" t="s">
        <v>50</v>
      </c>
      <c r="K47" s="28" t="str">
        <f t="shared" si="4"/>
        <v>Y</v>
      </c>
      <c r="L47" s="270" t="s">
        <v>276</v>
      </c>
      <c r="M47" s="221"/>
      <c r="N47" s="221"/>
      <c r="O47" s="221"/>
      <c r="P47" s="222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6">
      <c r="A48" s="31" t="str">
        <f>ChkList!A32</f>
        <v>파일 및 디렉터리 관리</v>
      </c>
      <c r="B48" s="31" t="str">
        <f>ChkList!B32</f>
        <v>U-28</v>
      </c>
      <c r="C48" s="270" t="str">
        <f>ChkList!C32</f>
        <v>접속 IP 및 포트 제한</v>
      </c>
      <c r="D48" s="221"/>
      <c r="E48" s="222"/>
      <c r="F48" s="31" t="str">
        <f>ChkList!D32</f>
        <v>H</v>
      </c>
      <c r="G48" s="31">
        <f>ChkList!E32</f>
        <v>3</v>
      </c>
      <c r="H48" s="168" t="s">
        <v>50</v>
      </c>
      <c r="I48" s="167" t="s">
        <v>277</v>
      </c>
      <c r="J48" s="28" t="s">
        <v>378</v>
      </c>
      <c r="K48" s="28" t="str">
        <f t="shared" si="4"/>
        <v>Y</v>
      </c>
      <c r="L48" s="270" t="s">
        <v>357</v>
      </c>
      <c r="M48" s="221"/>
      <c r="N48" s="221"/>
      <c r="O48" s="221"/>
      <c r="P48" s="222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6">
      <c r="A49" s="31" t="str">
        <f>ChkList!A33</f>
        <v>파일 및 디렉터리 관리</v>
      </c>
      <c r="B49" s="31" t="str">
        <f>ChkList!B33</f>
        <v>U-29</v>
      </c>
      <c r="C49" s="270" t="str">
        <f>ChkList!C33</f>
        <v>hosts.lpd 파일 소유자 및 권한 설정</v>
      </c>
      <c r="D49" s="221"/>
      <c r="E49" s="222"/>
      <c r="F49" s="31" t="str">
        <f>ChkList!D33</f>
        <v>L</v>
      </c>
      <c r="G49" s="31">
        <f>ChkList!E33</f>
        <v>1</v>
      </c>
      <c r="H49" s="168" t="s">
        <v>50</v>
      </c>
      <c r="I49" s="167" t="s">
        <v>279</v>
      </c>
      <c r="J49" s="168" t="s">
        <v>50</v>
      </c>
      <c r="K49" s="28" t="str">
        <f t="shared" si="4"/>
        <v>Y</v>
      </c>
      <c r="L49" s="270" t="s">
        <v>279</v>
      </c>
      <c r="M49" s="221"/>
      <c r="N49" s="221"/>
      <c r="O49" s="221"/>
      <c r="P49" s="222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6">
      <c r="A50" s="31" t="str">
        <f>ChkList!A34</f>
        <v>파일 및 디렉터리 관리</v>
      </c>
      <c r="B50" s="31" t="str">
        <f>ChkList!B34</f>
        <v>U-30</v>
      </c>
      <c r="C50" s="270" t="str">
        <f>ChkList!C34</f>
        <v>UMASK 설정 관리</v>
      </c>
      <c r="D50" s="221"/>
      <c r="E50" s="222"/>
      <c r="F50" s="31" t="str">
        <f>ChkList!D34</f>
        <v>M</v>
      </c>
      <c r="G50" s="31">
        <f>ChkList!E34</f>
        <v>2</v>
      </c>
      <c r="H50" s="168" t="s">
        <v>50</v>
      </c>
      <c r="I50" s="167" t="s">
        <v>327</v>
      </c>
      <c r="J50" s="28" t="s">
        <v>378</v>
      </c>
      <c r="K50" s="28" t="str">
        <f t="shared" si="4"/>
        <v>Y</v>
      </c>
      <c r="L50" s="270" t="s">
        <v>327</v>
      </c>
      <c r="M50" s="221"/>
      <c r="N50" s="221"/>
      <c r="O50" s="221"/>
      <c r="P50" s="222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6">
      <c r="A51" s="31" t="str">
        <f>ChkList!A35</f>
        <v>파일 및 디렉터리 관리</v>
      </c>
      <c r="B51" s="31" t="str">
        <f>ChkList!B35</f>
        <v>U-31</v>
      </c>
      <c r="C51" s="270" t="str">
        <f>ChkList!C35</f>
        <v>홈 디렉터리 소유자 및 권한 설정</v>
      </c>
      <c r="D51" s="221"/>
      <c r="E51" s="222"/>
      <c r="F51" s="31" t="str">
        <f>ChkList!D35</f>
        <v>M</v>
      </c>
      <c r="G51" s="31">
        <f>ChkList!E35</f>
        <v>2</v>
      </c>
      <c r="H51" s="168" t="s">
        <v>50</v>
      </c>
      <c r="I51" s="167" t="s">
        <v>281</v>
      </c>
      <c r="J51" s="28" t="s">
        <v>378</v>
      </c>
      <c r="K51" s="28" t="str">
        <f t="shared" si="4"/>
        <v>Y</v>
      </c>
      <c r="L51" s="270" t="s">
        <v>356</v>
      </c>
      <c r="M51" s="221"/>
      <c r="N51" s="221"/>
      <c r="O51" s="221"/>
      <c r="P51" s="222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6">
      <c r="A52" s="31" t="str">
        <f>ChkList!A36</f>
        <v>파일 및 디렉터리 관리</v>
      </c>
      <c r="B52" s="31" t="str">
        <f>ChkList!B36</f>
        <v>U-32</v>
      </c>
      <c r="C52" s="270" t="str">
        <f>ChkList!C36</f>
        <v>홈 디렉터리로 지정한 디렉터리의 존재 관리</v>
      </c>
      <c r="D52" s="221"/>
      <c r="E52" s="222"/>
      <c r="F52" s="31" t="str">
        <f>ChkList!D36</f>
        <v>M</v>
      </c>
      <c r="G52" s="31">
        <f>ChkList!E36</f>
        <v>2</v>
      </c>
      <c r="H52" s="168" t="s">
        <v>50</v>
      </c>
      <c r="I52" s="167" t="s">
        <v>272</v>
      </c>
      <c r="J52" s="28" t="s">
        <v>378</v>
      </c>
      <c r="K52" s="28" t="str">
        <f t="shared" si="4"/>
        <v>Y</v>
      </c>
      <c r="L52" s="270" t="s">
        <v>355</v>
      </c>
      <c r="M52" s="221"/>
      <c r="N52" s="221"/>
      <c r="O52" s="221"/>
      <c r="P52" s="222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6">
      <c r="A53" s="31" t="str">
        <f>ChkList!A37</f>
        <v>파일 및 디렉터리 관리</v>
      </c>
      <c r="B53" s="31" t="str">
        <f>ChkList!B37</f>
        <v>U-33</v>
      </c>
      <c r="C53" s="270" t="str">
        <f>ChkList!C37</f>
        <v>숨겨진 파일 및 디렉터리 검색 및 제거</v>
      </c>
      <c r="D53" s="221"/>
      <c r="E53" s="222"/>
      <c r="F53" s="31" t="str">
        <f>ChkList!D37</f>
        <v>L</v>
      </c>
      <c r="G53" s="31">
        <f>ChkList!E37</f>
        <v>1</v>
      </c>
      <c r="H53" s="168" t="s">
        <v>50</v>
      </c>
      <c r="I53" s="167" t="s">
        <v>282</v>
      </c>
      <c r="J53" s="28" t="s">
        <v>378</v>
      </c>
      <c r="K53" s="28" t="str">
        <f t="shared" si="4"/>
        <v>Y</v>
      </c>
      <c r="L53" s="270" t="s">
        <v>354</v>
      </c>
      <c r="M53" s="221"/>
      <c r="N53" s="221"/>
      <c r="O53" s="221"/>
      <c r="P53" s="222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.1" customHeight="1">
      <c r="A54" s="31" t="str">
        <f>ChkList!A38</f>
        <v>서비스 관리</v>
      </c>
      <c r="B54" s="31" t="str">
        <f>ChkList!B38</f>
        <v>U-34</v>
      </c>
      <c r="C54" s="270" t="str">
        <f>ChkList!C38</f>
        <v>Finger 서비스 비활성화</v>
      </c>
      <c r="D54" s="221"/>
      <c r="E54" s="222"/>
      <c r="F54" s="31" t="str">
        <f>ChkList!D38</f>
        <v>H</v>
      </c>
      <c r="G54" s="31">
        <f>ChkList!E38</f>
        <v>3</v>
      </c>
      <c r="H54" s="170" t="s">
        <v>283</v>
      </c>
      <c r="I54" s="167" t="s">
        <v>283</v>
      </c>
      <c r="J54" s="28" t="s">
        <v>283</v>
      </c>
      <c r="K54" s="28"/>
      <c r="L54" s="270" t="s">
        <v>284</v>
      </c>
      <c r="M54" s="221"/>
      <c r="N54" s="221"/>
      <c r="O54" s="221"/>
      <c r="P54" s="222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6">
      <c r="A55" s="31" t="str">
        <f>ChkList!A39</f>
        <v>서비스 관리</v>
      </c>
      <c r="B55" s="31" t="str">
        <f>ChkList!B39</f>
        <v>U-35</v>
      </c>
      <c r="C55" s="270" t="str">
        <f>ChkList!C39</f>
        <v>공유 서비스에 대한 익명 접근 제한 설정</v>
      </c>
      <c r="D55" s="221"/>
      <c r="E55" s="222"/>
      <c r="F55" s="31" t="str">
        <f>ChkList!D39</f>
        <v>H</v>
      </c>
      <c r="G55" s="31">
        <f>ChkList!E39</f>
        <v>3</v>
      </c>
      <c r="H55" s="168" t="s">
        <v>50</v>
      </c>
      <c r="I55" s="167" t="s">
        <v>328</v>
      </c>
      <c r="J55" s="28" t="s">
        <v>378</v>
      </c>
      <c r="K55" s="28" t="str">
        <f t="shared" si="4"/>
        <v>Y</v>
      </c>
      <c r="L55" s="270" t="s">
        <v>328</v>
      </c>
      <c r="M55" s="221"/>
      <c r="N55" s="221"/>
      <c r="O55" s="221"/>
      <c r="P55" s="222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6">
      <c r="A56" s="31" t="str">
        <f>ChkList!A40</f>
        <v>서비스 관리</v>
      </c>
      <c r="B56" s="31" t="str">
        <f>ChkList!B40</f>
        <v>U-36</v>
      </c>
      <c r="C56" s="270" t="str">
        <f>ChkList!C40</f>
        <v>r 계열 서비스 비활성화</v>
      </c>
      <c r="D56" s="221"/>
      <c r="E56" s="222"/>
      <c r="F56" s="31" t="str">
        <f>ChkList!D40</f>
        <v>H</v>
      </c>
      <c r="G56" s="31">
        <f>ChkList!E40</f>
        <v>3</v>
      </c>
      <c r="H56" s="168" t="s">
        <v>50</v>
      </c>
      <c r="I56" s="167" t="s">
        <v>286</v>
      </c>
      <c r="J56" s="28" t="s">
        <v>378</v>
      </c>
      <c r="K56" s="28" t="str">
        <f t="shared" si="4"/>
        <v>Y</v>
      </c>
      <c r="L56" s="270" t="s">
        <v>352</v>
      </c>
      <c r="M56" s="221"/>
      <c r="N56" s="221"/>
      <c r="O56" s="221"/>
      <c r="P56" s="222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450000000000003" customHeight="1">
      <c r="A57" s="31" t="str">
        <f>ChkList!A41</f>
        <v>서비스 관리</v>
      </c>
      <c r="B57" s="31" t="str">
        <f>ChkList!B41</f>
        <v>U-37</v>
      </c>
      <c r="C57" s="270" t="str">
        <f>ChkList!C41</f>
        <v>crontab 설정파일 권한 설정 미흡</v>
      </c>
      <c r="D57" s="221"/>
      <c r="E57" s="222"/>
      <c r="F57" s="31" t="str">
        <f>ChkList!D41</f>
        <v>H</v>
      </c>
      <c r="G57" s="31">
        <f>ChkList!E41</f>
        <v>3</v>
      </c>
      <c r="H57" s="168" t="s">
        <v>50</v>
      </c>
      <c r="I57" s="167" t="s">
        <v>287</v>
      </c>
      <c r="J57" s="28" t="s">
        <v>378</v>
      </c>
      <c r="K57" s="28" t="str">
        <f t="shared" si="4"/>
        <v>Y</v>
      </c>
      <c r="L57" s="270" t="s">
        <v>353</v>
      </c>
      <c r="M57" s="221"/>
      <c r="N57" s="221"/>
      <c r="O57" s="221"/>
      <c r="P57" s="222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6">
      <c r="A58" s="31" t="str">
        <f>ChkList!A42</f>
        <v>서비스 관리</v>
      </c>
      <c r="B58" s="31" t="str">
        <f>ChkList!B42</f>
        <v>U-38</v>
      </c>
      <c r="C58" s="270" t="str">
        <f>ChkList!C42</f>
        <v>DoS 공격에 취약한 서비스 비활성화</v>
      </c>
      <c r="D58" s="221"/>
      <c r="E58" s="222"/>
      <c r="F58" s="31" t="str">
        <f>ChkList!D42</f>
        <v>H</v>
      </c>
      <c r="G58" s="31">
        <f>ChkList!E42</f>
        <v>3</v>
      </c>
      <c r="H58" s="168" t="s">
        <v>50</v>
      </c>
      <c r="I58" s="167" t="s">
        <v>289</v>
      </c>
      <c r="J58" s="168" t="s">
        <v>50</v>
      </c>
      <c r="K58" s="28" t="str">
        <f t="shared" si="4"/>
        <v>Y</v>
      </c>
      <c r="L58" s="270" t="s">
        <v>289</v>
      </c>
      <c r="M58" s="221"/>
      <c r="N58" s="221"/>
      <c r="O58" s="221"/>
      <c r="P58" s="222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6">
      <c r="A59" s="31" t="str">
        <f>ChkList!A43</f>
        <v>서비스 관리</v>
      </c>
      <c r="B59" s="31" t="str">
        <f>ChkList!B43</f>
        <v>U-39</v>
      </c>
      <c r="C59" s="270" t="str">
        <f>ChkList!C43</f>
        <v>불필요한 NFS 서비스 비활성화</v>
      </c>
      <c r="D59" s="221"/>
      <c r="E59" s="222"/>
      <c r="F59" s="31" t="str">
        <f>ChkList!D43</f>
        <v>H</v>
      </c>
      <c r="G59" s="31">
        <f>ChkList!E43</f>
        <v>3</v>
      </c>
      <c r="H59" s="168" t="s">
        <v>50</v>
      </c>
      <c r="I59" s="167" t="s">
        <v>329</v>
      </c>
      <c r="J59" s="28" t="s">
        <v>378</v>
      </c>
      <c r="K59" s="28" t="str">
        <f t="shared" si="4"/>
        <v>Y</v>
      </c>
      <c r="L59" s="270" t="s">
        <v>329</v>
      </c>
      <c r="M59" s="221"/>
      <c r="N59" s="221"/>
      <c r="O59" s="221"/>
      <c r="P59" s="222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6">
      <c r="A60" s="31" t="str">
        <f>ChkList!A44</f>
        <v>서비스 관리</v>
      </c>
      <c r="B60" s="31" t="str">
        <f>ChkList!B44</f>
        <v>U-40</v>
      </c>
      <c r="C60" s="270" t="str">
        <f>ChkList!C44</f>
        <v>NFS 접근 통제</v>
      </c>
      <c r="D60" s="221"/>
      <c r="E60" s="222"/>
      <c r="F60" s="31" t="str">
        <f>ChkList!D44</f>
        <v>H</v>
      </c>
      <c r="G60" s="31">
        <f>ChkList!E44</f>
        <v>3</v>
      </c>
      <c r="H60" s="168" t="s">
        <v>50</v>
      </c>
      <c r="I60" s="167" t="s">
        <v>291</v>
      </c>
      <c r="J60" s="28" t="s">
        <v>378</v>
      </c>
      <c r="K60" s="28" t="str">
        <f t="shared" si="4"/>
        <v>Y</v>
      </c>
      <c r="L60" s="270" t="s">
        <v>344</v>
      </c>
      <c r="M60" s="221"/>
      <c r="N60" s="221"/>
      <c r="O60" s="221"/>
      <c r="P60" s="222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6">
      <c r="A61" s="31" t="str">
        <f>ChkList!A45</f>
        <v>서비스 관리</v>
      </c>
      <c r="B61" s="31" t="str">
        <f>ChkList!B45</f>
        <v>U-41</v>
      </c>
      <c r="C61" s="270" t="str">
        <f>ChkList!C45</f>
        <v>불필요한 automountd 제거</v>
      </c>
      <c r="D61" s="221"/>
      <c r="E61" s="222"/>
      <c r="F61" s="31" t="str">
        <f>ChkList!D45</f>
        <v>H</v>
      </c>
      <c r="G61" s="31">
        <f>ChkList!E45</f>
        <v>3</v>
      </c>
      <c r="H61" s="168" t="s">
        <v>50</v>
      </c>
      <c r="I61" s="167" t="s">
        <v>291</v>
      </c>
      <c r="J61" s="28" t="s">
        <v>378</v>
      </c>
      <c r="K61" s="28" t="str">
        <f t="shared" si="4"/>
        <v>Y</v>
      </c>
      <c r="L61" s="270" t="s">
        <v>344</v>
      </c>
      <c r="M61" s="221"/>
      <c r="N61" s="221"/>
      <c r="O61" s="221"/>
      <c r="P61" s="222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6">
      <c r="A62" s="31" t="str">
        <f>ChkList!A46</f>
        <v>서비스 관리</v>
      </c>
      <c r="B62" s="31" t="str">
        <f>ChkList!B46</f>
        <v>U-42</v>
      </c>
      <c r="C62" s="270" t="str">
        <f>ChkList!C46</f>
        <v>불필요한 RPC 서비스 비활성화</v>
      </c>
      <c r="D62" s="221"/>
      <c r="E62" s="222"/>
      <c r="F62" s="31" t="str">
        <f>ChkList!D46</f>
        <v>H</v>
      </c>
      <c r="G62" s="31">
        <f>ChkList!E46</f>
        <v>3</v>
      </c>
      <c r="H62" s="168" t="s">
        <v>50</v>
      </c>
      <c r="I62" s="167" t="s">
        <v>292</v>
      </c>
      <c r="J62" s="28" t="s">
        <v>378</v>
      </c>
      <c r="K62" s="28" t="str">
        <f t="shared" si="4"/>
        <v>Y</v>
      </c>
      <c r="L62" s="270" t="s">
        <v>345</v>
      </c>
      <c r="M62" s="221"/>
      <c r="N62" s="221"/>
      <c r="O62" s="221"/>
      <c r="P62" s="222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6">
      <c r="A63" s="31" t="str">
        <f>ChkList!A47</f>
        <v>서비스 관리</v>
      </c>
      <c r="B63" s="31" t="str">
        <f>ChkList!B47</f>
        <v>U-43</v>
      </c>
      <c r="C63" s="270" t="str">
        <f>ChkList!C47</f>
        <v>NIS, NIS+ 점검</v>
      </c>
      <c r="D63" s="221"/>
      <c r="E63" s="222"/>
      <c r="F63" s="31" t="str">
        <f>ChkList!D47</f>
        <v>H</v>
      </c>
      <c r="G63" s="31">
        <f>ChkList!E47</f>
        <v>3</v>
      </c>
      <c r="H63" s="168" t="s">
        <v>50</v>
      </c>
      <c r="I63" s="167" t="s">
        <v>293</v>
      </c>
      <c r="J63" s="28" t="s">
        <v>378</v>
      </c>
      <c r="K63" s="28" t="str">
        <f t="shared" si="4"/>
        <v>Y</v>
      </c>
      <c r="L63" s="270" t="s">
        <v>346</v>
      </c>
      <c r="M63" s="221"/>
      <c r="N63" s="221"/>
      <c r="O63" s="221"/>
      <c r="P63" s="222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6">
      <c r="A64" s="31" t="str">
        <f>ChkList!A48</f>
        <v>서비스 관리</v>
      </c>
      <c r="B64" s="31" t="str">
        <f>ChkList!B48</f>
        <v>U-44</v>
      </c>
      <c r="C64" s="270" t="str">
        <f>ChkList!C48</f>
        <v>tftp, talk 서비스 비활성화</v>
      </c>
      <c r="D64" s="221"/>
      <c r="E64" s="222"/>
      <c r="F64" s="31" t="str">
        <f>ChkList!D48</f>
        <v>H</v>
      </c>
      <c r="G64" s="31">
        <f>ChkList!E48</f>
        <v>3</v>
      </c>
      <c r="H64" s="168" t="s">
        <v>50</v>
      </c>
      <c r="I64" s="167" t="s">
        <v>294</v>
      </c>
      <c r="J64" s="28" t="s">
        <v>378</v>
      </c>
      <c r="K64" s="28" t="str">
        <f t="shared" si="4"/>
        <v>Y</v>
      </c>
      <c r="L64" s="270" t="s">
        <v>347</v>
      </c>
      <c r="M64" s="221"/>
      <c r="N64" s="221"/>
      <c r="O64" s="221"/>
      <c r="P64" s="222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>
      <c r="A65" s="31" t="str">
        <f>ChkList!A49</f>
        <v>서비스 관리</v>
      </c>
      <c r="B65" s="31" t="str">
        <f>ChkList!B49</f>
        <v>U-45</v>
      </c>
      <c r="C65" s="270" t="str">
        <f>ChkList!C49</f>
        <v>메일 서비스 버전 점검</v>
      </c>
      <c r="D65" s="221"/>
      <c r="E65" s="222"/>
      <c r="F65" s="31" t="str">
        <f>ChkList!D49</f>
        <v>H</v>
      </c>
      <c r="G65" s="31">
        <f>ChkList!E49</f>
        <v>3</v>
      </c>
      <c r="H65" s="168" t="s">
        <v>50</v>
      </c>
      <c r="I65" s="167" t="s">
        <v>295</v>
      </c>
      <c r="J65" s="28" t="s">
        <v>50</v>
      </c>
      <c r="K65" s="28" t="s">
        <v>50</v>
      </c>
      <c r="L65" s="270" t="s">
        <v>348</v>
      </c>
      <c r="M65" s="221"/>
      <c r="N65" s="221"/>
      <c r="O65" s="221"/>
      <c r="P65" s="222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>
      <c r="A66" s="31" t="str">
        <f>ChkList!A50</f>
        <v>서비스 관리</v>
      </c>
      <c r="B66" s="31" t="str">
        <f>ChkList!B50</f>
        <v>U-46</v>
      </c>
      <c r="C66" s="270" t="str">
        <f>ChkList!C50</f>
        <v>일반 사용자의 메일 서비스 실행 방지</v>
      </c>
      <c r="D66" s="221"/>
      <c r="E66" s="222"/>
      <c r="F66" s="31" t="str">
        <f>ChkList!D50</f>
        <v>H</v>
      </c>
      <c r="G66" s="31">
        <f>ChkList!E50</f>
        <v>3</v>
      </c>
      <c r="H66" s="168" t="s">
        <v>50</v>
      </c>
      <c r="I66" s="167" t="s">
        <v>330</v>
      </c>
      <c r="J66" s="28" t="s">
        <v>378</v>
      </c>
      <c r="K66" s="28" t="str">
        <f t="shared" si="4"/>
        <v>Y</v>
      </c>
      <c r="L66" s="270" t="s">
        <v>296</v>
      </c>
      <c r="M66" s="221"/>
      <c r="N66" s="221"/>
      <c r="O66" s="221"/>
      <c r="P66" s="222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>
      <c r="A67" s="31" t="str">
        <f>ChkList!A51</f>
        <v>서비스 관리</v>
      </c>
      <c r="B67" s="31" t="str">
        <f>ChkList!B51</f>
        <v>U-47</v>
      </c>
      <c r="C67" s="270" t="str">
        <f>ChkList!C51</f>
        <v>스팸 메일 릴레이 제한</v>
      </c>
      <c r="D67" s="221"/>
      <c r="E67" s="222"/>
      <c r="F67" s="31" t="str">
        <f>ChkList!D51</f>
        <v>H</v>
      </c>
      <c r="G67" s="31">
        <f>ChkList!E51</f>
        <v>3</v>
      </c>
      <c r="H67" s="168" t="s">
        <v>50</v>
      </c>
      <c r="I67" s="167" t="s">
        <v>297</v>
      </c>
      <c r="J67" s="28" t="s">
        <v>378</v>
      </c>
      <c r="K67" s="28" t="str">
        <f t="shared" si="4"/>
        <v>Y</v>
      </c>
      <c r="L67" s="270" t="s">
        <v>349</v>
      </c>
      <c r="M67" s="221"/>
      <c r="N67" s="221"/>
      <c r="O67" s="221"/>
      <c r="P67" s="222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>
      <c r="A68" s="31" t="str">
        <f>ChkList!A52</f>
        <v>서비스 관리</v>
      </c>
      <c r="B68" s="31" t="str">
        <f>ChkList!B52</f>
        <v>U-48</v>
      </c>
      <c r="C68" s="270" t="str">
        <f>ChkList!C52</f>
        <v>expn, vrfy 명령어 제한</v>
      </c>
      <c r="D68" s="221"/>
      <c r="E68" s="222"/>
      <c r="F68" s="31" t="str">
        <f>ChkList!D52</f>
        <v>M</v>
      </c>
      <c r="G68" s="31">
        <f>ChkList!E52</f>
        <v>2</v>
      </c>
      <c r="H68" s="168" t="s">
        <v>50</v>
      </c>
      <c r="I68" s="167" t="s">
        <v>297</v>
      </c>
      <c r="J68" s="28" t="s">
        <v>378</v>
      </c>
      <c r="K68" s="28" t="str">
        <f t="shared" si="4"/>
        <v>Y</v>
      </c>
      <c r="L68" s="270" t="s">
        <v>349</v>
      </c>
      <c r="M68" s="221"/>
      <c r="N68" s="221"/>
      <c r="O68" s="221"/>
      <c r="P68" s="222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>
      <c r="A69" s="31" t="str">
        <f>ChkList!A53</f>
        <v>서비스 관리</v>
      </c>
      <c r="B69" s="31" t="str">
        <f>ChkList!B53</f>
        <v>U-49</v>
      </c>
      <c r="C69" s="270" t="str">
        <f>ChkList!C53</f>
        <v>DNS 보안 버전 패치</v>
      </c>
      <c r="D69" s="221"/>
      <c r="E69" s="222"/>
      <c r="F69" s="31" t="str">
        <f>ChkList!D53</f>
        <v>H</v>
      </c>
      <c r="G69" s="31">
        <f>ChkList!E53</f>
        <v>3</v>
      </c>
      <c r="H69" s="168" t="s">
        <v>50</v>
      </c>
      <c r="I69" s="167" t="s">
        <v>298</v>
      </c>
      <c r="J69" s="28" t="s">
        <v>378</v>
      </c>
      <c r="K69" s="28" t="str">
        <f t="shared" si="4"/>
        <v>Y</v>
      </c>
      <c r="L69" s="270" t="s">
        <v>350</v>
      </c>
      <c r="M69" s="221"/>
      <c r="N69" s="221"/>
      <c r="O69" s="221"/>
      <c r="P69" s="222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>
      <c r="A70" s="31" t="str">
        <f>ChkList!A54</f>
        <v>서비스 관리</v>
      </c>
      <c r="B70" s="31" t="str">
        <f>ChkList!B54</f>
        <v>U-50</v>
      </c>
      <c r="C70" s="270" t="str">
        <f>ChkList!C54</f>
        <v>DNS Zone Transfer 설정</v>
      </c>
      <c r="D70" s="221"/>
      <c r="E70" s="222"/>
      <c r="F70" s="31" t="str">
        <f>ChkList!D54</f>
        <v>H</v>
      </c>
      <c r="G70" s="31">
        <f>ChkList!E54</f>
        <v>3</v>
      </c>
      <c r="H70" s="168" t="s">
        <v>50</v>
      </c>
      <c r="I70" s="167" t="s">
        <v>331</v>
      </c>
      <c r="J70" s="28" t="s">
        <v>378</v>
      </c>
      <c r="K70" s="28" t="str">
        <f t="shared" si="4"/>
        <v>Y</v>
      </c>
      <c r="L70" s="270" t="s">
        <v>331</v>
      </c>
      <c r="M70" s="221"/>
      <c r="N70" s="221"/>
      <c r="O70" s="221"/>
      <c r="P70" s="222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>
      <c r="A71" s="31" t="str">
        <f>ChkList!A55</f>
        <v>서비스 관리</v>
      </c>
      <c r="B71" s="31" t="str">
        <f>ChkList!B55</f>
        <v>U-51</v>
      </c>
      <c r="C71" s="270" t="str">
        <f>ChkList!C55</f>
        <v>DNS 서비스의 취약한 동적 업데이트 설정 금지</v>
      </c>
      <c r="D71" s="221"/>
      <c r="E71" s="222"/>
      <c r="F71" s="31" t="str">
        <f>ChkList!D55</f>
        <v>M</v>
      </c>
      <c r="G71" s="31">
        <f>ChkList!E55</f>
        <v>2</v>
      </c>
      <c r="H71" s="168" t="s">
        <v>50</v>
      </c>
      <c r="I71" s="167" t="s">
        <v>323</v>
      </c>
      <c r="J71" s="28" t="s">
        <v>378</v>
      </c>
      <c r="K71" s="28" t="str">
        <f t="shared" si="4"/>
        <v>Y</v>
      </c>
      <c r="L71" s="274" t="s">
        <v>323</v>
      </c>
      <c r="M71" s="312"/>
      <c r="N71" s="312"/>
      <c r="O71" s="312"/>
      <c r="P71" s="313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>
      <c r="A72" s="31" t="str">
        <f>ChkList!A56</f>
        <v>서비스 관리</v>
      </c>
      <c r="B72" s="31" t="str">
        <f>ChkList!B56</f>
        <v>U-52</v>
      </c>
      <c r="C72" s="270" t="str">
        <f>ChkList!C56</f>
        <v>Telnet 서비스 비활성화</v>
      </c>
      <c r="D72" s="221"/>
      <c r="E72" s="222"/>
      <c r="F72" s="31" t="str">
        <f>ChkList!D56</f>
        <v>M</v>
      </c>
      <c r="G72" s="31">
        <f>ChkList!E56</f>
        <v>2</v>
      </c>
      <c r="H72" s="168" t="s">
        <v>50</v>
      </c>
      <c r="I72" s="167" t="s">
        <v>323</v>
      </c>
      <c r="J72" s="28" t="s">
        <v>378</v>
      </c>
      <c r="K72" s="28" t="str">
        <f t="shared" si="4"/>
        <v>Y</v>
      </c>
      <c r="L72" s="271" t="s">
        <v>323</v>
      </c>
      <c r="M72" s="272"/>
      <c r="N72" s="272"/>
      <c r="O72" s="272"/>
      <c r="P72" s="273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>
      <c r="A73" s="31" t="str">
        <f>ChkList!A57</f>
        <v>서비스 관리</v>
      </c>
      <c r="B73" s="31" t="str">
        <f>ChkList!B57</f>
        <v>U-53</v>
      </c>
      <c r="C73" s="270" t="str">
        <f>ChkList!C57</f>
        <v>FTP 서비스 정보 노출 제한</v>
      </c>
      <c r="D73" s="221"/>
      <c r="E73" s="222"/>
      <c r="F73" s="31" t="str">
        <f>ChkList!D57</f>
        <v>L</v>
      </c>
      <c r="G73" s="31">
        <f>ChkList!E57</f>
        <v>1</v>
      </c>
      <c r="H73" s="168" t="s">
        <v>50</v>
      </c>
      <c r="I73" s="167" t="s">
        <v>323</v>
      </c>
      <c r="J73" s="28" t="s">
        <v>378</v>
      </c>
      <c r="K73" s="28" t="str">
        <f t="shared" si="4"/>
        <v>Y</v>
      </c>
      <c r="L73" s="271" t="s">
        <v>323</v>
      </c>
      <c r="M73" s="272"/>
      <c r="N73" s="272"/>
      <c r="O73" s="272"/>
      <c r="P73" s="273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>
      <c r="A74" s="31" t="str">
        <f>ChkList!A58</f>
        <v>서비스 관리</v>
      </c>
      <c r="B74" s="31" t="str">
        <f>ChkList!B58</f>
        <v>U-54</v>
      </c>
      <c r="C74" s="270" t="str">
        <f>ChkList!C58</f>
        <v>암호화되지 않는 FTP 서비스 비활성화</v>
      </c>
      <c r="D74" s="221"/>
      <c r="E74" s="222"/>
      <c r="F74" s="31" t="str">
        <f>ChkList!D58</f>
        <v>M</v>
      </c>
      <c r="G74" s="31">
        <f>ChkList!E58</f>
        <v>2</v>
      </c>
      <c r="H74" s="168" t="s">
        <v>50</v>
      </c>
      <c r="I74" s="167" t="s">
        <v>323</v>
      </c>
      <c r="J74" s="28" t="s">
        <v>378</v>
      </c>
      <c r="K74" s="28" t="str">
        <f t="shared" si="4"/>
        <v>Y</v>
      </c>
      <c r="L74" s="271" t="s">
        <v>323</v>
      </c>
      <c r="M74" s="272"/>
      <c r="N74" s="272"/>
      <c r="O74" s="272"/>
      <c r="P74" s="273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70" t="str">
        <f>ChkList!C59</f>
        <v>FTP 계정 Shell 제한</v>
      </c>
      <c r="D75" s="221"/>
      <c r="E75" s="222"/>
      <c r="F75" s="31" t="str">
        <f>ChkList!D59</f>
        <v>M</v>
      </c>
      <c r="G75" s="31">
        <f>ChkList!E59</f>
        <v>2</v>
      </c>
      <c r="H75" s="168" t="s">
        <v>50</v>
      </c>
      <c r="I75" s="167" t="s">
        <v>323</v>
      </c>
      <c r="J75" s="28" t="s">
        <v>378</v>
      </c>
      <c r="K75" s="28" t="str">
        <f t="shared" si="4"/>
        <v>Y</v>
      </c>
      <c r="L75" s="271" t="s">
        <v>323</v>
      </c>
      <c r="M75" s="272"/>
      <c r="N75" s="272"/>
      <c r="O75" s="272"/>
      <c r="P75" s="273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>
      <c r="A76" s="31" t="str">
        <f>ChkList!A60</f>
        <v>서비스 관리</v>
      </c>
      <c r="B76" s="31" t="str">
        <f>ChkList!B60</f>
        <v>U-56</v>
      </c>
      <c r="C76" s="270" t="str">
        <f>ChkList!C60</f>
        <v>FTP 서비스 접근 제어 설정</v>
      </c>
      <c r="D76" s="221"/>
      <c r="E76" s="222"/>
      <c r="F76" s="31" t="str">
        <f>ChkList!D60</f>
        <v>L</v>
      </c>
      <c r="G76" s="31">
        <f>ChkList!E60</f>
        <v>1</v>
      </c>
      <c r="H76" s="168" t="s">
        <v>50</v>
      </c>
      <c r="I76" s="167" t="s">
        <v>323</v>
      </c>
      <c r="J76" s="28" t="s">
        <v>378</v>
      </c>
      <c r="K76" s="28" t="str">
        <f t="shared" si="4"/>
        <v>Y</v>
      </c>
      <c r="L76" s="271" t="s">
        <v>323</v>
      </c>
      <c r="M76" s="272"/>
      <c r="N76" s="272"/>
      <c r="O76" s="272"/>
      <c r="P76" s="273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>
      <c r="A77" s="31" t="str">
        <f>ChkList!A61</f>
        <v>서비스 관리</v>
      </c>
      <c r="B77" s="31" t="str">
        <f>ChkList!B61</f>
        <v>U-57</v>
      </c>
      <c r="C77" s="270" t="str">
        <f>ChkList!C61</f>
        <v>Ftpusers 파일 설정</v>
      </c>
      <c r="D77" s="221"/>
      <c r="E77" s="222"/>
      <c r="F77" s="31" t="str">
        <f>ChkList!D61</f>
        <v>M</v>
      </c>
      <c r="G77" s="31">
        <f>ChkList!E61</f>
        <v>2</v>
      </c>
      <c r="H77" s="168" t="s">
        <v>50</v>
      </c>
      <c r="I77" s="167" t="s">
        <v>323</v>
      </c>
      <c r="J77" s="28" t="s">
        <v>378</v>
      </c>
      <c r="K77" s="28" t="str">
        <f t="shared" si="4"/>
        <v>Y</v>
      </c>
      <c r="L77" s="314" t="s">
        <v>323</v>
      </c>
      <c r="M77" s="272"/>
      <c r="N77" s="272"/>
      <c r="O77" s="272"/>
      <c r="P77" s="273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>
      <c r="A78" s="31" t="str">
        <f>ChkList!A62</f>
        <v>서비스 관리</v>
      </c>
      <c r="B78" s="31" t="str">
        <f>ChkList!B62</f>
        <v>U-58</v>
      </c>
      <c r="C78" s="270" t="str">
        <f>ChkList!C62</f>
        <v>불필요한 SNMP 서비스 구동 점검</v>
      </c>
      <c r="D78" s="221"/>
      <c r="E78" s="222"/>
      <c r="F78" s="31" t="str">
        <f>ChkList!D62</f>
        <v>M</v>
      </c>
      <c r="G78" s="31">
        <f>ChkList!E62</f>
        <v>2</v>
      </c>
      <c r="H78" s="168" t="s">
        <v>50</v>
      </c>
      <c r="I78" s="167" t="s">
        <v>313</v>
      </c>
      <c r="J78" s="28" t="s">
        <v>378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70" t="s">
        <v>338</v>
      </c>
      <c r="M78" s="221"/>
      <c r="N78" s="221"/>
      <c r="O78" s="221"/>
      <c r="P78" s="222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>
      <c r="A79" s="31" t="str">
        <f>ChkList!A63</f>
        <v>서비스 관리</v>
      </c>
      <c r="B79" s="31" t="str">
        <f>ChkList!B63</f>
        <v>U-59</v>
      </c>
      <c r="C79" s="270" t="str">
        <f>ChkList!C63</f>
        <v>안전한 SNMP 버전 사용</v>
      </c>
      <c r="D79" s="221"/>
      <c r="E79" s="222"/>
      <c r="F79" s="31" t="str">
        <f>ChkList!D63</f>
        <v>H</v>
      </c>
      <c r="G79" s="31">
        <f>ChkList!E63</f>
        <v>3</v>
      </c>
      <c r="H79" s="168" t="s">
        <v>50</v>
      </c>
      <c r="I79" s="167" t="s">
        <v>314</v>
      </c>
      <c r="J79" s="28" t="s">
        <v>378</v>
      </c>
      <c r="K79" s="28" t="str">
        <f t="shared" si="4"/>
        <v>Y</v>
      </c>
      <c r="L79" s="270" t="s">
        <v>339</v>
      </c>
      <c r="M79" s="221"/>
      <c r="N79" s="221"/>
      <c r="O79" s="221"/>
      <c r="P79" s="222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>
      <c r="A80" s="31" t="str">
        <f>ChkList!A64</f>
        <v>서비스 관리</v>
      </c>
      <c r="B80" s="31" t="str">
        <f>ChkList!B64</f>
        <v>U-60</v>
      </c>
      <c r="C80" s="270" t="str">
        <f>ChkList!C64</f>
        <v>SNMP Community String 복잡성 설정</v>
      </c>
      <c r="D80" s="221"/>
      <c r="E80" s="222"/>
      <c r="F80" s="31" t="str">
        <f>ChkList!D64</f>
        <v>M</v>
      </c>
      <c r="G80" s="31">
        <f>ChkList!E64</f>
        <v>2</v>
      </c>
      <c r="H80" s="168" t="s">
        <v>50</v>
      </c>
      <c r="I80" s="167" t="s">
        <v>315</v>
      </c>
      <c r="J80" s="28" t="s">
        <v>378</v>
      </c>
      <c r="K80" s="28" t="str">
        <f t="shared" si="4"/>
        <v>Y</v>
      </c>
      <c r="L80" s="270" t="s">
        <v>340</v>
      </c>
      <c r="M80" s="221"/>
      <c r="N80" s="221"/>
      <c r="O80" s="221"/>
      <c r="P80" s="222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>
      <c r="A81" s="31" t="str">
        <f>ChkList!A65</f>
        <v>서비스 관리</v>
      </c>
      <c r="B81" s="31" t="str">
        <f>ChkList!B65</f>
        <v>U-61</v>
      </c>
      <c r="C81" s="270" t="str">
        <f>ChkList!C65</f>
        <v>SNMP Access Control 설정</v>
      </c>
      <c r="D81" s="221"/>
      <c r="E81" s="222"/>
      <c r="F81" s="31" t="str">
        <f>ChkList!D65</f>
        <v>H</v>
      </c>
      <c r="G81" s="31">
        <f>ChkList!E65</f>
        <v>3</v>
      </c>
      <c r="H81" s="168" t="s">
        <v>50</v>
      </c>
      <c r="I81" s="167" t="s">
        <v>316</v>
      </c>
      <c r="J81" s="28" t="s">
        <v>378</v>
      </c>
      <c r="K81" s="28" t="str">
        <f t="shared" si="4"/>
        <v>Y</v>
      </c>
      <c r="L81" s="270" t="s">
        <v>341</v>
      </c>
      <c r="M81" s="221"/>
      <c r="N81" s="221"/>
      <c r="O81" s="221"/>
      <c r="P81" s="222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>
      <c r="A82" s="31" t="str">
        <f>ChkList!A66</f>
        <v>서비스 관리</v>
      </c>
      <c r="B82" s="31" t="str">
        <f>ChkList!B66</f>
        <v>U-62</v>
      </c>
      <c r="C82" s="270" t="str">
        <f>ChkList!C66</f>
        <v>로그인 시 경고 메시지 설정</v>
      </c>
      <c r="D82" s="221"/>
      <c r="E82" s="222"/>
      <c r="F82" s="31" t="str">
        <f>ChkList!D66</f>
        <v>L</v>
      </c>
      <c r="G82" s="31">
        <f>ChkList!E66</f>
        <v>1</v>
      </c>
      <c r="H82" s="168" t="s">
        <v>50</v>
      </c>
      <c r="I82" s="164" t="s">
        <v>317</v>
      </c>
      <c r="J82" s="28" t="s">
        <v>378</v>
      </c>
      <c r="K82" s="28" t="str">
        <f t="shared" si="4"/>
        <v>Y</v>
      </c>
      <c r="L82" s="270" t="s">
        <v>342</v>
      </c>
      <c r="M82" s="221"/>
      <c r="N82" s="221"/>
      <c r="O82" s="221"/>
      <c r="P82" s="222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>
      <c r="A83" s="31" t="str">
        <f>ChkList!A67</f>
        <v>서비스 관리</v>
      </c>
      <c r="B83" s="31" t="str">
        <f>ChkList!B67</f>
        <v>U-63</v>
      </c>
      <c r="C83" s="270" t="str">
        <f>ChkList!C67</f>
        <v>sudo 명령어 접근 관리</v>
      </c>
      <c r="D83" s="221"/>
      <c r="E83" s="222"/>
      <c r="F83" s="31" t="str">
        <f>ChkList!D67</f>
        <v>M</v>
      </c>
      <c r="G83" s="31">
        <f>ChkList!E67</f>
        <v>2</v>
      </c>
      <c r="H83" s="168" t="s">
        <v>50</v>
      </c>
      <c r="I83" s="167" t="s">
        <v>332</v>
      </c>
      <c r="J83" s="28" t="s">
        <v>378</v>
      </c>
      <c r="K83" s="28" t="str">
        <f t="shared" si="4"/>
        <v>Y</v>
      </c>
      <c r="L83" s="270" t="s">
        <v>343</v>
      </c>
      <c r="M83" s="221"/>
      <c r="N83" s="221"/>
      <c r="O83" s="221"/>
      <c r="P83" s="222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70" t="str">
        <f>ChkList!C68</f>
        <v>주기적 보안 패치 및 벤더 권고사항 적용</v>
      </c>
      <c r="D84" s="221"/>
      <c r="E84" s="222"/>
      <c r="F84" s="31" t="str">
        <f>ChkList!D68</f>
        <v>H</v>
      </c>
      <c r="G84" s="31">
        <f>ChkList!E68</f>
        <v>3</v>
      </c>
      <c r="H84" s="168" t="s">
        <v>50</v>
      </c>
      <c r="I84" s="167" t="s">
        <v>319</v>
      </c>
      <c r="J84" s="28" t="s">
        <v>378</v>
      </c>
      <c r="K84" s="28" t="str">
        <f t="shared" si="4"/>
        <v>Y</v>
      </c>
      <c r="L84" s="270" t="s">
        <v>337</v>
      </c>
      <c r="M84" s="221"/>
      <c r="N84" s="221"/>
      <c r="O84" s="221"/>
      <c r="P84" s="222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>
      <c r="A85" s="31" t="str">
        <f>ChkList!A69</f>
        <v>로그 관리</v>
      </c>
      <c r="B85" s="31" t="str">
        <f>ChkList!B69</f>
        <v>U-65</v>
      </c>
      <c r="C85" s="270" t="str">
        <f>ChkList!C69</f>
        <v>NTP 및 시각 동기화 설정</v>
      </c>
      <c r="D85" s="221"/>
      <c r="E85" s="222"/>
      <c r="F85" s="31" t="str">
        <f>ChkList!D69</f>
        <v>M</v>
      </c>
      <c r="G85" s="31">
        <f>ChkList!E69</f>
        <v>2</v>
      </c>
      <c r="H85" s="168" t="s">
        <v>50</v>
      </c>
      <c r="I85" s="167" t="s">
        <v>319</v>
      </c>
      <c r="J85" s="28" t="s">
        <v>378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70" t="s">
        <v>337</v>
      </c>
      <c r="M85" s="221"/>
      <c r="N85" s="221"/>
      <c r="O85" s="221"/>
      <c r="P85" s="222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>
      <c r="A86" s="31" t="str">
        <f>ChkList!A70</f>
        <v>로그 관리</v>
      </c>
      <c r="B86" s="31" t="str">
        <f>ChkList!B70</f>
        <v>U-66</v>
      </c>
      <c r="C86" s="270" t="str">
        <f>ChkList!C70</f>
        <v>정책에 따른 시스템 로깅 설정</v>
      </c>
      <c r="D86" s="221"/>
      <c r="E86" s="222"/>
      <c r="F86" s="31" t="str">
        <f>ChkList!D70</f>
        <v>M</v>
      </c>
      <c r="G86" s="31">
        <f>ChkList!E70</f>
        <v>2</v>
      </c>
      <c r="H86" s="168" t="s">
        <v>50</v>
      </c>
      <c r="I86" s="167" t="s">
        <v>333</v>
      </c>
      <c r="J86" s="28" t="s">
        <v>378</v>
      </c>
      <c r="K86" s="28" t="str">
        <f t="shared" si="5"/>
        <v>Y</v>
      </c>
      <c r="L86" s="270" t="s">
        <v>336</v>
      </c>
      <c r="M86" s="221"/>
      <c r="N86" s="221"/>
      <c r="O86" s="221"/>
      <c r="P86" s="222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>
      <c r="A87" s="31" t="str">
        <f>ChkList!A71</f>
        <v>로그 관리</v>
      </c>
      <c r="B87" s="31" t="str">
        <f>ChkList!B71</f>
        <v>U-67</v>
      </c>
      <c r="C87" s="270" t="str">
        <f>ChkList!C71</f>
        <v>로그 디렉터리 소유자 및 권한 설정</v>
      </c>
      <c r="D87" s="221"/>
      <c r="E87" s="222"/>
      <c r="F87" s="31" t="str">
        <f>ChkList!D71</f>
        <v>M</v>
      </c>
      <c r="G87" s="31">
        <f>ChkList!E71</f>
        <v>2</v>
      </c>
      <c r="H87" s="168" t="s">
        <v>50</v>
      </c>
      <c r="I87" s="167" t="s">
        <v>321</v>
      </c>
      <c r="J87" s="28" t="s">
        <v>378</v>
      </c>
      <c r="K87" s="28" t="str">
        <f t="shared" si="5"/>
        <v>Y</v>
      </c>
      <c r="L87" s="270" t="s">
        <v>335</v>
      </c>
      <c r="M87" s="221"/>
      <c r="N87" s="221"/>
      <c r="O87" s="221"/>
      <c r="P87" s="222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73" priority="1" operator="containsText" text="N">
      <formula>NOT(ISERROR(SEARCH("N",H21)))</formula>
    </cfRule>
    <cfRule type="cellIs" priority="2" operator="equal">
      <formula>"취약"</formula>
    </cfRule>
    <cfRule type="cellIs" priority="3" operator="equal">
      <formula>"양호"</formula>
    </cfRule>
  </conditionalFormatting>
  <conditionalFormatting sqref="J40:J42">
    <cfRule type="containsText" dxfId="72" priority="52" operator="containsText" text="N">
      <formula>NOT(ISERROR(SEARCH("N",J40)))</formula>
    </cfRule>
    <cfRule type="cellIs" priority="53" operator="equal">
      <formula>"취약"</formula>
    </cfRule>
    <cfRule type="cellIs" priority="54" operator="equal">
      <formula>"양호"</formula>
    </cfRule>
  </conditionalFormatting>
  <conditionalFormatting sqref="J44">
    <cfRule type="containsText" dxfId="71" priority="49" operator="containsText" text="N">
      <formula>NOT(ISERROR(SEARCH("N",J44)))</formula>
    </cfRule>
    <cfRule type="cellIs" priority="50" operator="equal">
      <formula>"취약"</formula>
    </cfRule>
    <cfRule type="cellIs" priority="51" operator="equal">
      <formula>"양호"</formula>
    </cfRule>
  </conditionalFormatting>
  <conditionalFormatting sqref="J46:J47">
    <cfRule type="containsText" dxfId="70" priority="43" operator="containsText" text="N">
      <formula>NOT(ISERROR(SEARCH("N",J46)))</formula>
    </cfRule>
    <cfRule type="cellIs" priority="44" operator="equal">
      <formula>"취약"</formula>
    </cfRule>
    <cfRule type="cellIs" priority="45" operator="equal">
      <formula>"양호"</formula>
    </cfRule>
  </conditionalFormatting>
  <conditionalFormatting sqref="J49">
    <cfRule type="containsText" dxfId="69" priority="40" operator="containsText" text="N">
      <formula>NOT(ISERROR(SEARCH("N",J49)))</formula>
    </cfRule>
    <cfRule type="cellIs" priority="41" operator="equal">
      <formula>"취약"</formula>
    </cfRule>
    <cfRule type="cellIs" priority="42" operator="equal">
      <formula>"양호"</formula>
    </cfRule>
  </conditionalFormatting>
  <conditionalFormatting sqref="J58">
    <cfRule type="containsText" dxfId="68" priority="37" operator="containsText" text="N">
      <formula>NOT(ISERROR(SEARCH("N",J58)))</formula>
    </cfRule>
    <cfRule type="cellIs" priority="38" operator="equal">
      <formula>"취약"</formula>
    </cfRule>
    <cfRule type="cellIs" priority="39" operator="equal">
      <formula>"양호"</formula>
    </cfRule>
  </conditionalFormatting>
  <conditionalFormatting sqref="J69:J87">
    <cfRule type="cellIs" dxfId="67" priority="9" stopIfTrue="1" operator="equal">
      <formula>"인터뷰"</formula>
    </cfRule>
    <cfRule type="cellIs" dxfId="66" priority="10" stopIfTrue="1" operator="equal">
      <formula>"R/A"</formula>
    </cfRule>
    <cfRule type="cellIs" dxfId="65" priority="11" stopIfTrue="1" operator="equal">
      <formula>"N/A"</formula>
    </cfRule>
    <cfRule type="cellIs" dxfId="64" priority="12" stopIfTrue="1" operator="equal">
      <formula>"N"</formula>
    </cfRule>
    <cfRule type="expression" dxfId="63" priority="13">
      <formula>OR(IF(J69=0,1,0),IF(J69="-",1,0))</formula>
    </cfRule>
  </conditionalFormatting>
  <conditionalFormatting sqref="J21:K39 K40:K42 J43:K43 K44 J45:K45 K46:K47 J48:K48 K49 J50:K57 K58 J59:K68">
    <cfRule type="cellIs" dxfId="62" priority="69" stopIfTrue="1" operator="equal">
      <formula>"인터뷰"</formula>
    </cfRule>
    <cfRule type="cellIs" dxfId="61" priority="70" stopIfTrue="1" operator="equal">
      <formula>"R/A"</formula>
    </cfRule>
    <cfRule type="cellIs" dxfId="60" priority="71" stopIfTrue="1" operator="equal">
      <formula>"N/A"</formula>
    </cfRule>
    <cfRule type="cellIs" dxfId="59" priority="72" stopIfTrue="1" operator="equal">
      <formula>"N"</formula>
    </cfRule>
    <cfRule type="expression" dxfId="58" priority="73">
      <formula>OR(IF(J21=0,1,0),IF(J21="-",1,0))</formula>
    </cfRule>
  </conditionalFormatting>
  <conditionalFormatting sqref="K21:K87">
    <cfRule type="cellIs" dxfId="57" priority="29" operator="equal">
      <formula>"위험수용"</formula>
    </cfRule>
    <cfRule type="cellIs" dxfId="56" priority="30" operator="equal">
      <formula>"미조치"</formula>
    </cfRule>
    <cfRule type="cellIs" dxfId="55" priority="31" operator="equal">
      <formula>"조치"</formula>
    </cfRule>
  </conditionalFormatting>
  <conditionalFormatting sqref="K69:K87">
    <cfRule type="cellIs" dxfId="54" priority="32" stopIfTrue="1" operator="equal">
      <formula>"인터뷰"</formula>
    </cfRule>
    <cfRule type="cellIs" dxfId="53" priority="33" stopIfTrue="1" operator="equal">
      <formula>"R/A"</formula>
    </cfRule>
    <cfRule type="cellIs" dxfId="52" priority="34" stopIfTrue="1" operator="equal">
      <formula>"N/A"</formula>
    </cfRule>
    <cfRule type="cellIs" dxfId="51" priority="35" stopIfTrue="1" operator="equal">
      <formula>"N"</formula>
    </cfRule>
    <cfRule type="expression" dxfId="50" priority="36">
      <formula>OR(IF(K69=0,1,0),IF(K69="-",1,0))</formula>
    </cfRule>
  </conditionalFormatting>
  <conditionalFormatting sqref="L21:L87">
    <cfRule type="cellIs" dxfId="49" priority="14" stopIfTrue="1" operator="equal">
      <formula>"인터뷰"</formula>
    </cfRule>
    <cfRule type="cellIs" dxfId="48" priority="15" stopIfTrue="1" operator="equal">
      <formula>"R/A"</formula>
    </cfRule>
    <cfRule type="cellIs" dxfId="47" priority="16" stopIfTrue="1" operator="equal">
      <formula>"N/A"</formula>
    </cfRule>
    <cfRule type="cellIs" dxfId="46" priority="17" stopIfTrue="1" operator="equal">
      <formula>"N"</formula>
    </cfRule>
    <cfRule type="expression" dxfId="45" priority="18">
      <formula>OR(IF(L21=0,1,0),IF(L21="-",1,0))</formula>
    </cfRule>
  </conditionalFormatting>
  <conditionalFormatting sqref="Y21:Y58">
    <cfRule type="cellIs" dxfId="44" priority="108" operator="equal">
      <formula>"신규 취약점(즉시조치)"</formula>
    </cfRule>
    <cfRule type="cellIs" dxfId="43" priority="109" operator="equal">
      <formula>"기존 취약점(즉시조치)"</formula>
    </cfRule>
    <cfRule type="cellIs" dxfId="42" priority="110" operator="equal">
      <formula>"기존 취약점"</formula>
    </cfRule>
    <cfRule type="cellIs" dxfId="41" priority="111" operator="equal">
      <formula>"신규 취약점"</formula>
    </cfRule>
    <cfRule type="cellIs" dxfId="40" priority="112" operator="equal">
      <formula>"확인필요"</formula>
    </cfRule>
    <cfRule type="cellIs" dxfId="39" priority="113" operator="equal">
      <formula>"확인필요"</formula>
    </cfRule>
    <cfRule type="cellIs" dxfId="38" priority="114" operator="equal">
      <formula>"신규취약점"</formula>
    </cfRule>
    <cfRule type="cellIs" dxfId="37" priority="115" operator="equal">
      <formula>"조치완료"</formula>
    </cfRule>
  </conditionalFormatting>
  <dataValidations count="4">
    <dataValidation allowBlank="1" showInputMessage="1" showErrorMessage="1" errorTitle="오류!" error="Y, N, N/A 중에 선택" sqref="L21:L87 I21:I87"/>
    <dataValidation type="list" errorStyle="warning" allowBlank="1" showInputMessage="1" showErrorMessage="1" errorTitle="오류!" error="Y, N, N/A 중에 선택" sqref="J46:J47 J49 J58 J40:J42 J44 H21:H87">
      <formula1>"Y,N,N/A,인터뷰,Y(즉시조치)"</formula1>
    </dataValidation>
    <dataValidation type="list" errorStyle="warning" showInputMessage="1" showErrorMessage="1" errorTitle="오류!" error="Y, N, N/A 중에 선택" sqref="J50:J57 J21:J39 J43 J45 J48 J59:J87 K65">
      <formula1>"Y,N,N/A,인터뷰,Y(즉시조치)"</formula1>
    </dataValidation>
    <dataValidation errorStyle="warning" allowBlank="1" showInputMessage="1" showErrorMessage="1" sqref="K21:K64 K66:K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87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54" t="s">
        <v>213</v>
      </c>
      <c r="B3" s="54"/>
      <c r="C3" s="54"/>
      <c r="D3" s="54"/>
      <c r="E3" s="54"/>
      <c r="F3" s="54"/>
      <c r="G3" s="54"/>
      <c r="H3" s="5"/>
      <c r="I3" s="5"/>
      <c r="R3" s="5" t="s">
        <v>214</v>
      </c>
      <c r="X3" s="5"/>
      <c r="Y3" s="5"/>
    </row>
    <row r="4" spans="1:25" ht="17.100000000000001" customHeight="1">
      <c r="A4" s="126" t="s">
        <v>215</v>
      </c>
      <c r="B4" s="307" t="str">
        <f ca="1">REPLACE(CELL("filename",A1),1,FIND("]",CELL("filename",A1)),"")</f>
        <v>BLOG_BR_Rocky</v>
      </c>
      <c r="C4" s="247"/>
      <c r="D4" s="308" t="s">
        <v>216</v>
      </c>
      <c r="E4" s="250"/>
      <c r="F4" s="310" t="str">
        <f ca="1">IFERROR(VLOOKUP($B$4,자산목록!$B$1:$Q$835,8,FALSE),"N/A")</f>
        <v>LOG 백업 서버 / 본사 LOG 백업</v>
      </c>
      <c r="G4" s="311"/>
      <c r="H4" s="63"/>
      <c r="I4" s="55"/>
      <c r="R4" s="25" t="s">
        <v>15</v>
      </c>
      <c r="S4" s="41">
        <f ca="1">IFERROR(VLOOKUP($B$4,자산목록!$B$1:$Q$835,13,FALSE),"N/A")</f>
        <v>3</v>
      </c>
      <c r="T4" s="309" t="s">
        <v>217</v>
      </c>
      <c r="U4" s="287" t="str">
        <f ca="1">IFERROR(VLOOKUP($B$4,자산목록!$B$1:$Q$835,16,FALSE),"N/A")</f>
        <v>H</v>
      </c>
      <c r="X4" s="5"/>
      <c r="Y4" s="5"/>
    </row>
    <row r="5" spans="1:25" ht="17.100000000000001" customHeight="1">
      <c r="A5" s="127" t="s">
        <v>218</v>
      </c>
      <c r="B5" s="301" t="str">
        <f ca="1">IFERROR(VLOOKUP($B$4,자산목록!$B$1:$Q$835,6,FALSE)&amp;" "&amp;VLOOKUP($B$4,자산목록!$B$1:$Q$835,7,FALSE),"N/A")</f>
        <v>Rocky 8.1</v>
      </c>
      <c r="C5" s="222"/>
      <c r="D5" s="302" t="s">
        <v>219</v>
      </c>
      <c r="E5" s="303"/>
      <c r="F5" s="301" t="str">
        <f ca="1">IFERROR(VLOOKUP($B$4,자산목록!$B$1:$Q$835,2,FALSE),"N/A")</f>
        <v>10.200.40.34</v>
      </c>
      <c r="G5" s="222"/>
      <c r="H5" s="63"/>
      <c r="I5" s="55"/>
      <c r="R5" s="25" t="s">
        <v>16</v>
      </c>
      <c r="S5" s="41">
        <f ca="1">IFERROR(VLOOKUP($B$4,자산목록!$B$1:$Q$835,14,FALSE),"N/A")</f>
        <v>3</v>
      </c>
      <c r="T5" s="226"/>
      <c r="U5" s="226"/>
      <c r="X5" s="5"/>
      <c r="Y5" s="5"/>
    </row>
    <row r="6" spans="1:25" ht="17.100000000000001" customHeight="1">
      <c r="A6" s="128" t="s">
        <v>12</v>
      </c>
      <c r="B6" s="304" t="str">
        <f ca="1">IFERROR(VLOOKUP($B$4,자산목록!$B$1:$Q$835,11,FALSE),"N/A")</f>
        <v>임시우</v>
      </c>
      <c r="C6" s="234"/>
      <c r="D6" s="305" t="s">
        <v>220</v>
      </c>
      <c r="E6" s="306"/>
      <c r="F6" s="304" t="str">
        <f ca="1">IFERROR(VLOOKUP($B$4,자산목록!$B$1:$Q$835,9,FALSE),"N/A")</f>
        <v>지사 백업망</v>
      </c>
      <c r="G6" s="234"/>
      <c r="H6" s="63"/>
      <c r="I6" s="55"/>
      <c r="R6" s="25" t="s">
        <v>17</v>
      </c>
      <c r="S6" s="41">
        <f ca="1">IFERROR(VLOOKUP($B$4,자산목록!$B$1:$Q$835,15,FALSE),"N/A")</f>
        <v>3</v>
      </c>
      <c r="T6" s="225"/>
      <c r="U6" s="225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>
      <c r="A9" s="56" t="s">
        <v>222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>
      <c r="A10" s="297" t="s">
        <v>77</v>
      </c>
      <c r="B10" s="213"/>
      <c r="C10" s="213"/>
      <c r="D10" s="296" t="s">
        <v>223</v>
      </c>
      <c r="E10" s="236"/>
      <c r="F10" s="236"/>
      <c r="G10" s="236"/>
      <c r="H10" s="236"/>
      <c r="I10" s="298" t="s">
        <v>224</v>
      </c>
      <c r="J10" s="300" t="s">
        <v>190</v>
      </c>
      <c r="K10" s="236"/>
      <c r="L10" s="236"/>
      <c r="M10" s="236"/>
      <c r="N10" s="236"/>
      <c r="O10" s="245"/>
      <c r="R10" s="289" t="s">
        <v>225</v>
      </c>
      <c r="S10" s="221"/>
      <c r="T10" s="221"/>
      <c r="U10" s="222"/>
      <c r="V10" s="283" t="s">
        <v>224</v>
      </c>
      <c r="W10" s="221"/>
      <c r="X10" s="221"/>
      <c r="Y10" s="222"/>
    </row>
    <row r="11" spans="1:25" ht="20.100000000000001" customHeight="1">
      <c r="A11" s="254"/>
      <c r="B11" s="255"/>
      <c r="C11" s="255"/>
      <c r="D11" s="129" t="s">
        <v>205</v>
      </c>
      <c r="E11" s="130" t="s">
        <v>181</v>
      </c>
      <c r="F11" s="131" t="s">
        <v>182</v>
      </c>
      <c r="G11" s="132" t="s">
        <v>53</v>
      </c>
      <c r="H11" s="157" t="s">
        <v>226</v>
      </c>
      <c r="I11" s="299"/>
      <c r="J11" s="143" t="s">
        <v>191</v>
      </c>
      <c r="K11" s="133" t="s">
        <v>192</v>
      </c>
      <c r="L11" s="134" t="s">
        <v>193</v>
      </c>
      <c r="M11" s="134" t="s">
        <v>53</v>
      </c>
      <c r="N11" s="134" t="s">
        <v>199</v>
      </c>
      <c r="O11" s="135" t="s">
        <v>226</v>
      </c>
      <c r="R11" s="49" t="s">
        <v>227</v>
      </c>
      <c r="S11" s="50" t="s">
        <v>228</v>
      </c>
      <c r="T11" s="50" t="s">
        <v>229</v>
      </c>
      <c r="U11" s="52" t="s">
        <v>230</v>
      </c>
      <c r="V11" s="288" t="s">
        <v>77</v>
      </c>
      <c r="W11" s="222"/>
      <c r="X11" s="11" t="s">
        <v>223</v>
      </c>
      <c r="Y11" s="11" t="s">
        <v>190</v>
      </c>
    </row>
    <row r="12" spans="1:25" ht="32.1" customHeight="1">
      <c r="A12" s="276" t="str">
        <f>ChkList!A6</f>
        <v>계정 관리</v>
      </c>
      <c r="B12" s="221"/>
      <c r="C12" s="222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90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87">
        <f>B12</f>
        <v>0</v>
      </c>
      <c r="W12" s="222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76" t="str">
        <f>ChkList!A20</f>
        <v>파일 및 디렉터리 관리</v>
      </c>
      <c r="B13" s="221"/>
      <c r="C13" s="222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91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 t="shared" si="1"/>
        <v>53</v>
      </c>
      <c r="U13" s="41">
        <f t="shared" si="1"/>
        <v>53</v>
      </c>
      <c r="V13" s="287">
        <f>B13</f>
        <v>0</v>
      </c>
      <c r="W13" s="222"/>
      <c r="X13" s="64">
        <f t="shared" ref="X13:X17" ca="1" si="3">H13</f>
        <v>1</v>
      </c>
      <c r="Y13" s="64">
        <f t="shared" ca="1" si="2"/>
        <v>1</v>
      </c>
    </row>
    <row r="14" spans="1:25" ht="32.1" customHeight="1">
      <c r="A14" s="276" t="str">
        <f>ChkList!A37</f>
        <v>파일 및 디렉터리 관리</v>
      </c>
      <c r="B14" s="221"/>
      <c r="C14" s="222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91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 t="shared" si="1"/>
        <v>53</v>
      </c>
      <c r="U14" s="41">
        <f t="shared" si="1"/>
        <v>53</v>
      </c>
      <c r="V14" s="287">
        <f>B14</f>
        <v>0</v>
      </c>
      <c r="W14" s="222"/>
      <c r="X14" s="64">
        <f t="shared" ca="1" si="3"/>
        <v>1</v>
      </c>
      <c r="Y14" s="64">
        <f t="shared" ca="1" si="2"/>
        <v>1</v>
      </c>
    </row>
    <row r="15" spans="1:25" ht="32.1" customHeight="1">
      <c r="A15" s="276" t="str">
        <f>ChkList!A69</f>
        <v>로그 관리</v>
      </c>
      <c r="B15" s="221"/>
      <c r="C15" s="222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91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87">
        <f>B15</f>
        <v>0</v>
      </c>
      <c r="W15" s="222"/>
      <c r="X15" s="64">
        <f t="shared" ca="1" si="3"/>
        <v>1</v>
      </c>
      <c r="Y15" s="64">
        <f t="shared" ca="1" si="2"/>
        <v>1</v>
      </c>
    </row>
    <row r="16" spans="1:25" ht="32.1" customHeight="1">
      <c r="A16" s="276" t="str">
        <f>ChkList!A70</f>
        <v>로그 관리</v>
      </c>
      <c r="B16" s="221"/>
      <c r="C16" s="222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91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85">
        <f>B16</f>
        <v>0</v>
      </c>
      <c r="W16" s="286"/>
      <c r="X16" s="68">
        <f t="shared" ca="1" si="3"/>
        <v>1</v>
      </c>
      <c r="Y16" s="68">
        <f t="shared" ca="1" si="2"/>
        <v>1</v>
      </c>
    </row>
    <row r="17" spans="1:25" ht="20.100000000000001" customHeight="1">
      <c r="A17" s="293" t="s">
        <v>231</v>
      </c>
      <c r="B17" s="294"/>
      <c r="C17" s="295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92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84" t="s">
        <v>232</v>
      </c>
      <c r="W17" s="256"/>
      <c r="X17" s="67">
        <f t="shared" ca="1" si="3"/>
        <v>1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>
      <c r="A19" s="9" t="s">
        <v>233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234</v>
      </c>
      <c r="S19" s="17"/>
    </row>
    <row r="20" spans="1:25" ht="21.95" customHeight="1">
      <c r="A20" s="277" t="s">
        <v>77</v>
      </c>
      <c r="B20" s="278"/>
      <c r="C20" s="279" t="s">
        <v>235</v>
      </c>
      <c r="D20" s="280"/>
      <c r="E20" s="280"/>
      <c r="F20" s="281" t="s">
        <v>41</v>
      </c>
      <c r="G20" s="280"/>
      <c r="H20" s="165" t="s">
        <v>178</v>
      </c>
      <c r="I20" s="166" t="s">
        <v>236</v>
      </c>
      <c r="J20" s="159" t="s">
        <v>190</v>
      </c>
      <c r="K20" s="144" t="s">
        <v>237</v>
      </c>
      <c r="L20" s="282" t="s">
        <v>322</v>
      </c>
      <c r="M20" s="280"/>
      <c r="N20" s="280"/>
      <c r="O20" s="280"/>
      <c r="P20" s="278"/>
      <c r="Q20" s="145" t="s">
        <v>76</v>
      </c>
      <c r="R20" s="53" t="s">
        <v>239</v>
      </c>
      <c r="S20" s="52" t="s">
        <v>228</v>
      </c>
      <c r="T20" s="25" t="s">
        <v>229</v>
      </c>
      <c r="U20" s="52" t="s">
        <v>230</v>
      </c>
      <c r="V20" s="275" t="s">
        <v>190</v>
      </c>
      <c r="W20" s="222"/>
      <c r="Y20" s="69"/>
    </row>
    <row r="21" spans="1:25" ht="36">
      <c r="A21" s="31" t="str">
        <f>ChkList!A5</f>
        <v>계정 관리</v>
      </c>
      <c r="B21" s="31" t="str">
        <f>ChkList!B5</f>
        <v>U-01</v>
      </c>
      <c r="C21" s="270" t="str">
        <f>ChkList!C5</f>
        <v>root 계정 원격 접속 제한</v>
      </c>
      <c r="D21" s="221"/>
      <c r="E21" s="222"/>
      <c r="F21" s="31" t="str">
        <f>ChkList!D5</f>
        <v>H</v>
      </c>
      <c r="G21" s="31">
        <f>ChkList!E5</f>
        <v>3</v>
      </c>
      <c r="H21" s="168" t="s">
        <v>50</v>
      </c>
      <c r="I21" s="167" t="s">
        <v>240</v>
      </c>
      <c r="J21" s="28" t="s">
        <v>374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70" t="s">
        <v>373</v>
      </c>
      <c r="M21" s="221"/>
      <c r="N21" s="221"/>
      <c r="O21" s="221"/>
      <c r="P21" s="222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241</v>
      </c>
      <c r="W21" s="42" t="s">
        <v>42</v>
      </c>
      <c r="Y21" s="10"/>
    </row>
    <row r="22" spans="1:25" ht="36">
      <c r="A22" s="31" t="str">
        <f>ChkList!A6</f>
        <v>계정 관리</v>
      </c>
      <c r="B22" s="31" t="str">
        <f>ChkList!B6</f>
        <v>U-02</v>
      </c>
      <c r="C22" s="270" t="str">
        <f>ChkList!C6</f>
        <v>비밀번호 관리정책 설정</v>
      </c>
      <c r="D22" s="221"/>
      <c r="E22" s="222"/>
      <c r="F22" s="31" t="str">
        <f>ChkList!D6</f>
        <v>H</v>
      </c>
      <c r="G22" s="31">
        <f>ChkList!E6</f>
        <v>3</v>
      </c>
      <c r="H22" s="168" t="s">
        <v>50</v>
      </c>
      <c r="I22" s="167" t="s">
        <v>243</v>
      </c>
      <c r="J22" s="28" t="s">
        <v>50</v>
      </c>
      <c r="K22" s="28" t="str">
        <f t="shared" si="4"/>
        <v>Y</v>
      </c>
      <c r="L22" s="270" t="s">
        <v>243</v>
      </c>
      <c r="M22" s="221"/>
      <c r="N22" s="221"/>
      <c r="O22" s="221"/>
      <c r="P22" s="222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191</v>
      </c>
      <c r="W22" s="28">
        <v>1</v>
      </c>
      <c r="Y22" s="10"/>
    </row>
    <row r="23" spans="1:25" ht="36">
      <c r="A23" s="31" t="str">
        <f>ChkList!A7</f>
        <v>계정 관리</v>
      </c>
      <c r="B23" s="31" t="str">
        <f>ChkList!B7</f>
        <v>U-03</v>
      </c>
      <c r="C23" s="270" t="str">
        <f>ChkList!C7</f>
        <v>계정 잠금 임계값 설정</v>
      </c>
      <c r="D23" s="221"/>
      <c r="E23" s="222"/>
      <c r="F23" s="31" t="str">
        <f>ChkList!D7</f>
        <v>H</v>
      </c>
      <c r="G23" s="31">
        <f>ChkList!E7</f>
        <v>3</v>
      </c>
      <c r="H23" s="168" t="s">
        <v>50</v>
      </c>
      <c r="I23" s="167" t="s">
        <v>245</v>
      </c>
      <c r="J23" s="28" t="s">
        <v>50</v>
      </c>
      <c r="K23" s="28" t="str">
        <f t="shared" si="4"/>
        <v>Y</v>
      </c>
      <c r="L23" s="270" t="s">
        <v>245</v>
      </c>
      <c r="M23" s="221"/>
      <c r="N23" s="221"/>
      <c r="O23" s="221"/>
      <c r="P23" s="222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192</v>
      </c>
      <c r="W23" s="28">
        <v>0</v>
      </c>
      <c r="Y23" s="10"/>
    </row>
    <row r="24" spans="1:25" ht="36">
      <c r="A24" s="31" t="str">
        <f>ChkList!A8</f>
        <v>계정 관리</v>
      </c>
      <c r="B24" s="31" t="str">
        <f>ChkList!B8</f>
        <v>U-04</v>
      </c>
      <c r="C24" s="270" t="str">
        <f>ChkList!C8</f>
        <v>비밀번호 파일 보호</v>
      </c>
      <c r="D24" s="221"/>
      <c r="E24" s="222"/>
      <c r="F24" s="31" t="str">
        <f>ChkList!D8</f>
        <v>H</v>
      </c>
      <c r="G24" s="31">
        <f>ChkList!E8</f>
        <v>3</v>
      </c>
      <c r="H24" s="168" t="s">
        <v>50</v>
      </c>
      <c r="I24" s="167" t="s">
        <v>324</v>
      </c>
      <c r="J24" s="28" t="s">
        <v>375</v>
      </c>
      <c r="K24" s="28" t="str">
        <f t="shared" si="4"/>
        <v>Y</v>
      </c>
      <c r="L24" s="270" t="s">
        <v>324</v>
      </c>
      <c r="M24" s="221"/>
      <c r="N24" s="221"/>
      <c r="O24" s="221"/>
      <c r="P24" s="222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193</v>
      </c>
      <c r="W24" s="28">
        <v>0</v>
      </c>
      <c r="Y24" s="10"/>
    </row>
    <row r="25" spans="1:25" ht="36">
      <c r="A25" s="31" t="str">
        <f>ChkList!A9</f>
        <v>계정 관리</v>
      </c>
      <c r="B25" s="31" t="str">
        <f>ChkList!B9</f>
        <v>U-05</v>
      </c>
      <c r="C25" s="270" t="str">
        <f>ChkList!C9</f>
        <v>root 이외의 UID가 ‘0’ 금지</v>
      </c>
      <c r="D25" s="221"/>
      <c r="E25" s="222"/>
      <c r="F25" s="31" t="str">
        <f>ChkList!D9</f>
        <v>H</v>
      </c>
      <c r="G25" s="31">
        <f>ChkList!E9</f>
        <v>3</v>
      </c>
      <c r="H25" s="168" t="s">
        <v>50</v>
      </c>
      <c r="I25" s="167" t="s">
        <v>247</v>
      </c>
      <c r="J25" s="28" t="s">
        <v>376</v>
      </c>
      <c r="K25" s="28" t="str">
        <f t="shared" si="4"/>
        <v>Y</v>
      </c>
      <c r="L25" s="270" t="s">
        <v>372</v>
      </c>
      <c r="M25" s="221"/>
      <c r="N25" s="221"/>
      <c r="O25" s="221"/>
      <c r="P25" s="222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53</v>
      </c>
      <c r="W25" s="28">
        <v>0</v>
      </c>
      <c r="Y25" s="10"/>
    </row>
    <row r="26" spans="1:25" ht="36">
      <c r="A26" s="31" t="str">
        <f>ChkList!A10</f>
        <v>계정 관리</v>
      </c>
      <c r="B26" s="31" t="str">
        <f>ChkList!B10</f>
        <v>U-06</v>
      </c>
      <c r="C26" s="270" t="str">
        <f>ChkList!C10</f>
        <v>사용자 계정 su 기능 제한</v>
      </c>
      <c r="D26" s="221"/>
      <c r="E26" s="222"/>
      <c r="F26" s="31" t="str">
        <f>ChkList!D10</f>
        <v>H</v>
      </c>
      <c r="G26" s="31">
        <f>ChkList!E10</f>
        <v>3</v>
      </c>
      <c r="H26" s="168" t="s">
        <v>50</v>
      </c>
      <c r="I26" s="167" t="s">
        <v>248</v>
      </c>
      <c r="J26" s="28" t="s">
        <v>377</v>
      </c>
      <c r="K26" s="28" t="str">
        <f t="shared" si="4"/>
        <v>Y</v>
      </c>
      <c r="L26" s="270" t="s">
        <v>371</v>
      </c>
      <c r="M26" s="221"/>
      <c r="N26" s="221"/>
      <c r="O26" s="221"/>
      <c r="P26" s="222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50</v>
      </c>
      <c r="W26" s="28">
        <v>1</v>
      </c>
      <c r="Y26" s="10"/>
    </row>
    <row r="27" spans="1:25" ht="36">
      <c r="A27" s="31" t="str">
        <f>ChkList!A11</f>
        <v>계정 관리</v>
      </c>
      <c r="B27" s="31" t="str">
        <f>ChkList!B11</f>
        <v>U-07</v>
      </c>
      <c r="C27" s="270" t="str">
        <f>ChkList!C11</f>
        <v>불필요한 계정 제거</v>
      </c>
      <c r="D27" s="221"/>
      <c r="E27" s="222"/>
      <c r="F27" s="31" t="str">
        <f>ChkList!D11</f>
        <v>L</v>
      </c>
      <c r="G27" s="31">
        <f>ChkList!E11</f>
        <v>1</v>
      </c>
      <c r="H27" s="168" t="s">
        <v>50</v>
      </c>
      <c r="I27" s="167" t="s">
        <v>249</v>
      </c>
      <c r="J27" s="28" t="s">
        <v>378</v>
      </c>
      <c r="K27" s="28" t="str">
        <f t="shared" si="4"/>
        <v>Y</v>
      </c>
      <c r="L27" s="270" t="s">
        <v>370</v>
      </c>
      <c r="M27" s="221"/>
      <c r="N27" s="221"/>
      <c r="O27" s="221"/>
      <c r="P27" s="222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55</v>
      </c>
      <c r="W27" s="28">
        <v>1</v>
      </c>
      <c r="Y27" s="10"/>
    </row>
    <row r="28" spans="1:25" ht="36">
      <c r="A28" s="31" t="str">
        <f>ChkList!A12</f>
        <v>계정 관리</v>
      </c>
      <c r="B28" s="31" t="str">
        <f>ChkList!B12</f>
        <v>U-08</v>
      </c>
      <c r="C28" s="270" t="str">
        <f>ChkList!C12</f>
        <v>관리자 그룹에 최소한의 계정 포함</v>
      </c>
      <c r="D28" s="221"/>
      <c r="E28" s="222"/>
      <c r="F28" s="31" t="str">
        <f>ChkList!D12</f>
        <v>M</v>
      </c>
      <c r="G28" s="31">
        <f>ChkList!E12</f>
        <v>2</v>
      </c>
      <c r="H28" s="168" t="s">
        <v>50</v>
      </c>
      <c r="I28" s="167" t="s">
        <v>250</v>
      </c>
      <c r="J28" s="28" t="s">
        <v>377</v>
      </c>
      <c r="K28" s="28" t="str">
        <f t="shared" si="4"/>
        <v>Y</v>
      </c>
      <c r="L28" s="270" t="s">
        <v>369</v>
      </c>
      <c r="M28" s="221"/>
      <c r="N28" s="221"/>
      <c r="O28" s="221"/>
      <c r="P28" s="222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>
      <c r="A29" s="31" t="str">
        <f>ChkList!A13</f>
        <v>계정 관리</v>
      </c>
      <c r="B29" s="31" t="str">
        <f>ChkList!B13</f>
        <v>U-09</v>
      </c>
      <c r="C29" s="270" t="str">
        <f>ChkList!C13</f>
        <v>계정이 존재하지 않는 GID 금지</v>
      </c>
      <c r="D29" s="221"/>
      <c r="E29" s="222"/>
      <c r="F29" s="31" t="str">
        <f>ChkList!D13</f>
        <v>L</v>
      </c>
      <c r="G29" s="31">
        <f>ChkList!E13</f>
        <v>1</v>
      </c>
      <c r="H29" s="168" t="s">
        <v>50</v>
      </c>
      <c r="I29" s="167" t="s">
        <v>251</v>
      </c>
      <c r="J29" s="28" t="s">
        <v>378</v>
      </c>
      <c r="K29" s="28" t="str">
        <f t="shared" si="4"/>
        <v>Y</v>
      </c>
      <c r="L29" s="270" t="s">
        <v>368</v>
      </c>
      <c r="M29" s="221"/>
      <c r="N29" s="221"/>
      <c r="O29" s="221"/>
      <c r="P29" s="222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6">
      <c r="A30" s="31" t="str">
        <f>ChkList!A14</f>
        <v>계정 관리</v>
      </c>
      <c r="B30" s="31" t="str">
        <f>ChkList!B14</f>
        <v>U-10</v>
      </c>
      <c r="C30" s="270" t="str">
        <f>ChkList!C14</f>
        <v>동일한 UID 금지</v>
      </c>
      <c r="D30" s="221"/>
      <c r="E30" s="222"/>
      <c r="F30" s="31" t="str">
        <f>ChkList!D14</f>
        <v>M</v>
      </c>
      <c r="G30" s="31">
        <f>ChkList!E14</f>
        <v>2</v>
      </c>
      <c r="H30" s="168" t="s">
        <v>50</v>
      </c>
      <c r="I30" s="167" t="s">
        <v>252</v>
      </c>
      <c r="J30" s="28" t="s">
        <v>378</v>
      </c>
      <c r="K30" s="28" t="str">
        <f t="shared" si="4"/>
        <v>Y</v>
      </c>
      <c r="L30" s="270" t="s">
        <v>367</v>
      </c>
      <c r="M30" s="221"/>
      <c r="N30" s="221"/>
      <c r="O30" s="221"/>
      <c r="P30" s="222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6">
      <c r="A31" s="31" t="str">
        <f>ChkList!A15</f>
        <v>계정 관리</v>
      </c>
      <c r="B31" s="31" t="str">
        <f>ChkList!B15</f>
        <v>U-11</v>
      </c>
      <c r="C31" s="270" t="str">
        <f>ChkList!C15</f>
        <v>사용자 Shell 점검</v>
      </c>
      <c r="D31" s="221"/>
      <c r="E31" s="222"/>
      <c r="F31" s="31" t="str">
        <f>ChkList!D15</f>
        <v>L</v>
      </c>
      <c r="G31" s="31">
        <f>ChkList!E15</f>
        <v>1</v>
      </c>
      <c r="H31" s="168" t="s">
        <v>50</v>
      </c>
      <c r="I31" s="167" t="s">
        <v>253</v>
      </c>
      <c r="J31" s="28" t="s">
        <v>378</v>
      </c>
      <c r="K31" s="28" t="str">
        <f t="shared" si="4"/>
        <v>Y</v>
      </c>
      <c r="L31" s="270" t="s">
        <v>366</v>
      </c>
      <c r="M31" s="221"/>
      <c r="N31" s="221"/>
      <c r="O31" s="221"/>
      <c r="P31" s="222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6">
      <c r="A32" s="31" t="str">
        <f>ChkList!A16</f>
        <v>계정 관리</v>
      </c>
      <c r="B32" s="31" t="str">
        <f>ChkList!B16</f>
        <v>U-12</v>
      </c>
      <c r="C32" s="270" t="str">
        <f>ChkList!C16</f>
        <v>세션 종료 시간 설정</v>
      </c>
      <c r="D32" s="221"/>
      <c r="E32" s="222"/>
      <c r="F32" s="31" t="str">
        <f>ChkList!D16</f>
        <v>L</v>
      </c>
      <c r="G32" s="31">
        <f>ChkList!E16</f>
        <v>1</v>
      </c>
      <c r="H32" s="168" t="s">
        <v>50</v>
      </c>
      <c r="I32" s="167" t="s">
        <v>254</v>
      </c>
      <c r="J32" s="28" t="s">
        <v>378</v>
      </c>
      <c r="K32" s="28" t="str">
        <f t="shared" si="4"/>
        <v>Y</v>
      </c>
      <c r="L32" s="270" t="s">
        <v>365</v>
      </c>
      <c r="M32" s="221"/>
      <c r="N32" s="221"/>
      <c r="O32" s="221"/>
      <c r="P32" s="222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6">
      <c r="A33" s="31" t="str">
        <f>ChkList!A17</f>
        <v>계정 관리</v>
      </c>
      <c r="B33" s="31" t="str">
        <f>ChkList!B17</f>
        <v>U-13</v>
      </c>
      <c r="C33" s="270" t="str">
        <f>ChkList!C17</f>
        <v>안전한 비밀번호 암호화 알고리즘 사용</v>
      </c>
      <c r="D33" s="221"/>
      <c r="E33" s="222"/>
      <c r="F33" s="31" t="str">
        <f>ChkList!D17</f>
        <v>M</v>
      </c>
      <c r="G33" s="31">
        <f>ChkList!E17</f>
        <v>2</v>
      </c>
      <c r="H33" s="168" t="s">
        <v>50</v>
      </c>
      <c r="I33" s="167" t="s">
        <v>255</v>
      </c>
      <c r="J33" s="28" t="s">
        <v>378</v>
      </c>
      <c r="K33" s="28" t="str">
        <f t="shared" si="4"/>
        <v>Y</v>
      </c>
      <c r="L33" s="270" t="s">
        <v>364</v>
      </c>
      <c r="M33" s="221"/>
      <c r="N33" s="221"/>
      <c r="O33" s="221"/>
      <c r="P33" s="222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6">
      <c r="A34" s="31" t="str">
        <f>ChkList!A18</f>
        <v>파일 및 디렉터리 관리</v>
      </c>
      <c r="B34" s="31" t="str">
        <f>ChkList!B18</f>
        <v>U-14</v>
      </c>
      <c r="C34" s="270" t="str">
        <f>ChkList!C18</f>
        <v>root 홈, 패스 디렉터리 권한 및 패스 설정</v>
      </c>
      <c r="D34" s="221"/>
      <c r="E34" s="222"/>
      <c r="F34" s="31" t="str">
        <f>ChkList!D18</f>
        <v>H</v>
      </c>
      <c r="G34" s="31">
        <f>ChkList!E18</f>
        <v>3</v>
      </c>
      <c r="H34" s="168" t="s">
        <v>50</v>
      </c>
      <c r="I34" s="167" t="s">
        <v>256</v>
      </c>
      <c r="J34" s="28" t="s">
        <v>378</v>
      </c>
      <c r="K34" s="28" t="str">
        <f t="shared" si="4"/>
        <v>Y</v>
      </c>
      <c r="L34" s="270" t="s">
        <v>363</v>
      </c>
      <c r="M34" s="221"/>
      <c r="N34" s="221"/>
      <c r="O34" s="221"/>
      <c r="P34" s="222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6">
      <c r="A35" s="31" t="str">
        <f>ChkList!A19</f>
        <v>파일 및 디렉터리 관리</v>
      </c>
      <c r="B35" s="31" t="str">
        <f>ChkList!B19</f>
        <v>U-15</v>
      </c>
      <c r="C35" s="270" t="str">
        <f>ChkList!C19</f>
        <v>파일 및 디렉터리 소유자 설정</v>
      </c>
      <c r="D35" s="221"/>
      <c r="E35" s="222"/>
      <c r="F35" s="31" t="str">
        <f>ChkList!D19</f>
        <v>H</v>
      </c>
      <c r="G35" s="31">
        <f>ChkList!E19</f>
        <v>3</v>
      </c>
      <c r="H35" s="168" t="s">
        <v>50</v>
      </c>
      <c r="I35" s="167" t="s">
        <v>258</v>
      </c>
      <c r="J35" s="28" t="s">
        <v>50</v>
      </c>
      <c r="K35" s="28" t="str">
        <f t="shared" si="4"/>
        <v>Y</v>
      </c>
      <c r="L35" s="270" t="s">
        <v>258</v>
      </c>
      <c r="M35" s="221"/>
      <c r="N35" s="221"/>
      <c r="O35" s="221"/>
      <c r="P35" s="222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6">
      <c r="A36" s="31" t="str">
        <f>ChkList!A20</f>
        <v>파일 및 디렉터리 관리</v>
      </c>
      <c r="B36" s="31" t="str">
        <f>ChkList!B20</f>
        <v>U-16</v>
      </c>
      <c r="C36" s="270" t="str">
        <f>ChkList!C20</f>
        <v>/etc/passwd 파일 소유자 및 권한 설정</v>
      </c>
      <c r="D36" s="221"/>
      <c r="E36" s="222"/>
      <c r="F36" s="31" t="str">
        <f>ChkList!D20</f>
        <v>H</v>
      </c>
      <c r="G36" s="31">
        <f>ChkList!E20</f>
        <v>3</v>
      </c>
      <c r="H36" s="168" t="s">
        <v>50</v>
      </c>
      <c r="I36" s="167" t="s">
        <v>259</v>
      </c>
      <c r="J36" s="28" t="s">
        <v>378</v>
      </c>
      <c r="K36" s="28" t="str">
        <f t="shared" si="4"/>
        <v>Y</v>
      </c>
      <c r="L36" s="270" t="s">
        <v>362</v>
      </c>
      <c r="M36" s="221"/>
      <c r="N36" s="221"/>
      <c r="O36" s="221"/>
      <c r="P36" s="222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450000000000003" customHeight="1">
      <c r="A37" s="31" t="str">
        <f>ChkList!A21</f>
        <v>파일 및 디렉터리 관리</v>
      </c>
      <c r="B37" s="31" t="str">
        <f>ChkList!B21</f>
        <v>U-17</v>
      </c>
      <c r="C37" s="270" t="str">
        <f>ChkList!C21</f>
        <v>시스템 시작 스크립트 권한 설정</v>
      </c>
      <c r="D37" s="221"/>
      <c r="E37" s="222"/>
      <c r="F37" s="31" t="str">
        <f>ChkList!D21</f>
        <v>H</v>
      </c>
      <c r="G37" s="31">
        <f>ChkList!E21</f>
        <v>3</v>
      </c>
      <c r="H37" s="168" t="s">
        <v>50</v>
      </c>
      <c r="I37" s="167" t="s">
        <v>261</v>
      </c>
      <c r="J37" s="28" t="s">
        <v>50</v>
      </c>
      <c r="K37" s="28" t="str">
        <f t="shared" si="4"/>
        <v>Y</v>
      </c>
      <c r="L37" s="270" t="s">
        <v>261</v>
      </c>
      <c r="M37" s="221"/>
      <c r="N37" s="221"/>
      <c r="O37" s="221"/>
      <c r="P37" s="222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1" t="str">
        <f>ChkList!A22</f>
        <v>파일 및 디렉터리 관리</v>
      </c>
      <c r="B38" s="31" t="str">
        <f>ChkList!B22</f>
        <v>U-18</v>
      </c>
      <c r="C38" s="270" t="str">
        <f>ChkList!C22</f>
        <v>/etc/shadow 파일 소유자 및 권한 설정</v>
      </c>
      <c r="D38" s="221"/>
      <c r="E38" s="222"/>
      <c r="F38" s="31" t="str">
        <f>ChkList!D22</f>
        <v>H</v>
      </c>
      <c r="G38" s="31">
        <f>ChkList!E22</f>
        <v>3</v>
      </c>
      <c r="H38" s="168" t="s">
        <v>50</v>
      </c>
      <c r="I38" s="167" t="s">
        <v>262</v>
      </c>
      <c r="J38" s="28" t="s">
        <v>378</v>
      </c>
      <c r="K38" s="28" t="str">
        <f t="shared" si="4"/>
        <v>Y</v>
      </c>
      <c r="L38" s="270" t="s">
        <v>361</v>
      </c>
      <c r="M38" s="221"/>
      <c r="N38" s="221"/>
      <c r="O38" s="221"/>
      <c r="P38" s="222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1" t="str">
        <f>ChkList!A23</f>
        <v>파일 및 디렉터리 관리</v>
      </c>
      <c r="B39" s="31" t="str">
        <f>ChkList!B23</f>
        <v>U-19</v>
      </c>
      <c r="C39" s="270" t="str">
        <f>ChkList!C23</f>
        <v>/etc/hosts 파일 소유자 및 권한 설정</v>
      </c>
      <c r="D39" s="221"/>
      <c r="E39" s="222"/>
      <c r="F39" s="31" t="str">
        <f>ChkList!D23</f>
        <v>H</v>
      </c>
      <c r="G39" s="31">
        <f>ChkList!E23</f>
        <v>3</v>
      </c>
      <c r="H39" s="168" t="s">
        <v>50</v>
      </c>
      <c r="I39" s="167" t="s">
        <v>263</v>
      </c>
      <c r="J39" s="28" t="s">
        <v>378</v>
      </c>
      <c r="K39" s="28" t="str">
        <f t="shared" si="4"/>
        <v>Y</v>
      </c>
      <c r="L39" s="270" t="s">
        <v>360</v>
      </c>
      <c r="M39" s="221"/>
      <c r="N39" s="221"/>
      <c r="O39" s="221"/>
      <c r="P39" s="222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43.5" customHeight="1">
      <c r="A40" s="31" t="str">
        <f>ChkList!A24</f>
        <v>파일 및 디렉터리 관리</v>
      </c>
      <c r="B40" s="31" t="str">
        <f>ChkList!B24</f>
        <v>U-20</v>
      </c>
      <c r="C40" s="270" t="str">
        <f>ChkList!C24</f>
        <v>/etc/(x)inetd.conf 파일 소유자 및 권한 설정</v>
      </c>
      <c r="D40" s="221"/>
      <c r="E40" s="222"/>
      <c r="F40" s="31" t="str">
        <f>ChkList!D24</f>
        <v>H</v>
      </c>
      <c r="G40" s="31">
        <f>ChkList!E24</f>
        <v>3</v>
      </c>
      <c r="H40" s="168" t="s">
        <v>50</v>
      </c>
      <c r="I40" s="167" t="s">
        <v>264</v>
      </c>
      <c r="J40" s="168" t="s">
        <v>50</v>
      </c>
      <c r="K40" s="28" t="str">
        <f t="shared" si="4"/>
        <v>Y</v>
      </c>
      <c r="L40" s="271" t="s">
        <v>265</v>
      </c>
      <c r="M40" s="272"/>
      <c r="N40" s="272"/>
      <c r="O40" s="272"/>
      <c r="P40" s="273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>
      <c r="A41" s="31" t="str">
        <f>ChkList!A25</f>
        <v>파일 및 디렉터리 관리</v>
      </c>
      <c r="B41" s="31" t="str">
        <f>ChkList!B25</f>
        <v>U-21</v>
      </c>
      <c r="C41" s="270" t="str">
        <f>ChkList!C25</f>
        <v>/etc/(r)syslog.conf 파일 소유자 및 권한 설정</v>
      </c>
      <c r="D41" s="221"/>
      <c r="E41" s="222"/>
      <c r="F41" s="31" t="str">
        <f>ChkList!D25</f>
        <v>H</v>
      </c>
      <c r="G41" s="31">
        <f>ChkList!E25</f>
        <v>3</v>
      </c>
      <c r="H41" s="168" t="s">
        <v>50</v>
      </c>
      <c r="I41" s="167" t="s">
        <v>266</v>
      </c>
      <c r="J41" s="168" t="s">
        <v>50</v>
      </c>
      <c r="K41" s="28" t="str">
        <f t="shared" si="4"/>
        <v>Y</v>
      </c>
      <c r="L41" s="271" t="s">
        <v>267</v>
      </c>
      <c r="M41" s="272"/>
      <c r="N41" s="272"/>
      <c r="O41" s="272"/>
      <c r="P41" s="273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43.5" customHeight="1">
      <c r="A42" s="31" t="str">
        <f>ChkList!A26</f>
        <v>파일 및 디렉터리 관리</v>
      </c>
      <c r="B42" s="31" t="str">
        <f>ChkList!B26</f>
        <v>U-22</v>
      </c>
      <c r="C42" s="270" t="str">
        <f>ChkList!C26</f>
        <v>/etc/services 파일 소유자 및 권한 설정</v>
      </c>
      <c r="D42" s="221"/>
      <c r="E42" s="222"/>
      <c r="F42" s="31" t="str">
        <f>ChkList!D26</f>
        <v>H</v>
      </c>
      <c r="G42" s="31">
        <f>ChkList!E26</f>
        <v>3</v>
      </c>
      <c r="H42" s="168" t="s">
        <v>50</v>
      </c>
      <c r="I42" s="167" t="s">
        <v>269</v>
      </c>
      <c r="J42" s="168" t="s">
        <v>50</v>
      </c>
      <c r="K42" s="28" t="str">
        <f t="shared" si="4"/>
        <v>Y</v>
      </c>
      <c r="L42" s="271" t="s">
        <v>269</v>
      </c>
      <c r="M42" s="272"/>
      <c r="N42" s="272"/>
      <c r="O42" s="272"/>
      <c r="P42" s="273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>
      <c r="A43" s="31" t="str">
        <f>ChkList!A27</f>
        <v>파일 및 디렉터리 관리</v>
      </c>
      <c r="B43" s="31" t="str">
        <f>ChkList!B27</f>
        <v>U-23</v>
      </c>
      <c r="C43" s="270" t="str">
        <f>ChkList!C27</f>
        <v>SUID, SGID, Sticky bit 설정 파일 점검</v>
      </c>
      <c r="D43" s="221"/>
      <c r="E43" s="222"/>
      <c r="F43" s="31" t="str">
        <f>ChkList!D27</f>
        <v>H</v>
      </c>
      <c r="G43" s="31">
        <f>ChkList!E27</f>
        <v>3</v>
      </c>
      <c r="H43" s="168" t="s">
        <v>50</v>
      </c>
      <c r="I43" s="167" t="s">
        <v>325</v>
      </c>
      <c r="J43" s="28" t="s">
        <v>378</v>
      </c>
      <c r="K43" s="28" t="str">
        <f t="shared" si="4"/>
        <v>Y</v>
      </c>
      <c r="L43" s="270" t="s">
        <v>358</v>
      </c>
      <c r="M43" s="221"/>
      <c r="N43" s="221"/>
      <c r="O43" s="221"/>
      <c r="P43" s="222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1" t="str">
        <f>ChkList!A28</f>
        <v>파일 및 디렉터리 관리</v>
      </c>
      <c r="B44" s="31" t="str">
        <f>ChkList!B28</f>
        <v>U-24</v>
      </c>
      <c r="C44" s="270" t="str">
        <f>ChkList!C28</f>
        <v>사용자, 시스템 시작파일 및 환경파일 소유자 및 권한 설정</v>
      </c>
      <c r="D44" s="221"/>
      <c r="E44" s="222"/>
      <c r="F44" s="31" t="str">
        <f>ChkList!D28</f>
        <v>H</v>
      </c>
      <c r="G44" s="31">
        <f>ChkList!E28</f>
        <v>3</v>
      </c>
      <c r="H44" s="168" t="s">
        <v>50</v>
      </c>
      <c r="I44" s="167" t="s">
        <v>326</v>
      </c>
      <c r="J44" s="168" t="s">
        <v>50</v>
      </c>
      <c r="K44" s="28" t="str">
        <f t="shared" si="4"/>
        <v>Y</v>
      </c>
      <c r="L44" s="270" t="s">
        <v>379</v>
      </c>
      <c r="M44" s="221"/>
      <c r="N44" s="221"/>
      <c r="O44" s="221"/>
      <c r="P44" s="222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43.5" customHeight="1">
      <c r="A45" s="31" t="str">
        <f>ChkList!A29</f>
        <v>파일 및 디렉터리 관리</v>
      </c>
      <c r="B45" s="31" t="str">
        <f>ChkList!B29</f>
        <v>U-25</v>
      </c>
      <c r="C45" s="270" t="str">
        <f>ChkList!C29</f>
        <v>world writable 파일 점검</v>
      </c>
      <c r="D45" s="221"/>
      <c r="E45" s="222"/>
      <c r="F45" s="31" t="str">
        <f>ChkList!D29</f>
        <v>H</v>
      </c>
      <c r="G45" s="31">
        <f>ChkList!E29</f>
        <v>3</v>
      </c>
      <c r="H45" s="168" t="s">
        <v>50</v>
      </c>
      <c r="I45" s="167" t="s">
        <v>272</v>
      </c>
      <c r="J45" s="28" t="s">
        <v>378</v>
      </c>
      <c r="K45" s="28" t="str">
        <f t="shared" si="4"/>
        <v>Y</v>
      </c>
      <c r="L45" s="270" t="s">
        <v>355</v>
      </c>
      <c r="M45" s="221"/>
      <c r="N45" s="221"/>
      <c r="O45" s="221"/>
      <c r="P45" s="222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6">
      <c r="A46" s="31" t="str">
        <f>ChkList!A30</f>
        <v>파일 및 디렉터리 관리</v>
      </c>
      <c r="B46" s="31" t="str">
        <f>ChkList!B30</f>
        <v>U-26</v>
      </c>
      <c r="C46" s="270" t="str">
        <f>ChkList!C30</f>
        <v>/dev에 존재하지 않는 device 파일 점검</v>
      </c>
      <c r="D46" s="221"/>
      <c r="E46" s="222"/>
      <c r="F46" s="31" t="str">
        <f>ChkList!D30</f>
        <v>H</v>
      </c>
      <c r="G46" s="31">
        <f>ChkList!E30</f>
        <v>3</v>
      </c>
      <c r="H46" s="168" t="s">
        <v>50</v>
      </c>
      <c r="I46" s="167" t="s">
        <v>274</v>
      </c>
      <c r="J46" s="168" t="s">
        <v>50</v>
      </c>
      <c r="K46" s="28" t="str">
        <f t="shared" si="4"/>
        <v>Y</v>
      </c>
      <c r="L46" s="270" t="s">
        <v>274</v>
      </c>
      <c r="M46" s="221"/>
      <c r="N46" s="221"/>
      <c r="O46" s="221"/>
      <c r="P46" s="222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6">
      <c r="A47" s="31" t="str">
        <f>ChkList!A31</f>
        <v>파일 및 디렉터리 관리</v>
      </c>
      <c r="B47" s="31" t="str">
        <f>ChkList!B31</f>
        <v>U-27</v>
      </c>
      <c r="C47" s="270" t="str">
        <f>ChkList!C31</f>
        <v>$HOME/.rhosts, hosts.equiv 사용 금지</v>
      </c>
      <c r="D47" s="221"/>
      <c r="E47" s="222"/>
      <c r="F47" s="31" t="str">
        <f>ChkList!D31</f>
        <v>H</v>
      </c>
      <c r="G47" s="31">
        <f>ChkList!E31</f>
        <v>3</v>
      </c>
      <c r="H47" s="168" t="s">
        <v>50</v>
      </c>
      <c r="I47" s="167" t="s">
        <v>276</v>
      </c>
      <c r="J47" s="168" t="s">
        <v>50</v>
      </c>
      <c r="K47" s="28" t="str">
        <f t="shared" si="4"/>
        <v>Y</v>
      </c>
      <c r="L47" s="270" t="s">
        <v>276</v>
      </c>
      <c r="M47" s="221"/>
      <c r="N47" s="221"/>
      <c r="O47" s="221"/>
      <c r="P47" s="222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6">
      <c r="A48" s="31" t="str">
        <f>ChkList!A32</f>
        <v>파일 및 디렉터리 관리</v>
      </c>
      <c r="B48" s="31" t="str">
        <f>ChkList!B32</f>
        <v>U-28</v>
      </c>
      <c r="C48" s="270" t="str">
        <f>ChkList!C32</f>
        <v>접속 IP 및 포트 제한</v>
      </c>
      <c r="D48" s="221"/>
      <c r="E48" s="222"/>
      <c r="F48" s="31" t="str">
        <f>ChkList!D32</f>
        <v>H</v>
      </c>
      <c r="G48" s="31">
        <f>ChkList!E32</f>
        <v>3</v>
      </c>
      <c r="H48" s="168" t="s">
        <v>50</v>
      </c>
      <c r="I48" s="167" t="s">
        <v>277</v>
      </c>
      <c r="J48" s="28" t="s">
        <v>378</v>
      </c>
      <c r="K48" s="28" t="str">
        <f t="shared" si="4"/>
        <v>Y</v>
      </c>
      <c r="L48" s="270" t="s">
        <v>357</v>
      </c>
      <c r="M48" s="221"/>
      <c r="N48" s="221"/>
      <c r="O48" s="221"/>
      <c r="P48" s="222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6">
      <c r="A49" s="31" t="str">
        <f>ChkList!A33</f>
        <v>파일 및 디렉터리 관리</v>
      </c>
      <c r="B49" s="31" t="str">
        <f>ChkList!B33</f>
        <v>U-29</v>
      </c>
      <c r="C49" s="270" t="str">
        <f>ChkList!C33</f>
        <v>hosts.lpd 파일 소유자 및 권한 설정</v>
      </c>
      <c r="D49" s="221"/>
      <c r="E49" s="222"/>
      <c r="F49" s="31" t="str">
        <f>ChkList!D33</f>
        <v>L</v>
      </c>
      <c r="G49" s="31">
        <f>ChkList!E33</f>
        <v>1</v>
      </c>
      <c r="H49" s="168" t="s">
        <v>50</v>
      </c>
      <c r="I49" s="167" t="s">
        <v>279</v>
      </c>
      <c r="J49" s="168" t="s">
        <v>50</v>
      </c>
      <c r="K49" s="28" t="str">
        <f t="shared" si="4"/>
        <v>Y</v>
      </c>
      <c r="L49" s="270" t="s">
        <v>279</v>
      </c>
      <c r="M49" s="221"/>
      <c r="N49" s="221"/>
      <c r="O49" s="221"/>
      <c r="P49" s="222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6">
      <c r="A50" s="31" t="str">
        <f>ChkList!A34</f>
        <v>파일 및 디렉터리 관리</v>
      </c>
      <c r="B50" s="31" t="str">
        <f>ChkList!B34</f>
        <v>U-30</v>
      </c>
      <c r="C50" s="270" t="str">
        <f>ChkList!C34</f>
        <v>UMASK 설정 관리</v>
      </c>
      <c r="D50" s="221"/>
      <c r="E50" s="222"/>
      <c r="F50" s="31" t="str">
        <f>ChkList!D34</f>
        <v>M</v>
      </c>
      <c r="G50" s="31">
        <f>ChkList!E34</f>
        <v>2</v>
      </c>
      <c r="H50" s="168" t="s">
        <v>50</v>
      </c>
      <c r="I50" s="167" t="s">
        <v>327</v>
      </c>
      <c r="J50" s="28" t="s">
        <v>378</v>
      </c>
      <c r="K50" s="28" t="str">
        <f t="shared" si="4"/>
        <v>Y</v>
      </c>
      <c r="L50" s="270" t="s">
        <v>327</v>
      </c>
      <c r="M50" s="221"/>
      <c r="N50" s="221"/>
      <c r="O50" s="221"/>
      <c r="P50" s="222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6">
      <c r="A51" s="31" t="str">
        <f>ChkList!A35</f>
        <v>파일 및 디렉터리 관리</v>
      </c>
      <c r="B51" s="31" t="str">
        <f>ChkList!B35</f>
        <v>U-31</v>
      </c>
      <c r="C51" s="270" t="str">
        <f>ChkList!C35</f>
        <v>홈 디렉터리 소유자 및 권한 설정</v>
      </c>
      <c r="D51" s="221"/>
      <c r="E51" s="222"/>
      <c r="F51" s="31" t="str">
        <f>ChkList!D35</f>
        <v>M</v>
      </c>
      <c r="G51" s="31">
        <f>ChkList!E35</f>
        <v>2</v>
      </c>
      <c r="H51" s="168" t="s">
        <v>50</v>
      </c>
      <c r="I51" s="167" t="s">
        <v>281</v>
      </c>
      <c r="J51" s="28" t="s">
        <v>378</v>
      </c>
      <c r="K51" s="28" t="str">
        <f t="shared" si="4"/>
        <v>Y</v>
      </c>
      <c r="L51" s="270" t="s">
        <v>356</v>
      </c>
      <c r="M51" s="221"/>
      <c r="N51" s="221"/>
      <c r="O51" s="221"/>
      <c r="P51" s="222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6">
      <c r="A52" s="31" t="str">
        <f>ChkList!A36</f>
        <v>파일 및 디렉터리 관리</v>
      </c>
      <c r="B52" s="31" t="str">
        <f>ChkList!B36</f>
        <v>U-32</v>
      </c>
      <c r="C52" s="270" t="str">
        <f>ChkList!C36</f>
        <v>홈 디렉터리로 지정한 디렉터리의 존재 관리</v>
      </c>
      <c r="D52" s="221"/>
      <c r="E52" s="222"/>
      <c r="F52" s="31" t="str">
        <f>ChkList!D36</f>
        <v>M</v>
      </c>
      <c r="G52" s="31">
        <f>ChkList!E36</f>
        <v>2</v>
      </c>
      <c r="H52" s="168" t="s">
        <v>50</v>
      </c>
      <c r="I52" s="167" t="s">
        <v>272</v>
      </c>
      <c r="J52" s="28" t="s">
        <v>378</v>
      </c>
      <c r="K52" s="28" t="str">
        <f t="shared" si="4"/>
        <v>Y</v>
      </c>
      <c r="L52" s="270" t="s">
        <v>355</v>
      </c>
      <c r="M52" s="221"/>
      <c r="N52" s="221"/>
      <c r="O52" s="221"/>
      <c r="P52" s="222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6">
      <c r="A53" s="31" t="str">
        <f>ChkList!A37</f>
        <v>파일 및 디렉터리 관리</v>
      </c>
      <c r="B53" s="31" t="str">
        <f>ChkList!B37</f>
        <v>U-33</v>
      </c>
      <c r="C53" s="270" t="str">
        <f>ChkList!C37</f>
        <v>숨겨진 파일 및 디렉터리 검색 및 제거</v>
      </c>
      <c r="D53" s="221"/>
      <c r="E53" s="222"/>
      <c r="F53" s="31" t="str">
        <f>ChkList!D37</f>
        <v>L</v>
      </c>
      <c r="G53" s="31">
        <f>ChkList!E37</f>
        <v>1</v>
      </c>
      <c r="H53" s="168" t="s">
        <v>50</v>
      </c>
      <c r="I53" s="167" t="s">
        <v>282</v>
      </c>
      <c r="J53" s="28" t="s">
        <v>378</v>
      </c>
      <c r="K53" s="28" t="str">
        <f t="shared" si="4"/>
        <v>Y</v>
      </c>
      <c r="L53" s="270" t="s">
        <v>354</v>
      </c>
      <c r="M53" s="221"/>
      <c r="N53" s="221"/>
      <c r="O53" s="221"/>
      <c r="P53" s="222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.1" customHeight="1">
      <c r="A54" s="31" t="str">
        <f>ChkList!A38</f>
        <v>서비스 관리</v>
      </c>
      <c r="B54" s="31" t="str">
        <f>ChkList!B38</f>
        <v>U-34</v>
      </c>
      <c r="C54" s="270" t="str">
        <f>ChkList!C38</f>
        <v>Finger 서비스 비활성화</v>
      </c>
      <c r="D54" s="221"/>
      <c r="E54" s="222"/>
      <c r="F54" s="31" t="str">
        <f>ChkList!D38</f>
        <v>H</v>
      </c>
      <c r="G54" s="31">
        <f>ChkList!E38</f>
        <v>3</v>
      </c>
      <c r="H54" s="170" t="s">
        <v>283</v>
      </c>
      <c r="I54" s="167" t="s">
        <v>283</v>
      </c>
      <c r="J54" s="28" t="s">
        <v>283</v>
      </c>
      <c r="K54" s="28"/>
      <c r="L54" s="270" t="s">
        <v>284</v>
      </c>
      <c r="M54" s="221"/>
      <c r="N54" s="221"/>
      <c r="O54" s="221"/>
      <c r="P54" s="222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6">
      <c r="A55" s="31" t="str">
        <f>ChkList!A39</f>
        <v>서비스 관리</v>
      </c>
      <c r="B55" s="31" t="str">
        <f>ChkList!B39</f>
        <v>U-35</v>
      </c>
      <c r="C55" s="270" t="str">
        <f>ChkList!C39</f>
        <v>공유 서비스에 대한 익명 접근 제한 설정</v>
      </c>
      <c r="D55" s="221"/>
      <c r="E55" s="222"/>
      <c r="F55" s="31" t="str">
        <f>ChkList!D39</f>
        <v>H</v>
      </c>
      <c r="G55" s="31">
        <f>ChkList!E39</f>
        <v>3</v>
      </c>
      <c r="H55" s="168" t="s">
        <v>50</v>
      </c>
      <c r="I55" s="167" t="s">
        <v>328</v>
      </c>
      <c r="J55" s="28" t="s">
        <v>378</v>
      </c>
      <c r="K55" s="28" t="str">
        <f t="shared" si="4"/>
        <v>Y</v>
      </c>
      <c r="L55" s="270" t="s">
        <v>328</v>
      </c>
      <c r="M55" s="221"/>
      <c r="N55" s="221"/>
      <c r="O55" s="221"/>
      <c r="P55" s="222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6">
      <c r="A56" s="31" t="str">
        <f>ChkList!A40</f>
        <v>서비스 관리</v>
      </c>
      <c r="B56" s="31" t="str">
        <f>ChkList!B40</f>
        <v>U-36</v>
      </c>
      <c r="C56" s="270" t="str">
        <f>ChkList!C40</f>
        <v>r 계열 서비스 비활성화</v>
      </c>
      <c r="D56" s="221"/>
      <c r="E56" s="222"/>
      <c r="F56" s="31" t="str">
        <f>ChkList!D40</f>
        <v>H</v>
      </c>
      <c r="G56" s="31">
        <f>ChkList!E40</f>
        <v>3</v>
      </c>
      <c r="H56" s="168" t="s">
        <v>50</v>
      </c>
      <c r="I56" s="167" t="s">
        <v>286</v>
      </c>
      <c r="J56" s="28" t="s">
        <v>378</v>
      </c>
      <c r="K56" s="28" t="str">
        <f t="shared" si="4"/>
        <v>Y</v>
      </c>
      <c r="L56" s="270" t="s">
        <v>352</v>
      </c>
      <c r="M56" s="221"/>
      <c r="N56" s="221"/>
      <c r="O56" s="221"/>
      <c r="P56" s="222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450000000000003" customHeight="1">
      <c r="A57" s="31" t="str">
        <f>ChkList!A41</f>
        <v>서비스 관리</v>
      </c>
      <c r="B57" s="31" t="str">
        <f>ChkList!B41</f>
        <v>U-37</v>
      </c>
      <c r="C57" s="270" t="str">
        <f>ChkList!C41</f>
        <v>crontab 설정파일 권한 설정 미흡</v>
      </c>
      <c r="D57" s="221"/>
      <c r="E57" s="222"/>
      <c r="F57" s="31" t="str">
        <f>ChkList!D41</f>
        <v>H</v>
      </c>
      <c r="G57" s="31">
        <f>ChkList!E41</f>
        <v>3</v>
      </c>
      <c r="H57" s="168" t="s">
        <v>50</v>
      </c>
      <c r="I57" s="167" t="s">
        <v>287</v>
      </c>
      <c r="J57" s="28" t="s">
        <v>378</v>
      </c>
      <c r="K57" s="28" t="str">
        <f t="shared" si="4"/>
        <v>Y</v>
      </c>
      <c r="L57" s="270" t="s">
        <v>353</v>
      </c>
      <c r="M57" s="221"/>
      <c r="N57" s="221"/>
      <c r="O57" s="221"/>
      <c r="P57" s="222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6">
      <c r="A58" s="31" t="str">
        <f>ChkList!A42</f>
        <v>서비스 관리</v>
      </c>
      <c r="B58" s="31" t="str">
        <f>ChkList!B42</f>
        <v>U-38</v>
      </c>
      <c r="C58" s="270" t="str">
        <f>ChkList!C42</f>
        <v>DoS 공격에 취약한 서비스 비활성화</v>
      </c>
      <c r="D58" s="221"/>
      <c r="E58" s="222"/>
      <c r="F58" s="31" t="str">
        <f>ChkList!D42</f>
        <v>H</v>
      </c>
      <c r="G58" s="31">
        <f>ChkList!E42</f>
        <v>3</v>
      </c>
      <c r="H58" s="168" t="s">
        <v>50</v>
      </c>
      <c r="I58" s="167" t="s">
        <v>289</v>
      </c>
      <c r="J58" s="168" t="s">
        <v>50</v>
      </c>
      <c r="K58" s="28" t="str">
        <f t="shared" si="4"/>
        <v>Y</v>
      </c>
      <c r="L58" s="270" t="s">
        <v>289</v>
      </c>
      <c r="M58" s="221"/>
      <c r="N58" s="221"/>
      <c r="O58" s="221"/>
      <c r="P58" s="222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6">
      <c r="A59" s="31" t="str">
        <f>ChkList!A43</f>
        <v>서비스 관리</v>
      </c>
      <c r="B59" s="31" t="str">
        <f>ChkList!B43</f>
        <v>U-39</v>
      </c>
      <c r="C59" s="270" t="str">
        <f>ChkList!C43</f>
        <v>불필요한 NFS 서비스 비활성화</v>
      </c>
      <c r="D59" s="221"/>
      <c r="E59" s="222"/>
      <c r="F59" s="31" t="str">
        <f>ChkList!D43</f>
        <v>H</v>
      </c>
      <c r="G59" s="31">
        <f>ChkList!E43</f>
        <v>3</v>
      </c>
      <c r="H59" s="168" t="s">
        <v>50</v>
      </c>
      <c r="I59" s="167" t="s">
        <v>329</v>
      </c>
      <c r="J59" s="28" t="s">
        <v>378</v>
      </c>
      <c r="K59" s="28" t="str">
        <f t="shared" si="4"/>
        <v>Y</v>
      </c>
      <c r="L59" s="270" t="s">
        <v>329</v>
      </c>
      <c r="M59" s="221"/>
      <c r="N59" s="221"/>
      <c r="O59" s="221"/>
      <c r="P59" s="222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6">
      <c r="A60" s="31" t="str">
        <f>ChkList!A44</f>
        <v>서비스 관리</v>
      </c>
      <c r="B60" s="31" t="str">
        <f>ChkList!B44</f>
        <v>U-40</v>
      </c>
      <c r="C60" s="270" t="str">
        <f>ChkList!C44</f>
        <v>NFS 접근 통제</v>
      </c>
      <c r="D60" s="221"/>
      <c r="E60" s="222"/>
      <c r="F60" s="31" t="str">
        <f>ChkList!D44</f>
        <v>H</v>
      </c>
      <c r="G60" s="31">
        <f>ChkList!E44</f>
        <v>3</v>
      </c>
      <c r="H60" s="168" t="s">
        <v>50</v>
      </c>
      <c r="I60" s="167" t="s">
        <v>291</v>
      </c>
      <c r="J60" s="28" t="s">
        <v>378</v>
      </c>
      <c r="K60" s="28" t="str">
        <f t="shared" si="4"/>
        <v>Y</v>
      </c>
      <c r="L60" s="270" t="s">
        <v>344</v>
      </c>
      <c r="M60" s="221"/>
      <c r="N60" s="221"/>
      <c r="O60" s="221"/>
      <c r="P60" s="222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6">
      <c r="A61" s="31" t="str">
        <f>ChkList!A45</f>
        <v>서비스 관리</v>
      </c>
      <c r="B61" s="31" t="str">
        <f>ChkList!B45</f>
        <v>U-41</v>
      </c>
      <c r="C61" s="270" t="str">
        <f>ChkList!C45</f>
        <v>불필요한 automountd 제거</v>
      </c>
      <c r="D61" s="221"/>
      <c r="E61" s="222"/>
      <c r="F61" s="31" t="str">
        <f>ChkList!D45</f>
        <v>H</v>
      </c>
      <c r="G61" s="31">
        <f>ChkList!E45</f>
        <v>3</v>
      </c>
      <c r="H61" s="168" t="s">
        <v>50</v>
      </c>
      <c r="I61" s="167" t="s">
        <v>291</v>
      </c>
      <c r="J61" s="28" t="s">
        <v>378</v>
      </c>
      <c r="K61" s="28" t="str">
        <f t="shared" si="4"/>
        <v>Y</v>
      </c>
      <c r="L61" s="270" t="s">
        <v>344</v>
      </c>
      <c r="M61" s="221"/>
      <c r="N61" s="221"/>
      <c r="O61" s="221"/>
      <c r="P61" s="222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6">
      <c r="A62" s="31" t="str">
        <f>ChkList!A46</f>
        <v>서비스 관리</v>
      </c>
      <c r="B62" s="31" t="str">
        <f>ChkList!B46</f>
        <v>U-42</v>
      </c>
      <c r="C62" s="270" t="str">
        <f>ChkList!C46</f>
        <v>불필요한 RPC 서비스 비활성화</v>
      </c>
      <c r="D62" s="221"/>
      <c r="E62" s="222"/>
      <c r="F62" s="31" t="str">
        <f>ChkList!D46</f>
        <v>H</v>
      </c>
      <c r="G62" s="31">
        <f>ChkList!E46</f>
        <v>3</v>
      </c>
      <c r="H62" s="168" t="s">
        <v>50</v>
      </c>
      <c r="I62" s="167" t="s">
        <v>292</v>
      </c>
      <c r="J62" s="28" t="s">
        <v>378</v>
      </c>
      <c r="K62" s="28" t="str">
        <f t="shared" si="4"/>
        <v>Y</v>
      </c>
      <c r="L62" s="270" t="s">
        <v>345</v>
      </c>
      <c r="M62" s="221"/>
      <c r="N62" s="221"/>
      <c r="O62" s="221"/>
      <c r="P62" s="222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6">
      <c r="A63" s="31" t="str">
        <f>ChkList!A47</f>
        <v>서비스 관리</v>
      </c>
      <c r="B63" s="31" t="str">
        <f>ChkList!B47</f>
        <v>U-43</v>
      </c>
      <c r="C63" s="270" t="str">
        <f>ChkList!C47</f>
        <v>NIS, NIS+ 점검</v>
      </c>
      <c r="D63" s="221"/>
      <c r="E63" s="222"/>
      <c r="F63" s="31" t="str">
        <f>ChkList!D47</f>
        <v>H</v>
      </c>
      <c r="G63" s="31">
        <f>ChkList!E47</f>
        <v>3</v>
      </c>
      <c r="H63" s="168" t="s">
        <v>50</v>
      </c>
      <c r="I63" s="167" t="s">
        <v>293</v>
      </c>
      <c r="J63" s="28" t="s">
        <v>378</v>
      </c>
      <c r="K63" s="28" t="str">
        <f t="shared" si="4"/>
        <v>Y</v>
      </c>
      <c r="L63" s="270" t="s">
        <v>346</v>
      </c>
      <c r="M63" s="221"/>
      <c r="N63" s="221"/>
      <c r="O63" s="221"/>
      <c r="P63" s="222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6">
      <c r="A64" s="31" t="str">
        <f>ChkList!A48</f>
        <v>서비스 관리</v>
      </c>
      <c r="B64" s="31" t="str">
        <f>ChkList!B48</f>
        <v>U-44</v>
      </c>
      <c r="C64" s="270" t="str">
        <f>ChkList!C48</f>
        <v>tftp, talk 서비스 비활성화</v>
      </c>
      <c r="D64" s="221"/>
      <c r="E64" s="222"/>
      <c r="F64" s="31" t="str">
        <f>ChkList!D48</f>
        <v>H</v>
      </c>
      <c r="G64" s="31">
        <f>ChkList!E48</f>
        <v>3</v>
      </c>
      <c r="H64" s="168" t="s">
        <v>50</v>
      </c>
      <c r="I64" s="167" t="s">
        <v>294</v>
      </c>
      <c r="J64" s="28" t="s">
        <v>378</v>
      </c>
      <c r="K64" s="28" t="str">
        <f t="shared" si="4"/>
        <v>Y</v>
      </c>
      <c r="L64" s="270" t="s">
        <v>347</v>
      </c>
      <c r="M64" s="221"/>
      <c r="N64" s="221"/>
      <c r="O64" s="221"/>
      <c r="P64" s="222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>
      <c r="A65" s="31" t="str">
        <f>ChkList!A49</f>
        <v>서비스 관리</v>
      </c>
      <c r="B65" s="31" t="str">
        <f>ChkList!B49</f>
        <v>U-45</v>
      </c>
      <c r="C65" s="270" t="str">
        <f>ChkList!C49</f>
        <v>메일 서비스 버전 점검</v>
      </c>
      <c r="D65" s="221"/>
      <c r="E65" s="222"/>
      <c r="F65" s="31" t="str">
        <f>ChkList!D49</f>
        <v>H</v>
      </c>
      <c r="G65" s="31">
        <f>ChkList!E49</f>
        <v>3</v>
      </c>
      <c r="H65" s="168" t="s">
        <v>50</v>
      </c>
      <c r="I65" s="167" t="s">
        <v>295</v>
      </c>
      <c r="J65" s="28" t="s">
        <v>50</v>
      </c>
      <c r="K65" s="28" t="s">
        <v>50</v>
      </c>
      <c r="L65" s="270" t="s">
        <v>348</v>
      </c>
      <c r="M65" s="221"/>
      <c r="N65" s="221"/>
      <c r="O65" s="221"/>
      <c r="P65" s="222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>
      <c r="A66" s="31" t="str">
        <f>ChkList!A50</f>
        <v>서비스 관리</v>
      </c>
      <c r="B66" s="31" t="str">
        <f>ChkList!B50</f>
        <v>U-46</v>
      </c>
      <c r="C66" s="270" t="str">
        <f>ChkList!C50</f>
        <v>일반 사용자의 메일 서비스 실행 방지</v>
      </c>
      <c r="D66" s="221"/>
      <c r="E66" s="222"/>
      <c r="F66" s="31" t="str">
        <f>ChkList!D50</f>
        <v>H</v>
      </c>
      <c r="G66" s="31">
        <f>ChkList!E50</f>
        <v>3</v>
      </c>
      <c r="H66" s="168" t="s">
        <v>50</v>
      </c>
      <c r="I66" s="167" t="s">
        <v>330</v>
      </c>
      <c r="J66" s="28" t="s">
        <v>378</v>
      </c>
      <c r="K66" s="28" t="str">
        <f t="shared" si="4"/>
        <v>Y</v>
      </c>
      <c r="L66" s="270" t="s">
        <v>296</v>
      </c>
      <c r="M66" s="221"/>
      <c r="N66" s="221"/>
      <c r="O66" s="221"/>
      <c r="P66" s="222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>
      <c r="A67" s="31" t="str">
        <f>ChkList!A51</f>
        <v>서비스 관리</v>
      </c>
      <c r="B67" s="31" t="str">
        <f>ChkList!B51</f>
        <v>U-47</v>
      </c>
      <c r="C67" s="270" t="str">
        <f>ChkList!C51</f>
        <v>스팸 메일 릴레이 제한</v>
      </c>
      <c r="D67" s="221"/>
      <c r="E67" s="222"/>
      <c r="F67" s="31" t="str">
        <f>ChkList!D51</f>
        <v>H</v>
      </c>
      <c r="G67" s="31">
        <f>ChkList!E51</f>
        <v>3</v>
      </c>
      <c r="H67" s="168" t="s">
        <v>50</v>
      </c>
      <c r="I67" s="167" t="s">
        <v>297</v>
      </c>
      <c r="J67" s="28" t="s">
        <v>378</v>
      </c>
      <c r="K67" s="28" t="str">
        <f t="shared" si="4"/>
        <v>Y</v>
      </c>
      <c r="L67" s="270" t="s">
        <v>349</v>
      </c>
      <c r="M67" s="221"/>
      <c r="N67" s="221"/>
      <c r="O67" s="221"/>
      <c r="P67" s="222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>
      <c r="A68" s="31" t="str">
        <f>ChkList!A52</f>
        <v>서비스 관리</v>
      </c>
      <c r="B68" s="31" t="str">
        <f>ChkList!B52</f>
        <v>U-48</v>
      </c>
      <c r="C68" s="270" t="str">
        <f>ChkList!C52</f>
        <v>expn, vrfy 명령어 제한</v>
      </c>
      <c r="D68" s="221"/>
      <c r="E68" s="222"/>
      <c r="F68" s="31" t="str">
        <f>ChkList!D52</f>
        <v>M</v>
      </c>
      <c r="G68" s="31">
        <f>ChkList!E52</f>
        <v>2</v>
      </c>
      <c r="H68" s="168" t="s">
        <v>50</v>
      </c>
      <c r="I68" s="167" t="s">
        <v>297</v>
      </c>
      <c r="J68" s="28" t="s">
        <v>378</v>
      </c>
      <c r="K68" s="28" t="str">
        <f t="shared" si="4"/>
        <v>Y</v>
      </c>
      <c r="L68" s="270" t="s">
        <v>349</v>
      </c>
      <c r="M68" s="221"/>
      <c r="N68" s="221"/>
      <c r="O68" s="221"/>
      <c r="P68" s="222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>
      <c r="A69" s="31" t="str">
        <f>ChkList!A53</f>
        <v>서비스 관리</v>
      </c>
      <c r="B69" s="31" t="str">
        <f>ChkList!B53</f>
        <v>U-49</v>
      </c>
      <c r="C69" s="270" t="str">
        <f>ChkList!C53</f>
        <v>DNS 보안 버전 패치</v>
      </c>
      <c r="D69" s="221"/>
      <c r="E69" s="222"/>
      <c r="F69" s="31" t="str">
        <f>ChkList!D53</f>
        <v>H</v>
      </c>
      <c r="G69" s="31">
        <f>ChkList!E53</f>
        <v>3</v>
      </c>
      <c r="H69" s="168" t="s">
        <v>50</v>
      </c>
      <c r="I69" s="167" t="s">
        <v>298</v>
      </c>
      <c r="J69" s="28" t="s">
        <v>378</v>
      </c>
      <c r="K69" s="28" t="str">
        <f t="shared" si="4"/>
        <v>Y</v>
      </c>
      <c r="L69" s="270" t="s">
        <v>350</v>
      </c>
      <c r="M69" s="221"/>
      <c r="N69" s="221"/>
      <c r="O69" s="221"/>
      <c r="P69" s="222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>
      <c r="A70" s="31" t="str">
        <f>ChkList!A54</f>
        <v>서비스 관리</v>
      </c>
      <c r="B70" s="31" t="str">
        <f>ChkList!B54</f>
        <v>U-50</v>
      </c>
      <c r="C70" s="270" t="str">
        <f>ChkList!C54</f>
        <v>DNS Zone Transfer 설정</v>
      </c>
      <c r="D70" s="221"/>
      <c r="E70" s="222"/>
      <c r="F70" s="31" t="str">
        <f>ChkList!D54</f>
        <v>H</v>
      </c>
      <c r="G70" s="31">
        <f>ChkList!E54</f>
        <v>3</v>
      </c>
      <c r="H70" s="168" t="s">
        <v>50</v>
      </c>
      <c r="I70" s="167" t="s">
        <v>331</v>
      </c>
      <c r="J70" s="28" t="s">
        <v>378</v>
      </c>
      <c r="K70" s="28" t="str">
        <f t="shared" si="4"/>
        <v>Y</v>
      </c>
      <c r="L70" s="270" t="s">
        <v>331</v>
      </c>
      <c r="M70" s="221"/>
      <c r="N70" s="221"/>
      <c r="O70" s="221"/>
      <c r="P70" s="222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>
      <c r="A71" s="31" t="str">
        <f>ChkList!A55</f>
        <v>서비스 관리</v>
      </c>
      <c r="B71" s="31" t="str">
        <f>ChkList!B55</f>
        <v>U-51</v>
      </c>
      <c r="C71" s="270" t="str">
        <f>ChkList!C55</f>
        <v>DNS 서비스의 취약한 동적 업데이트 설정 금지</v>
      </c>
      <c r="D71" s="221"/>
      <c r="E71" s="222"/>
      <c r="F71" s="31" t="str">
        <f>ChkList!D55</f>
        <v>M</v>
      </c>
      <c r="G71" s="31">
        <f>ChkList!E55</f>
        <v>2</v>
      </c>
      <c r="H71" s="168" t="s">
        <v>50</v>
      </c>
      <c r="I71" s="167" t="s">
        <v>323</v>
      </c>
      <c r="J71" s="28" t="s">
        <v>378</v>
      </c>
      <c r="K71" s="28" t="str">
        <f t="shared" si="4"/>
        <v>Y</v>
      </c>
      <c r="L71" s="274" t="s">
        <v>323</v>
      </c>
      <c r="M71" s="312"/>
      <c r="N71" s="312"/>
      <c r="O71" s="312"/>
      <c r="P71" s="313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>
      <c r="A72" s="31" t="str">
        <f>ChkList!A56</f>
        <v>서비스 관리</v>
      </c>
      <c r="B72" s="31" t="str">
        <f>ChkList!B56</f>
        <v>U-52</v>
      </c>
      <c r="C72" s="270" t="str">
        <f>ChkList!C56</f>
        <v>Telnet 서비스 비활성화</v>
      </c>
      <c r="D72" s="221"/>
      <c r="E72" s="222"/>
      <c r="F72" s="31" t="str">
        <f>ChkList!D56</f>
        <v>M</v>
      </c>
      <c r="G72" s="31">
        <f>ChkList!E56</f>
        <v>2</v>
      </c>
      <c r="H72" s="168" t="s">
        <v>50</v>
      </c>
      <c r="I72" s="167" t="s">
        <v>323</v>
      </c>
      <c r="J72" s="28" t="s">
        <v>378</v>
      </c>
      <c r="K72" s="28" t="str">
        <f t="shared" si="4"/>
        <v>Y</v>
      </c>
      <c r="L72" s="271" t="s">
        <v>323</v>
      </c>
      <c r="M72" s="272"/>
      <c r="N72" s="272"/>
      <c r="O72" s="272"/>
      <c r="P72" s="273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>
      <c r="A73" s="31" t="str">
        <f>ChkList!A57</f>
        <v>서비스 관리</v>
      </c>
      <c r="B73" s="31" t="str">
        <f>ChkList!B57</f>
        <v>U-53</v>
      </c>
      <c r="C73" s="270" t="str">
        <f>ChkList!C57</f>
        <v>FTP 서비스 정보 노출 제한</v>
      </c>
      <c r="D73" s="221"/>
      <c r="E73" s="222"/>
      <c r="F73" s="31" t="str">
        <f>ChkList!D57</f>
        <v>L</v>
      </c>
      <c r="G73" s="31">
        <f>ChkList!E57</f>
        <v>1</v>
      </c>
      <c r="H73" s="168" t="s">
        <v>50</v>
      </c>
      <c r="I73" s="167" t="s">
        <v>323</v>
      </c>
      <c r="J73" s="28" t="s">
        <v>378</v>
      </c>
      <c r="K73" s="28" t="str">
        <f t="shared" si="4"/>
        <v>Y</v>
      </c>
      <c r="L73" s="271" t="s">
        <v>323</v>
      </c>
      <c r="M73" s="272"/>
      <c r="N73" s="272"/>
      <c r="O73" s="272"/>
      <c r="P73" s="273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>
      <c r="A74" s="31" t="str">
        <f>ChkList!A58</f>
        <v>서비스 관리</v>
      </c>
      <c r="B74" s="31" t="str">
        <f>ChkList!B58</f>
        <v>U-54</v>
      </c>
      <c r="C74" s="270" t="str">
        <f>ChkList!C58</f>
        <v>암호화되지 않는 FTP 서비스 비활성화</v>
      </c>
      <c r="D74" s="221"/>
      <c r="E74" s="222"/>
      <c r="F74" s="31" t="str">
        <f>ChkList!D58</f>
        <v>M</v>
      </c>
      <c r="G74" s="31">
        <f>ChkList!E58</f>
        <v>2</v>
      </c>
      <c r="H74" s="168" t="s">
        <v>50</v>
      </c>
      <c r="I74" s="167" t="s">
        <v>323</v>
      </c>
      <c r="J74" s="28" t="s">
        <v>378</v>
      </c>
      <c r="K74" s="28" t="str">
        <f t="shared" si="4"/>
        <v>Y</v>
      </c>
      <c r="L74" s="271" t="s">
        <v>323</v>
      </c>
      <c r="M74" s="272"/>
      <c r="N74" s="272"/>
      <c r="O74" s="272"/>
      <c r="P74" s="273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70" t="str">
        <f>ChkList!C59</f>
        <v>FTP 계정 Shell 제한</v>
      </c>
      <c r="D75" s="221"/>
      <c r="E75" s="222"/>
      <c r="F75" s="31" t="str">
        <f>ChkList!D59</f>
        <v>M</v>
      </c>
      <c r="G75" s="31">
        <f>ChkList!E59</f>
        <v>2</v>
      </c>
      <c r="H75" s="168" t="s">
        <v>50</v>
      </c>
      <c r="I75" s="167" t="s">
        <v>323</v>
      </c>
      <c r="J75" s="28" t="s">
        <v>378</v>
      </c>
      <c r="K75" s="28" t="str">
        <f t="shared" si="4"/>
        <v>Y</v>
      </c>
      <c r="L75" s="271" t="s">
        <v>323</v>
      </c>
      <c r="M75" s="272"/>
      <c r="N75" s="272"/>
      <c r="O75" s="272"/>
      <c r="P75" s="273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>
      <c r="A76" s="31" t="str">
        <f>ChkList!A60</f>
        <v>서비스 관리</v>
      </c>
      <c r="B76" s="31" t="str">
        <f>ChkList!B60</f>
        <v>U-56</v>
      </c>
      <c r="C76" s="270" t="str">
        <f>ChkList!C60</f>
        <v>FTP 서비스 접근 제어 설정</v>
      </c>
      <c r="D76" s="221"/>
      <c r="E76" s="222"/>
      <c r="F76" s="31" t="str">
        <f>ChkList!D60</f>
        <v>L</v>
      </c>
      <c r="G76" s="31">
        <f>ChkList!E60</f>
        <v>1</v>
      </c>
      <c r="H76" s="168" t="s">
        <v>50</v>
      </c>
      <c r="I76" s="167" t="s">
        <v>323</v>
      </c>
      <c r="J76" s="28" t="s">
        <v>378</v>
      </c>
      <c r="K76" s="28" t="str">
        <f t="shared" si="4"/>
        <v>Y</v>
      </c>
      <c r="L76" s="271" t="s">
        <v>323</v>
      </c>
      <c r="M76" s="272"/>
      <c r="N76" s="272"/>
      <c r="O76" s="272"/>
      <c r="P76" s="273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>
      <c r="A77" s="31" t="str">
        <f>ChkList!A61</f>
        <v>서비스 관리</v>
      </c>
      <c r="B77" s="31" t="str">
        <f>ChkList!B61</f>
        <v>U-57</v>
      </c>
      <c r="C77" s="270" t="str">
        <f>ChkList!C61</f>
        <v>Ftpusers 파일 설정</v>
      </c>
      <c r="D77" s="221"/>
      <c r="E77" s="222"/>
      <c r="F77" s="31" t="str">
        <f>ChkList!D61</f>
        <v>M</v>
      </c>
      <c r="G77" s="31">
        <f>ChkList!E61</f>
        <v>2</v>
      </c>
      <c r="H77" s="168" t="s">
        <v>50</v>
      </c>
      <c r="I77" s="167" t="s">
        <v>323</v>
      </c>
      <c r="J77" s="28" t="s">
        <v>378</v>
      </c>
      <c r="K77" s="28" t="str">
        <f t="shared" si="4"/>
        <v>Y</v>
      </c>
      <c r="L77" s="314" t="s">
        <v>323</v>
      </c>
      <c r="M77" s="272"/>
      <c r="N77" s="272"/>
      <c r="O77" s="272"/>
      <c r="P77" s="273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>
      <c r="A78" s="31" t="str">
        <f>ChkList!A62</f>
        <v>서비스 관리</v>
      </c>
      <c r="B78" s="31" t="str">
        <f>ChkList!B62</f>
        <v>U-58</v>
      </c>
      <c r="C78" s="270" t="str">
        <f>ChkList!C62</f>
        <v>불필요한 SNMP 서비스 구동 점검</v>
      </c>
      <c r="D78" s="221"/>
      <c r="E78" s="222"/>
      <c r="F78" s="31" t="str">
        <f>ChkList!D62</f>
        <v>M</v>
      </c>
      <c r="G78" s="31">
        <f>ChkList!E62</f>
        <v>2</v>
      </c>
      <c r="H78" s="168" t="s">
        <v>50</v>
      </c>
      <c r="I78" s="167" t="s">
        <v>313</v>
      </c>
      <c r="J78" s="28" t="s">
        <v>378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70" t="s">
        <v>338</v>
      </c>
      <c r="M78" s="221"/>
      <c r="N78" s="221"/>
      <c r="O78" s="221"/>
      <c r="P78" s="222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>
      <c r="A79" s="31" t="str">
        <f>ChkList!A63</f>
        <v>서비스 관리</v>
      </c>
      <c r="B79" s="31" t="str">
        <f>ChkList!B63</f>
        <v>U-59</v>
      </c>
      <c r="C79" s="270" t="str">
        <f>ChkList!C63</f>
        <v>안전한 SNMP 버전 사용</v>
      </c>
      <c r="D79" s="221"/>
      <c r="E79" s="222"/>
      <c r="F79" s="31" t="str">
        <f>ChkList!D63</f>
        <v>H</v>
      </c>
      <c r="G79" s="31">
        <f>ChkList!E63</f>
        <v>3</v>
      </c>
      <c r="H79" s="168" t="s">
        <v>50</v>
      </c>
      <c r="I79" s="167" t="s">
        <v>314</v>
      </c>
      <c r="J79" s="28" t="s">
        <v>378</v>
      </c>
      <c r="K79" s="28" t="str">
        <f t="shared" si="4"/>
        <v>Y</v>
      </c>
      <c r="L79" s="270" t="s">
        <v>339</v>
      </c>
      <c r="M79" s="221"/>
      <c r="N79" s="221"/>
      <c r="O79" s="221"/>
      <c r="P79" s="222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>
      <c r="A80" s="31" t="str">
        <f>ChkList!A64</f>
        <v>서비스 관리</v>
      </c>
      <c r="B80" s="31" t="str">
        <f>ChkList!B64</f>
        <v>U-60</v>
      </c>
      <c r="C80" s="270" t="str">
        <f>ChkList!C64</f>
        <v>SNMP Community String 복잡성 설정</v>
      </c>
      <c r="D80" s="221"/>
      <c r="E80" s="222"/>
      <c r="F80" s="31" t="str">
        <f>ChkList!D64</f>
        <v>M</v>
      </c>
      <c r="G80" s="31">
        <f>ChkList!E64</f>
        <v>2</v>
      </c>
      <c r="H80" s="168" t="s">
        <v>50</v>
      </c>
      <c r="I80" s="167" t="s">
        <v>315</v>
      </c>
      <c r="J80" s="28" t="s">
        <v>378</v>
      </c>
      <c r="K80" s="28" t="str">
        <f t="shared" si="4"/>
        <v>Y</v>
      </c>
      <c r="L80" s="270" t="s">
        <v>340</v>
      </c>
      <c r="M80" s="221"/>
      <c r="N80" s="221"/>
      <c r="O80" s="221"/>
      <c r="P80" s="222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>
      <c r="A81" s="31" t="str">
        <f>ChkList!A65</f>
        <v>서비스 관리</v>
      </c>
      <c r="B81" s="31" t="str">
        <f>ChkList!B65</f>
        <v>U-61</v>
      </c>
      <c r="C81" s="270" t="str">
        <f>ChkList!C65</f>
        <v>SNMP Access Control 설정</v>
      </c>
      <c r="D81" s="221"/>
      <c r="E81" s="222"/>
      <c r="F81" s="31" t="str">
        <f>ChkList!D65</f>
        <v>H</v>
      </c>
      <c r="G81" s="31">
        <f>ChkList!E65</f>
        <v>3</v>
      </c>
      <c r="H81" s="168" t="s">
        <v>50</v>
      </c>
      <c r="I81" s="167" t="s">
        <v>316</v>
      </c>
      <c r="J81" s="28" t="s">
        <v>378</v>
      </c>
      <c r="K81" s="28" t="str">
        <f t="shared" si="4"/>
        <v>Y</v>
      </c>
      <c r="L81" s="270" t="s">
        <v>341</v>
      </c>
      <c r="M81" s="221"/>
      <c r="N81" s="221"/>
      <c r="O81" s="221"/>
      <c r="P81" s="222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>
      <c r="A82" s="31" t="str">
        <f>ChkList!A66</f>
        <v>서비스 관리</v>
      </c>
      <c r="B82" s="31" t="str">
        <f>ChkList!B66</f>
        <v>U-62</v>
      </c>
      <c r="C82" s="270" t="str">
        <f>ChkList!C66</f>
        <v>로그인 시 경고 메시지 설정</v>
      </c>
      <c r="D82" s="221"/>
      <c r="E82" s="222"/>
      <c r="F82" s="31" t="str">
        <f>ChkList!D66</f>
        <v>L</v>
      </c>
      <c r="G82" s="31">
        <f>ChkList!E66</f>
        <v>1</v>
      </c>
      <c r="H82" s="168" t="s">
        <v>50</v>
      </c>
      <c r="I82" s="164" t="s">
        <v>317</v>
      </c>
      <c r="J82" s="28" t="s">
        <v>378</v>
      </c>
      <c r="K82" s="28" t="str">
        <f t="shared" si="4"/>
        <v>Y</v>
      </c>
      <c r="L82" s="270" t="s">
        <v>342</v>
      </c>
      <c r="M82" s="221"/>
      <c r="N82" s="221"/>
      <c r="O82" s="221"/>
      <c r="P82" s="222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>
      <c r="A83" s="31" t="str">
        <f>ChkList!A67</f>
        <v>서비스 관리</v>
      </c>
      <c r="B83" s="31" t="str">
        <f>ChkList!B67</f>
        <v>U-63</v>
      </c>
      <c r="C83" s="270" t="str">
        <f>ChkList!C67</f>
        <v>sudo 명령어 접근 관리</v>
      </c>
      <c r="D83" s="221"/>
      <c r="E83" s="222"/>
      <c r="F83" s="31" t="str">
        <f>ChkList!D67</f>
        <v>M</v>
      </c>
      <c r="G83" s="31">
        <f>ChkList!E67</f>
        <v>2</v>
      </c>
      <c r="H83" s="168" t="s">
        <v>50</v>
      </c>
      <c r="I83" s="167" t="s">
        <v>332</v>
      </c>
      <c r="J83" s="28" t="s">
        <v>378</v>
      </c>
      <c r="K83" s="28" t="str">
        <f t="shared" si="4"/>
        <v>Y</v>
      </c>
      <c r="L83" s="270" t="s">
        <v>343</v>
      </c>
      <c r="M83" s="221"/>
      <c r="N83" s="221"/>
      <c r="O83" s="221"/>
      <c r="P83" s="222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70" t="str">
        <f>ChkList!C68</f>
        <v>주기적 보안 패치 및 벤더 권고사항 적용</v>
      </c>
      <c r="D84" s="221"/>
      <c r="E84" s="222"/>
      <c r="F84" s="31" t="str">
        <f>ChkList!D68</f>
        <v>H</v>
      </c>
      <c r="G84" s="31">
        <f>ChkList!E68</f>
        <v>3</v>
      </c>
      <c r="H84" s="168" t="s">
        <v>50</v>
      </c>
      <c r="I84" s="167" t="s">
        <v>319</v>
      </c>
      <c r="J84" s="28" t="s">
        <v>378</v>
      </c>
      <c r="K84" s="28" t="str">
        <f t="shared" si="4"/>
        <v>Y</v>
      </c>
      <c r="L84" s="270" t="s">
        <v>337</v>
      </c>
      <c r="M84" s="221"/>
      <c r="N84" s="221"/>
      <c r="O84" s="221"/>
      <c r="P84" s="222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>
      <c r="A85" s="31" t="str">
        <f>ChkList!A69</f>
        <v>로그 관리</v>
      </c>
      <c r="B85" s="31" t="str">
        <f>ChkList!B69</f>
        <v>U-65</v>
      </c>
      <c r="C85" s="270" t="str">
        <f>ChkList!C69</f>
        <v>NTP 및 시각 동기화 설정</v>
      </c>
      <c r="D85" s="221"/>
      <c r="E85" s="222"/>
      <c r="F85" s="31" t="str">
        <f>ChkList!D69</f>
        <v>M</v>
      </c>
      <c r="G85" s="31">
        <f>ChkList!E69</f>
        <v>2</v>
      </c>
      <c r="H85" s="168" t="s">
        <v>50</v>
      </c>
      <c r="I85" s="167" t="s">
        <v>319</v>
      </c>
      <c r="J85" s="28" t="s">
        <v>378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70" t="s">
        <v>337</v>
      </c>
      <c r="M85" s="221"/>
      <c r="N85" s="221"/>
      <c r="O85" s="221"/>
      <c r="P85" s="222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>
      <c r="A86" s="31" t="str">
        <f>ChkList!A70</f>
        <v>로그 관리</v>
      </c>
      <c r="B86" s="31" t="str">
        <f>ChkList!B70</f>
        <v>U-66</v>
      </c>
      <c r="C86" s="270" t="str">
        <f>ChkList!C70</f>
        <v>정책에 따른 시스템 로깅 설정</v>
      </c>
      <c r="D86" s="221"/>
      <c r="E86" s="222"/>
      <c r="F86" s="31" t="str">
        <f>ChkList!D70</f>
        <v>M</v>
      </c>
      <c r="G86" s="31">
        <f>ChkList!E70</f>
        <v>2</v>
      </c>
      <c r="H86" s="168" t="s">
        <v>50</v>
      </c>
      <c r="I86" s="167" t="s">
        <v>333</v>
      </c>
      <c r="J86" s="28" t="s">
        <v>378</v>
      </c>
      <c r="K86" s="28" t="str">
        <f t="shared" si="5"/>
        <v>Y</v>
      </c>
      <c r="L86" s="270" t="s">
        <v>336</v>
      </c>
      <c r="M86" s="221"/>
      <c r="N86" s="221"/>
      <c r="O86" s="221"/>
      <c r="P86" s="222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>
      <c r="A87" s="31" t="str">
        <f>ChkList!A71</f>
        <v>로그 관리</v>
      </c>
      <c r="B87" s="31" t="str">
        <f>ChkList!B71</f>
        <v>U-67</v>
      </c>
      <c r="C87" s="270" t="str">
        <f>ChkList!C71</f>
        <v>로그 디렉터리 소유자 및 권한 설정</v>
      </c>
      <c r="D87" s="221"/>
      <c r="E87" s="222"/>
      <c r="F87" s="31" t="str">
        <f>ChkList!D71</f>
        <v>M</v>
      </c>
      <c r="G87" s="31">
        <f>ChkList!E71</f>
        <v>2</v>
      </c>
      <c r="H87" s="168" t="s">
        <v>50</v>
      </c>
      <c r="I87" s="167" t="s">
        <v>321</v>
      </c>
      <c r="J87" s="28" t="s">
        <v>378</v>
      </c>
      <c r="K87" s="28" t="str">
        <f t="shared" si="5"/>
        <v>Y</v>
      </c>
      <c r="L87" s="270" t="s">
        <v>335</v>
      </c>
      <c r="M87" s="221"/>
      <c r="N87" s="221"/>
      <c r="O87" s="221"/>
      <c r="P87" s="222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36" priority="89" operator="containsText" text="N">
      <formula>NOT(ISERROR(SEARCH("N",H21)))</formula>
    </cfRule>
    <cfRule type="cellIs" priority="90" operator="equal">
      <formula>"취약"</formula>
    </cfRule>
    <cfRule type="cellIs" priority="91" operator="equal">
      <formula>"양호"</formula>
    </cfRule>
  </conditionalFormatting>
  <conditionalFormatting sqref="J40:J42">
    <cfRule type="containsText" dxfId="35" priority="49" operator="containsText" text="N">
      <formula>NOT(ISERROR(SEARCH("N",J40)))</formula>
    </cfRule>
    <cfRule type="cellIs" priority="50" operator="equal">
      <formula>"취약"</formula>
    </cfRule>
    <cfRule type="cellIs" priority="51" operator="equal">
      <formula>"양호"</formula>
    </cfRule>
  </conditionalFormatting>
  <conditionalFormatting sqref="J44">
    <cfRule type="containsText" dxfId="34" priority="46" operator="containsText" text="N">
      <formula>NOT(ISERROR(SEARCH("N",J44)))</formula>
    </cfRule>
    <cfRule type="cellIs" priority="47" operator="equal">
      <formula>"취약"</formula>
    </cfRule>
    <cfRule type="cellIs" priority="48" operator="equal">
      <formula>"양호"</formula>
    </cfRule>
  </conditionalFormatting>
  <conditionalFormatting sqref="J46:J47">
    <cfRule type="containsText" dxfId="33" priority="40" operator="containsText" text="N">
      <formula>NOT(ISERROR(SEARCH("N",J46)))</formula>
    </cfRule>
    <cfRule type="cellIs" priority="41" operator="equal">
      <formula>"취약"</formula>
    </cfRule>
    <cfRule type="cellIs" priority="42" operator="equal">
      <formula>"양호"</formula>
    </cfRule>
  </conditionalFormatting>
  <conditionalFormatting sqref="J49">
    <cfRule type="containsText" dxfId="32" priority="37" operator="containsText" text="N">
      <formula>NOT(ISERROR(SEARCH("N",J49)))</formula>
    </cfRule>
    <cfRule type="cellIs" priority="38" operator="equal">
      <formula>"취약"</formula>
    </cfRule>
    <cfRule type="cellIs" priority="39" operator="equal">
      <formula>"양호"</formula>
    </cfRule>
  </conditionalFormatting>
  <conditionalFormatting sqref="J58">
    <cfRule type="containsText" dxfId="31" priority="34" operator="containsText" text="N">
      <formula>NOT(ISERROR(SEARCH("N",J58)))</formula>
    </cfRule>
    <cfRule type="cellIs" priority="35" operator="equal">
      <formula>"취약"</formula>
    </cfRule>
    <cfRule type="cellIs" priority="36" operator="equal">
      <formula>"양호"</formula>
    </cfRule>
  </conditionalFormatting>
  <conditionalFormatting sqref="J69:J87">
    <cfRule type="cellIs" dxfId="30" priority="6" stopIfTrue="1" operator="equal">
      <formula>"인터뷰"</formula>
    </cfRule>
    <cfRule type="cellIs" dxfId="29" priority="7" stopIfTrue="1" operator="equal">
      <formula>"R/A"</formula>
    </cfRule>
    <cfRule type="cellIs" dxfId="28" priority="8" stopIfTrue="1" operator="equal">
      <formula>"N/A"</formula>
    </cfRule>
    <cfRule type="cellIs" dxfId="27" priority="9" stopIfTrue="1" operator="equal">
      <formula>"N"</formula>
    </cfRule>
    <cfRule type="expression" dxfId="26" priority="10">
      <formula>OR(IF(J69=0,1,0),IF(J69="-",1,0))</formula>
    </cfRule>
  </conditionalFormatting>
  <conditionalFormatting sqref="J21:K39 K40:K42 J43:K43 K44 J45:K45 K46:K47 J48:K48 K49 J50:K57 K58 J59:K68">
    <cfRule type="cellIs" dxfId="25" priority="66" stopIfTrue="1" operator="equal">
      <formula>"인터뷰"</formula>
    </cfRule>
    <cfRule type="cellIs" dxfId="24" priority="67" stopIfTrue="1" operator="equal">
      <formula>"R/A"</formula>
    </cfRule>
    <cfRule type="cellIs" dxfId="23" priority="68" stopIfTrue="1" operator="equal">
      <formula>"N/A"</formula>
    </cfRule>
    <cfRule type="cellIs" dxfId="22" priority="69" stopIfTrue="1" operator="equal">
      <formula>"N"</formula>
    </cfRule>
    <cfRule type="expression" dxfId="21" priority="70">
      <formula>OR(IF(J21=0,1,0),IF(J21="-",1,0))</formula>
    </cfRule>
  </conditionalFormatting>
  <conditionalFormatting sqref="K21:K87">
    <cfRule type="cellIs" dxfId="20" priority="26" operator="equal">
      <formula>"위험수용"</formula>
    </cfRule>
    <cfRule type="cellIs" dxfId="19" priority="27" operator="equal">
      <formula>"미조치"</formula>
    </cfRule>
    <cfRule type="cellIs" dxfId="18" priority="28" operator="equal">
      <formula>"조치"</formula>
    </cfRule>
  </conditionalFormatting>
  <conditionalFormatting sqref="K69:K87">
    <cfRule type="cellIs" dxfId="17" priority="29" stopIfTrue="1" operator="equal">
      <formula>"인터뷰"</formula>
    </cfRule>
    <cfRule type="cellIs" dxfId="16" priority="30" stopIfTrue="1" operator="equal">
      <formula>"R/A"</formula>
    </cfRule>
    <cfRule type="cellIs" dxfId="15" priority="31" stopIfTrue="1" operator="equal">
      <formula>"N/A"</formula>
    </cfRule>
    <cfRule type="cellIs" dxfId="14" priority="32" stopIfTrue="1" operator="equal">
      <formula>"N"</formula>
    </cfRule>
    <cfRule type="expression" dxfId="13" priority="33">
      <formula>OR(IF(K69=0,1,0),IF(K69="-",1,0))</formula>
    </cfRule>
  </conditionalFormatting>
  <conditionalFormatting sqref="L21:L87">
    <cfRule type="cellIs" dxfId="12" priority="11" stopIfTrue="1" operator="equal">
      <formula>"인터뷰"</formula>
    </cfRule>
    <cfRule type="cellIs" dxfId="11" priority="12" stopIfTrue="1" operator="equal">
      <formula>"R/A"</formula>
    </cfRule>
    <cfRule type="cellIs" dxfId="10" priority="13" stopIfTrue="1" operator="equal">
      <formula>"N/A"</formula>
    </cfRule>
    <cfRule type="cellIs" dxfId="9" priority="14" stopIfTrue="1" operator="equal">
      <formula>"N"</formula>
    </cfRule>
    <cfRule type="expression" dxfId="8" priority="15">
      <formula>OR(IF(L21=0,1,0),IF(L21="-",1,0))</formula>
    </cfRule>
  </conditionalFormatting>
  <conditionalFormatting sqref="Y21:Y58">
    <cfRule type="cellIs" dxfId="7" priority="105" operator="equal">
      <formula>"신규 취약점(즉시조치)"</formula>
    </cfRule>
    <cfRule type="cellIs" dxfId="6" priority="106" operator="equal">
      <formula>"기존 취약점(즉시조치)"</formula>
    </cfRule>
    <cfRule type="cellIs" dxfId="5" priority="107" operator="equal">
      <formula>"기존 취약점"</formula>
    </cfRule>
    <cfRule type="cellIs" dxfId="4" priority="108" operator="equal">
      <formula>"신규 취약점"</formula>
    </cfRule>
    <cfRule type="cellIs" dxfId="3" priority="109" operator="equal">
      <formula>"확인필요"</formula>
    </cfRule>
    <cfRule type="cellIs" dxfId="2" priority="110" operator="equal">
      <formula>"확인필요"</formula>
    </cfRule>
    <cfRule type="cellIs" dxfId="1" priority="111" operator="equal">
      <formula>"신규취약점"</formula>
    </cfRule>
    <cfRule type="cellIs" dxfId="0" priority="112" operator="equal">
      <formula>"조치완료"</formula>
    </cfRule>
  </conditionalFormatting>
  <dataValidations count="4">
    <dataValidation errorStyle="warning" allowBlank="1" showInputMessage="1" showErrorMessage="1" sqref="K21:K64 K66:K87"/>
    <dataValidation type="list" errorStyle="warning" showInputMessage="1" showErrorMessage="1" errorTitle="오류!" error="Y, N, N/A 중에 선택" sqref="J50:J57 J21:J39 J43 J45 J48 J59:J87 K65">
      <formula1>"Y,N,N/A,인터뷰,Y(즉시조치)"</formula1>
    </dataValidation>
    <dataValidation type="list" errorStyle="warning" allowBlank="1" showInputMessage="1" showErrorMessage="1" errorTitle="오류!" error="Y, N, N/A 중에 선택" sqref="J46:J47 J49 J58 J40:J42 J44 H21:H87">
      <formula1>"Y,N,N/A,인터뷰,Y(즉시조치)"</formula1>
    </dataValidation>
    <dataValidation allowBlank="1" showInputMessage="1" showErrorMessage="1" errorTitle="오류!" error="Y, N, N/A 중에 선택" sqref="L21:L87 I21:I87"/>
  </dataValidations>
  <printOptions horizontalCentered="1"/>
  <pageMargins left="0.39370078740157483" right="0.39370078740157483" top="0.59055118110236227" bottom="0.59055118110236227" header="0.39370078740157483" footer="0.39370078740157483"/>
  <pageSetup paperSize="0" fitToHeight="0" orientation="portrait" horizontalDpi="0" verticalDpi="0" copies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이름이 지정된 범위</vt:lpstr>
      </vt:variant>
      <vt:variant>
        <vt:i4>19</vt:i4>
      </vt:variant>
    </vt:vector>
  </HeadingPairs>
  <TitlesOfParts>
    <vt:vector size="37" baseType="lpstr">
      <vt:lpstr>표지</vt:lpstr>
      <vt:lpstr>자산목록</vt:lpstr>
      <vt:lpstr>parm(hidden)</vt:lpstr>
      <vt:lpstr>ChkList</vt:lpstr>
      <vt:lpstr>취약점 진단 통계</vt:lpstr>
      <vt:lpstr>취약점 진단 통계 (이행)</vt:lpstr>
      <vt:lpstr>취약점 진단 항목별 통계</vt:lpstr>
      <vt:lpstr>취약점 진단 항목별 통계 (이행)</vt:lpstr>
      <vt:lpstr>WEB-HQ-Ubuntu</vt:lpstr>
      <vt:lpstr>LOG_HQ_Rocky</vt:lpstr>
      <vt:lpstr>DB_HQ_Rocky</vt:lpstr>
      <vt:lpstr>BDB_HQ_Rocky</vt:lpstr>
      <vt:lpstr>BLOG_HQ_Rocky</vt:lpstr>
      <vt:lpstr>PHP_BR_Rocky</vt:lpstr>
      <vt:lpstr>LOG_BR_Rocky</vt:lpstr>
      <vt:lpstr>DB_BR_Rocky</vt:lpstr>
      <vt:lpstr>BDB_BR_Rocky</vt:lpstr>
      <vt:lpstr>BLOG_BR_Rocky</vt:lpstr>
      <vt:lpstr>BDB_BR_Rocky!Print_Area</vt:lpstr>
      <vt:lpstr>BDB_HQ_Rocky!Print_Area</vt:lpstr>
      <vt:lpstr>BLOG_BR_Rocky!Print_Area</vt:lpstr>
      <vt:lpstr>BLOG_HQ_Rocky!Print_Area</vt:lpstr>
      <vt:lpstr>ChkList!Print_Area</vt:lpstr>
      <vt:lpstr>DB_BR_Rocky!Print_Area</vt:lpstr>
      <vt:lpstr>DB_HQ_Rocky!Print_Area</vt:lpstr>
      <vt:lpstr>LOG_BR_Rocky!Print_Area</vt:lpstr>
      <vt:lpstr>LOG_HQ_Rocky!Print_Area</vt:lpstr>
      <vt:lpstr>PHP_BR_Rocky!Print_Area</vt:lpstr>
      <vt:lpstr>'WEB-HQ-Ubuntu'!Print_Area</vt:lpstr>
      <vt:lpstr>자산목록!Print_Area</vt:lpstr>
      <vt:lpstr>'취약점 진단 통계'!Print_Area</vt:lpstr>
      <vt:lpstr>'취약점 진단 통계 (이행)'!Print_Area</vt:lpstr>
      <vt:lpstr>'취약점 진단 항목별 통계'!Print_Area</vt:lpstr>
      <vt:lpstr>'취약점 진단 항목별 통계 (이행)'!Print_Area</vt:lpstr>
      <vt:lpstr>표지!Print_Area</vt:lpstr>
      <vt:lpstr>'취약점 진단 항목별 통계'!Print_Titles</vt:lpstr>
      <vt:lpstr>'취약점 진단 항목별 통계 (이행)'!Print_Titles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Windows 사용자</cp:lastModifiedBy>
  <cp:revision/>
  <dcterms:created xsi:type="dcterms:W3CDTF">2005-07-28T00:20:00Z</dcterms:created>
  <dcterms:modified xsi:type="dcterms:W3CDTF">2026-06-30T03:55:30Z</dcterms:modified>
  <cp:category/>
  <cp:contentStatus/>
</cp:coreProperties>
</file>
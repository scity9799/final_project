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drawings/drawing17.xml" ContentType="application/vnd.openxmlformats-officedocument.drawing+xml"/>
  <Override PartName="/xl/charts/chart15.xml" ContentType="application/vnd.openxmlformats-officedocument.drawingml.chart+xml"/>
  <Override PartName="/xl/drawings/drawing18.xml" ContentType="application/vnd.openxmlformats-officedocument.drawing+xml"/>
  <Override PartName="/xl/charts/chart16.xml" ContentType="application/vnd.openxmlformats-officedocument.drawingml.chart+xml"/>
  <Override PartName="/xl/drawings/drawing19.xml" ContentType="application/vnd.openxmlformats-officedocument.drawing+xml"/>
  <Override PartName="/xl/charts/chart17.xml" ContentType="application/vnd.openxmlformats-officedocument.drawingml.chart+xml"/>
  <Override PartName="/xl/drawings/drawing20.xml" ContentType="application/vnd.openxmlformats-officedocument.drawing+xml"/>
  <Override PartName="/xl/charts/chart18.xml" ContentType="application/vnd.openxmlformats-officedocument.drawingml.chart+xml"/>
  <Override PartName="/xl/drawings/drawing21.xml" ContentType="application/vnd.openxmlformats-officedocument.drawing+xml"/>
  <Override PartName="/xl/charts/chart19.xml" ContentType="application/vnd.openxmlformats-officedocument.drawingml.chart+xml"/>
  <Override PartName="/xl/drawings/drawing22.xml" ContentType="application/vnd.openxmlformats-officedocument.drawing+xml"/>
  <Override PartName="/xl/charts/chart20.xml" ContentType="application/vnd.openxmlformats-officedocument.drawingml.chart+xml"/>
  <Override PartName="/xl/drawings/drawing23.xml" ContentType="application/vnd.openxmlformats-officedocument.drawing+xml"/>
  <Override PartName="/xl/charts/chart21.xml" ContentType="application/vnd.openxmlformats-officedocument.drawingml.chart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drawings/drawing25.xml" ContentType="application/vnd.openxmlformats-officedocument.drawing+xml"/>
  <Override PartName="/xl/charts/chart23.xml" ContentType="application/vnd.openxmlformats-officedocument.drawingml.chart+xml"/>
  <Override PartName="/xl/drawings/drawing26.xml" ContentType="application/vnd.openxmlformats-officedocument.drawing+xml"/>
  <Override PartName="/xl/charts/chart24.xml" ContentType="application/vnd.openxmlformats-officedocument.drawingml.chart+xml"/>
  <Override PartName="/xl/drawings/drawing27.xml" ContentType="application/vnd.openxmlformats-officedocument.drawing+xml"/>
  <Override PartName="/xl/charts/chart25.xml" ContentType="application/vnd.openxmlformats-officedocument.drawingml.chart+xml"/>
  <Override PartName="/xl/drawings/drawing28.xml" ContentType="application/vnd.openxmlformats-officedocument.drawing+xml"/>
  <Override PartName="/xl/charts/chart26.xml" ContentType="application/vnd.openxmlformats-officedocument.drawingml.chart+xml"/>
  <Override PartName="/xl/drawings/drawing29.xml" ContentType="application/vnd.openxmlformats-officedocument.drawing+xml"/>
  <Override PartName="/xl/charts/chart27.xml" ContentType="application/vnd.openxmlformats-officedocument.drawingml.chart+xml"/>
  <Override PartName="/xl/drawings/drawing30.xml" ContentType="application/vnd.openxmlformats-officedocument.drawing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secure_0900\final_project\0.산출물\5.상세보고서\"/>
    </mc:Choice>
  </mc:AlternateContent>
  <bookViews>
    <workbookView xWindow="-90" yWindow="0" windowWidth="12975" windowHeight="15375" tabRatio="852"/>
  </bookViews>
  <sheets>
    <sheet name="표지" sheetId="1" r:id="rId1"/>
    <sheet name="자산목록" sheetId="2" r:id="rId2"/>
    <sheet name="parm(hidden)" sheetId="3" state="hidden" r:id="rId3"/>
    <sheet name="ChkList" sheetId="4" r:id="rId4"/>
    <sheet name="취약점 진단 통계" sheetId="5" r:id="rId5"/>
    <sheet name="취약점 진단 통계 (이행)" sheetId="6" r:id="rId6"/>
    <sheet name="취약점 진단 항목별 통계" sheetId="7" r:id="rId7"/>
    <sheet name="취약점 진단 항목별 통계 (이행)" sheetId="8" r:id="rId8"/>
    <sheet name="P-01" sheetId="11" r:id="rId9"/>
    <sheet name="P-02" sheetId="12" r:id="rId10"/>
    <sheet name="P-03" sheetId="13" r:id="rId11"/>
    <sheet name="P-04" sheetId="15" r:id="rId12"/>
    <sheet name="P-05" sheetId="16" r:id="rId13"/>
    <sheet name="P-06" sheetId="17" r:id="rId14"/>
    <sheet name="P-07" sheetId="18" r:id="rId15"/>
    <sheet name="P-08" sheetId="19" r:id="rId16"/>
    <sheet name="P-09" sheetId="21" r:id="rId17"/>
    <sheet name="P-10" sheetId="22" r:id="rId18"/>
    <sheet name="P-11" sheetId="23" r:id="rId19"/>
    <sheet name="P-12" sheetId="24" r:id="rId20"/>
    <sheet name="P-13" sheetId="20" r:id="rId21"/>
    <sheet name="P-14" sheetId="25" r:id="rId22"/>
    <sheet name="P-15" sheetId="26" r:id="rId23"/>
    <sheet name="P-16" sheetId="27" r:id="rId24"/>
    <sheet name="P-17" sheetId="28" r:id="rId25"/>
    <sheet name="P-18" sheetId="29" r:id="rId26"/>
    <sheet name="P-19" sheetId="37" r:id="rId27"/>
    <sheet name="P-20" sheetId="30" r:id="rId28"/>
    <sheet name="P-21" sheetId="31" r:id="rId29"/>
    <sheet name="P-22" sheetId="32" r:id="rId30"/>
    <sheet name="P-23" sheetId="33" r:id="rId31"/>
    <sheet name="P-24" sheetId="34" r:id="rId32"/>
    <sheet name="P-25" sheetId="35" r:id="rId33"/>
    <sheet name="P-26" sheetId="36" r:id="rId34"/>
  </sheets>
  <definedNames>
    <definedName name="_xlnm._FilterDatabase" localSheetId="3" hidden="1">ChkList!$A$4:$F$4</definedName>
    <definedName name="_xlnm.Print_Area" localSheetId="3">ChkList!$A$1:$F$22</definedName>
    <definedName name="_xlnm.Print_Area" localSheetId="8">'P-01'!$A$1:$Q$37</definedName>
    <definedName name="_xlnm.Print_Area" localSheetId="9">'P-02'!$A$1:$Q$38</definedName>
    <definedName name="_xlnm.Print_Area" localSheetId="10">'P-03'!$A$1:$Q$38</definedName>
    <definedName name="_xlnm.Print_Area" localSheetId="11">'P-04'!$A$1:$Q$38</definedName>
    <definedName name="_xlnm.Print_Area" localSheetId="12">'P-05'!$A$1:$Q$38</definedName>
    <definedName name="_xlnm.Print_Area" localSheetId="13">'P-06'!$A$1:$Q$38</definedName>
    <definedName name="_xlnm.Print_Area" localSheetId="14">'P-07'!$A$1:$Q$38</definedName>
    <definedName name="_xlnm.Print_Area" localSheetId="15">'P-08'!$A$1:$Q$38</definedName>
    <definedName name="_xlnm.Print_Area" localSheetId="16">'P-09'!$A$1:$Q$38</definedName>
    <definedName name="_xlnm.Print_Area" localSheetId="17">'P-10'!$A$1:$Q$38</definedName>
    <definedName name="_xlnm.Print_Area" localSheetId="18">'P-11'!$A$1:$Q$38</definedName>
    <definedName name="_xlnm.Print_Area" localSheetId="19">'P-12'!$A$1:$Q$38</definedName>
    <definedName name="_xlnm.Print_Area" localSheetId="20">'P-13'!$A$1:$Q$38</definedName>
    <definedName name="_xlnm.Print_Area" localSheetId="21">'P-14'!$A$1:$Q$38</definedName>
    <definedName name="_xlnm.Print_Area" localSheetId="22">'P-15'!$A$1:$Q$38</definedName>
    <definedName name="_xlnm.Print_Area" localSheetId="23">'P-16'!$A$1:$Q$38</definedName>
    <definedName name="_xlnm.Print_Area" localSheetId="24">'P-17'!$A$1:$Q$38</definedName>
    <definedName name="_xlnm.Print_Area" localSheetId="25">'P-18'!$A$1:$Q$38</definedName>
    <definedName name="_xlnm.Print_Area" localSheetId="26">'P-19'!$A$1:$Q$38</definedName>
    <definedName name="_xlnm.Print_Area" localSheetId="27">'P-20'!$A$1:$Q$38</definedName>
    <definedName name="_xlnm.Print_Area" localSheetId="28">'P-21'!$A$1:$Q$38</definedName>
    <definedName name="_xlnm.Print_Area" localSheetId="29">'P-22'!$A$1:$Q$38</definedName>
    <definedName name="_xlnm.Print_Area" localSheetId="30">'P-23'!$A$1:$Q$38</definedName>
    <definedName name="_xlnm.Print_Area" localSheetId="31">'P-24'!$A$1:$Q$38</definedName>
    <definedName name="_xlnm.Print_Area" localSheetId="32">'P-25'!$A$1:$Q$38</definedName>
    <definedName name="_xlnm.Print_Area" localSheetId="33">'P-26'!$A$1:$Q$38</definedName>
    <definedName name="_xlnm.Print_Area" localSheetId="1">자산목록!$A$1:$Q$30</definedName>
    <definedName name="_xlnm.Print_Area" localSheetId="4">'취약점 진단 통계'!$A$1:$L$67</definedName>
    <definedName name="_xlnm.Print_Area" localSheetId="5">'취약점 진단 통계 (이행)'!$A$1:$U$67</definedName>
    <definedName name="_xlnm.Print_Area" localSheetId="6">'취약점 진단 항목별 통계'!$A$1:$O$23</definedName>
    <definedName name="_xlnm.Print_Area" localSheetId="7">'취약점 진단 항목별 통계 (이행)'!$A$1:$U$23</definedName>
    <definedName name="_xlnm.Print_Area" localSheetId="0">표지!$A$1:$K$14</definedName>
    <definedName name="_xlnm.Print_Titles" localSheetId="6">'취약점 진단 항목별 통계'!$A:$L</definedName>
    <definedName name="_xlnm.Print_Titles" localSheetId="7">'취약점 진단 항목별 통계 (이행)'!$A:$Q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2" l="1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A21" i="12"/>
  <c r="B21" i="12"/>
  <c r="A22" i="12"/>
  <c r="B22" i="12"/>
  <c r="A23" i="12"/>
  <c r="B23" i="12"/>
  <c r="A24" i="12"/>
  <c r="B24" i="12"/>
  <c r="A25" i="12"/>
  <c r="B25" i="12"/>
  <c r="A26" i="12"/>
  <c r="B26" i="12"/>
  <c r="A27" i="12"/>
  <c r="B27" i="12"/>
  <c r="A28" i="12"/>
  <c r="B28" i="12"/>
  <c r="A29" i="12"/>
  <c r="B29" i="12"/>
  <c r="A30" i="12"/>
  <c r="B30" i="12"/>
  <c r="A31" i="12"/>
  <c r="B31" i="12"/>
  <c r="A32" i="12"/>
  <c r="B32" i="12"/>
  <c r="A33" i="12"/>
  <c r="B33" i="12"/>
  <c r="A34" i="12"/>
  <c r="B34" i="12"/>
  <c r="A35" i="12"/>
  <c r="B35" i="12"/>
  <c r="A36" i="12"/>
  <c r="B36" i="12"/>
  <c r="A37" i="12"/>
  <c r="B37" i="12"/>
  <c r="A38" i="12"/>
  <c r="B38" i="12"/>
  <c r="G20" i="12"/>
  <c r="F20" i="12"/>
  <c r="C20" i="12"/>
  <c r="B20" i="12"/>
  <c r="A20" i="12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20" i="11"/>
  <c r="F20" i="11"/>
  <c r="G20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20" i="11"/>
  <c r="A41" i="6" l="1"/>
  <c r="A58" i="6"/>
  <c r="A57" i="6"/>
  <c r="C45" i="5"/>
  <c r="C46" i="5"/>
  <c r="C52" i="5"/>
  <c r="C53" i="5"/>
  <c r="C54" i="5"/>
  <c r="C60" i="5"/>
  <c r="C61" i="5"/>
  <c r="C62" i="5"/>
  <c r="A65" i="5"/>
  <c r="A66" i="5"/>
  <c r="A64" i="5"/>
  <c r="C64" i="5" s="1"/>
  <c r="A63" i="5"/>
  <c r="A62" i="5"/>
  <c r="A61" i="5"/>
  <c r="A60" i="5"/>
  <c r="A59" i="5"/>
  <c r="C59" i="5" s="1"/>
  <c r="A58" i="5"/>
  <c r="C58" i="5" s="1"/>
  <c r="A57" i="5"/>
  <c r="C57" i="5" s="1"/>
  <c r="A56" i="5"/>
  <c r="C56" i="5" s="1"/>
  <c r="A55" i="5"/>
  <c r="C55" i="5" s="1"/>
  <c r="A54" i="5"/>
  <c r="A53" i="5"/>
  <c r="A52" i="5"/>
  <c r="A51" i="5"/>
  <c r="C51" i="5" s="1"/>
  <c r="A50" i="5"/>
  <c r="C50" i="5" s="1"/>
  <c r="A49" i="5"/>
  <c r="A48" i="5"/>
  <c r="C48" i="5" s="1"/>
  <c r="A47" i="5"/>
  <c r="A46" i="5"/>
  <c r="A45" i="5"/>
  <c r="I61" i="5"/>
  <c r="I62" i="5"/>
  <c r="I65" i="5"/>
  <c r="I53" i="5"/>
  <c r="I46" i="5"/>
  <c r="I50" i="5"/>
  <c r="I57" i="5"/>
  <c r="I56" i="5"/>
  <c r="I49" i="5"/>
  <c r="I54" i="5"/>
  <c r="I66" i="5"/>
  <c r="I63" i="5"/>
  <c r="I60" i="5"/>
  <c r="I45" i="5"/>
  <c r="I64" i="5"/>
  <c r="I47" i="5"/>
  <c r="I52" i="5"/>
  <c r="I59" i="5"/>
  <c r="C66" i="5" l="1"/>
  <c r="C49" i="5"/>
  <c r="C63" i="5"/>
  <c r="C47" i="5"/>
  <c r="C65" i="5"/>
  <c r="A42" i="5"/>
  <c r="A43" i="5"/>
  <c r="A44" i="5"/>
  <c r="J38" i="37"/>
  <c r="F38" i="37"/>
  <c r="J37" i="37"/>
  <c r="F37" i="37"/>
  <c r="S37" i="37" s="1"/>
  <c r="J36" i="37"/>
  <c r="F36" i="37"/>
  <c r="J35" i="37"/>
  <c r="K35" i="37" s="1"/>
  <c r="F35" i="37"/>
  <c r="S35" i="37" s="1"/>
  <c r="J34" i="37"/>
  <c r="F34" i="37"/>
  <c r="J33" i="37"/>
  <c r="Q33" i="37" s="1"/>
  <c r="F33" i="37"/>
  <c r="R33" i="37" s="1"/>
  <c r="J32" i="37"/>
  <c r="F32" i="37"/>
  <c r="R31" i="37"/>
  <c r="J31" i="37"/>
  <c r="Q31" i="37" s="1"/>
  <c r="F31" i="37"/>
  <c r="J30" i="37"/>
  <c r="Q30" i="37" s="1"/>
  <c r="F30" i="37"/>
  <c r="R30" i="37" s="1"/>
  <c r="J29" i="37"/>
  <c r="F29" i="37"/>
  <c r="J28" i="37"/>
  <c r="Q28" i="37" s="1"/>
  <c r="F28" i="37"/>
  <c r="S28" i="37" s="1"/>
  <c r="J27" i="37"/>
  <c r="F27" i="37"/>
  <c r="J26" i="37"/>
  <c r="Q26" i="37" s="1"/>
  <c r="F26" i="37"/>
  <c r="J25" i="37"/>
  <c r="K25" i="37" s="1"/>
  <c r="F25" i="37"/>
  <c r="J24" i="37"/>
  <c r="Q24" i="37" s="1"/>
  <c r="F24" i="37"/>
  <c r="S24" i="37" s="1"/>
  <c r="J23" i="37"/>
  <c r="K23" i="37" s="1"/>
  <c r="F23" i="37"/>
  <c r="J22" i="37"/>
  <c r="F22" i="37"/>
  <c r="J21" i="37"/>
  <c r="Q21" i="37" s="1"/>
  <c r="F21" i="37"/>
  <c r="S21" i="37" s="1"/>
  <c r="J20" i="37"/>
  <c r="F20" i="37"/>
  <c r="R20" i="37" s="1"/>
  <c r="V15" i="37"/>
  <c r="A15" i="37"/>
  <c r="V14" i="37"/>
  <c r="A14" i="37"/>
  <c r="V13" i="37"/>
  <c r="A13" i="37"/>
  <c r="V12" i="37"/>
  <c r="A12" i="37"/>
  <c r="B4" i="37"/>
  <c r="F4" i="37" s="1"/>
  <c r="C47" i="6"/>
  <c r="C49" i="6"/>
  <c r="C50" i="6"/>
  <c r="C51" i="6"/>
  <c r="C52" i="6"/>
  <c r="C53" i="6"/>
  <c r="C54" i="6"/>
  <c r="C55" i="6"/>
  <c r="C57" i="6"/>
  <c r="C58" i="6"/>
  <c r="C65" i="6"/>
  <c r="C66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C56" i="6" s="1"/>
  <c r="A59" i="6"/>
  <c r="A60" i="6"/>
  <c r="A61" i="6"/>
  <c r="A62" i="6"/>
  <c r="A63" i="6"/>
  <c r="A64" i="6"/>
  <c r="A65" i="6"/>
  <c r="A66" i="6"/>
  <c r="P51" i="6"/>
  <c r="R49" i="6"/>
  <c r="S65" i="6"/>
  <c r="L54" i="6"/>
  <c r="L47" i="6"/>
  <c r="K57" i="6"/>
  <c r="M66" i="6"/>
  <c r="K51" i="6"/>
  <c r="S49" i="6"/>
  <c r="L59" i="6"/>
  <c r="I55" i="5"/>
  <c r="R65" i="6"/>
  <c r="K49" i="6"/>
  <c r="P49" i="6"/>
  <c r="M50" i="6"/>
  <c r="R43" i="6"/>
  <c r="K58" i="6"/>
  <c r="K62" i="6"/>
  <c r="U49" i="6"/>
  <c r="J61" i="6"/>
  <c r="L57" i="6"/>
  <c r="J49" i="6"/>
  <c r="J65" i="6"/>
  <c r="S48" i="6"/>
  <c r="U50" i="6"/>
  <c r="M57" i="6"/>
  <c r="M47" i="6"/>
  <c r="S58" i="6"/>
  <c r="R63" i="6"/>
  <c r="K52" i="6"/>
  <c r="U51" i="6"/>
  <c r="U65" i="6"/>
  <c r="R50" i="6"/>
  <c r="L55" i="6"/>
  <c r="S51" i="6"/>
  <c r="L65" i="6"/>
  <c r="K54" i="6"/>
  <c r="K65" i="6"/>
  <c r="M54" i="6"/>
  <c r="P47" i="6"/>
  <c r="M52" i="6"/>
  <c r="U55" i="6"/>
  <c r="U54" i="6"/>
  <c r="L45" i="6"/>
  <c r="K46" i="6"/>
  <c r="U47" i="6"/>
  <c r="I51" i="5"/>
  <c r="L49" i="6"/>
  <c r="K47" i="6"/>
  <c r="P65" i="6"/>
  <c r="J50" i="6"/>
  <c r="L53" i="6"/>
  <c r="R47" i="6"/>
  <c r="P55" i="6"/>
  <c r="J57" i="6"/>
  <c r="M53" i="6"/>
  <c r="P57" i="6"/>
  <c r="R53" i="6"/>
  <c r="S52" i="6"/>
  <c r="L58" i="6"/>
  <c r="S60" i="6"/>
  <c r="J52" i="6"/>
  <c r="S50" i="6"/>
  <c r="R48" i="6"/>
  <c r="J54" i="6"/>
  <c r="J55" i="6"/>
  <c r="L66" i="6"/>
  <c r="J46" i="6"/>
  <c r="U53" i="6"/>
  <c r="P50" i="6"/>
  <c r="J63" i="6"/>
  <c r="P58" i="6"/>
  <c r="R51" i="6"/>
  <c r="K55" i="6"/>
  <c r="S64" i="6"/>
  <c r="M65" i="6"/>
  <c r="R57" i="6"/>
  <c r="R58" i="6"/>
  <c r="K50" i="6"/>
  <c r="M58" i="6"/>
  <c r="U57" i="6"/>
  <c r="J44" i="6"/>
  <c r="K59" i="6"/>
  <c r="L60" i="6"/>
  <c r="J48" i="6"/>
  <c r="S47" i="6"/>
  <c r="P60" i="6"/>
  <c r="U52" i="6"/>
  <c r="J47" i="6"/>
  <c r="R54" i="6"/>
  <c r="L48" i="6"/>
  <c r="S54" i="6"/>
  <c r="P45" i="6"/>
  <c r="R52" i="6"/>
  <c r="R55" i="6"/>
  <c r="K45" i="6"/>
  <c r="U60" i="6"/>
  <c r="K48" i="6"/>
  <c r="S57" i="6"/>
  <c r="P59" i="6"/>
  <c r="J45" i="6"/>
  <c r="P53" i="6"/>
  <c r="U58" i="6"/>
  <c r="K53" i="6"/>
  <c r="J58" i="6"/>
  <c r="U44" i="6"/>
  <c r="L50" i="6"/>
  <c r="L52" i="6"/>
  <c r="I48" i="5"/>
  <c r="M55" i="6"/>
  <c r="J51" i="6"/>
  <c r="M61" i="6"/>
  <c r="S55" i="6"/>
  <c r="L51" i="6"/>
  <c r="S66" i="6"/>
  <c r="J53" i="6"/>
  <c r="S53" i="6"/>
  <c r="P54" i="6"/>
  <c r="L62" i="6"/>
  <c r="P52" i="6"/>
  <c r="I58" i="5"/>
  <c r="R35" i="37" l="1"/>
  <c r="S30" i="37"/>
  <c r="C64" i="6"/>
  <c r="C62" i="6"/>
  <c r="C46" i="6"/>
  <c r="R21" i="37"/>
  <c r="R28" i="37"/>
  <c r="C43" i="5"/>
  <c r="C42" i="5"/>
  <c r="C63" i="6"/>
  <c r="C61" i="6"/>
  <c r="C45" i="6"/>
  <c r="R37" i="37"/>
  <c r="C60" i="6"/>
  <c r="C44" i="6"/>
  <c r="U28" i="37"/>
  <c r="C48" i="6"/>
  <c r="C59" i="6"/>
  <c r="C44" i="5"/>
  <c r="U35" i="37"/>
  <c r="U26" i="37"/>
  <c r="Q35" i="37"/>
  <c r="K24" i="37"/>
  <c r="U31" i="37"/>
  <c r="K28" i="37"/>
  <c r="T28" i="37" s="1"/>
  <c r="U36" i="37"/>
  <c r="R26" i="37"/>
  <c r="U29" i="37"/>
  <c r="U22" i="37"/>
  <c r="S26" i="37"/>
  <c r="S33" i="37"/>
  <c r="U33" i="37"/>
  <c r="U37" i="37"/>
  <c r="U38" i="37"/>
  <c r="U32" i="37"/>
  <c r="U27" i="37"/>
  <c r="T35" i="37"/>
  <c r="U34" i="37"/>
  <c r="U20" i="37"/>
  <c r="T24" i="37"/>
  <c r="U24" i="37"/>
  <c r="B5" i="37"/>
  <c r="S5" i="37"/>
  <c r="S4" i="37"/>
  <c r="F5" i="37"/>
  <c r="B6" i="37"/>
  <c r="T23" i="37"/>
  <c r="T25" i="37"/>
  <c r="K37" i="37"/>
  <c r="T37" i="37" s="1"/>
  <c r="K30" i="37"/>
  <c r="T30" i="37" s="1"/>
  <c r="Q37" i="37"/>
  <c r="K32" i="37"/>
  <c r="T32" i="37" s="1"/>
  <c r="R23" i="37"/>
  <c r="Q32" i="37"/>
  <c r="F6" i="37"/>
  <c r="U21" i="37"/>
  <c r="Q25" i="37"/>
  <c r="R32" i="37"/>
  <c r="K34" i="37"/>
  <c r="T34" i="37" s="1"/>
  <c r="S23" i="37"/>
  <c r="S6" i="37"/>
  <c r="R25" i="37"/>
  <c r="K27" i="37"/>
  <c r="T27" i="37" s="1"/>
  <c r="U30" i="37"/>
  <c r="S32" i="37"/>
  <c r="Q34" i="37"/>
  <c r="K20" i="37"/>
  <c r="U23" i="37"/>
  <c r="S25" i="37"/>
  <c r="Q27" i="37"/>
  <c r="R34" i="37"/>
  <c r="K36" i="37"/>
  <c r="T36" i="37" s="1"/>
  <c r="Q20" i="37"/>
  <c r="R27" i="37"/>
  <c r="K29" i="37"/>
  <c r="T29" i="37" s="1"/>
  <c r="S34" i="37"/>
  <c r="Q36" i="37"/>
  <c r="K22" i="37"/>
  <c r="T22" i="37" s="1"/>
  <c r="U25" i="37"/>
  <c r="S27" i="37"/>
  <c r="Q29" i="37"/>
  <c r="R36" i="37"/>
  <c r="K38" i="37"/>
  <c r="T38" i="37" s="1"/>
  <c r="S20" i="37"/>
  <c r="Q22" i="37"/>
  <c r="R29" i="37"/>
  <c r="U14" i="37" s="1"/>
  <c r="K31" i="37"/>
  <c r="T31" i="37" s="1"/>
  <c r="S36" i="37"/>
  <c r="Q38" i="37"/>
  <c r="Q23" i="37"/>
  <c r="T20" i="37"/>
  <c r="R22" i="37"/>
  <c r="U12" i="37" s="1"/>
  <c r="S29" i="37"/>
  <c r="R38" i="37"/>
  <c r="A1" i="37"/>
  <c r="S22" i="37"/>
  <c r="K33" i="37"/>
  <c r="T33" i="37" s="1"/>
  <c r="S38" i="37"/>
  <c r="K21" i="37"/>
  <c r="T21" i="37" s="1"/>
  <c r="D12" i="37"/>
  <c r="R24" i="37"/>
  <c r="K26" i="37"/>
  <c r="T26" i="37" s="1"/>
  <c r="S31" i="37"/>
  <c r="N65" i="6"/>
  <c r="N62" i="6"/>
  <c r="N59" i="6"/>
  <c r="N58" i="6"/>
  <c r="N57" i="6"/>
  <c r="N55" i="6"/>
  <c r="N54" i="6"/>
  <c r="N53" i="6"/>
  <c r="N52" i="6"/>
  <c r="N51" i="6"/>
  <c r="N50" i="6"/>
  <c r="N49" i="6"/>
  <c r="N48" i="6"/>
  <c r="N47" i="6"/>
  <c r="N45" i="6"/>
  <c r="C43" i="6"/>
  <c r="Q24" i="11"/>
  <c r="J66" i="6"/>
  <c r="L61" i="6"/>
  <c r="I42" i="5"/>
  <c r="R59" i="6"/>
  <c r="P63" i="6"/>
  <c r="R56" i="6"/>
  <c r="R44" i="6"/>
  <c r="P56" i="6"/>
  <c r="M48" i="6"/>
  <c r="M59" i="6"/>
  <c r="S43" i="6"/>
  <c r="K44" i="6"/>
  <c r="S46" i="6"/>
  <c r="L46" i="6"/>
  <c r="P61" i="6"/>
  <c r="I43" i="5"/>
  <c r="U63" i="6"/>
  <c r="K43" i="6"/>
  <c r="J62" i="6"/>
  <c r="P46" i="6"/>
  <c r="U62" i="6"/>
  <c r="R66" i="6"/>
  <c r="L56" i="6"/>
  <c r="U61" i="6"/>
  <c r="M63" i="6"/>
  <c r="K60" i="6"/>
  <c r="P43" i="6"/>
  <c r="J60" i="6"/>
  <c r="M64" i="6"/>
  <c r="U59" i="6"/>
  <c r="R62" i="6"/>
  <c r="R60" i="6"/>
  <c r="M62" i="6"/>
  <c r="L64" i="6"/>
  <c r="R64" i="6"/>
  <c r="U64" i="6"/>
  <c r="J59" i="6"/>
  <c r="I44" i="5"/>
  <c r="M56" i="6"/>
  <c r="S62" i="6"/>
  <c r="M44" i="6"/>
  <c r="K66" i="6"/>
  <c r="P62" i="6"/>
  <c r="J64" i="6"/>
  <c r="M60" i="6"/>
  <c r="S59" i="6"/>
  <c r="K61" i="6"/>
  <c r="M49" i="6"/>
  <c r="S61" i="6"/>
  <c r="L63" i="6"/>
  <c r="U45" i="6"/>
  <c r="U56" i="6"/>
  <c r="S44" i="6"/>
  <c r="K63" i="6"/>
  <c r="U46" i="6"/>
  <c r="J56" i="6"/>
  <c r="M45" i="6"/>
  <c r="M51" i="6"/>
  <c r="P66" i="6"/>
  <c r="L43" i="6"/>
  <c r="S63" i="6"/>
  <c r="U66" i="6"/>
  <c r="P64" i="6"/>
  <c r="J43" i="6"/>
  <c r="P48" i="6"/>
  <c r="K56" i="6"/>
  <c r="U48" i="6"/>
  <c r="M46" i="6"/>
  <c r="K64" i="6"/>
  <c r="R61" i="6"/>
  <c r="S56" i="6"/>
  <c r="S45" i="6"/>
  <c r="M43" i="6"/>
  <c r="R46" i="6"/>
  <c r="U43" i="6"/>
  <c r="R45" i="6"/>
  <c r="P44" i="6"/>
  <c r="L44" i="6"/>
  <c r="F12" i="37"/>
  <c r="S15" i="37" l="1"/>
  <c r="S13" i="37"/>
  <c r="U15" i="37"/>
  <c r="N63" i="6"/>
  <c r="N66" i="6"/>
  <c r="N61" i="6"/>
  <c r="N64" i="6"/>
  <c r="N44" i="6"/>
  <c r="N60" i="6"/>
  <c r="N56" i="6"/>
  <c r="N46" i="6"/>
  <c r="R15" i="37"/>
  <c r="T15" i="37"/>
  <c r="S14" i="37"/>
  <c r="R12" i="37"/>
  <c r="T12" i="37"/>
  <c r="S12" i="37"/>
  <c r="T14" i="37"/>
  <c r="R14" i="37"/>
  <c r="R13" i="37"/>
  <c r="U13" i="37"/>
  <c r="T13" i="37"/>
  <c r="N43" i="6"/>
  <c r="J38" i="36"/>
  <c r="F38" i="36"/>
  <c r="J37" i="36"/>
  <c r="F37" i="36"/>
  <c r="J36" i="36"/>
  <c r="F36" i="36"/>
  <c r="J35" i="36"/>
  <c r="K35" i="36" s="1"/>
  <c r="F35" i="36"/>
  <c r="R35" i="36" s="1"/>
  <c r="J34" i="36"/>
  <c r="F34" i="36"/>
  <c r="S34" i="36" s="1"/>
  <c r="J33" i="36"/>
  <c r="K33" i="36" s="1"/>
  <c r="F33" i="36"/>
  <c r="S33" i="36" s="1"/>
  <c r="J32" i="36"/>
  <c r="K32" i="36" s="1"/>
  <c r="F32" i="36"/>
  <c r="R31" i="36"/>
  <c r="J31" i="36"/>
  <c r="K31" i="36" s="1"/>
  <c r="F31" i="36"/>
  <c r="S31" i="36" s="1"/>
  <c r="J30" i="36"/>
  <c r="F30" i="36"/>
  <c r="S30" i="36" s="1"/>
  <c r="J29" i="36"/>
  <c r="Q29" i="36" s="1"/>
  <c r="F29" i="36"/>
  <c r="S29" i="36" s="1"/>
  <c r="J28" i="36"/>
  <c r="K28" i="36" s="1"/>
  <c r="F28" i="36"/>
  <c r="J27" i="36"/>
  <c r="Q27" i="36" s="1"/>
  <c r="F27" i="36"/>
  <c r="J26" i="36"/>
  <c r="F26" i="36"/>
  <c r="S26" i="36" s="1"/>
  <c r="J25" i="36"/>
  <c r="Q25" i="36" s="1"/>
  <c r="F25" i="36"/>
  <c r="S25" i="36" s="1"/>
  <c r="J24" i="36"/>
  <c r="Q24" i="36" s="1"/>
  <c r="F24" i="36"/>
  <c r="S24" i="36" s="1"/>
  <c r="J23" i="36"/>
  <c r="F23" i="36"/>
  <c r="S23" i="36" s="1"/>
  <c r="J22" i="36"/>
  <c r="F22" i="36"/>
  <c r="S22" i="36" s="1"/>
  <c r="J21" i="36"/>
  <c r="K21" i="36" s="1"/>
  <c r="F21" i="36"/>
  <c r="J20" i="36"/>
  <c r="F20" i="36"/>
  <c r="V15" i="36"/>
  <c r="A15" i="36"/>
  <c r="V14" i="36"/>
  <c r="A14" i="36"/>
  <c r="V13" i="36"/>
  <c r="A13" i="36"/>
  <c r="V12" i="36"/>
  <c r="A12" i="36"/>
  <c r="D12" i="36" s="1"/>
  <c r="B4" i="36"/>
  <c r="F4" i="36" s="1"/>
  <c r="J38" i="35"/>
  <c r="Q38" i="35" s="1"/>
  <c r="F38" i="35"/>
  <c r="S38" i="35" s="1"/>
  <c r="J37" i="35"/>
  <c r="F37" i="35"/>
  <c r="R37" i="35" s="1"/>
  <c r="J36" i="35"/>
  <c r="Q36" i="35" s="1"/>
  <c r="F36" i="35"/>
  <c r="S36" i="35" s="1"/>
  <c r="J35" i="35"/>
  <c r="F35" i="35"/>
  <c r="S35" i="35" s="1"/>
  <c r="J34" i="35"/>
  <c r="K34" i="35" s="1"/>
  <c r="F34" i="35"/>
  <c r="R34" i="35" s="1"/>
  <c r="J33" i="35"/>
  <c r="F33" i="35"/>
  <c r="J32" i="35"/>
  <c r="Q32" i="35" s="1"/>
  <c r="F32" i="35"/>
  <c r="R31" i="35"/>
  <c r="J31" i="35"/>
  <c r="F31" i="35"/>
  <c r="J30" i="35"/>
  <c r="K30" i="35" s="1"/>
  <c r="F30" i="35"/>
  <c r="R30" i="35" s="1"/>
  <c r="J29" i="35"/>
  <c r="F29" i="35"/>
  <c r="R29" i="35" s="1"/>
  <c r="J28" i="35"/>
  <c r="K28" i="35" s="1"/>
  <c r="F28" i="35"/>
  <c r="S28" i="35" s="1"/>
  <c r="J27" i="35"/>
  <c r="K27" i="35" s="1"/>
  <c r="F27" i="35"/>
  <c r="J26" i="35"/>
  <c r="K26" i="35" s="1"/>
  <c r="F26" i="35"/>
  <c r="S26" i="35" s="1"/>
  <c r="J25" i="35"/>
  <c r="F25" i="35"/>
  <c r="S25" i="35" s="1"/>
  <c r="J24" i="35"/>
  <c r="F24" i="35"/>
  <c r="J23" i="35"/>
  <c r="K23" i="35" s="1"/>
  <c r="F23" i="35"/>
  <c r="S23" i="35" s="1"/>
  <c r="J22" i="35"/>
  <c r="F22" i="35"/>
  <c r="R22" i="35" s="1"/>
  <c r="J21" i="35"/>
  <c r="Q21" i="35" s="1"/>
  <c r="F21" i="35"/>
  <c r="S21" i="35" s="1"/>
  <c r="J20" i="35"/>
  <c r="F20" i="35"/>
  <c r="S20" i="35" s="1"/>
  <c r="V15" i="35"/>
  <c r="A15" i="35"/>
  <c r="V14" i="35"/>
  <c r="A14" i="35"/>
  <c r="V13" i="35"/>
  <c r="A13" i="35"/>
  <c r="V12" i="35"/>
  <c r="A12" i="35"/>
  <c r="B4" i="35"/>
  <c r="S4" i="35" s="1"/>
  <c r="J38" i="34"/>
  <c r="K38" i="34" s="1"/>
  <c r="F38" i="34"/>
  <c r="J37" i="34"/>
  <c r="K37" i="34" s="1"/>
  <c r="F37" i="34"/>
  <c r="S37" i="34" s="1"/>
  <c r="J36" i="34"/>
  <c r="F36" i="34"/>
  <c r="S36" i="34" s="1"/>
  <c r="J35" i="34"/>
  <c r="F35" i="34"/>
  <c r="S35" i="34" s="1"/>
  <c r="J34" i="34"/>
  <c r="K34" i="34" s="1"/>
  <c r="F34" i="34"/>
  <c r="S34" i="34" s="1"/>
  <c r="J33" i="34"/>
  <c r="F33" i="34"/>
  <c r="U33" i="34" s="1"/>
  <c r="J32" i="34"/>
  <c r="Q32" i="34" s="1"/>
  <c r="F32" i="34"/>
  <c r="S32" i="34" s="1"/>
  <c r="R31" i="34"/>
  <c r="Q31" i="34"/>
  <c r="J31" i="34"/>
  <c r="K31" i="34" s="1"/>
  <c r="F31" i="34"/>
  <c r="S31" i="34" s="1"/>
  <c r="J30" i="34"/>
  <c r="F30" i="34"/>
  <c r="S30" i="34" s="1"/>
  <c r="J29" i="34"/>
  <c r="Q29" i="34" s="1"/>
  <c r="F29" i="34"/>
  <c r="S29" i="34" s="1"/>
  <c r="J28" i="34"/>
  <c r="F28" i="34"/>
  <c r="S28" i="34" s="1"/>
  <c r="J27" i="34"/>
  <c r="F27" i="34"/>
  <c r="J26" i="34"/>
  <c r="F26" i="34"/>
  <c r="J25" i="34"/>
  <c r="K25" i="34" s="1"/>
  <c r="F25" i="34"/>
  <c r="R25" i="34" s="1"/>
  <c r="J24" i="34"/>
  <c r="F24" i="34"/>
  <c r="R24" i="34" s="1"/>
  <c r="J23" i="34"/>
  <c r="F23" i="34"/>
  <c r="S23" i="34" s="1"/>
  <c r="J22" i="34"/>
  <c r="F22" i="34"/>
  <c r="U22" i="34" s="1"/>
  <c r="J21" i="34"/>
  <c r="K21" i="34" s="1"/>
  <c r="F21" i="34"/>
  <c r="J20" i="34"/>
  <c r="F20" i="34"/>
  <c r="S20" i="34" s="1"/>
  <c r="V15" i="34"/>
  <c r="A15" i="34"/>
  <c r="V14" i="34"/>
  <c r="A14" i="34"/>
  <c r="V13" i="34"/>
  <c r="A13" i="34"/>
  <c r="V12" i="34"/>
  <c r="A12" i="34"/>
  <c r="D12" i="34" s="1"/>
  <c r="B4" i="34"/>
  <c r="F5" i="34" s="1"/>
  <c r="J38" i="33"/>
  <c r="Q38" i="33" s="1"/>
  <c r="F38" i="33"/>
  <c r="J37" i="33"/>
  <c r="Q37" i="33" s="1"/>
  <c r="F37" i="33"/>
  <c r="J36" i="33"/>
  <c r="K36" i="33" s="1"/>
  <c r="F36" i="33"/>
  <c r="R36" i="33" s="1"/>
  <c r="J35" i="33"/>
  <c r="F35" i="33"/>
  <c r="R35" i="33" s="1"/>
  <c r="J34" i="33"/>
  <c r="K34" i="33" s="1"/>
  <c r="F34" i="33"/>
  <c r="S34" i="33" s="1"/>
  <c r="J33" i="33"/>
  <c r="K33" i="33" s="1"/>
  <c r="F33" i="33"/>
  <c r="J32" i="33"/>
  <c r="F32" i="33"/>
  <c r="R31" i="33"/>
  <c r="J31" i="33"/>
  <c r="F31" i="33"/>
  <c r="S31" i="33" s="1"/>
  <c r="J30" i="33"/>
  <c r="K30" i="33" s="1"/>
  <c r="F30" i="33"/>
  <c r="U30" i="33" s="1"/>
  <c r="J29" i="33"/>
  <c r="F29" i="33"/>
  <c r="S29" i="33" s="1"/>
  <c r="J28" i="33"/>
  <c r="Q28" i="33" s="1"/>
  <c r="F28" i="33"/>
  <c r="R28" i="33" s="1"/>
  <c r="J27" i="33"/>
  <c r="Q27" i="33" s="1"/>
  <c r="F27" i="33"/>
  <c r="S27" i="33" s="1"/>
  <c r="J26" i="33"/>
  <c r="K26" i="33" s="1"/>
  <c r="F26" i="33"/>
  <c r="J25" i="33"/>
  <c r="F25" i="33"/>
  <c r="S25" i="33" s="1"/>
  <c r="J24" i="33"/>
  <c r="Q24" i="33" s="1"/>
  <c r="F24" i="33"/>
  <c r="S24" i="33" s="1"/>
  <c r="J23" i="33"/>
  <c r="F23" i="33"/>
  <c r="S23" i="33" s="1"/>
  <c r="J22" i="33"/>
  <c r="Q22" i="33" s="1"/>
  <c r="F22" i="33"/>
  <c r="J21" i="33"/>
  <c r="F21" i="33"/>
  <c r="J20" i="33"/>
  <c r="K20" i="33" s="1"/>
  <c r="F20" i="33"/>
  <c r="R20" i="33" s="1"/>
  <c r="V15" i="33"/>
  <c r="A15" i="33"/>
  <c r="V14" i="33"/>
  <c r="A14" i="33"/>
  <c r="V13" i="33"/>
  <c r="A13" i="33"/>
  <c r="V12" i="33"/>
  <c r="A12" i="33"/>
  <c r="B4" i="33"/>
  <c r="F6" i="33" s="1"/>
  <c r="J38" i="32"/>
  <c r="K38" i="32" s="1"/>
  <c r="F38" i="32"/>
  <c r="S38" i="32" s="1"/>
  <c r="J37" i="32"/>
  <c r="K37" i="32" s="1"/>
  <c r="F37" i="32"/>
  <c r="R37" i="32" s="1"/>
  <c r="J36" i="32"/>
  <c r="Q36" i="32" s="1"/>
  <c r="F36" i="32"/>
  <c r="J35" i="32"/>
  <c r="Q35" i="32" s="1"/>
  <c r="F35" i="32"/>
  <c r="S35" i="32" s="1"/>
  <c r="J34" i="32"/>
  <c r="F34" i="32"/>
  <c r="S34" i="32" s="1"/>
  <c r="J33" i="32"/>
  <c r="Q33" i="32" s="1"/>
  <c r="F33" i="32"/>
  <c r="J32" i="32"/>
  <c r="F32" i="32"/>
  <c r="R31" i="32"/>
  <c r="J31" i="32"/>
  <c r="K31" i="32" s="1"/>
  <c r="F31" i="32"/>
  <c r="J30" i="32"/>
  <c r="F30" i="32"/>
  <c r="J29" i="32"/>
  <c r="K29" i="32" s="1"/>
  <c r="F29" i="32"/>
  <c r="S29" i="32" s="1"/>
  <c r="J28" i="32"/>
  <c r="K28" i="32" s="1"/>
  <c r="F28" i="32"/>
  <c r="Q27" i="32"/>
  <c r="J27" i="32"/>
  <c r="K27" i="32" s="1"/>
  <c r="F27" i="32"/>
  <c r="J26" i="32"/>
  <c r="F26" i="32"/>
  <c r="S26" i="32" s="1"/>
  <c r="J25" i="32"/>
  <c r="F25" i="32"/>
  <c r="S25" i="32" s="1"/>
  <c r="J24" i="32"/>
  <c r="K24" i="32" s="1"/>
  <c r="F24" i="32"/>
  <c r="S24" i="32" s="1"/>
  <c r="J23" i="32"/>
  <c r="Q23" i="32" s="1"/>
  <c r="F23" i="32"/>
  <c r="Q22" i="32"/>
  <c r="K22" i="32"/>
  <c r="J22" i="32"/>
  <c r="F22" i="32"/>
  <c r="S22" i="32" s="1"/>
  <c r="Q21" i="32"/>
  <c r="K21" i="32"/>
  <c r="J21" i="32"/>
  <c r="F21" i="32"/>
  <c r="J20" i="32"/>
  <c r="F20" i="32"/>
  <c r="R20" i="32" s="1"/>
  <c r="V15" i="32"/>
  <c r="A15" i="32"/>
  <c r="V14" i="32"/>
  <c r="A14" i="32"/>
  <c r="V13" i="32"/>
  <c r="A13" i="32"/>
  <c r="V12" i="32"/>
  <c r="A12" i="32"/>
  <c r="D12" i="32" s="1"/>
  <c r="B4" i="32"/>
  <c r="S4" i="32" s="1"/>
  <c r="J38" i="31"/>
  <c r="Q38" i="31" s="1"/>
  <c r="F38" i="31"/>
  <c r="J37" i="31"/>
  <c r="F37" i="31"/>
  <c r="J36" i="31"/>
  <c r="F36" i="31"/>
  <c r="R36" i="31" s="1"/>
  <c r="J35" i="31"/>
  <c r="K35" i="31" s="1"/>
  <c r="F35" i="31"/>
  <c r="R35" i="31" s="1"/>
  <c r="J34" i="31"/>
  <c r="Q34" i="31" s="1"/>
  <c r="F34" i="31"/>
  <c r="J33" i="31"/>
  <c r="Q33" i="31" s="1"/>
  <c r="F33" i="31"/>
  <c r="R33" i="31" s="1"/>
  <c r="J32" i="31"/>
  <c r="F32" i="31"/>
  <c r="R31" i="31"/>
  <c r="J31" i="31"/>
  <c r="Q31" i="31" s="1"/>
  <c r="F31" i="31"/>
  <c r="S31" i="31" s="1"/>
  <c r="J30" i="31"/>
  <c r="F30" i="31"/>
  <c r="J29" i="31"/>
  <c r="Q29" i="31" s="1"/>
  <c r="F29" i="31"/>
  <c r="S29" i="31" s="1"/>
  <c r="J28" i="31"/>
  <c r="F28" i="31"/>
  <c r="R28" i="31" s="1"/>
  <c r="J27" i="31"/>
  <c r="K27" i="31" s="1"/>
  <c r="F27" i="31"/>
  <c r="R27" i="31" s="1"/>
  <c r="J26" i="31"/>
  <c r="Q26" i="31" s="1"/>
  <c r="F26" i="31"/>
  <c r="R26" i="31" s="1"/>
  <c r="J25" i="31"/>
  <c r="F25" i="31"/>
  <c r="S25" i="31" s="1"/>
  <c r="J24" i="31"/>
  <c r="Q24" i="31" s="1"/>
  <c r="F24" i="31"/>
  <c r="R24" i="31" s="1"/>
  <c r="J23" i="31"/>
  <c r="F23" i="31"/>
  <c r="J22" i="31"/>
  <c r="F22" i="31"/>
  <c r="S22" i="31" s="1"/>
  <c r="J21" i="31"/>
  <c r="Q21" i="31" s="1"/>
  <c r="F21" i="31"/>
  <c r="R21" i="31" s="1"/>
  <c r="J20" i="31"/>
  <c r="Q20" i="31" s="1"/>
  <c r="F20" i="31"/>
  <c r="S20" i="31" s="1"/>
  <c r="V15" i="31"/>
  <c r="A15" i="31"/>
  <c r="V14" i="31"/>
  <c r="A14" i="31"/>
  <c r="V13" i="31"/>
  <c r="A13" i="31"/>
  <c r="V12" i="31"/>
  <c r="A12" i="31"/>
  <c r="B4" i="31"/>
  <c r="A1" i="31" s="1"/>
  <c r="J38" i="30"/>
  <c r="Q38" i="30" s="1"/>
  <c r="F38" i="30"/>
  <c r="S38" i="30" s="1"/>
  <c r="J37" i="30"/>
  <c r="F37" i="30"/>
  <c r="S37" i="30" s="1"/>
  <c r="J36" i="30"/>
  <c r="Q36" i="30" s="1"/>
  <c r="F36" i="30"/>
  <c r="R36" i="30" s="1"/>
  <c r="J35" i="30"/>
  <c r="F35" i="30"/>
  <c r="S35" i="30" s="1"/>
  <c r="J34" i="30"/>
  <c r="Q34" i="30" s="1"/>
  <c r="F34" i="30"/>
  <c r="S34" i="30" s="1"/>
  <c r="J33" i="30"/>
  <c r="K33" i="30" s="1"/>
  <c r="F33" i="30"/>
  <c r="S33" i="30" s="1"/>
  <c r="J32" i="30"/>
  <c r="Q32" i="30" s="1"/>
  <c r="F32" i="30"/>
  <c r="R31" i="30"/>
  <c r="J31" i="30"/>
  <c r="F31" i="30"/>
  <c r="S31" i="30" s="1"/>
  <c r="J30" i="30"/>
  <c r="Q30" i="30" s="1"/>
  <c r="F30" i="30"/>
  <c r="J29" i="30"/>
  <c r="K29" i="30" s="1"/>
  <c r="F29" i="30"/>
  <c r="S29" i="30" s="1"/>
  <c r="J28" i="30"/>
  <c r="Q28" i="30" s="1"/>
  <c r="F28" i="30"/>
  <c r="R28" i="30" s="1"/>
  <c r="J27" i="30"/>
  <c r="F27" i="30"/>
  <c r="J26" i="30"/>
  <c r="Q26" i="30" s="1"/>
  <c r="F26" i="30"/>
  <c r="S26" i="30" s="1"/>
  <c r="J25" i="30"/>
  <c r="F25" i="30"/>
  <c r="S25" i="30" s="1"/>
  <c r="J24" i="30"/>
  <c r="Q24" i="30" s="1"/>
  <c r="F24" i="30"/>
  <c r="S24" i="30" s="1"/>
  <c r="J23" i="30"/>
  <c r="F23" i="30"/>
  <c r="S23" i="30" s="1"/>
  <c r="J22" i="30"/>
  <c r="Q22" i="30" s="1"/>
  <c r="F22" i="30"/>
  <c r="U22" i="30" s="1"/>
  <c r="J21" i="30"/>
  <c r="F21" i="30"/>
  <c r="S21" i="30" s="1"/>
  <c r="J20" i="30"/>
  <c r="K20" i="30" s="1"/>
  <c r="F20" i="30"/>
  <c r="S20" i="30" s="1"/>
  <c r="V15" i="30"/>
  <c r="A15" i="30"/>
  <c r="V14" i="30"/>
  <c r="A14" i="30"/>
  <c r="V13" i="30"/>
  <c r="A13" i="30"/>
  <c r="V12" i="30"/>
  <c r="A12" i="30"/>
  <c r="D12" i="30" s="1"/>
  <c r="B4" i="30"/>
  <c r="B5" i="30" s="1"/>
  <c r="J38" i="29"/>
  <c r="F38" i="29"/>
  <c r="R38" i="29" s="1"/>
  <c r="J37" i="29"/>
  <c r="F37" i="29"/>
  <c r="S37" i="29" s="1"/>
  <c r="J36" i="29"/>
  <c r="F36" i="29"/>
  <c r="S36" i="29" s="1"/>
  <c r="J35" i="29"/>
  <c r="F35" i="29"/>
  <c r="J34" i="29"/>
  <c r="Q34" i="29" s="1"/>
  <c r="F34" i="29"/>
  <c r="S34" i="29" s="1"/>
  <c r="J33" i="29"/>
  <c r="F33" i="29"/>
  <c r="S33" i="29" s="1"/>
  <c r="J32" i="29"/>
  <c r="K32" i="29" s="1"/>
  <c r="F32" i="29"/>
  <c r="R31" i="29"/>
  <c r="J31" i="29"/>
  <c r="F31" i="29"/>
  <c r="S31" i="29" s="1"/>
  <c r="J30" i="29"/>
  <c r="F30" i="29"/>
  <c r="S30" i="29" s="1"/>
  <c r="J29" i="29"/>
  <c r="F29" i="29"/>
  <c r="S29" i="29" s="1"/>
  <c r="J28" i="29"/>
  <c r="F28" i="29"/>
  <c r="S28" i="29" s="1"/>
  <c r="J27" i="29"/>
  <c r="Q27" i="29" s="1"/>
  <c r="F27" i="29"/>
  <c r="R27" i="29" s="1"/>
  <c r="J26" i="29"/>
  <c r="K26" i="29" s="1"/>
  <c r="F26" i="29"/>
  <c r="J25" i="29"/>
  <c r="F25" i="29"/>
  <c r="J24" i="29"/>
  <c r="Q24" i="29" s="1"/>
  <c r="F24" i="29"/>
  <c r="S24" i="29" s="1"/>
  <c r="J23" i="29"/>
  <c r="Q23" i="29" s="1"/>
  <c r="F23" i="29"/>
  <c r="J22" i="29"/>
  <c r="F22" i="29"/>
  <c r="R22" i="29" s="1"/>
  <c r="J21" i="29"/>
  <c r="F21" i="29"/>
  <c r="S21" i="29" s="1"/>
  <c r="J20" i="29"/>
  <c r="F20" i="29"/>
  <c r="S20" i="29" s="1"/>
  <c r="V15" i="29"/>
  <c r="A15" i="29"/>
  <c r="V14" i="29"/>
  <c r="A14" i="29"/>
  <c r="V13" i="29"/>
  <c r="A13" i="29"/>
  <c r="V12" i="29"/>
  <c r="A12" i="29"/>
  <c r="D12" i="29" s="1"/>
  <c r="B4" i="29"/>
  <c r="B6" i="29" s="1"/>
  <c r="J38" i="28"/>
  <c r="F38" i="28"/>
  <c r="R38" i="28" s="1"/>
  <c r="J37" i="28"/>
  <c r="F37" i="28"/>
  <c r="S37" i="28" s="1"/>
  <c r="J36" i="28"/>
  <c r="F36" i="28"/>
  <c r="R36" i="28" s="1"/>
  <c r="J35" i="28"/>
  <c r="Q35" i="28" s="1"/>
  <c r="F35" i="28"/>
  <c r="S35" i="28" s="1"/>
  <c r="J34" i="28"/>
  <c r="F34" i="28"/>
  <c r="J33" i="28"/>
  <c r="F33" i="28"/>
  <c r="J32" i="28"/>
  <c r="K32" i="28" s="1"/>
  <c r="F32" i="28"/>
  <c r="R31" i="28"/>
  <c r="J31" i="28"/>
  <c r="F31" i="28"/>
  <c r="S31" i="28" s="1"/>
  <c r="J30" i="28"/>
  <c r="Q30" i="28" s="1"/>
  <c r="F30" i="28"/>
  <c r="S30" i="28" s="1"/>
  <c r="J29" i="28"/>
  <c r="Q29" i="28" s="1"/>
  <c r="F29" i="28"/>
  <c r="S29" i="28" s="1"/>
  <c r="J28" i="28"/>
  <c r="F28" i="28"/>
  <c r="R28" i="28" s="1"/>
  <c r="J27" i="28"/>
  <c r="K27" i="28" s="1"/>
  <c r="F27" i="28"/>
  <c r="S27" i="28" s="1"/>
  <c r="J26" i="28"/>
  <c r="F26" i="28"/>
  <c r="S26" i="28" s="1"/>
  <c r="J25" i="28"/>
  <c r="Q25" i="28" s="1"/>
  <c r="F25" i="28"/>
  <c r="S25" i="28" s="1"/>
  <c r="J24" i="28"/>
  <c r="F24" i="28"/>
  <c r="S24" i="28" s="1"/>
  <c r="J23" i="28"/>
  <c r="Q23" i="28" s="1"/>
  <c r="F23" i="28"/>
  <c r="S23" i="28" s="1"/>
  <c r="J22" i="28"/>
  <c r="Q22" i="28" s="1"/>
  <c r="F22" i="28"/>
  <c r="R22" i="28" s="1"/>
  <c r="Q21" i="28"/>
  <c r="J21" i="28"/>
  <c r="K21" i="28" s="1"/>
  <c r="F21" i="28"/>
  <c r="R21" i="28" s="1"/>
  <c r="J20" i="28"/>
  <c r="Q20" i="28" s="1"/>
  <c r="F20" i="28"/>
  <c r="S20" i="28" s="1"/>
  <c r="V15" i="28"/>
  <c r="A15" i="28"/>
  <c r="V14" i="28"/>
  <c r="A14" i="28"/>
  <c r="V13" i="28"/>
  <c r="A13" i="28"/>
  <c r="V12" i="28"/>
  <c r="A12" i="28"/>
  <c r="B4" i="28"/>
  <c r="F6" i="28" s="1"/>
  <c r="J38" i="27"/>
  <c r="F38" i="27"/>
  <c r="J37" i="27"/>
  <c r="F37" i="27"/>
  <c r="J36" i="27"/>
  <c r="Q36" i="27" s="1"/>
  <c r="F36" i="27"/>
  <c r="U36" i="27" s="1"/>
  <c r="J35" i="27"/>
  <c r="F35" i="27"/>
  <c r="J34" i="27"/>
  <c r="F34" i="27"/>
  <c r="S34" i="27" s="1"/>
  <c r="J33" i="27"/>
  <c r="Q33" i="27" s="1"/>
  <c r="F33" i="27"/>
  <c r="R33" i="27" s="1"/>
  <c r="J32" i="27"/>
  <c r="Q32" i="27" s="1"/>
  <c r="F32" i="27"/>
  <c r="R32" i="27" s="1"/>
  <c r="R31" i="27"/>
  <c r="J31" i="27"/>
  <c r="F31" i="27"/>
  <c r="J30" i="27"/>
  <c r="Q30" i="27" s="1"/>
  <c r="F30" i="27"/>
  <c r="S30" i="27" s="1"/>
  <c r="J29" i="27"/>
  <c r="F29" i="27"/>
  <c r="R29" i="27" s="1"/>
  <c r="J28" i="27"/>
  <c r="F28" i="27"/>
  <c r="S28" i="27" s="1"/>
  <c r="J27" i="27"/>
  <c r="K27" i="27" s="1"/>
  <c r="F27" i="27"/>
  <c r="J26" i="27"/>
  <c r="Q26" i="27" s="1"/>
  <c r="F26" i="27"/>
  <c r="J25" i="27"/>
  <c r="F25" i="27"/>
  <c r="S25" i="27" s="1"/>
  <c r="J24" i="27"/>
  <c r="F24" i="27"/>
  <c r="S24" i="27" s="1"/>
  <c r="J23" i="27"/>
  <c r="K23" i="27" s="1"/>
  <c r="F23" i="27"/>
  <c r="S23" i="27" s="1"/>
  <c r="J22" i="27"/>
  <c r="F22" i="27"/>
  <c r="R22" i="27" s="1"/>
  <c r="J21" i="27"/>
  <c r="K21" i="27" s="1"/>
  <c r="F21" i="27"/>
  <c r="U21" i="27" s="1"/>
  <c r="J20" i="27"/>
  <c r="F20" i="27"/>
  <c r="R20" i="27" s="1"/>
  <c r="V15" i="27"/>
  <c r="A15" i="27"/>
  <c r="V14" i="27"/>
  <c r="A14" i="27"/>
  <c r="V13" i="27"/>
  <c r="A13" i="27"/>
  <c r="V12" i="27"/>
  <c r="A12" i="27"/>
  <c r="B4" i="27"/>
  <c r="S4" i="27" s="1"/>
  <c r="J38" i="26"/>
  <c r="Q38" i="26" s="1"/>
  <c r="F38" i="26"/>
  <c r="R38" i="26" s="1"/>
  <c r="J37" i="26"/>
  <c r="F37" i="26"/>
  <c r="J36" i="26"/>
  <c r="K36" i="26" s="1"/>
  <c r="F36" i="26"/>
  <c r="S36" i="26" s="1"/>
  <c r="J35" i="26"/>
  <c r="F35" i="26"/>
  <c r="S35" i="26" s="1"/>
  <c r="J34" i="26"/>
  <c r="K34" i="26" s="1"/>
  <c r="F34" i="26"/>
  <c r="R34" i="26" s="1"/>
  <c r="J33" i="26"/>
  <c r="Q33" i="26" s="1"/>
  <c r="F33" i="26"/>
  <c r="J32" i="26"/>
  <c r="Q32" i="26" s="1"/>
  <c r="F32" i="26"/>
  <c r="S32" i="26" s="1"/>
  <c r="R31" i="26"/>
  <c r="J31" i="26"/>
  <c r="F31" i="26"/>
  <c r="S31" i="26" s="1"/>
  <c r="J30" i="26"/>
  <c r="Q30" i="26" s="1"/>
  <c r="F30" i="26"/>
  <c r="J29" i="26"/>
  <c r="Q29" i="26" s="1"/>
  <c r="F29" i="26"/>
  <c r="S29" i="26" s="1"/>
  <c r="J28" i="26"/>
  <c r="Q28" i="26" s="1"/>
  <c r="F28" i="26"/>
  <c r="J27" i="26"/>
  <c r="Q27" i="26" s="1"/>
  <c r="F27" i="26"/>
  <c r="S27" i="26" s="1"/>
  <c r="J26" i="26"/>
  <c r="F26" i="26"/>
  <c r="S26" i="26" s="1"/>
  <c r="J25" i="26"/>
  <c r="K25" i="26" s="1"/>
  <c r="F25" i="26"/>
  <c r="S25" i="26" s="1"/>
  <c r="J24" i="26"/>
  <c r="Q24" i="26" s="1"/>
  <c r="F24" i="26"/>
  <c r="J23" i="26"/>
  <c r="F23" i="26"/>
  <c r="S23" i="26" s="1"/>
  <c r="J22" i="26"/>
  <c r="K22" i="26" s="1"/>
  <c r="F22" i="26"/>
  <c r="J21" i="26"/>
  <c r="Q21" i="26" s="1"/>
  <c r="F21" i="26"/>
  <c r="J20" i="26"/>
  <c r="K20" i="26" s="1"/>
  <c r="F20" i="26"/>
  <c r="S20" i="26" s="1"/>
  <c r="V15" i="26"/>
  <c r="A15" i="26"/>
  <c r="V14" i="26"/>
  <c r="A14" i="26"/>
  <c r="V13" i="26"/>
  <c r="A13" i="26"/>
  <c r="V12" i="26"/>
  <c r="A12" i="26"/>
  <c r="D12" i="26" s="1"/>
  <c r="B4" i="26"/>
  <c r="A1" i="26" s="1"/>
  <c r="J38" i="25"/>
  <c r="Q38" i="25" s="1"/>
  <c r="F38" i="25"/>
  <c r="J37" i="25"/>
  <c r="K37" i="25" s="1"/>
  <c r="F37" i="25"/>
  <c r="S37" i="25" s="1"/>
  <c r="J36" i="25"/>
  <c r="F36" i="25"/>
  <c r="R36" i="25" s="1"/>
  <c r="J35" i="25"/>
  <c r="Q35" i="25" s="1"/>
  <c r="F35" i="25"/>
  <c r="J34" i="25"/>
  <c r="F34" i="25"/>
  <c r="S34" i="25" s="1"/>
  <c r="J33" i="25"/>
  <c r="F33" i="25"/>
  <c r="S33" i="25" s="1"/>
  <c r="J32" i="25"/>
  <c r="Q32" i="25" s="1"/>
  <c r="F32" i="25"/>
  <c r="R31" i="25"/>
  <c r="J31" i="25"/>
  <c r="Q31" i="25" s="1"/>
  <c r="F31" i="25"/>
  <c r="S31" i="25" s="1"/>
  <c r="J30" i="25"/>
  <c r="K30" i="25" s="1"/>
  <c r="F30" i="25"/>
  <c r="J29" i="25"/>
  <c r="K29" i="25" s="1"/>
  <c r="F29" i="25"/>
  <c r="J28" i="25"/>
  <c r="F28" i="25"/>
  <c r="J27" i="25"/>
  <c r="F27" i="25"/>
  <c r="J26" i="25"/>
  <c r="K26" i="25" s="1"/>
  <c r="F26" i="25"/>
  <c r="S26" i="25" s="1"/>
  <c r="J25" i="25"/>
  <c r="Q25" i="25" s="1"/>
  <c r="F25" i="25"/>
  <c r="J24" i="25"/>
  <c r="F24" i="25"/>
  <c r="J23" i="25"/>
  <c r="F23" i="25"/>
  <c r="J22" i="25"/>
  <c r="Q22" i="25" s="1"/>
  <c r="F22" i="25"/>
  <c r="R22" i="25" s="1"/>
  <c r="Q21" i="25"/>
  <c r="J21" i="25"/>
  <c r="K21" i="25" s="1"/>
  <c r="F21" i="25"/>
  <c r="R21" i="25" s="1"/>
  <c r="J20" i="25"/>
  <c r="F20" i="25"/>
  <c r="S20" i="25" s="1"/>
  <c r="V15" i="25"/>
  <c r="A15" i="25"/>
  <c r="V14" i="25"/>
  <c r="A14" i="25"/>
  <c r="V13" i="25"/>
  <c r="A13" i="25"/>
  <c r="V12" i="25"/>
  <c r="A12" i="25"/>
  <c r="D12" i="25" s="1"/>
  <c r="B4" i="25"/>
  <c r="F6" i="25" s="1"/>
  <c r="S38" i="24"/>
  <c r="J38" i="24"/>
  <c r="F38" i="24"/>
  <c r="R38" i="24" s="1"/>
  <c r="J37" i="24"/>
  <c r="F37" i="24"/>
  <c r="J36" i="24"/>
  <c r="Q36" i="24" s="1"/>
  <c r="F36" i="24"/>
  <c r="J35" i="24"/>
  <c r="F35" i="24"/>
  <c r="S35" i="24" s="1"/>
  <c r="J34" i="24"/>
  <c r="F34" i="24"/>
  <c r="S34" i="24" s="1"/>
  <c r="J33" i="24"/>
  <c r="Q33" i="24" s="1"/>
  <c r="F33" i="24"/>
  <c r="R33" i="24" s="1"/>
  <c r="J32" i="24"/>
  <c r="F32" i="24"/>
  <c r="R31" i="24"/>
  <c r="J31" i="24"/>
  <c r="Q31" i="24" s="1"/>
  <c r="F31" i="24"/>
  <c r="S31" i="24" s="1"/>
  <c r="J30" i="24"/>
  <c r="F30" i="24"/>
  <c r="J29" i="24"/>
  <c r="F29" i="24"/>
  <c r="S29" i="24" s="1"/>
  <c r="J28" i="24"/>
  <c r="Q28" i="24" s="1"/>
  <c r="F28" i="24"/>
  <c r="J27" i="24"/>
  <c r="F27" i="24"/>
  <c r="R27" i="24" s="1"/>
  <c r="J26" i="24"/>
  <c r="Q26" i="24" s="1"/>
  <c r="F26" i="24"/>
  <c r="R26" i="24" s="1"/>
  <c r="J25" i="24"/>
  <c r="K25" i="24" s="1"/>
  <c r="F25" i="24"/>
  <c r="J24" i="24"/>
  <c r="K24" i="24" s="1"/>
  <c r="F24" i="24"/>
  <c r="R24" i="24" s="1"/>
  <c r="J23" i="24"/>
  <c r="F23" i="24"/>
  <c r="K22" i="24"/>
  <c r="J22" i="24"/>
  <c r="F22" i="24"/>
  <c r="J21" i="24"/>
  <c r="F21" i="24"/>
  <c r="S21" i="24" s="1"/>
  <c r="J20" i="24"/>
  <c r="F20" i="24"/>
  <c r="V15" i="24"/>
  <c r="A15" i="24"/>
  <c r="V14" i="24"/>
  <c r="A14" i="24"/>
  <c r="V13" i="24"/>
  <c r="A13" i="24"/>
  <c r="V12" i="24"/>
  <c r="A12" i="24"/>
  <c r="B4" i="24"/>
  <c r="F4" i="24" s="1"/>
  <c r="J38" i="23"/>
  <c r="F38" i="23"/>
  <c r="R38" i="23" s="1"/>
  <c r="J37" i="23"/>
  <c r="F37" i="23"/>
  <c r="R37" i="23" s="1"/>
  <c r="J36" i="23"/>
  <c r="F36" i="23"/>
  <c r="R36" i="23" s="1"/>
  <c r="J35" i="23"/>
  <c r="K35" i="23" s="1"/>
  <c r="F35" i="23"/>
  <c r="J34" i="23"/>
  <c r="Q34" i="23" s="1"/>
  <c r="F34" i="23"/>
  <c r="S34" i="23" s="1"/>
  <c r="J33" i="23"/>
  <c r="Q33" i="23" s="1"/>
  <c r="F33" i="23"/>
  <c r="R33" i="23" s="1"/>
  <c r="J32" i="23"/>
  <c r="F32" i="23"/>
  <c r="R31" i="23"/>
  <c r="J31" i="23"/>
  <c r="Q31" i="23" s="1"/>
  <c r="F31" i="23"/>
  <c r="S31" i="23" s="1"/>
  <c r="J30" i="23"/>
  <c r="F30" i="23"/>
  <c r="S30" i="23" s="1"/>
  <c r="J29" i="23"/>
  <c r="F29" i="23"/>
  <c r="J28" i="23"/>
  <c r="K28" i="23" s="1"/>
  <c r="F28" i="23"/>
  <c r="S28" i="23" s="1"/>
  <c r="J27" i="23"/>
  <c r="F27" i="23"/>
  <c r="S27" i="23" s="1"/>
  <c r="J26" i="23"/>
  <c r="Q26" i="23" s="1"/>
  <c r="F26" i="23"/>
  <c r="R26" i="23" s="1"/>
  <c r="J25" i="23"/>
  <c r="F25" i="23"/>
  <c r="S25" i="23" s="1"/>
  <c r="J24" i="23"/>
  <c r="Q24" i="23" s="1"/>
  <c r="F24" i="23"/>
  <c r="S24" i="23" s="1"/>
  <c r="J23" i="23"/>
  <c r="K23" i="23" s="1"/>
  <c r="F23" i="23"/>
  <c r="J22" i="23"/>
  <c r="F22" i="23"/>
  <c r="S22" i="23" s="1"/>
  <c r="J21" i="23"/>
  <c r="F21" i="23"/>
  <c r="J20" i="23"/>
  <c r="F20" i="23"/>
  <c r="V15" i="23"/>
  <c r="A15" i="23"/>
  <c r="V14" i="23"/>
  <c r="A14" i="23"/>
  <c r="V13" i="23"/>
  <c r="A13" i="23"/>
  <c r="V12" i="23"/>
  <c r="A12" i="23"/>
  <c r="D12" i="23" s="1"/>
  <c r="B4" i="23"/>
  <c r="F4" i="23" s="1"/>
  <c r="J38" i="22"/>
  <c r="Q38" i="22" s="1"/>
  <c r="F38" i="22"/>
  <c r="S38" i="22" s="1"/>
  <c r="J37" i="22"/>
  <c r="F37" i="22"/>
  <c r="S37" i="22" s="1"/>
  <c r="J36" i="22"/>
  <c r="K36" i="22" s="1"/>
  <c r="F36" i="22"/>
  <c r="U36" i="22" s="1"/>
  <c r="J35" i="22"/>
  <c r="K35" i="22" s="1"/>
  <c r="F35" i="22"/>
  <c r="J34" i="22"/>
  <c r="F34" i="22"/>
  <c r="R34" i="22" s="1"/>
  <c r="J33" i="22"/>
  <c r="Q33" i="22" s="1"/>
  <c r="F33" i="22"/>
  <c r="S33" i="22" s="1"/>
  <c r="J32" i="22"/>
  <c r="F32" i="22"/>
  <c r="R31" i="22"/>
  <c r="J31" i="22"/>
  <c r="K31" i="22" s="1"/>
  <c r="F31" i="22"/>
  <c r="S31" i="22" s="1"/>
  <c r="J30" i="22"/>
  <c r="F30" i="22"/>
  <c r="S30" i="22" s="1"/>
  <c r="J29" i="22"/>
  <c r="F29" i="22"/>
  <c r="J28" i="22"/>
  <c r="F28" i="22"/>
  <c r="J27" i="22"/>
  <c r="K27" i="22" s="1"/>
  <c r="F27" i="22"/>
  <c r="R27" i="22" s="1"/>
  <c r="J26" i="22"/>
  <c r="K26" i="22" s="1"/>
  <c r="F26" i="22"/>
  <c r="J25" i="22"/>
  <c r="F25" i="22"/>
  <c r="S25" i="22" s="1"/>
  <c r="J24" i="22"/>
  <c r="K24" i="22" s="1"/>
  <c r="F24" i="22"/>
  <c r="R24" i="22" s="1"/>
  <c r="J23" i="22"/>
  <c r="K23" i="22" s="1"/>
  <c r="F23" i="22"/>
  <c r="R23" i="22" s="1"/>
  <c r="J22" i="22"/>
  <c r="F22" i="22"/>
  <c r="S22" i="22" s="1"/>
  <c r="J21" i="22"/>
  <c r="K21" i="22" s="1"/>
  <c r="F21" i="22"/>
  <c r="Q20" i="22"/>
  <c r="J20" i="22"/>
  <c r="K20" i="22" s="1"/>
  <c r="F20" i="22"/>
  <c r="U20" i="22" s="1"/>
  <c r="V15" i="22"/>
  <c r="A15" i="22"/>
  <c r="V14" i="22"/>
  <c r="A14" i="22"/>
  <c r="V13" i="22"/>
  <c r="A13" i="22"/>
  <c r="V12" i="22"/>
  <c r="A12" i="22"/>
  <c r="D12" i="22" s="1"/>
  <c r="B4" i="22"/>
  <c r="F6" i="22" s="1"/>
  <c r="J38" i="21"/>
  <c r="K38" i="21" s="1"/>
  <c r="F38" i="21"/>
  <c r="R38" i="21" s="1"/>
  <c r="J37" i="21"/>
  <c r="F37" i="21"/>
  <c r="J36" i="21"/>
  <c r="Q36" i="21" s="1"/>
  <c r="F36" i="21"/>
  <c r="S36" i="21" s="1"/>
  <c r="J35" i="21"/>
  <c r="K35" i="21" s="1"/>
  <c r="F35" i="21"/>
  <c r="R35" i="21" s="1"/>
  <c r="J34" i="21"/>
  <c r="Q34" i="21" s="1"/>
  <c r="F34" i="21"/>
  <c r="J33" i="21"/>
  <c r="K33" i="21" s="1"/>
  <c r="F33" i="21"/>
  <c r="R33" i="21" s="1"/>
  <c r="J32" i="21"/>
  <c r="F32" i="21"/>
  <c r="S32" i="21" s="1"/>
  <c r="R31" i="21"/>
  <c r="J31" i="21"/>
  <c r="F31" i="21"/>
  <c r="S31" i="21" s="1"/>
  <c r="J30" i="21"/>
  <c r="F30" i="21"/>
  <c r="S30" i="21" s="1"/>
  <c r="J29" i="21"/>
  <c r="K29" i="21" s="1"/>
  <c r="F29" i="21"/>
  <c r="S29" i="21" s="1"/>
  <c r="J28" i="21"/>
  <c r="K28" i="21" s="1"/>
  <c r="F28" i="21"/>
  <c r="R28" i="21" s="1"/>
  <c r="J27" i="21"/>
  <c r="K27" i="21" s="1"/>
  <c r="F27" i="21"/>
  <c r="R27" i="21" s="1"/>
  <c r="J26" i="21"/>
  <c r="F26" i="21"/>
  <c r="J25" i="21"/>
  <c r="Q25" i="21" s="1"/>
  <c r="F25" i="21"/>
  <c r="J24" i="21"/>
  <c r="Q24" i="21" s="1"/>
  <c r="F24" i="21"/>
  <c r="J23" i="21"/>
  <c r="F23" i="21"/>
  <c r="S23" i="21" s="1"/>
  <c r="Q22" i="21"/>
  <c r="K22" i="21"/>
  <c r="J22" i="21"/>
  <c r="F22" i="21"/>
  <c r="S22" i="21" s="1"/>
  <c r="J21" i="21"/>
  <c r="F21" i="21"/>
  <c r="R21" i="21" s="1"/>
  <c r="J20" i="21"/>
  <c r="Q20" i="21" s="1"/>
  <c r="F20" i="21"/>
  <c r="S20" i="21" s="1"/>
  <c r="V15" i="21"/>
  <c r="A15" i="21"/>
  <c r="V14" i="21"/>
  <c r="A14" i="21"/>
  <c r="V13" i="21"/>
  <c r="A13" i="21"/>
  <c r="V12" i="21"/>
  <c r="A12" i="21"/>
  <c r="D12" i="21" s="1"/>
  <c r="B4" i="21"/>
  <c r="F4" i="21" s="1"/>
  <c r="J38" i="20"/>
  <c r="F38" i="20"/>
  <c r="R38" i="20" s="1"/>
  <c r="J37" i="20"/>
  <c r="F37" i="20"/>
  <c r="R37" i="20" s="1"/>
  <c r="J36" i="20"/>
  <c r="Q36" i="20" s="1"/>
  <c r="F36" i="20"/>
  <c r="S36" i="20" s="1"/>
  <c r="J35" i="20"/>
  <c r="K35" i="20" s="1"/>
  <c r="F35" i="20"/>
  <c r="R35" i="20" s="1"/>
  <c r="J34" i="20"/>
  <c r="F34" i="20"/>
  <c r="J33" i="20"/>
  <c r="Q33" i="20" s="1"/>
  <c r="F33" i="20"/>
  <c r="R33" i="20" s="1"/>
  <c r="J32" i="20"/>
  <c r="F32" i="20"/>
  <c r="R31" i="20"/>
  <c r="J31" i="20"/>
  <c r="Q31" i="20" s="1"/>
  <c r="F31" i="20"/>
  <c r="S31" i="20" s="1"/>
  <c r="J30" i="20"/>
  <c r="F30" i="20"/>
  <c r="S30" i="20" s="1"/>
  <c r="J29" i="20"/>
  <c r="K29" i="20" s="1"/>
  <c r="F29" i="20"/>
  <c r="J28" i="20"/>
  <c r="Q28" i="20" s="1"/>
  <c r="F28" i="20"/>
  <c r="R28" i="20" s="1"/>
  <c r="J27" i="20"/>
  <c r="Q27" i="20" s="1"/>
  <c r="F27" i="20"/>
  <c r="R27" i="20" s="1"/>
  <c r="J26" i="20"/>
  <c r="F26" i="20"/>
  <c r="R26" i="20" s="1"/>
  <c r="K25" i="20"/>
  <c r="J25" i="20"/>
  <c r="Q25" i="20" s="1"/>
  <c r="F25" i="20"/>
  <c r="J24" i="20"/>
  <c r="K24" i="20" s="1"/>
  <c r="F24" i="20"/>
  <c r="S24" i="20" s="1"/>
  <c r="J23" i="20"/>
  <c r="K23" i="20" s="1"/>
  <c r="F23" i="20"/>
  <c r="J22" i="20"/>
  <c r="F22" i="20"/>
  <c r="S22" i="20" s="1"/>
  <c r="J21" i="20"/>
  <c r="K21" i="20" s="1"/>
  <c r="F21" i="20"/>
  <c r="R21" i="20" s="1"/>
  <c r="J20" i="20"/>
  <c r="K20" i="20" s="1"/>
  <c r="F20" i="20"/>
  <c r="V15" i="20"/>
  <c r="A15" i="20"/>
  <c r="V14" i="20"/>
  <c r="A14" i="20"/>
  <c r="V13" i="20"/>
  <c r="A13" i="20"/>
  <c r="V12" i="20"/>
  <c r="A12" i="20"/>
  <c r="D12" i="20" s="1"/>
  <c r="B4" i="20"/>
  <c r="F4" i="20" s="1"/>
  <c r="J38" i="19"/>
  <c r="F38" i="19"/>
  <c r="R38" i="19" s="1"/>
  <c r="J37" i="19"/>
  <c r="F37" i="19"/>
  <c r="J36" i="19"/>
  <c r="K36" i="19" s="1"/>
  <c r="F36" i="19"/>
  <c r="S36" i="19" s="1"/>
  <c r="J35" i="19"/>
  <c r="F35" i="19"/>
  <c r="R35" i="19" s="1"/>
  <c r="J34" i="19"/>
  <c r="Q34" i="19" s="1"/>
  <c r="F34" i="19"/>
  <c r="R34" i="19" s="1"/>
  <c r="J33" i="19"/>
  <c r="K33" i="19" s="1"/>
  <c r="F33" i="19"/>
  <c r="R33" i="19" s="1"/>
  <c r="J32" i="19"/>
  <c r="Q32" i="19" s="1"/>
  <c r="F32" i="19"/>
  <c r="R31" i="19"/>
  <c r="J31" i="19"/>
  <c r="Q31" i="19" s="1"/>
  <c r="F31" i="19"/>
  <c r="S31" i="19" s="1"/>
  <c r="J30" i="19"/>
  <c r="K30" i="19" s="1"/>
  <c r="F30" i="19"/>
  <c r="J29" i="19"/>
  <c r="Q29" i="19" s="1"/>
  <c r="F29" i="19"/>
  <c r="R29" i="19" s="1"/>
  <c r="J28" i="19"/>
  <c r="Q28" i="19" s="1"/>
  <c r="F28" i="19"/>
  <c r="J27" i="19"/>
  <c r="Q27" i="19" s="1"/>
  <c r="F27" i="19"/>
  <c r="S27" i="19" s="1"/>
  <c r="J26" i="19"/>
  <c r="Q26" i="19" s="1"/>
  <c r="F26" i="19"/>
  <c r="R26" i="19" s="1"/>
  <c r="J25" i="19"/>
  <c r="K25" i="19" s="1"/>
  <c r="F25" i="19"/>
  <c r="S25" i="19" s="1"/>
  <c r="J24" i="19"/>
  <c r="Q24" i="19" s="1"/>
  <c r="F24" i="19"/>
  <c r="S24" i="19" s="1"/>
  <c r="J23" i="19"/>
  <c r="F23" i="19"/>
  <c r="S23" i="19" s="1"/>
  <c r="J22" i="19"/>
  <c r="F22" i="19"/>
  <c r="S22" i="19" s="1"/>
  <c r="J21" i="19"/>
  <c r="F21" i="19"/>
  <c r="R21" i="19" s="1"/>
  <c r="K20" i="19"/>
  <c r="J20" i="19"/>
  <c r="Q20" i="19" s="1"/>
  <c r="F20" i="19"/>
  <c r="S20" i="19" s="1"/>
  <c r="V15" i="19"/>
  <c r="A15" i="19"/>
  <c r="V14" i="19"/>
  <c r="A14" i="19"/>
  <c r="V13" i="19"/>
  <c r="A13" i="19"/>
  <c r="V12" i="19"/>
  <c r="A12" i="19"/>
  <c r="D12" i="19" s="1"/>
  <c r="B4" i="19"/>
  <c r="F6" i="19" s="1"/>
  <c r="J38" i="18"/>
  <c r="F38" i="18"/>
  <c r="R38" i="18" s="1"/>
  <c r="J37" i="18"/>
  <c r="K37" i="18" s="1"/>
  <c r="F37" i="18"/>
  <c r="J36" i="18"/>
  <c r="K36" i="18" s="1"/>
  <c r="F36" i="18"/>
  <c r="S36" i="18" s="1"/>
  <c r="J35" i="18"/>
  <c r="K35" i="18" s="1"/>
  <c r="F35" i="18"/>
  <c r="S35" i="18" s="1"/>
  <c r="J34" i="18"/>
  <c r="F34" i="18"/>
  <c r="R34" i="18" s="1"/>
  <c r="J33" i="18"/>
  <c r="Q33" i="18" s="1"/>
  <c r="F33" i="18"/>
  <c r="R33" i="18" s="1"/>
  <c r="J32" i="18"/>
  <c r="K32" i="18" s="1"/>
  <c r="F32" i="18"/>
  <c r="R31" i="18"/>
  <c r="Q31" i="18"/>
  <c r="J31" i="18"/>
  <c r="K31" i="18" s="1"/>
  <c r="F31" i="18"/>
  <c r="S31" i="18" s="1"/>
  <c r="J30" i="18"/>
  <c r="F30" i="18"/>
  <c r="S30" i="18" s="1"/>
  <c r="J29" i="18"/>
  <c r="F29" i="18"/>
  <c r="R29" i="18" s="1"/>
  <c r="J28" i="18"/>
  <c r="Q28" i="18" s="1"/>
  <c r="F28" i="18"/>
  <c r="J27" i="18"/>
  <c r="K27" i="18" s="1"/>
  <c r="F27" i="18"/>
  <c r="S27" i="18" s="1"/>
  <c r="J26" i="18"/>
  <c r="F26" i="18"/>
  <c r="S26" i="18" s="1"/>
  <c r="J25" i="18"/>
  <c r="Q25" i="18" s="1"/>
  <c r="F25" i="18"/>
  <c r="J24" i="18"/>
  <c r="K24" i="18" s="1"/>
  <c r="F24" i="18"/>
  <c r="S24" i="18" s="1"/>
  <c r="J23" i="18"/>
  <c r="F23" i="18"/>
  <c r="R23" i="18" s="1"/>
  <c r="J22" i="18"/>
  <c r="F22" i="18"/>
  <c r="S22" i="18" s="1"/>
  <c r="J21" i="18"/>
  <c r="F21" i="18"/>
  <c r="J20" i="18"/>
  <c r="K20" i="18" s="1"/>
  <c r="F20" i="18"/>
  <c r="S20" i="18" s="1"/>
  <c r="V15" i="18"/>
  <c r="A15" i="18"/>
  <c r="V14" i="18"/>
  <c r="A14" i="18"/>
  <c r="V13" i="18"/>
  <c r="A13" i="18"/>
  <c r="V12" i="18"/>
  <c r="A12" i="18"/>
  <c r="B4" i="18"/>
  <c r="F4" i="18" s="1"/>
  <c r="J38" i="17"/>
  <c r="F38" i="17"/>
  <c r="J37" i="17"/>
  <c r="F37" i="17"/>
  <c r="S37" i="17" s="1"/>
  <c r="J36" i="17"/>
  <c r="F36" i="17"/>
  <c r="J35" i="17"/>
  <c r="K35" i="17" s="1"/>
  <c r="F35" i="17"/>
  <c r="R35" i="17" s="1"/>
  <c r="J34" i="17"/>
  <c r="Q34" i="17" s="1"/>
  <c r="F34" i="17"/>
  <c r="J33" i="17"/>
  <c r="Q33" i="17" s="1"/>
  <c r="F33" i="17"/>
  <c r="R33" i="17" s="1"/>
  <c r="J32" i="17"/>
  <c r="F32" i="17"/>
  <c r="R32" i="17" s="1"/>
  <c r="R31" i="17"/>
  <c r="J31" i="17"/>
  <c r="F31" i="17"/>
  <c r="S31" i="17" s="1"/>
  <c r="J30" i="17"/>
  <c r="F30" i="17"/>
  <c r="R30" i="17" s="1"/>
  <c r="K29" i="17"/>
  <c r="J29" i="17"/>
  <c r="Q29" i="17" s="1"/>
  <c r="F29" i="17"/>
  <c r="U29" i="17" s="1"/>
  <c r="J28" i="17"/>
  <c r="Q28" i="17" s="1"/>
  <c r="F28" i="17"/>
  <c r="R28" i="17" s="1"/>
  <c r="J27" i="17"/>
  <c r="F27" i="17"/>
  <c r="J26" i="17"/>
  <c r="Q26" i="17" s="1"/>
  <c r="F26" i="17"/>
  <c r="S26" i="17" s="1"/>
  <c r="J25" i="17"/>
  <c r="F25" i="17"/>
  <c r="J24" i="17"/>
  <c r="Q24" i="17" s="1"/>
  <c r="F24" i="17"/>
  <c r="S24" i="17" s="1"/>
  <c r="J23" i="17"/>
  <c r="F23" i="17"/>
  <c r="S23" i="17" s="1"/>
  <c r="J22" i="17"/>
  <c r="F22" i="17"/>
  <c r="S22" i="17" s="1"/>
  <c r="J21" i="17"/>
  <c r="F21" i="17"/>
  <c r="S21" i="17" s="1"/>
  <c r="J20" i="17"/>
  <c r="Q20" i="17" s="1"/>
  <c r="F20" i="17"/>
  <c r="V15" i="17"/>
  <c r="A15" i="17"/>
  <c r="V14" i="17"/>
  <c r="A14" i="17"/>
  <c r="V13" i="17"/>
  <c r="A13" i="17"/>
  <c r="V12" i="17"/>
  <c r="A12" i="17"/>
  <c r="D12" i="17" s="1"/>
  <c r="B4" i="17"/>
  <c r="F4" i="17" s="1"/>
  <c r="J38" i="16"/>
  <c r="F38" i="16"/>
  <c r="R38" i="16" s="1"/>
  <c r="J37" i="16"/>
  <c r="K37" i="16" s="1"/>
  <c r="F37" i="16"/>
  <c r="J36" i="16"/>
  <c r="K36" i="16" s="1"/>
  <c r="F36" i="16"/>
  <c r="J35" i="16"/>
  <c r="K35" i="16" s="1"/>
  <c r="F35" i="16"/>
  <c r="R35" i="16" s="1"/>
  <c r="J34" i="16"/>
  <c r="F34" i="16"/>
  <c r="R34" i="16" s="1"/>
  <c r="J33" i="16"/>
  <c r="K33" i="16" s="1"/>
  <c r="F33" i="16"/>
  <c r="R33" i="16" s="1"/>
  <c r="J32" i="16"/>
  <c r="K32" i="16" s="1"/>
  <c r="F32" i="16"/>
  <c r="U32" i="16" s="1"/>
  <c r="R31" i="16"/>
  <c r="J31" i="16"/>
  <c r="Q31" i="16" s="1"/>
  <c r="F31" i="16"/>
  <c r="S31" i="16" s="1"/>
  <c r="J30" i="16"/>
  <c r="F30" i="16"/>
  <c r="R30" i="16" s="1"/>
  <c r="J29" i="16"/>
  <c r="Q29" i="16" s="1"/>
  <c r="F29" i="16"/>
  <c r="S29" i="16" s="1"/>
  <c r="J28" i="16"/>
  <c r="K28" i="16" s="1"/>
  <c r="F28" i="16"/>
  <c r="J27" i="16"/>
  <c r="F27" i="16"/>
  <c r="S27" i="16" s="1"/>
  <c r="J26" i="16"/>
  <c r="Q26" i="16" s="1"/>
  <c r="F26" i="16"/>
  <c r="R26" i="16" s="1"/>
  <c r="J25" i="16"/>
  <c r="Q25" i="16" s="1"/>
  <c r="F25" i="16"/>
  <c r="J24" i="16"/>
  <c r="Q24" i="16" s="1"/>
  <c r="F24" i="16"/>
  <c r="S24" i="16" s="1"/>
  <c r="J23" i="16"/>
  <c r="F23" i="16"/>
  <c r="R23" i="16" s="1"/>
  <c r="J22" i="16"/>
  <c r="F22" i="16"/>
  <c r="R22" i="16" s="1"/>
  <c r="J21" i="16"/>
  <c r="Q21" i="16" s="1"/>
  <c r="F21" i="16"/>
  <c r="S21" i="16" s="1"/>
  <c r="J20" i="16"/>
  <c r="K20" i="16" s="1"/>
  <c r="F20" i="16"/>
  <c r="V15" i="16"/>
  <c r="A15" i="16"/>
  <c r="V14" i="16"/>
  <c r="A14" i="16"/>
  <c r="V13" i="16"/>
  <c r="A13" i="16"/>
  <c r="V12" i="16"/>
  <c r="A12" i="16"/>
  <c r="D12" i="16" s="1"/>
  <c r="B4" i="16"/>
  <c r="F4" i="16" s="1"/>
  <c r="K38" i="15"/>
  <c r="J38" i="15"/>
  <c r="Q38" i="15" s="1"/>
  <c r="F38" i="15"/>
  <c r="R38" i="15" s="1"/>
  <c r="J37" i="15"/>
  <c r="Q37" i="15" s="1"/>
  <c r="F37" i="15"/>
  <c r="S37" i="15" s="1"/>
  <c r="J36" i="15"/>
  <c r="Q36" i="15" s="1"/>
  <c r="F36" i="15"/>
  <c r="R36" i="15" s="1"/>
  <c r="J35" i="15"/>
  <c r="K35" i="15" s="1"/>
  <c r="F35" i="15"/>
  <c r="S35" i="15" s="1"/>
  <c r="J34" i="15"/>
  <c r="Q34" i="15" s="1"/>
  <c r="F34" i="15"/>
  <c r="J33" i="15"/>
  <c r="Q33" i="15" s="1"/>
  <c r="F33" i="15"/>
  <c r="R33" i="15" s="1"/>
  <c r="J32" i="15"/>
  <c r="F32" i="15"/>
  <c r="S32" i="15" s="1"/>
  <c r="R31" i="15"/>
  <c r="J31" i="15"/>
  <c r="Q31" i="15" s="1"/>
  <c r="F31" i="15"/>
  <c r="S31" i="15" s="1"/>
  <c r="J30" i="15"/>
  <c r="K30" i="15" s="1"/>
  <c r="F30" i="15"/>
  <c r="R30" i="15" s="1"/>
  <c r="J29" i="15"/>
  <c r="K29" i="15" s="1"/>
  <c r="F29" i="15"/>
  <c r="R29" i="15" s="1"/>
  <c r="J28" i="15"/>
  <c r="Q28" i="15" s="1"/>
  <c r="F28" i="15"/>
  <c r="S28" i="15" s="1"/>
  <c r="J27" i="15"/>
  <c r="K27" i="15" s="1"/>
  <c r="F27" i="15"/>
  <c r="S27" i="15" s="1"/>
  <c r="J26" i="15"/>
  <c r="Q26" i="15" s="1"/>
  <c r="F26" i="15"/>
  <c r="R26" i="15" s="1"/>
  <c r="J25" i="15"/>
  <c r="Q25" i="15" s="1"/>
  <c r="F25" i="15"/>
  <c r="J24" i="15"/>
  <c r="K24" i="15" s="1"/>
  <c r="F24" i="15"/>
  <c r="S24" i="15" s="1"/>
  <c r="J23" i="15"/>
  <c r="F23" i="15"/>
  <c r="J22" i="15"/>
  <c r="F22" i="15"/>
  <c r="S22" i="15" s="1"/>
  <c r="J21" i="15"/>
  <c r="K21" i="15" s="1"/>
  <c r="F21" i="15"/>
  <c r="R21" i="15" s="1"/>
  <c r="J20" i="15"/>
  <c r="K20" i="15" s="1"/>
  <c r="F20" i="15"/>
  <c r="S20" i="15" s="1"/>
  <c r="V15" i="15"/>
  <c r="A15" i="15"/>
  <c r="V14" i="15"/>
  <c r="A14" i="15"/>
  <c r="V13" i="15"/>
  <c r="A13" i="15"/>
  <c r="V12" i="15"/>
  <c r="A12" i="15"/>
  <c r="B4" i="15"/>
  <c r="F4" i="15" s="1"/>
  <c r="J38" i="13"/>
  <c r="F38" i="13"/>
  <c r="J37" i="13"/>
  <c r="F37" i="13"/>
  <c r="J36" i="13"/>
  <c r="F36" i="13"/>
  <c r="S36" i="13" s="1"/>
  <c r="J35" i="13"/>
  <c r="K35" i="13" s="1"/>
  <c r="F35" i="13"/>
  <c r="J34" i="13"/>
  <c r="F34" i="13"/>
  <c r="R34" i="13" s="1"/>
  <c r="J33" i="13"/>
  <c r="Q33" i="13" s="1"/>
  <c r="F33" i="13"/>
  <c r="R33" i="13" s="1"/>
  <c r="J32" i="13"/>
  <c r="K32" i="13" s="1"/>
  <c r="F32" i="13"/>
  <c r="S32" i="13" s="1"/>
  <c r="R31" i="13"/>
  <c r="J31" i="13"/>
  <c r="K31" i="13" s="1"/>
  <c r="F31" i="13"/>
  <c r="J30" i="13"/>
  <c r="Q30" i="13" s="1"/>
  <c r="F30" i="13"/>
  <c r="R30" i="13" s="1"/>
  <c r="J29" i="13"/>
  <c r="F29" i="13"/>
  <c r="S29" i="13" s="1"/>
  <c r="J28" i="13"/>
  <c r="F28" i="13"/>
  <c r="J27" i="13"/>
  <c r="Q27" i="13" s="1"/>
  <c r="F27" i="13"/>
  <c r="R27" i="13" s="1"/>
  <c r="J26" i="13"/>
  <c r="Q26" i="13" s="1"/>
  <c r="F26" i="13"/>
  <c r="R26" i="13" s="1"/>
  <c r="J25" i="13"/>
  <c r="F25" i="13"/>
  <c r="S25" i="13" s="1"/>
  <c r="J24" i="13"/>
  <c r="Q24" i="13" s="1"/>
  <c r="F24" i="13"/>
  <c r="S24" i="13" s="1"/>
  <c r="J23" i="13"/>
  <c r="Q23" i="13" s="1"/>
  <c r="F23" i="13"/>
  <c r="J22" i="13"/>
  <c r="F22" i="13"/>
  <c r="J21" i="13"/>
  <c r="F21" i="13"/>
  <c r="S21" i="13" s="1"/>
  <c r="J20" i="13"/>
  <c r="F20" i="13"/>
  <c r="F13" i="37"/>
  <c r="L15" i="37"/>
  <c r="E12" i="37"/>
  <c r="F15" i="37"/>
  <c r="G14" i="37"/>
  <c r="G15" i="37"/>
  <c r="L14" i="37"/>
  <c r="D15" i="37"/>
  <c r="J12" i="37"/>
  <c r="K13" i="37"/>
  <c r="E13" i="37"/>
  <c r="E14" i="37"/>
  <c r="J13" i="37"/>
  <c r="G12" i="37"/>
  <c r="K12" i="37"/>
  <c r="K14" i="37"/>
  <c r="D13" i="37"/>
  <c r="M13" i="37"/>
  <c r="G13" i="37"/>
  <c r="M12" i="37"/>
  <c r="L13" i="37"/>
  <c r="J15" i="37"/>
  <c r="D14" i="37"/>
  <c r="F14" i="37"/>
  <c r="M15" i="37"/>
  <c r="E15" i="37"/>
  <c r="M14" i="37"/>
  <c r="K15" i="37"/>
  <c r="J14" i="37"/>
  <c r="L12" i="37"/>
  <c r="D14" i="26"/>
  <c r="U38" i="27" l="1"/>
  <c r="T38" i="15"/>
  <c r="S38" i="18"/>
  <c r="T20" i="18"/>
  <c r="U16" i="37"/>
  <c r="T22" i="21"/>
  <c r="R22" i="21"/>
  <c r="S26" i="31"/>
  <c r="R30" i="27"/>
  <c r="T14" i="27" s="1"/>
  <c r="U26" i="31"/>
  <c r="R25" i="26"/>
  <c r="R32" i="26"/>
  <c r="S36" i="30"/>
  <c r="R24" i="17"/>
  <c r="S30" i="17"/>
  <c r="U30" i="29"/>
  <c r="R37" i="34"/>
  <c r="R21" i="35"/>
  <c r="R22" i="30"/>
  <c r="U37" i="30"/>
  <c r="R27" i="19"/>
  <c r="U31" i="30"/>
  <c r="R36" i="13"/>
  <c r="T20" i="20"/>
  <c r="T34" i="33"/>
  <c r="R23" i="36"/>
  <c r="R34" i="33"/>
  <c r="S29" i="19"/>
  <c r="R26" i="28"/>
  <c r="U22" i="32"/>
  <c r="R35" i="32"/>
  <c r="S28" i="17"/>
  <c r="U22" i="16"/>
  <c r="U28" i="17"/>
  <c r="R26" i="18"/>
  <c r="S22" i="16"/>
  <c r="S34" i="22"/>
  <c r="S26" i="23"/>
  <c r="U31" i="26"/>
  <c r="S35" i="17"/>
  <c r="U26" i="36"/>
  <c r="S16" i="37"/>
  <c r="U30" i="32"/>
  <c r="R37" i="28"/>
  <c r="U27" i="17"/>
  <c r="Q21" i="34"/>
  <c r="U35" i="34"/>
  <c r="T24" i="15"/>
  <c r="S30" i="15"/>
  <c r="U20" i="19"/>
  <c r="Q24" i="20"/>
  <c r="K31" i="23"/>
  <c r="S37" i="23"/>
  <c r="R35" i="24"/>
  <c r="S36" i="31"/>
  <c r="U31" i="33"/>
  <c r="U37" i="17"/>
  <c r="T27" i="31"/>
  <c r="S28" i="33"/>
  <c r="U22" i="18"/>
  <c r="S28" i="20"/>
  <c r="R23" i="28"/>
  <c r="U23" i="33"/>
  <c r="R24" i="15"/>
  <c r="U36" i="18"/>
  <c r="U22" i="21"/>
  <c r="U34" i="22"/>
  <c r="U35" i="27"/>
  <c r="R20" i="30"/>
  <c r="S24" i="31"/>
  <c r="U21" i="32"/>
  <c r="R26" i="35"/>
  <c r="R33" i="29"/>
  <c r="U29" i="18"/>
  <c r="S27" i="24"/>
  <c r="R28" i="29"/>
  <c r="U31" i="23"/>
  <c r="U28" i="18"/>
  <c r="R35" i="18"/>
  <c r="R30" i="23"/>
  <c r="S34" i="26"/>
  <c r="U31" i="35"/>
  <c r="U27" i="35"/>
  <c r="U21" i="18"/>
  <c r="U37" i="19"/>
  <c r="K28" i="18"/>
  <c r="T28" i="18" s="1"/>
  <c r="R20" i="26"/>
  <c r="R22" i="23"/>
  <c r="R37" i="25"/>
  <c r="T33" i="30"/>
  <c r="S37" i="35"/>
  <c r="U37" i="23"/>
  <c r="R29" i="26"/>
  <c r="U14" i="15"/>
  <c r="T35" i="17"/>
  <c r="U20" i="25"/>
  <c r="U34" i="20"/>
  <c r="U37" i="35"/>
  <c r="S26" i="16"/>
  <c r="U37" i="28"/>
  <c r="K23" i="32"/>
  <c r="T23" i="32" s="1"/>
  <c r="U20" i="29"/>
  <c r="U38" i="16"/>
  <c r="R20" i="25"/>
  <c r="R12" i="25" s="1"/>
  <c r="Q25" i="26"/>
  <c r="Q27" i="35"/>
  <c r="T34" i="35"/>
  <c r="S29" i="35"/>
  <c r="S33" i="24"/>
  <c r="U38" i="17"/>
  <c r="R33" i="30"/>
  <c r="U32" i="34"/>
  <c r="U21" i="13"/>
  <c r="U22" i="23"/>
  <c r="U34" i="36"/>
  <c r="U23" i="25"/>
  <c r="U38" i="30"/>
  <c r="U26" i="21"/>
  <c r="R25" i="22"/>
  <c r="U34" i="24"/>
  <c r="U28" i="34"/>
  <c r="T21" i="36"/>
  <c r="Q28" i="36"/>
  <c r="Q23" i="35"/>
  <c r="U23" i="35"/>
  <c r="Q38" i="34"/>
  <c r="K29" i="34"/>
  <c r="T29" i="34" s="1"/>
  <c r="Q26" i="33"/>
  <c r="K38" i="33"/>
  <c r="U23" i="32"/>
  <c r="U21" i="31"/>
  <c r="K34" i="31"/>
  <c r="T34" i="31" s="1"/>
  <c r="K26" i="31"/>
  <c r="T26" i="31" s="1"/>
  <c r="Q20" i="30"/>
  <c r="U20" i="30"/>
  <c r="K30" i="30"/>
  <c r="T30" i="30" s="1"/>
  <c r="U27" i="29"/>
  <c r="K23" i="28"/>
  <c r="T23" i="28" s="1"/>
  <c r="U23" i="28"/>
  <c r="K20" i="28"/>
  <c r="U27" i="27"/>
  <c r="Q27" i="27"/>
  <c r="T21" i="27"/>
  <c r="K30" i="27"/>
  <c r="T30" i="27" s="1"/>
  <c r="Q22" i="26"/>
  <c r="K28" i="26"/>
  <c r="U32" i="26"/>
  <c r="U25" i="25"/>
  <c r="K20" i="25"/>
  <c r="T20" i="25" s="1"/>
  <c r="Q20" i="25"/>
  <c r="U32" i="25"/>
  <c r="U25" i="20"/>
  <c r="T25" i="24"/>
  <c r="Q25" i="24"/>
  <c r="Q36" i="22"/>
  <c r="Q31" i="22"/>
  <c r="Q26" i="22"/>
  <c r="U34" i="21"/>
  <c r="Q36" i="18"/>
  <c r="K24" i="17"/>
  <c r="T24" i="17" s="1"/>
  <c r="Q37" i="16"/>
  <c r="Q20" i="16"/>
  <c r="K21" i="16"/>
  <c r="T21" i="16" s="1"/>
  <c r="U20" i="16"/>
  <c r="U30" i="16"/>
  <c r="T36" i="19"/>
  <c r="T38" i="21"/>
  <c r="U21" i="24"/>
  <c r="S21" i="25"/>
  <c r="U34" i="26"/>
  <c r="U30" i="27"/>
  <c r="R36" i="19"/>
  <c r="R36" i="27"/>
  <c r="U30" i="36"/>
  <c r="U36" i="36"/>
  <c r="S36" i="15"/>
  <c r="S30" i="16"/>
  <c r="S14" i="16" s="1"/>
  <c r="R37" i="17"/>
  <c r="S26" i="20"/>
  <c r="S38" i="21"/>
  <c r="R27" i="23"/>
  <c r="U38" i="23"/>
  <c r="U31" i="27"/>
  <c r="S36" i="27"/>
  <c r="U20" i="28"/>
  <c r="U38" i="29"/>
  <c r="R24" i="33"/>
  <c r="U31" i="17"/>
  <c r="R27" i="18"/>
  <c r="U25" i="19"/>
  <c r="T20" i="28"/>
  <c r="U25" i="31"/>
  <c r="R36" i="35"/>
  <c r="U37" i="36"/>
  <c r="R23" i="32"/>
  <c r="U36" i="35"/>
  <c r="T31" i="36"/>
  <c r="S27" i="20"/>
  <c r="R36" i="26"/>
  <c r="U37" i="27"/>
  <c r="R20" i="28"/>
  <c r="U12" i="28" s="1"/>
  <c r="U36" i="31"/>
  <c r="S23" i="32"/>
  <c r="T29" i="32"/>
  <c r="U20" i="34"/>
  <c r="R25" i="36"/>
  <c r="U38" i="36"/>
  <c r="T27" i="15"/>
  <c r="R20" i="19"/>
  <c r="R22" i="22"/>
  <c r="S27" i="22"/>
  <c r="R33" i="22"/>
  <c r="S33" i="23"/>
  <c r="T37" i="25"/>
  <c r="S32" i="27"/>
  <c r="U28" i="29"/>
  <c r="U33" i="29"/>
  <c r="R29" i="32"/>
  <c r="R32" i="34"/>
  <c r="T29" i="21"/>
  <c r="U23" i="17"/>
  <c r="R24" i="18"/>
  <c r="R29" i="21"/>
  <c r="T35" i="21"/>
  <c r="U29" i="29"/>
  <c r="U22" i="15"/>
  <c r="R14" i="15"/>
  <c r="U24" i="18"/>
  <c r="S35" i="21"/>
  <c r="S22" i="30"/>
  <c r="S12" i="30" s="1"/>
  <c r="R33" i="34"/>
  <c r="R33" i="36"/>
  <c r="U21" i="19"/>
  <c r="R33" i="25"/>
  <c r="S29" i="27"/>
  <c r="T29" i="30"/>
  <c r="R22" i="31"/>
  <c r="U25" i="32"/>
  <c r="S33" i="34"/>
  <c r="U33" i="35"/>
  <c r="R38" i="35"/>
  <c r="S34" i="18"/>
  <c r="R22" i="15"/>
  <c r="S34" i="19"/>
  <c r="T35" i="15"/>
  <c r="U34" i="16"/>
  <c r="U36" i="20"/>
  <c r="U30" i="21"/>
  <c r="R35" i="15"/>
  <c r="U30" i="17"/>
  <c r="U35" i="19"/>
  <c r="S26" i="24"/>
  <c r="U34" i="25"/>
  <c r="T34" i="26"/>
  <c r="R30" i="29"/>
  <c r="S27" i="31"/>
  <c r="R38" i="32"/>
  <c r="U22" i="36"/>
  <c r="U23" i="15"/>
  <c r="U30" i="15"/>
  <c r="S34" i="16"/>
  <c r="U23" i="16"/>
  <c r="U29" i="16"/>
  <c r="U24" i="17"/>
  <c r="R36" i="20"/>
  <c r="U36" i="29"/>
  <c r="R30" i="34"/>
  <c r="T28" i="35"/>
  <c r="S34" i="35"/>
  <c r="R16" i="37"/>
  <c r="O15" i="37"/>
  <c r="Y15" i="37" s="1"/>
  <c r="H15" i="37"/>
  <c r="X15" i="37" s="1"/>
  <c r="L16" i="37"/>
  <c r="F16" i="37"/>
  <c r="D16" i="37"/>
  <c r="H12" i="37"/>
  <c r="X12" i="37" s="1"/>
  <c r="G16" i="37"/>
  <c r="O12" i="37"/>
  <c r="Y12" i="37" s="1"/>
  <c r="J16" i="37"/>
  <c r="N12" i="37"/>
  <c r="H13" i="37"/>
  <c r="X13" i="37" s="1"/>
  <c r="O13" i="37"/>
  <c r="Y13" i="37" s="1"/>
  <c r="K16" i="37"/>
  <c r="N14" i="37"/>
  <c r="N15" i="37"/>
  <c r="N13" i="37"/>
  <c r="M16" i="37"/>
  <c r="H14" i="37"/>
  <c r="X14" i="37" s="1"/>
  <c r="E16" i="37"/>
  <c r="T16" i="37"/>
  <c r="K34" i="19"/>
  <c r="T34" i="19" s="1"/>
  <c r="Q33" i="16"/>
  <c r="U24" i="22"/>
  <c r="U29" i="26"/>
  <c r="K33" i="26"/>
  <c r="T33" i="26" s="1"/>
  <c r="K37" i="27"/>
  <c r="K24" i="31"/>
  <c r="T24" i="31" s="1"/>
  <c r="K38" i="31"/>
  <c r="T38" i="31" s="1"/>
  <c r="U24" i="32"/>
  <c r="U27" i="33"/>
  <c r="K32" i="34"/>
  <c r="T32" i="34" s="1"/>
  <c r="Q33" i="36"/>
  <c r="K27" i="33"/>
  <c r="K38" i="35"/>
  <c r="T38" i="35" s="1"/>
  <c r="U33" i="16"/>
  <c r="U34" i="19"/>
  <c r="T29" i="20"/>
  <c r="Q35" i="20"/>
  <c r="K32" i="30"/>
  <c r="T32" i="30" s="1"/>
  <c r="Q29" i="32"/>
  <c r="K35" i="32"/>
  <c r="T35" i="32" s="1"/>
  <c r="U38" i="32"/>
  <c r="U24" i="29"/>
  <c r="U27" i="18"/>
  <c r="T26" i="29"/>
  <c r="U24" i="31"/>
  <c r="Q27" i="15"/>
  <c r="K24" i="16"/>
  <c r="U24" i="16"/>
  <c r="T37" i="18"/>
  <c r="Q29" i="21"/>
  <c r="U31" i="24"/>
  <c r="K30" i="26"/>
  <c r="K38" i="27"/>
  <c r="T38" i="27" s="1"/>
  <c r="K25" i="32"/>
  <c r="T25" i="32" s="1"/>
  <c r="K28" i="33"/>
  <c r="T28" i="33" s="1"/>
  <c r="Q27" i="31"/>
  <c r="Q35" i="34"/>
  <c r="U36" i="15"/>
  <c r="Q24" i="18"/>
  <c r="Q25" i="19"/>
  <c r="Q33" i="21"/>
  <c r="K26" i="23"/>
  <c r="Q26" i="25"/>
  <c r="Q38" i="27"/>
  <c r="K37" i="28"/>
  <c r="T37" i="28" s="1"/>
  <c r="Q33" i="30"/>
  <c r="Q25" i="32"/>
  <c r="U33" i="33"/>
  <c r="K36" i="35"/>
  <c r="K36" i="15"/>
  <c r="T36" i="15" s="1"/>
  <c r="Q24" i="32"/>
  <c r="Q24" i="22"/>
  <c r="K33" i="15"/>
  <c r="U29" i="21"/>
  <c r="U33" i="30"/>
  <c r="K36" i="32"/>
  <c r="U28" i="33"/>
  <c r="Q33" i="33"/>
  <c r="U38" i="34"/>
  <c r="Q26" i="35"/>
  <c r="Q28" i="32"/>
  <c r="Q38" i="32"/>
  <c r="T36" i="16"/>
  <c r="K27" i="29"/>
  <c r="T27" i="29" s="1"/>
  <c r="U34" i="30"/>
  <c r="U32" i="35"/>
  <c r="U28" i="16"/>
  <c r="T30" i="25"/>
  <c r="K29" i="26"/>
  <c r="T29" i="26" s="1"/>
  <c r="Q28" i="21"/>
  <c r="Q36" i="16"/>
  <c r="K30" i="21"/>
  <c r="K34" i="30"/>
  <c r="K36" i="31"/>
  <c r="T36" i="31" s="1"/>
  <c r="Q37" i="32"/>
  <c r="K32" i="35"/>
  <c r="T32" i="35" s="1"/>
  <c r="Q28" i="16"/>
  <c r="Q27" i="18"/>
  <c r="U36" i="16"/>
  <c r="K29" i="18"/>
  <c r="U32" i="19"/>
  <c r="Q30" i="21"/>
  <c r="Q27" i="22"/>
  <c r="T29" i="25"/>
  <c r="K32" i="26"/>
  <c r="T32" i="26" s="1"/>
  <c r="K36" i="27"/>
  <c r="T36" i="27" s="1"/>
  <c r="Q27" i="28"/>
  <c r="Q34" i="34"/>
  <c r="Q37" i="35"/>
  <c r="Q30" i="15"/>
  <c r="Q29" i="18"/>
  <c r="U37" i="32"/>
  <c r="U25" i="36"/>
  <c r="U36" i="21"/>
  <c r="U27" i="22"/>
  <c r="Q28" i="23"/>
  <c r="K28" i="29"/>
  <c r="T28" i="29" s="1"/>
  <c r="Q32" i="29"/>
  <c r="Q31" i="30"/>
  <c r="U28" i="32"/>
  <c r="K33" i="32"/>
  <c r="Q30" i="33"/>
  <c r="U34" i="34"/>
  <c r="R22" i="24"/>
  <c r="T22" i="24"/>
  <c r="U35" i="26"/>
  <c r="K35" i="26"/>
  <c r="T35" i="26" s="1"/>
  <c r="Q35" i="26"/>
  <c r="Q34" i="27"/>
  <c r="U34" i="27"/>
  <c r="K34" i="27"/>
  <c r="T34" i="27" s="1"/>
  <c r="Q20" i="18"/>
  <c r="Q36" i="19"/>
  <c r="K25" i="21"/>
  <c r="T25" i="21" s="1"/>
  <c r="K31" i="21"/>
  <c r="T31" i="21" s="1"/>
  <c r="Q31" i="21"/>
  <c r="K35" i="24"/>
  <c r="T35" i="24" s="1"/>
  <c r="Q35" i="24"/>
  <c r="K29" i="19"/>
  <c r="T29" i="19" s="1"/>
  <c r="U25" i="13"/>
  <c r="U37" i="15"/>
  <c r="T35" i="16"/>
  <c r="S38" i="16"/>
  <c r="U34" i="17"/>
  <c r="K34" i="17"/>
  <c r="T34" i="17" s="1"/>
  <c r="U32" i="18"/>
  <c r="T20" i="19"/>
  <c r="U23" i="19"/>
  <c r="K28" i="20"/>
  <c r="T28" i="20" s="1"/>
  <c r="S24" i="22"/>
  <c r="U32" i="22"/>
  <c r="U23" i="23"/>
  <c r="S27" i="25"/>
  <c r="R27" i="25"/>
  <c r="U28" i="31"/>
  <c r="Q28" i="31"/>
  <c r="T23" i="20"/>
  <c r="K31" i="20"/>
  <c r="U31" i="20"/>
  <c r="K25" i="16"/>
  <c r="T25" i="16" s="1"/>
  <c r="R25" i="13"/>
  <c r="U21" i="17"/>
  <c r="K31" i="17"/>
  <c r="T31" i="17" s="1"/>
  <c r="Q31" i="17"/>
  <c r="U20" i="18"/>
  <c r="T29" i="18"/>
  <c r="R23" i="19"/>
  <c r="S26" i="19"/>
  <c r="U22" i="20"/>
  <c r="R32" i="33"/>
  <c r="S32" i="33"/>
  <c r="Q22" i="22"/>
  <c r="U22" i="22"/>
  <c r="K28" i="15"/>
  <c r="R37" i="15"/>
  <c r="K29" i="16"/>
  <c r="T29" i="16" s="1"/>
  <c r="Q32" i="16"/>
  <c r="S35" i="16"/>
  <c r="R21" i="17"/>
  <c r="K28" i="17"/>
  <c r="T28" i="17" s="1"/>
  <c r="U36" i="19"/>
  <c r="R22" i="20"/>
  <c r="T25" i="20"/>
  <c r="Q28" i="22"/>
  <c r="U28" i="22"/>
  <c r="K32" i="22"/>
  <c r="Q32" i="22"/>
  <c r="K27" i="23"/>
  <c r="T27" i="23" s="1"/>
  <c r="U27" i="23"/>
  <c r="Q27" i="23"/>
  <c r="S22" i="24"/>
  <c r="S21" i="22"/>
  <c r="T21" i="22"/>
  <c r="Q24" i="15"/>
  <c r="U24" i="15"/>
  <c r="Q35" i="15"/>
  <c r="U25" i="17"/>
  <c r="Q25" i="17"/>
  <c r="S29" i="18"/>
  <c r="S14" i="18" s="1"/>
  <c r="Q32" i="18"/>
  <c r="T36" i="18"/>
  <c r="R37" i="19"/>
  <c r="U28" i="20"/>
  <c r="U32" i="20"/>
  <c r="Q26" i="21"/>
  <c r="K26" i="21"/>
  <c r="T26" i="21" s="1"/>
  <c r="R36" i="21"/>
  <c r="Q25" i="22"/>
  <c r="U25" i="22"/>
  <c r="K25" i="22"/>
  <c r="T25" i="22" s="1"/>
  <c r="R29" i="22"/>
  <c r="S29" i="22"/>
  <c r="Q23" i="23"/>
  <c r="U22" i="25"/>
  <c r="S28" i="25"/>
  <c r="R28" i="25"/>
  <c r="Q33" i="25"/>
  <c r="U33" i="25"/>
  <c r="S33" i="26"/>
  <c r="R33" i="26"/>
  <c r="Q20" i="27"/>
  <c r="K20" i="27"/>
  <c r="T20" i="27" s="1"/>
  <c r="S36" i="32"/>
  <c r="U36" i="32"/>
  <c r="R36" i="32"/>
  <c r="K21" i="19"/>
  <c r="T21" i="19" s="1"/>
  <c r="U29" i="22"/>
  <c r="Q29" i="22"/>
  <c r="Q22" i="15"/>
  <c r="U27" i="16"/>
  <c r="R22" i="17"/>
  <c r="Q21" i="18"/>
  <c r="Q21" i="19"/>
  <c r="K24" i="19"/>
  <c r="K37" i="19"/>
  <c r="T37" i="19" s="1"/>
  <c r="Q29" i="20"/>
  <c r="T26" i="22"/>
  <c r="S26" i="22"/>
  <c r="R26" i="22"/>
  <c r="K29" i="22"/>
  <c r="T29" i="22" s="1"/>
  <c r="R20" i="23"/>
  <c r="Q35" i="23"/>
  <c r="K28" i="24"/>
  <c r="T28" i="24" s="1"/>
  <c r="K31" i="29"/>
  <c r="T31" i="29" s="1"/>
  <c r="U31" i="29"/>
  <c r="Q31" i="29"/>
  <c r="R27" i="16"/>
  <c r="K26" i="17"/>
  <c r="T26" i="17" s="1"/>
  <c r="U32" i="17"/>
  <c r="U30" i="18"/>
  <c r="S33" i="20"/>
  <c r="U23" i="21"/>
  <c r="U20" i="23"/>
  <c r="Q20" i="23"/>
  <c r="U28" i="24"/>
  <c r="Q26" i="20"/>
  <c r="U26" i="20"/>
  <c r="U37" i="22"/>
  <c r="K37" i="22"/>
  <c r="T37" i="22" s="1"/>
  <c r="K22" i="15"/>
  <c r="T22" i="15" s="1"/>
  <c r="U22" i="17"/>
  <c r="K21" i="18"/>
  <c r="T21" i="18" s="1"/>
  <c r="U23" i="20"/>
  <c r="U32" i="24"/>
  <c r="Q32" i="24"/>
  <c r="U25" i="18"/>
  <c r="U33" i="18"/>
  <c r="U27" i="19"/>
  <c r="Q37" i="19"/>
  <c r="U20" i="20"/>
  <c r="R20" i="20"/>
  <c r="S29" i="20"/>
  <c r="S14" i="20" s="1"/>
  <c r="U37" i="20"/>
  <c r="U37" i="21"/>
  <c r="S29" i="15"/>
  <c r="S14" i="15" s="1"/>
  <c r="T33" i="16"/>
  <c r="T37" i="16"/>
  <c r="R26" i="17"/>
  <c r="U35" i="17"/>
  <c r="R28" i="18"/>
  <c r="R30" i="18"/>
  <c r="T14" i="18" s="1"/>
  <c r="U37" i="18"/>
  <c r="U29" i="20"/>
  <c r="R20" i="21"/>
  <c r="U12" i="21" s="1"/>
  <c r="R23" i="21"/>
  <c r="Q27" i="21"/>
  <c r="Q37" i="21"/>
  <c r="K20" i="23"/>
  <c r="T20" i="23" s="1"/>
  <c r="U25" i="23"/>
  <c r="K25" i="23"/>
  <c r="T25" i="23" s="1"/>
  <c r="K33" i="24"/>
  <c r="T33" i="24" s="1"/>
  <c r="U38" i="24"/>
  <c r="K38" i="24"/>
  <c r="T38" i="24" s="1"/>
  <c r="Q24" i="25"/>
  <c r="U24" i="25"/>
  <c r="R22" i="26"/>
  <c r="T22" i="26"/>
  <c r="S22" i="26"/>
  <c r="R27" i="32"/>
  <c r="S27" i="32"/>
  <c r="S26" i="33"/>
  <c r="S13" i="33" s="1"/>
  <c r="R26" i="33"/>
  <c r="T26" i="33"/>
  <c r="U24" i="34"/>
  <c r="Q24" i="34"/>
  <c r="R28" i="23"/>
  <c r="U28" i="23"/>
  <c r="S14" i="22"/>
  <c r="U32" i="15"/>
  <c r="U20" i="21"/>
  <c r="S27" i="21"/>
  <c r="R38" i="22"/>
  <c r="S20" i="23"/>
  <c r="S12" i="23" s="1"/>
  <c r="S35" i="25"/>
  <c r="R35" i="25"/>
  <c r="Q22" i="27"/>
  <c r="K22" i="27"/>
  <c r="T22" i="27" s="1"/>
  <c r="U25" i="15"/>
  <c r="Q35" i="17"/>
  <c r="T29" i="15"/>
  <c r="U36" i="23"/>
  <c r="Q36" i="23"/>
  <c r="Q20" i="15"/>
  <c r="U27" i="15"/>
  <c r="T30" i="15"/>
  <c r="U21" i="16"/>
  <c r="U37" i="16"/>
  <c r="R22" i="18"/>
  <c r="K25" i="18"/>
  <c r="U34" i="18"/>
  <c r="Q37" i="18"/>
  <c r="K35" i="19"/>
  <c r="T35" i="19" s="1"/>
  <c r="Q20" i="20"/>
  <c r="U21" i="21"/>
  <c r="S24" i="21"/>
  <c r="R24" i="21"/>
  <c r="T27" i="21"/>
  <c r="U33" i="21"/>
  <c r="U38" i="21"/>
  <c r="Q38" i="21"/>
  <c r="Q23" i="22"/>
  <c r="T35" i="22"/>
  <c r="R35" i="22"/>
  <c r="S21" i="23"/>
  <c r="R21" i="23"/>
  <c r="R30" i="24"/>
  <c r="S30" i="24"/>
  <c r="U30" i="25"/>
  <c r="U35" i="25"/>
  <c r="Q35" i="30"/>
  <c r="U35" i="30"/>
  <c r="K35" i="30"/>
  <c r="T35" i="30" s="1"/>
  <c r="S24" i="24"/>
  <c r="U24" i="24"/>
  <c r="Q29" i="15"/>
  <c r="T28" i="16"/>
  <c r="R20" i="15"/>
  <c r="U26" i="17"/>
  <c r="U36" i="17"/>
  <c r="U38" i="19"/>
  <c r="U30" i="20"/>
  <c r="U27" i="21"/>
  <c r="U29" i="23"/>
  <c r="K29" i="23"/>
  <c r="T29" i="23" s="1"/>
  <c r="U20" i="24"/>
  <c r="Q20" i="24"/>
  <c r="K20" i="24"/>
  <c r="T20" i="24" s="1"/>
  <c r="R26" i="25"/>
  <c r="U26" i="25"/>
  <c r="U29" i="15"/>
  <c r="U25" i="16"/>
  <c r="S33" i="17"/>
  <c r="U38" i="18"/>
  <c r="R22" i="19"/>
  <c r="T25" i="19"/>
  <c r="U29" i="19"/>
  <c r="S38" i="19"/>
  <c r="T24" i="20"/>
  <c r="U27" i="20"/>
  <c r="K21" i="21"/>
  <c r="Q21" i="21"/>
  <c r="U25" i="21"/>
  <c r="U28" i="21"/>
  <c r="S28" i="21"/>
  <c r="U23" i="22"/>
  <c r="T31" i="22"/>
  <c r="R29" i="23"/>
  <c r="Q32" i="23"/>
  <c r="U32" i="23"/>
  <c r="U25" i="24"/>
  <c r="U21" i="30"/>
  <c r="Q21" i="30"/>
  <c r="K21" i="30"/>
  <c r="K26" i="20"/>
  <c r="T26" i="20" s="1"/>
  <c r="T20" i="15"/>
  <c r="S26" i="15"/>
  <c r="S38" i="15"/>
  <c r="U20" i="15"/>
  <c r="U34" i="15"/>
  <c r="U20" i="17"/>
  <c r="U33" i="17"/>
  <c r="Q26" i="18"/>
  <c r="K26" i="18"/>
  <c r="T26" i="18" s="1"/>
  <c r="U24" i="20"/>
  <c r="T31" i="20"/>
  <c r="S29" i="23"/>
  <c r="S14" i="23" s="1"/>
  <c r="U36" i="25"/>
  <c r="Q36" i="25"/>
  <c r="R23" i="27"/>
  <c r="U21" i="33"/>
  <c r="Q21" i="33"/>
  <c r="Q30" i="29"/>
  <c r="K30" i="29"/>
  <c r="T30" i="29" s="1"/>
  <c r="S38" i="31"/>
  <c r="R38" i="31"/>
  <c r="Q20" i="32"/>
  <c r="U20" i="32"/>
  <c r="K20" i="32"/>
  <c r="T20" i="32" s="1"/>
  <c r="U35" i="23"/>
  <c r="U37" i="25"/>
  <c r="Q37" i="25"/>
  <c r="U21" i="28"/>
  <c r="U23" i="30"/>
  <c r="Q23" i="30"/>
  <c r="K22" i="34"/>
  <c r="Q22" i="34"/>
  <c r="Q22" i="35"/>
  <c r="K22" i="35"/>
  <c r="T22" i="35" s="1"/>
  <c r="Q35" i="35"/>
  <c r="U35" i="35"/>
  <c r="K35" i="35"/>
  <c r="T35" i="35" s="1"/>
  <c r="T21" i="28"/>
  <c r="Q24" i="28"/>
  <c r="K24" i="28"/>
  <c r="T24" i="28" s="1"/>
  <c r="U35" i="31"/>
  <c r="Q35" i="31"/>
  <c r="R30" i="32"/>
  <c r="S30" i="32"/>
  <c r="U35" i="33"/>
  <c r="Q35" i="33"/>
  <c r="S22" i="35"/>
  <c r="S12" i="35" s="1"/>
  <c r="U25" i="29"/>
  <c r="K25" i="29"/>
  <c r="T25" i="29" s="1"/>
  <c r="K25" i="31"/>
  <c r="T25" i="31" s="1"/>
  <c r="Q25" i="31"/>
  <c r="Q25" i="33"/>
  <c r="K25" i="33"/>
  <c r="S35" i="33"/>
  <c r="K23" i="34"/>
  <c r="T23" i="34" s="1"/>
  <c r="Q23" i="34"/>
  <c r="U22" i="35"/>
  <c r="S28" i="36"/>
  <c r="R28" i="36"/>
  <c r="R24" i="25"/>
  <c r="S24" i="25"/>
  <c r="U27" i="25"/>
  <c r="U27" i="26"/>
  <c r="T37" i="27"/>
  <c r="R37" i="27"/>
  <c r="S21" i="28"/>
  <c r="U24" i="28"/>
  <c r="R30" i="28"/>
  <c r="U35" i="28"/>
  <c r="Q38" i="28"/>
  <c r="U38" i="28"/>
  <c r="Q25" i="29"/>
  <c r="K37" i="30"/>
  <c r="T37" i="30" s="1"/>
  <c r="Q22" i="31"/>
  <c r="U22" i="31"/>
  <c r="R25" i="31"/>
  <c r="U27" i="31"/>
  <c r="U38" i="31"/>
  <c r="R25" i="33"/>
  <c r="R23" i="34"/>
  <c r="S26" i="21"/>
  <c r="T23" i="22"/>
  <c r="U22" i="24"/>
  <c r="K35" i="25"/>
  <c r="T35" i="25" s="1"/>
  <c r="K27" i="26"/>
  <c r="T27" i="26" s="1"/>
  <c r="S38" i="26"/>
  <c r="S20" i="27"/>
  <c r="S31" i="27"/>
  <c r="K35" i="28"/>
  <c r="T35" i="28" s="1"/>
  <c r="K38" i="28"/>
  <c r="T38" i="28" s="1"/>
  <c r="U34" i="29"/>
  <c r="Q29" i="30"/>
  <c r="Q37" i="30"/>
  <c r="K22" i="31"/>
  <c r="T22" i="31" s="1"/>
  <c r="T21" i="32"/>
  <c r="U26" i="32"/>
  <c r="U25" i="33"/>
  <c r="R27" i="26"/>
  <c r="Q37" i="27"/>
  <c r="U22" i="29"/>
  <c r="U26" i="29"/>
  <c r="Q28" i="29"/>
  <c r="U29" i="30"/>
  <c r="R32" i="30"/>
  <c r="S28" i="31"/>
  <c r="R21" i="32"/>
  <c r="T27" i="32"/>
  <c r="U22" i="33"/>
  <c r="K32" i="33"/>
  <c r="T32" i="33" s="1"/>
  <c r="Q32" i="33"/>
  <c r="Q30" i="34"/>
  <c r="U30" i="34"/>
  <c r="K30" i="34"/>
  <c r="T30" i="34" s="1"/>
  <c r="Q33" i="34"/>
  <c r="K33" i="34"/>
  <c r="T33" i="34" s="1"/>
  <c r="U36" i="34"/>
  <c r="U23" i="36"/>
  <c r="K23" i="36"/>
  <c r="T23" i="36" s="1"/>
  <c r="U38" i="15"/>
  <c r="U23" i="18"/>
  <c r="T35" i="18"/>
  <c r="U22" i="19"/>
  <c r="U28" i="19"/>
  <c r="U38" i="20"/>
  <c r="U35" i="22"/>
  <c r="U38" i="22"/>
  <c r="T21" i="25"/>
  <c r="U28" i="25"/>
  <c r="U38" i="25"/>
  <c r="R35" i="26"/>
  <c r="K31" i="27"/>
  <c r="T31" i="27" s="1"/>
  <c r="R34" i="27"/>
  <c r="S37" i="27"/>
  <c r="K22" i="28"/>
  <c r="K25" i="28"/>
  <c r="T25" i="28" s="1"/>
  <c r="U32" i="30"/>
  <c r="R35" i="30"/>
  <c r="S21" i="32"/>
  <c r="U20" i="35"/>
  <c r="Q20" i="35"/>
  <c r="K20" i="35"/>
  <c r="T20" i="35" s="1"/>
  <c r="S36" i="23"/>
  <c r="K29" i="24"/>
  <c r="T29" i="24" s="1"/>
  <c r="Q29" i="24"/>
  <c r="Q31" i="26"/>
  <c r="K31" i="26"/>
  <c r="T31" i="26" s="1"/>
  <c r="Q21" i="27"/>
  <c r="U24" i="27"/>
  <c r="Q31" i="27"/>
  <c r="R25" i="28"/>
  <c r="U36" i="28"/>
  <c r="K36" i="28"/>
  <c r="Q26" i="29"/>
  <c r="U35" i="29"/>
  <c r="Q35" i="29"/>
  <c r="U25" i="30"/>
  <c r="U20" i="31"/>
  <c r="K20" i="31"/>
  <c r="T20" i="31" s="1"/>
  <c r="Q23" i="31"/>
  <c r="U23" i="31"/>
  <c r="K23" i="31"/>
  <c r="T23" i="31" s="1"/>
  <c r="Q36" i="31"/>
  <c r="U32" i="32"/>
  <c r="Q32" i="32"/>
  <c r="K22" i="33"/>
  <c r="T31" i="34"/>
  <c r="R20" i="35"/>
  <c r="R25" i="23"/>
  <c r="U30" i="23"/>
  <c r="U29" i="24"/>
  <c r="U36" i="24"/>
  <c r="R21" i="27"/>
  <c r="T12" i="27" s="1"/>
  <c r="Q24" i="27"/>
  <c r="U22" i="28"/>
  <c r="Q36" i="28"/>
  <c r="R26" i="29"/>
  <c r="U32" i="29"/>
  <c r="S32" i="29"/>
  <c r="U30" i="30"/>
  <c r="S23" i="31"/>
  <c r="U29" i="31"/>
  <c r="U34" i="31"/>
  <c r="T22" i="32"/>
  <c r="R22" i="32"/>
  <c r="U26" i="33"/>
  <c r="U24" i="35"/>
  <c r="K24" i="35"/>
  <c r="T24" i="35" s="1"/>
  <c r="S21" i="27"/>
  <c r="Q35" i="27"/>
  <c r="K35" i="27"/>
  <c r="T35" i="27" s="1"/>
  <c r="U25" i="28"/>
  <c r="S28" i="28"/>
  <c r="S13" i="28" s="1"/>
  <c r="U32" i="28"/>
  <c r="Q32" i="28"/>
  <c r="S26" i="29"/>
  <c r="R38" i="30"/>
  <c r="R20" i="31"/>
  <c r="R12" i="31" s="1"/>
  <c r="T37" i="32"/>
  <c r="T27" i="33"/>
  <c r="K29" i="33"/>
  <c r="T29" i="33" s="1"/>
  <c r="U29" i="33"/>
  <c r="Q29" i="33"/>
  <c r="U26" i="34"/>
  <c r="Q26" i="34"/>
  <c r="Q24" i="35"/>
  <c r="Q28" i="35"/>
  <c r="Q29" i="29"/>
  <c r="K29" i="29"/>
  <c r="T29" i="29" s="1"/>
  <c r="R21" i="34"/>
  <c r="S21" i="34"/>
  <c r="U27" i="34"/>
  <c r="K21" i="35"/>
  <c r="T21" i="35" s="1"/>
  <c r="U21" i="35"/>
  <c r="U32" i="21"/>
  <c r="U21" i="22"/>
  <c r="U21" i="23"/>
  <c r="T28" i="23"/>
  <c r="U30" i="24"/>
  <c r="U37" i="24"/>
  <c r="T26" i="25"/>
  <c r="U29" i="25"/>
  <c r="U32" i="27"/>
  <c r="K32" i="27"/>
  <c r="T32" i="27" s="1"/>
  <c r="K36" i="30"/>
  <c r="T36" i="30" s="1"/>
  <c r="U36" i="30"/>
  <c r="T30" i="33"/>
  <c r="S30" i="33"/>
  <c r="S14" i="33" s="1"/>
  <c r="Q27" i="34"/>
  <c r="K27" i="34"/>
  <c r="T27" i="34" s="1"/>
  <c r="U29" i="35"/>
  <c r="Q29" i="35"/>
  <c r="T24" i="24"/>
  <c r="U27" i="24"/>
  <c r="K26" i="28"/>
  <c r="T26" i="28" s="1"/>
  <c r="U26" i="28"/>
  <c r="U37" i="31"/>
  <c r="K37" i="31"/>
  <c r="T37" i="31" s="1"/>
  <c r="T30" i="21"/>
  <c r="U26" i="23"/>
  <c r="Q24" i="24"/>
  <c r="Q29" i="25"/>
  <c r="Q34" i="26"/>
  <c r="R25" i="27"/>
  <c r="Q26" i="28"/>
  <c r="Q37" i="28"/>
  <c r="K24" i="29"/>
  <c r="T24" i="29" s="1"/>
  <c r="T20" i="30"/>
  <c r="U27" i="30"/>
  <c r="K31" i="30"/>
  <c r="T31" i="30" s="1"/>
  <c r="K21" i="31"/>
  <c r="T21" i="31" s="1"/>
  <c r="U30" i="31"/>
  <c r="R37" i="31"/>
  <c r="U34" i="32"/>
  <c r="S37" i="32"/>
  <c r="R27" i="33"/>
  <c r="U31" i="34"/>
  <c r="S14" i="34"/>
  <c r="T37" i="34"/>
  <c r="U20" i="36"/>
  <c r="K26" i="36"/>
  <c r="T26" i="36" s="1"/>
  <c r="Q31" i="36"/>
  <c r="T23" i="27"/>
  <c r="U29" i="28"/>
  <c r="U24" i="30"/>
  <c r="Q37" i="34"/>
  <c r="U34" i="35"/>
  <c r="T36" i="35"/>
  <c r="U38" i="35"/>
  <c r="Q20" i="36"/>
  <c r="Q26" i="36"/>
  <c r="R26" i="36"/>
  <c r="U28" i="36"/>
  <c r="U30" i="22"/>
  <c r="T31" i="23"/>
  <c r="U34" i="23"/>
  <c r="U23" i="24"/>
  <c r="U21" i="25"/>
  <c r="U32" i="31"/>
  <c r="T38" i="32"/>
  <c r="U24" i="33"/>
  <c r="U37" i="33"/>
  <c r="K24" i="36"/>
  <c r="T24" i="36" s="1"/>
  <c r="U31" i="36"/>
  <c r="U21" i="36"/>
  <c r="R24" i="36"/>
  <c r="U32" i="36"/>
  <c r="U38" i="33"/>
  <c r="S24" i="35"/>
  <c r="U24" i="36"/>
  <c r="U33" i="32"/>
  <c r="K24" i="33"/>
  <c r="T24" i="33" s="1"/>
  <c r="Q34" i="33"/>
  <c r="K35" i="34"/>
  <c r="T35" i="34" s="1"/>
  <c r="Q31" i="35"/>
  <c r="K37" i="35"/>
  <c r="T37" i="35" s="1"/>
  <c r="K29" i="36"/>
  <c r="T29" i="36" s="1"/>
  <c r="Q32" i="36"/>
  <c r="K27" i="36"/>
  <c r="T27" i="36" s="1"/>
  <c r="U29" i="36"/>
  <c r="T21" i="34"/>
  <c r="S24" i="34"/>
  <c r="U29" i="34"/>
  <c r="T23" i="35"/>
  <c r="U25" i="35"/>
  <c r="R28" i="35"/>
  <c r="R22" i="36"/>
  <c r="K25" i="36"/>
  <c r="T25" i="36" s="1"/>
  <c r="R27" i="36"/>
  <c r="S27" i="36"/>
  <c r="S13" i="36" s="1"/>
  <c r="T33" i="36"/>
  <c r="U27" i="36"/>
  <c r="K37" i="36"/>
  <c r="T37" i="36" s="1"/>
  <c r="T32" i="28"/>
  <c r="T21" i="30"/>
  <c r="T35" i="31"/>
  <c r="U35" i="32"/>
  <c r="T36" i="33"/>
  <c r="R29" i="34"/>
  <c r="T34" i="34"/>
  <c r="R23" i="35"/>
  <c r="T26" i="35"/>
  <c r="T28" i="36"/>
  <c r="B5" i="35"/>
  <c r="B5" i="33"/>
  <c r="A1" i="35"/>
  <c r="F6" i="34"/>
  <c r="F5" i="35"/>
  <c r="A1" i="32"/>
  <c r="B6" i="32"/>
  <c r="S5" i="32"/>
  <c r="B6" i="34"/>
  <c r="F6" i="32"/>
  <c r="S6" i="34"/>
  <c r="S6" i="32"/>
  <c r="F4" i="35"/>
  <c r="S5" i="35"/>
  <c r="A1" i="34"/>
  <c r="S6" i="33"/>
  <c r="F4" i="34"/>
  <c r="F4" i="32"/>
  <c r="S4" i="34"/>
  <c r="B5" i="32"/>
  <c r="B5" i="34"/>
  <c r="F5" i="32"/>
  <c r="S5" i="34"/>
  <c r="T35" i="36"/>
  <c r="T25" i="34"/>
  <c r="T20" i="33"/>
  <c r="T24" i="32"/>
  <c r="U14" i="35"/>
  <c r="T14" i="35"/>
  <c r="R14" i="35"/>
  <c r="T31" i="32"/>
  <c r="T30" i="35"/>
  <c r="S20" i="32"/>
  <c r="S12" i="32" s="1"/>
  <c r="U27" i="32"/>
  <c r="Q31" i="32"/>
  <c r="T36" i="32"/>
  <c r="D12" i="33"/>
  <c r="Q20" i="33"/>
  <c r="T25" i="33"/>
  <c r="U32" i="33"/>
  <c r="Q36" i="33"/>
  <c r="U21" i="34"/>
  <c r="Q25" i="34"/>
  <c r="U37" i="34"/>
  <c r="U26" i="35"/>
  <c r="Q30" i="35"/>
  <c r="S4" i="36"/>
  <c r="Q35" i="36"/>
  <c r="R24" i="32"/>
  <c r="K26" i="32"/>
  <c r="T26" i="32" s="1"/>
  <c r="U29" i="32"/>
  <c r="S31" i="32"/>
  <c r="S14" i="32" s="1"/>
  <c r="S20" i="33"/>
  <c r="R29" i="33"/>
  <c r="K31" i="33"/>
  <c r="T31" i="33" s="1"/>
  <c r="U34" i="33"/>
  <c r="S36" i="33"/>
  <c r="K20" i="34"/>
  <c r="U23" i="34"/>
  <c r="S25" i="34"/>
  <c r="R34" i="34"/>
  <c r="K36" i="34"/>
  <c r="B6" i="35"/>
  <c r="K25" i="35"/>
  <c r="T25" i="35" s="1"/>
  <c r="U28" i="35"/>
  <c r="S30" i="35"/>
  <c r="B5" i="36"/>
  <c r="Q21" i="36"/>
  <c r="K30" i="36"/>
  <c r="T30" i="36" s="1"/>
  <c r="U33" i="36"/>
  <c r="S35" i="36"/>
  <c r="Q37" i="36"/>
  <c r="Q26" i="32"/>
  <c r="R33" i="32"/>
  <c r="R22" i="33"/>
  <c r="Q31" i="33"/>
  <c r="R38" i="33"/>
  <c r="Q20" i="34"/>
  <c r="R27" i="34"/>
  <c r="Q36" i="34"/>
  <c r="F6" i="35"/>
  <c r="Q25" i="35"/>
  <c r="R32" i="35"/>
  <c r="F5" i="36"/>
  <c r="R21" i="36"/>
  <c r="Q30" i="36"/>
  <c r="R37" i="36"/>
  <c r="R26" i="32"/>
  <c r="U31" i="32"/>
  <c r="S33" i="32"/>
  <c r="A1" i="33"/>
  <c r="U20" i="33"/>
  <c r="S22" i="33"/>
  <c r="U36" i="33"/>
  <c r="S38" i="33"/>
  <c r="R20" i="34"/>
  <c r="U25" i="34"/>
  <c r="S27" i="34"/>
  <c r="R36" i="34"/>
  <c r="S6" i="35"/>
  <c r="R25" i="35"/>
  <c r="U30" i="35"/>
  <c r="S32" i="35"/>
  <c r="Q34" i="35"/>
  <c r="S5" i="36"/>
  <c r="S21" i="36"/>
  <c r="Q23" i="36"/>
  <c r="R30" i="36"/>
  <c r="U35" i="36"/>
  <c r="S37" i="36"/>
  <c r="T22" i="33"/>
  <c r="T38" i="33"/>
  <c r="B6" i="36"/>
  <c r="T33" i="32"/>
  <c r="R28" i="32"/>
  <c r="K30" i="32"/>
  <c r="T30" i="32" s="1"/>
  <c r="F4" i="33"/>
  <c r="R33" i="33"/>
  <c r="K35" i="33"/>
  <c r="T35" i="33" s="1"/>
  <c r="R22" i="34"/>
  <c r="K24" i="34"/>
  <c r="R38" i="34"/>
  <c r="D12" i="35"/>
  <c r="R27" i="35"/>
  <c r="K29" i="35"/>
  <c r="T29" i="35" s="1"/>
  <c r="F6" i="36"/>
  <c r="R32" i="36"/>
  <c r="K34" i="36"/>
  <c r="T34" i="36" s="1"/>
  <c r="S28" i="32"/>
  <c r="S13" i="32" s="1"/>
  <c r="Q30" i="32"/>
  <c r="S4" i="33"/>
  <c r="S33" i="33"/>
  <c r="S22" i="34"/>
  <c r="S38" i="34"/>
  <c r="S27" i="35"/>
  <c r="S6" i="36"/>
  <c r="S32" i="36"/>
  <c r="Q34" i="36"/>
  <c r="T28" i="32"/>
  <c r="K32" i="32"/>
  <c r="T32" i="32" s="1"/>
  <c r="K21" i="33"/>
  <c r="T21" i="33" s="1"/>
  <c r="T33" i="33"/>
  <c r="K37" i="33"/>
  <c r="T37" i="33" s="1"/>
  <c r="T22" i="34"/>
  <c r="K26" i="34"/>
  <c r="T26" i="34" s="1"/>
  <c r="T38" i="34"/>
  <c r="T27" i="35"/>
  <c r="K31" i="35"/>
  <c r="T31" i="35" s="1"/>
  <c r="K20" i="36"/>
  <c r="T20" i="36" s="1"/>
  <c r="T32" i="36"/>
  <c r="R34" i="36"/>
  <c r="K36" i="36"/>
  <c r="T36" i="36" s="1"/>
  <c r="Q36" i="36"/>
  <c r="R32" i="32"/>
  <c r="K34" i="32"/>
  <c r="T34" i="32" s="1"/>
  <c r="F5" i="33"/>
  <c r="R21" i="33"/>
  <c r="K23" i="33"/>
  <c r="T23" i="33" s="1"/>
  <c r="R37" i="33"/>
  <c r="R26" i="34"/>
  <c r="K28" i="34"/>
  <c r="T28" i="34" s="1"/>
  <c r="K33" i="35"/>
  <c r="T33" i="35" s="1"/>
  <c r="R20" i="36"/>
  <c r="K22" i="36"/>
  <c r="T22" i="36" s="1"/>
  <c r="R36" i="36"/>
  <c r="K38" i="36"/>
  <c r="T38" i="36" s="1"/>
  <c r="R25" i="32"/>
  <c r="S32" i="32"/>
  <c r="Q34" i="32"/>
  <c r="S5" i="33"/>
  <c r="S21" i="33"/>
  <c r="Q23" i="33"/>
  <c r="R30" i="33"/>
  <c r="S37" i="33"/>
  <c r="S26" i="34"/>
  <c r="Q28" i="34"/>
  <c r="R35" i="34"/>
  <c r="R24" i="35"/>
  <c r="S31" i="35"/>
  <c r="S14" i="35" s="1"/>
  <c r="Q33" i="35"/>
  <c r="S14" i="36"/>
  <c r="S20" i="36"/>
  <c r="Q22" i="36"/>
  <c r="R29" i="36"/>
  <c r="S36" i="36"/>
  <c r="Q38" i="36"/>
  <c r="B6" i="33"/>
  <c r="R23" i="33"/>
  <c r="R28" i="34"/>
  <c r="R33" i="35"/>
  <c r="R38" i="36"/>
  <c r="R34" i="32"/>
  <c r="S33" i="35"/>
  <c r="A1" i="36"/>
  <c r="S38" i="36"/>
  <c r="R35" i="35"/>
  <c r="F4" i="28"/>
  <c r="B5" i="27"/>
  <c r="F5" i="27"/>
  <c r="B5" i="28"/>
  <c r="S5" i="28"/>
  <c r="B6" i="28"/>
  <c r="A1" i="30"/>
  <c r="S5" i="27"/>
  <c r="F4" i="30"/>
  <c r="B6" i="27"/>
  <c r="S4" i="29"/>
  <c r="F6" i="27"/>
  <c r="S6" i="27"/>
  <c r="S4" i="28"/>
  <c r="B5" i="29"/>
  <c r="S6" i="29"/>
  <c r="B6" i="26"/>
  <c r="F5" i="28"/>
  <c r="F4" i="31"/>
  <c r="S6" i="26"/>
  <c r="S4" i="31"/>
  <c r="S6" i="28"/>
  <c r="F5" i="31"/>
  <c r="A1" i="27"/>
  <c r="F6" i="31"/>
  <c r="F4" i="27"/>
  <c r="T30" i="26"/>
  <c r="R30" i="26"/>
  <c r="R34" i="28"/>
  <c r="S34" i="28"/>
  <c r="U20" i="26"/>
  <c r="U23" i="26"/>
  <c r="Q23" i="26"/>
  <c r="K23" i="26"/>
  <c r="T25" i="26"/>
  <c r="Q36" i="26"/>
  <c r="U38" i="26"/>
  <c r="U20" i="27"/>
  <c r="S22" i="27"/>
  <c r="T27" i="27"/>
  <c r="S21" i="26"/>
  <c r="R21" i="26"/>
  <c r="R23" i="26"/>
  <c r="U25" i="26"/>
  <c r="T28" i="26"/>
  <c r="S28" i="26"/>
  <c r="U22" i="27"/>
  <c r="R35" i="27"/>
  <c r="Q28" i="28"/>
  <c r="K28" i="28"/>
  <c r="T28" i="28" s="1"/>
  <c r="Q34" i="28"/>
  <c r="K34" i="28"/>
  <c r="T34" i="28" s="1"/>
  <c r="U34" i="28"/>
  <c r="U25" i="27"/>
  <c r="K25" i="27"/>
  <c r="T25" i="27" s="1"/>
  <c r="Q21" i="29"/>
  <c r="K21" i="29"/>
  <c r="T21" i="29" s="1"/>
  <c r="U21" i="29"/>
  <c r="T23" i="26"/>
  <c r="U21" i="26"/>
  <c r="K21" i="26"/>
  <c r="T21" i="26" s="1"/>
  <c r="S30" i="26"/>
  <c r="S14" i="26" s="1"/>
  <c r="U36" i="26"/>
  <c r="Q25" i="27"/>
  <c r="U31" i="28"/>
  <c r="Q31" i="28"/>
  <c r="K31" i="28"/>
  <c r="T31" i="28" s="1"/>
  <c r="U26" i="26"/>
  <c r="S37" i="26"/>
  <c r="R37" i="26"/>
  <c r="U28" i="27"/>
  <c r="Q28" i="27"/>
  <c r="K28" i="27"/>
  <c r="T28" i="27" s="1"/>
  <c r="A1" i="25"/>
  <c r="F4" i="25"/>
  <c r="B6" i="25"/>
  <c r="K24" i="26"/>
  <c r="T24" i="26" s="1"/>
  <c r="U24" i="26"/>
  <c r="K26" i="26"/>
  <c r="T26" i="26" s="1"/>
  <c r="R28" i="26"/>
  <c r="Q23" i="27"/>
  <c r="R28" i="27"/>
  <c r="S35" i="27"/>
  <c r="U28" i="28"/>
  <c r="U30" i="26"/>
  <c r="U37" i="26"/>
  <c r="K37" i="26"/>
  <c r="T37" i="26" s="1"/>
  <c r="F6" i="26"/>
  <c r="S5" i="26"/>
  <c r="F5" i="26"/>
  <c r="S26" i="27"/>
  <c r="R26" i="27"/>
  <c r="B5" i="25"/>
  <c r="F4" i="26"/>
  <c r="R24" i="26"/>
  <c r="R26" i="26"/>
  <c r="Q37" i="26"/>
  <c r="K33" i="27"/>
  <c r="T33" i="27" s="1"/>
  <c r="R23" i="29"/>
  <c r="S23" i="29"/>
  <c r="Q26" i="26"/>
  <c r="U28" i="26"/>
  <c r="F5" i="25"/>
  <c r="S4" i="26"/>
  <c r="S24" i="26"/>
  <c r="U26" i="27"/>
  <c r="K26" i="27"/>
  <c r="T26" i="27" s="1"/>
  <c r="R38" i="27"/>
  <c r="D12" i="28"/>
  <c r="T22" i="28"/>
  <c r="Q37" i="29"/>
  <c r="K37" i="29"/>
  <c r="T37" i="29" s="1"/>
  <c r="U37" i="29"/>
  <c r="S5" i="25"/>
  <c r="B5" i="26"/>
  <c r="U23" i="27"/>
  <c r="Q29" i="27"/>
  <c r="K29" i="27"/>
  <c r="T29" i="27" s="1"/>
  <c r="U29" i="27"/>
  <c r="U33" i="27"/>
  <c r="U27" i="28"/>
  <c r="T27" i="28"/>
  <c r="R27" i="28"/>
  <c r="T20" i="26"/>
  <c r="T36" i="28"/>
  <c r="S36" i="28"/>
  <c r="D12" i="27"/>
  <c r="S27" i="27"/>
  <c r="R27" i="27"/>
  <c r="S33" i="28"/>
  <c r="K38" i="26"/>
  <c r="T38" i="26" s="1"/>
  <c r="Q20" i="26"/>
  <c r="U22" i="26"/>
  <c r="U33" i="26"/>
  <c r="T36" i="26"/>
  <c r="K24" i="27"/>
  <c r="T24" i="27" s="1"/>
  <c r="S38" i="27"/>
  <c r="U30" i="28"/>
  <c r="U33" i="28"/>
  <c r="R33" i="28"/>
  <c r="K29" i="28"/>
  <c r="T29" i="28" s="1"/>
  <c r="F6" i="29"/>
  <c r="R32" i="29"/>
  <c r="K34" i="29"/>
  <c r="T34" i="29" s="1"/>
  <c r="F5" i="30"/>
  <c r="R21" i="30"/>
  <c r="K23" i="30"/>
  <c r="T23" i="30" s="1"/>
  <c r="U26" i="30"/>
  <c r="S28" i="30"/>
  <c r="R37" i="30"/>
  <c r="K28" i="31"/>
  <c r="T28" i="31" s="1"/>
  <c r="U31" i="31"/>
  <c r="S33" i="31"/>
  <c r="R25" i="29"/>
  <c r="S5" i="30"/>
  <c r="R30" i="30"/>
  <c r="R24" i="27"/>
  <c r="S14" i="28"/>
  <c r="R29" i="28"/>
  <c r="K20" i="29"/>
  <c r="T20" i="29" s="1"/>
  <c r="U23" i="29"/>
  <c r="S25" i="29"/>
  <c r="T32" i="29"/>
  <c r="R34" i="29"/>
  <c r="K36" i="29"/>
  <c r="T36" i="29" s="1"/>
  <c r="B6" i="30"/>
  <c r="R23" i="30"/>
  <c r="K25" i="30"/>
  <c r="T25" i="30" s="1"/>
  <c r="U28" i="30"/>
  <c r="S30" i="30"/>
  <c r="S14" i="30" s="1"/>
  <c r="B5" i="31"/>
  <c r="K30" i="31"/>
  <c r="T30" i="31" s="1"/>
  <c r="U33" i="31"/>
  <c r="S35" i="31"/>
  <c r="Q37" i="31"/>
  <c r="Q36" i="29"/>
  <c r="F6" i="30"/>
  <c r="Q25" i="30"/>
  <c r="Q30" i="31"/>
  <c r="Q20" i="29"/>
  <c r="S33" i="27"/>
  <c r="A1" i="28"/>
  <c r="S22" i="28"/>
  <c r="K33" i="28"/>
  <c r="T33" i="28" s="1"/>
  <c r="S38" i="28"/>
  <c r="R20" i="29"/>
  <c r="K22" i="29"/>
  <c r="T22" i="29" s="1"/>
  <c r="S27" i="29"/>
  <c r="R36" i="29"/>
  <c r="K38" i="29"/>
  <c r="T38" i="29" s="1"/>
  <c r="S6" i="30"/>
  <c r="R25" i="30"/>
  <c r="K27" i="30"/>
  <c r="T27" i="30" s="1"/>
  <c r="S32" i="30"/>
  <c r="S5" i="31"/>
  <c r="S21" i="31"/>
  <c r="S12" i="31" s="1"/>
  <c r="R30" i="31"/>
  <c r="K32" i="31"/>
  <c r="T32" i="31" s="1"/>
  <c r="S37" i="31"/>
  <c r="R24" i="28"/>
  <c r="Q33" i="28"/>
  <c r="S14" i="29"/>
  <c r="Q22" i="29"/>
  <c r="R29" i="29"/>
  <c r="Q38" i="29"/>
  <c r="Q27" i="30"/>
  <c r="R34" i="30"/>
  <c r="B6" i="31"/>
  <c r="R23" i="31"/>
  <c r="S30" i="31"/>
  <c r="S14" i="31" s="1"/>
  <c r="Q32" i="31"/>
  <c r="R27" i="30"/>
  <c r="R32" i="31"/>
  <c r="A1" i="29"/>
  <c r="S22" i="29"/>
  <c r="S12" i="29" s="1"/>
  <c r="K33" i="29"/>
  <c r="T33" i="29" s="1"/>
  <c r="S38" i="29"/>
  <c r="K22" i="30"/>
  <c r="T22" i="30" s="1"/>
  <c r="S27" i="30"/>
  <c r="T34" i="30"/>
  <c r="K38" i="30"/>
  <c r="T38" i="30" s="1"/>
  <c r="S6" i="31"/>
  <c r="S32" i="31"/>
  <c r="R35" i="28"/>
  <c r="R24" i="29"/>
  <c r="Q33" i="29"/>
  <c r="R29" i="30"/>
  <c r="R34" i="31"/>
  <c r="K30" i="28"/>
  <c r="T30" i="28" s="1"/>
  <c r="F4" i="29"/>
  <c r="K35" i="29"/>
  <c r="T35" i="29" s="1"/>
  <c r="K24" i="30"/>
  <c r="T24" i="30" s="1"/>
  <c r="D12" i="31"/>
  <c r="K29" i="31"/>
  <c r="T29" i="31" s="1"/>
  <c r="S34" i="31"/>
  <c r="R35" i="29"/>
  <c r="R24" i="30"/>
  <c r="K26" i="30"/>
  <c r="T26" i="30" s="1"/>
  <c r="R29" i="31"/>
  <c r="K31" i="31"/>
  <c r="T31" i="31" s="1"/>
  <c r="S35" i="29"/>
  <c r="R32" i="28"/>
  <c r="F5" i="29"/>
  <c r="R21" i="29"/>
  <c r="K23" i="29"/>
  <c r="T23" i="29" s="1"/>
  <c r="R37" i="29"/>
  <c r="S4" i="30"/>
  <c r="R26" i="30"/>
  <c r="K28" i="30"/>
  <c r="T28" i="30" s="1"/>
  <c r="K33" i="31"/>
  <c r="T33" i="31" s="1"/>
  <c r="S32" i="28"/>
  <c r="S5" i="29"/>
  <c r="S4" i="25"/>
  <c r="K28" i="25"/>
  <c r="T28" i="25" s="1"/>
  <c r="U31" i="25"/>
  <c r="Q28" i="25"/>
  <c r="K23" i="25"/>
  <c r="T23" i="25" s="1"/>
  <c r="Q30" i="25"/>
  <c r="Q23" i="25"/>
  <c r="R30" i="25"/>
  <c r="K32" i="25"/>
  <c r="T32" i="25" s="1"/>
  <c r="R23" i="25"/>
  <c r="K25" i="25"/>
  <c r="T25" i="25" s="1"/>
  <c r="S30" i="25"/>
  <c r="S23" i="25"/>
  <c r="R32" i="25"/>
  <c r="K34" i="25"/>
  <c r="T34" i="25" s="1"/>
  <c r="S6" i="25"/>
  <c r="R25" i="25"/>
  <c r="K27" i="25"/>
  <c r="T27" i="25" s="1"/>
  <c r="S32" i="25"/>
  <c r="Q34" i="25"/>
  <c r="S25" i="25"/>
  <c r="Q27" i="25"/>
  <c r="R34" i="25"/>
  <c r="K36" i="25"/>
  <c r="T36" i="25" s="1"/>
  <c r="K22" i="25"/>
  <c r="T22" i="25" s="1"/>
  <c r="K38" i="25"/>
  <c r="T38" i="25" s="1"/>
  <c r="R29" i="25"/>
  <c r="K31" i="25"/>
  <c r="T31" i="25" s="1"/>
  <c r="S36" i="25"/>
  <c r="K24" i="25"/>
  <c r="T24" i="25" s="1"/>
  <c r="S29" i="25"/>
  <c r="R38" i="25"/>
  <c r="S22" i="25"/>
  <c r="K33" i="25"/>
  <c r="T33" i="25" s="1"/>
  <c r="S38" i="25"/>
  <c r="S6" i="22"/>
  <c r="A1" i="24"/>
  <c r="F5" i="23"/>
  <c r="S4" i="24"/>
  <c r="K37" i="24"/>
  <c r="T37" i="24" s="1"/>
  <c r="K21" i="24"/>
  <c r="T21" i="24" s="1"/>
  <c r="B5" i="24"/>
  <c r="Q21" i="24"/>
  <c r="R28" i="24"/>
  <c r="K30" i="24"/>
  <c r="T30" i="24" s="1"/>
  <c r="U33" i="24"/>
  <c r="Q37" i="24"/>
  <c r="F5" i="24"/>
  <c r="R21" i="24"/>
  <c r="K23" i="24"/>
  <c r="T23" i="24" s="1"/>
  <c r="U26" i="24"/>
  <c r="S28" i="24"/>
  <c r="Q30" i="24"/>
  <c r="R37" i="24"/>
  <c r="S5" i="24"/>
  <c r="Q23" i="24"/>
  <c r="K32" i="24"/>
  <c r="T32" i="24" s="1"/>
  <c r="U35" i="24"/>
  <c r="S37" i="24"/>
  <c r="R23" i="24"/>
  <c r="S23" i="24"/>
  <c r="R32" i="24"/>
  <c r="K34" i="24"/>
  <c r="T34" i="24" s="1"/>
  <c r="S6" i="24"/>
  <c r="R25" i="24"/>
  <c r="K27" i="24"/>
  <c r="T27" i="24" s="1"/>
  <c r="S32" i="24"/>
  <c r="Q34" i="24"/>
  <c r="F4" i="22"/>
  <c r="S25" i="24"/>
  <c r="Q27" i="24"/>
  <c r="R34" i="24"/>
  <c r="K36" i="24"/>
  <c r="T36" i="24" s="1"/>
  <c r="B6" i="24"/>
  <c r="F6" i="24"/>
  <c r="B6" i="22"/>
  <c r="D12" i="24"/>
  <c r="R20" i="24"/>
  <c r="R36" i="24"/>
  <c r="S14" i="24"/>
  <c r="S20" i="24"/>
  <c r="Q22" i="24"/>
  <c r="R29" i="24"/>
  <c r="K31" i="24"/>
  <c r="T31" i="24" s="1"/>
  <c r="S36" i="24"/>
  <c r="Q38" i="24"/>
  <c r="S4" i="23"/>
  <c r="K26" i="24"/>
  <c r="T26" i="24" s="1"/>
  <c r="B6" i="23"/>
  <c r="B5" i="21"/>
  <c r="K21" i="23"/>
  <c r="T21" i="23" s="1"/>
  <c r="U24" i="23"/>
  <c r="R35" i="23"/>
  <c r="K37" i="23"/>
  <c r="T37" i="23" s="1"/>
  <c r="B5" i="23"/>
  <c r="Q21" i="23"/>
  <c r="T26" i="23"/>
  <c r="K30" i="23"/>
  <c r="T30" i="23" s="1"/>
  <c r="U33" i="23"/>
  <c r="S35" i="23"/>
  <c r="Q37" i="23"/>
  <c r="Q30" i="23"/>
  <c r="T35" i="23"/>
  <c r="S5" i="23"/>
  <c r="K32" i="23"/>
  <c r="T32" i="23" s="1"/>
  <c r="R23" i="23"/>
  <c r="F6" i="23"/>
  <c r="S23" i="23"/>
  <c r="Q25" i="23"/>
  <c r="R32" i="23"/>
  <c r="K34" i="23"/>
  <c r="T34" i="23" s="1"/>
  <c r="A1" i="22"/>
  <c r="S6" i="23"/>
  <c r="T23" i="23"/>
  <c r="S32" i="23"/>
  <c r="R34" i="23"/>
  <c r="K36" i="23"/>
  <c r="T36" i="23" s="1"/>
  <c r="K22" i="23"/>
  <c r="T22" i="23" s="1"/>
  <c r="Q29" i="23"/>
  <c r="K38" i="23"/>
  <c r="T38" i="23" s="1"/>
  <c r="Q22" i="23"/>
  <c r="Q38" i="23"/>
  <c r="K24" i="23"/>
  <c r="T24" i="23" s="1"/>
  <c r="A1" i="23"/>
  <c r="K33" i="23"/>
  <c r="T33" i="23" s="1"/>
  <c r="S38" i="23"/>
  <c r="R24" i="23"/>
  <c r="T27" i="22"/>
  <c r="S4" i="22"/>
  <c r="T24" i="22"/>
  <c r="K28" i="22"/>
  <c r="T28" i="22" s="1"/>
  <c r="U31" i="22"/>
  <c r="Q35" i="22"/>
  <c r="B5" i="22"/>
  <c r="Q21" i="22"/>
  <c r="R28" i="22"/>
  <c r="K30" i="22"/>
  <c r="T30" i="22" s="1"/>
  <c r="U33" i="22"/>
  <c r="S35" i="22"/>
  <c r="Q37" i="22"/>
  <c r="F5" i="22"/>
  <c r="R21" i="22"/>
  <c r="U26" i="22"/>
  <c r="S28" i="22"/>
  <c r="Q30" i="22"/>
  <c r="R37" i="22"/>
  <c r="S5" i="22"/>
  <c r="R30" i="22"/>
  <c r="S23" i="22"/>
  <c r="R32" i="22"/>
  <c r="K34" i="22"/>
  <c r="T34" i="22" s="1"/>
  <c r="S32" i="22"/>
  <c r="Q34" i="22"/>
  <c r="T32" i="22"/>
  <c r="R20" i="22"/>
  <c r="K22" i="22"/>
  <c r="T22" i="22" s="1"/>
  <c r="R36" i="22"/>
  <c r="K38" i="22"/>
  <c r="T38" i="22" s="1"/>
  <c r="B6" i="20"/>
  <c r="S20" i="22"/>
  <c r="S36" i="22"/>
  <c r="T20" i="22"/>
  <c r="T36" i="22"/>
  <c r="K33" i="22"/>
  <c r="T33" i="22" s="1"/>
  <c r="S4" i="21"/>
  <c r="R26" i="21"/>
  <c r="U31" i="21"/>
  <c r="S33" i="21"/>
  <c r="Q35" i="21"/>
  <c r="S4" i="20"/>
  <c r="U24" i="21"/>
  <c r="T33" i="21"/>
  <c r="K37" i="21"/>
  <c r="T37" i="21" s="1"/>
  <c r="R37" i="21"/>
  <c r="S5" i="21"/>
  <c r="R12" i="21"/>
  <c r="S21" i="21"/>
  <c r="S12" i="21" s="1"/>
  <c r="Q23" i="21"/>
  <c r="T28" i="21"/>
  <c r="R30" i="21"/>
  <c r="K32" i="21"/>
  <c r="T32" i="21" s="1"/>
  <c r="U35" i="21"/>
  <c r="S37" i="21"/>
  <c r="T21" i="21"/>
  <c r="Q32" i="21"/>
  <c r="B6" i="21"/>
  <c r="F6" i="21"/>
  <c r="R32" i="21"/>
  <c r="K34" i="21"/>
  <c r="T34" i="21" s="1"/>
  <c r="R25" i="21"/>
  <c r="K23" i="21"/>
  <c r="T23" i="21" s="1"/>
  <c r="S6" i="21"/>
  <c r="K20" i="21"/>
  <c r="T20" i="21" s="1"/>
  <c r="S25" i="21"/>
  <c r="R34" i="21"/>
  <c r="K36" i="21"/>
  <c r="T36" i="21" s="1"/>
  <c r="S34" i="21"/>
  <c r="F5" i="21"/>
  <c r="S14" i="21"/>
  <c r="K24" i="21"/>
  <c r="T24" i="21" s="1"/>
  <c r="A1" i="21"/>
  <c r="T21" i="20"/>
  <c r="T35" i="20"/>
  <c r="K37" i="20"/>
  <c r="T37" i="20" s="1"/>
  <c r="B5" i="20"/>
  <c r="Q21" i="20"/>
  <c r="K30" i="20"/>
  <c r="T30" i="20" s="1"/>
  <c r="U33" i="20"/>
  <c r="S35" i="20"/>
  <c r="Q37" i="20"/>
  <c r="F5" i="20"/>
  <c r="Q30" i="20"/>
  <c r="S5" i="20"/>
  <c r="S21" i="20"/>
  <c r="Q23" i="20"/>
  <c r="R30" i="20"/>
  <c r="K32" i="20"/>
  <c r="T32" i="20" s="1"/>
  <c r="U35" i="20"/>
  <c r="S37" i="20"/>
  <c r="R23" i="20"/>
  <c r="Q32" i="20"/>
  <c r="F6" i="20"/>
  <c r="U21" i="20"/>
  <c r="S23" i="20"/>
  <c r="R32" i="20"/>
  <c r="K34" i="20"/>
  <c r="T34" i="20" s="1"/>
  <c r="S6" i="20"/>
  <c r="R25" i="20"/>
  <c r="K27" i="20"/>
  <c r="T27" i="20" s="1"/>
  <c r="S32" i="20"/>
  <c r="Q34" i="20"/>
  <c r="S25" i="20"/>
  <c r="R34" i="20"/>
  <c r="K36" i="20"/>
  <c r="T36" i="20" s="1"/>
  <c r="S34" i="20"/>
  <c r="K22" i="20"/>
  <c r="T22" i="20" s="1"/>
  <c r="K38" i="20"/>
  <c r="T38" i="20" s="1"/>
  <c r="S20" i="20"/>
  <c r="Q22" i="20"/>
  <c r="R29" i="20"/>
  <c r="Q38" i="20"/>
  <c r="A1" i="20"/>
  <c r="K33" i="20"/>
  <c r="T33" i="20" s="1"/>
  <c r="S38" i="20"/>
  <c r="R24" i="20"/>
  <c r="A1" i="19"/>
  <c r="B5" i="19"/>
  <c r="T30" i="19"/>
  <c r="F4" i="19"/>
  <c r="S4" i="19"/>
  <c r="T24" i="19"/>
  <c r="K28" i="19"/>
  <c r="T28" i="19" s="1"/>
  <c r="U31" i="19"/>
  <c r="S33" i="19"/>
  <c r="Q35" i="19"/>
  <c r="S35" i="19"/>
  <c r="F5" i="19"/>
  <c r="K23" i="19"/>
  <c r="T23" i="19" s="1"/>
  <c r="U26" i="19"/>
  <c r="S28" i="19"/>
  <c r="Q30" i="19"/>
  <c r="R28" i="19"/>
  <c r="S5" i="19"/>
  <c r="S21" i="19"/>
  <c r="S12" i="19" s="1"/>
  <c r="Q23" i="19"/>
  <c r="R30" i="19"/>
  <c r="K32" i="19"/>
  <c r="T32" i="19" s="1"/>
  <c r="S37" i="19"/>
  <c r="U24" i="19"/>
  <c r="S30" i="19"/>
  <c r="T33" i="19"/>
  <c r="K22" i="19"/>
  <c r="T22" i="19" s="1"/>
  <c r="B6" i="19"/>
  <c r="R32" i="19"/>
  <c r="S6" i="19"/>
  <c r="R25" i="19"/>
  <c r="K27" i="19"/>
  <c r="T27" i="19" s="1"/>
  <c r="U30" i="19"/>
  <c r="S32" i="19"/>
  <c r="U33" i="19"/>
  <c r="K38" i="19"/>
  <c r="T38" i="19" s="1"/>
  <c r="Q22" i="19"/>
  <c r="K31" i="19"/>
  <c r="T31" i="19" s="1"/>
  <c r="Q38" i="19"/>
  <c r="R24" i="19"/>
  <c r="K26" i="19"/>
  <c r="T26" i="19" s="1"/>
  <c r="Q33" i="19"/>
  <c r="T27" i="18"/>
  <c r="T31" i="18"/>
  <c r="S4" i="18"/>
  <c r="T24" i="18"/>
  <c r="U31" i="18"/>
  <c r="S33" i="18"/>
  <c r="Q35" i="18"/>
  <c r="F5" i="18"/>
  <c r="R21" i="18"/>
  <c r="K23" i="18"/>
  <c r="T23" i="18" s="1"/>
  <c r="U26" i="18"/>
  <c r="S28" i="18"/>
  <c r="Q30" i="18"/>
  <c r="R37" i="18"/>
  <c r="K30" i="18"/>
  <c r="T30" i="18" s="1"/>
  <c r="S5" i="18"/>
  <c r="S21" i="18"/>
  <c r="S12" i="18" s="1"/>
  <c r="Q23" i="18"/>
  <c r="U35" i="18"/>
  <c r="S37" i="18"/>
  <c r="B5" i="18"/>
  <c r="F6" i="18"/>
  <c r="S23" i="18"/>
  <c r="R32" i="18"/>
  <c r="K34" i="18"/>
  <c r="T34" i="18" s="1"/>
  <c r="B6" i="18"/>
  <c r="S6" i="18"/>
  <c r="R25" i="18"/>
  <c r="S32" i="18"/>
  <c r="Q34" i="18"/>
  <c r="S25" i="18"/>
  <c r="T32" i="18"/>
  <c r="T25" i="18"/>
  <c r="R20" i="18"/>
  <c r="K22" i="18"/>
  <c r="T22" i="18" s="1"/>
  <c r="R36" i="18"/>
  <c r="K38" i="18"/>
  <c r="T38" i="18" s="1"/>
  <c r="Q22" i="18"/>
  <c r="Q38" i="18"/>
  <c r="A1" i="18"/>
  <c r="K33" i="18"/>
  <c r="T33" i="18" s="1"/>
  <c r="D12" i="18"/>
  <c r="S4" i="17"/>
  <c r="K21" i="17"/>
  <c r="T21" i="17" s="1"/>
  <c r="K37" i="17"/>
  <c r="T37" i="17" s="1"/>
  <c r="B5" i="17"/>
  <c r="Q21" i="17"/>
  <c r="K30" i="17"/>
  <c r="T30" i="17" s="1"/>
  <c r="Q37" i="17"/>
  <c r="F5" i="17"/>
  <c r="K23" i="17"/>
  <c r="T23" i="17" s="1"/>
  <c r="Q30" i="17"/>
  <c r="Q23" i="17"/>
  <c r="K32" i="17"/>
  <c r="T32" i="17" s="1"/>
  <c r="R23" i="17"/>
  <c r="K25" i="17"/>
  <c r="T25" i="17" s="1"/>
  <c r="Q32" i="17"/>
  <c r="S6" i="17"/>
  <c r="R25" i="17"/>
  <c r="K27" i="17"/>
  <c r="T27" i="17" s="1"/>
  <c r="S32" i="17"/>
  <c r="F6" i="17"/>
  <c r="K20" i="17"/>
  <c r="T20" i="17" s="1"/>
  <c r="S25" i="17"/>
  <c r="Q27" i="17"/>
  <c r="R34" i="17"/>
  <c r="K36" i="17"/>
  <c r="T36" i="17" s="1"/>
  <c r="R27" i="17"/>
  <c r="S34" i="17"/>
  <c r="Q36" i="17"/>
  <c r="R20" i="17"/>
  <c r="K22" i="17"/>
  <c r="T22" i="17" s="1"/>
  <c r="S27" i="17"/>
  <c r="R36" i="17"/>
  <c r="K38" i="17"/>
  <c r="T38" i="17" s="1"/>
  <c r="S20" i="17"/>
  <c r="S12" i="17" s="1"/>
  <c r="Q22" i="17"/>
  <c r="R29" i="17"/>
  <c r="T14" i="17" s="1"/>
  <c r="S36" i="17"/>
  <c r="Q38" i="17"/>
  <c r="B6" i="17"/>
  <c r="S29" i="17"/>
  <c r="R38" i="17"/>
  <c r="A1" i="17"/>
  <c r="T29" i="17"/>
  <c r="K33" i="17"/>
  <c r="T33" i="17" s="1"/>
  <c r="S38" i="17"/>
  <c r="S5" i="17"/>
  <c r="F5" i="16"/>
  <c r="B6" i="16"/>
  <c r="A1" i="16"/>
  <c r="S4" i="16"/>
  <c r="T24" i="16"/>
  <c r="U31" i="16"/>
  <c r="S33" i="16"/>
  <c r="Q35" i="16"/>
  <c r="B5" i="16"/>
  <c r="R28" i="16"/>
  <c r="K30" i="16"/>
  <c r="T30" i="16" s="1"/>
  <c r="R21" i="16"/>
  <c r="K23" i="16"/>
  <c r="T23" i="16" s="1"/>
  <c r="U26" i="16"/>
  <c r="S28" i="16"/>
  <c r="Q30" i="16"/>
  <c r="R37" i="16"/>
  <c r="S5" i="16"/>
  <c r="Q23" i="16"/>
  <c r="U35" i="16"/>
  <c r="S37" i="16"/>
  <c r="F6" i="16"/>
  <c r="S23" i="16"/>
  <c r="R32" i="16"/>
  <c r="K34" i="16"/>
  <c r="T34" i="16" s="1"/>
  <c r="R25" i="16"/>
  <c r="K27" i="16"/>
  <c r="T27" i="16" s="1"/>
  <c r="S32" i="16"/>
  <c r="Q34" i="16"/>
  <c r="S6" i="16"/>
  <c r="S25" i="16"/>
  <c r="Q27" i="16"/>
  <c r="T32" i="16"/>
  <c r="R36" i="16"/>
  <c r="K38" i="16"/>
  <c r="T38" i="16" s="1"/>
  <c r="R20" i="16"/>
  <c r="K22" i="16"/>
  <c r="T22" i="16" s="1"/>
  <c r="S20" i="16"/>
  <c r="Q22" i="16"/>
  <c r="R29" i="16"/>
  <c r="U14" i="16" s="1"/>
  <c r="K31" i="16"/>
  <c r="T31" i="16" s="1"/>
  <c r="S36" i="16"/>
  <c r="Q38" i="16"/>
  <c r="T20" i="16"/>
  <c r="R24" i="16"/>
  <c r="K26" i="16"/>
  <c r="T26" i="16" s="1"/>
  <c r="T21" i="15"/>
  <c r="A1" i="15"/>
  <c r="U31" i="15"/>
  <c r="S33" i="15"/>
  <c r="T33" i="15"/>
  <c r="K37" i="15"/>
  <c r="T37" i="15" s="1"/>
  <c r="R28" i="15"/>
  <c r="T28" i="15"/>
  <c r="R23" i="15"/>
  <c r="K25" i="15"/>
  <c r="T25" i="15" s="1"/>
  <c r="U28" i="15"/>
  <c r="Q32" i="15"/>
  <c r="S4" i="15"/>
  <c r="K23" i="15"/>
  <c r="T23" i="15" s="1"/>
  <c r="U26" i="15"/>
  <c r="S5" i="15"/>
  <c r="S21" i="15"/>
  <c r="S12" i="15" s="1"/>
  <c r="F6" i="15"/>
  <c r="U21" i="15"/>
  <c r="S23" i="15"/>
  <c r="R32" i="15"/>
  <c r="K34" i="15"/>
  <c r="T34" i="15" s="1"/>
  <c r="B5" i="15"/>
  <c r="Q21" i="15"/>
  <c r="F5" i="15"/>
  <c r="R12" i="15"/>
  <c r="Q23" i="15"/>
  <c r="K32" i="15"/>
  <c r="T32" i="15" s="1"/>
  <c r="U35" i="15"/>
  <c r="B6" i="15"/>
  <c r="S6" i="15"/>
  <c r="R25" i="15"/>
  <c r="U33" i="15"/>
  <c r="S25" i="15"/>
  <c r="R34" i="15"/>
  <c r="D12" i="15"/>
  <c r="R27" i="15"/>
  <c r="S34" i="15"/>
  <c r="K31" i="15"/>
  <c r="T31" i="15" s="1"/>
  <c r="T14" i="15"/>
  <c r="K26" i="15"/>
  <c r="T26" i="15" s="1"/>
  <c r="S30" i="13"/>
  <c r="T31" i="13"/>
  <c r="Q31" i="13"/>
  <c r="U36" i="13"/>
  <c r="U28" i="13"/>
  <c r="U29" i="13"/>
  <c r="S33" i="13"/>
  <c r="S26" i="13"/>
  <c r="S34" i="13"/>
  <c r="U30" i="13"/>
  <c r="K25" i="13"/>
  <c r="T25" i="13" s="1"/>
  <c r="S31" i="13"/>
  <c r="Q25" i="13"/>
  <c r="U31" i="13"/>
  <c r="K29" i="13"/>
  <c r="T29" i="13" s="1"/>
  <c r="Q29" i="13"/>
  <c r="U23" i="13"/>
  <c r="K23" i="13"/>
  <c r="T23" i="13" s="1"/>
  <c r="Q35" i="13"/>
  <c r="K24" i="13"/>
  <c r="T24" i="13" s="1"/>
  <c r="U20" i="13"/>
  <c r="K27" i="13"/>
  <c r="T27" i="13" s="1"/>
  <c r="Q32" i="13"/>
  <c r="S27" i="13"/>
  <c r="U32" i="13"/>
  <c r="U27" i="13"/>
  <c r="U37" i="13"/>
  <c r="K28" i="13"/>
  <c r="T28" i="13" s="1"/>
  <c r="Q28" i="13"/>
  <c r="U22" i="13"/>
  <c r="U34" i="13"/>
  <c r="U38" i="13"/>
  <c r="Q34" i="13"/>
  <c r="K38" i="13"/>
  <c r="T38" i="13" s="1"/>
  <c r="T35" i="13"/>
  <c r="T32" i="13"/>
  <c r="K21" i="13"/>
  <c r="T21" i="13" s="1"/>
  <c r="U24" i="13"/>
  <c r="R35" i="13"/>
  <c r="K37" i="13"/>
  <c r="T37" i="13" s="1"/>
  <c r="Q21" i="13"/>
  <c r="R28" i="13"/>
  <c r="K30" i="13"/>
  <c r="T30" i="13" s="1"/>
  <c r="U33" i="13"/>
  <c r="S35" i="13"/>
  <c r="Q37" i="13"/>
  <c r="R21" i="13"/>
  <c r="U26" i="13"/>
  <c r="S28" i="13"/>
  <c r="R37" i="13"/>
  <c r="U35" i="13"/>
  <c r="S37" i="13"/>
  <c r="R23" i="13"/>
  <c r="S23" i="13"/>
  <c r="R32" i="13"/>
  <c r="K34" i="13"/>
  <c r="T34" i="13" s="1"/>
  <c r="K20" i="13"/>
  <c r="T20" i="13" s="1"/>
  <c r="K36" i="13"/>
  <c r="T36" i="13" s="1"/>
  <c r="Q36" i="13"/>
  <c r="K22" i="13"/>
  <c r="T22" i="13" s="1"/>
  <c r="S20" i="13"/>
  <c r="Q22" i="13"/>
  <c r="R29" i="13"/>
  <c r="Q38" i="13"/>
  <c r="Q20" i="13"/>
  <c r="R22" i="13"/>
  <c r="R38" i="13"/>
  <c r="K33" i="13"/>
  <c r="T33" i="13" s="1"/>
  <c r="S38" i="13"/>
  <c r="R20" i="13"/>
  <c r="S22" i="13"/>
  <c r="R24" i="13"/>
  <c r="K26" i="13"/>
  <c r="T26" i="13" s="1"/>
  <c r="C21" i="7"/>
  <c r="R30" i="2"/>
  <c r="Q30" i="2" s="1"/>
  <c r="U4" i="36" s="1"/>
  <c r="R18" i="2"/>
  <c r="Q18" i="2" s="1"/>
  <c r="U4" i="25" s="1"/>
  <c r="R19" i="2"/>
  <c r="Q19" i="2" s="1"/>
  <c r="U4" i="26" s="1"/>
  <c r="R20" i="2"/>
  <c r="Q20" i="2" s="1"/>
  <c r="U4" i="27" s="1"/>
  <c r="R21" i="2"/>
  <c r="Q21" i="2" s="1"/>
  <c r="U4" i="28" s="1"/>
  <c r="R22" i="2"/>
  <c r="Q22" i="2" s="1"/>
  <c r="U4" i="29" s="1"/>
  <c r="R23" i="2"/>
  <c r="Q23" i="2" s="1"/>
  <c r="U4" i="37" s="1"/>
  <c r="R24" i="2"/>
  <c r="Q24" i="2" s="1"/>
  <c r="U4" i="30" s="1"/>
  <c r="R25" i="2"/>
  <c r="Q25" i="2" s="1"/>
  <c r="U4" i="31" s="1"/>
  <c r="R26" i="2"/>
  <c r="Q26" i="2" s="1"/>
  <c r="U4" i="32" s="1"/>
  <c r="R27" i="2"/>
  <c r="Q27" i="2" s="1"/>
  <c r="U4" i="33" s="1"/>
  <c r="R28" i="2"/>
  <c r="Q28" i="2" s="1"/>
  <c r="U4" i="34" s="1"/>
  <c r="R29" i="2"/>
  <c r="Q29" i="2" s="1"/>
  <c r="U4" i="35" s="1"/>
  <c r="R9" i="2"/>
  <c r="Q9" i="2" s="1"/>
  <c r="U4" i="16" s="1"/>
  <c r="R10" i="2"/>
  <c r="Q10" i="2" s="1"/>
  <c r="U4" i="17" s="1"/>
  <c r="R11" i="2"/>
  <c r="Q11" i="2" s="1"/>
  <c r="U4" i="18" s="1"/>
  <c r="R12" i="2"/>
  <c r="Q12" i="2" s="1"/>
  <c r="U4" i="19" s="1"/>
  <c r="R13" i="2"/>
  <c r="Q13" i="2" s="1"/>
  <c r="U4" i="21" s="1"/>
  <c r="R14" i="2"/>
  <c r="Q14" i="2" s="1"/>
  <c r="U4" i="22" s="1"/>
  <c r="R15" i="2"/>
  <c r="Q15" i="2" s="1"/>
  <c r="U4" i="23" s="1"/>
  <c r="R16" i="2"/>
  <c r="Q16" i="2" s="1"/>
  <c r="U4" i="24" s="1"/>
  <c r="R17" i="2"/>
  <c r="Q17" i="2" s="1"/>
  <c r="U4" i="20" s="1"/>
  <c r="R8" i="2"/>
  <c r="Q8" i="2" s="1"/>
  <c r="U4" i="15" s="1"/>
  <c r="E14" i="31"/>
  <c r="F12" i="27"/>
  <c r="L13" i="31"/>
  <c r="K12" i="34"/>
  <c r="F14" i="31"/>
  <c r="E12" i="31"/>
  <c r="K14" i="34"/>
  <c r="M15" i="32"/>
  <c r="J14" i="34"/>
  <c r="D14" i="31"/>
  <c r="G13" i="26"/>
  <c r="L14" i="26"/>
  <c r="M14" i="32"/>
  <c r="L12" i="28"/>
  <c r="G13" i="31"/>
  <c r="G12" i="18"/>
  <c r="O59" i="6"/>
  <c r="D15" i="27"/>
  <c r="K12" i="35"/>
  <c r="L14" i="27"/>
  <c r="L14" i="35"/>
  <c r="F15" i="29"/>
  <c r="M12" i="27"/>
  <c r="L15" i="34"/>
  <c r="E59" i="5"/>
  <c r="D15" i="26"/>
  <c r="J12" i="31"/>
  <c r="E15" i="31"/>
  <c r="F14" i="34"/>
  <c r="M12" i="31"/>
  <c r="L12" i="34"/>
  <c r="D15" i="32"/>
  <c r="D15" i="31"/>
  <c r="K14" i="32"/>
  <c r="L15" i="17"/>
  <c r="L14" i="15"/>
  <c r="M12" i="30"/>
  <c r="M13" i="26"/>
  <c r="E15" i="26"/>
  <c r="F15" i="31"/>
  <c r="L12" i="27"/>
  <c r="E13" i="31"/>
  <c r="D15" i="35"/>
  <c r="L15" i="26"/>
  <c r="E13" i="26"/>
  <c r="E14" i="27"/>
  <c r="E12" i="26"/>
  <c r="G13" i="32"/>
  <c r="K12" i="27"/>
  <c r="E13" i="32"/>
  <c r="J15" i="34"/>
  <c r="E14" i="34"/>
  <c r="G15" i="32"/>
  <c r="F15" i="15"/>
  <c r="F13" i="31"/>
  <c r="L14" i="36"/>
  <c r="D15" i="30"/>
  <c r="J14" i="32"/>
  <c r="E15" i="20"/>
  <c r="D14" i="27"/>
  <c r="K13" i="27"/>
  <c r="J15" i="31"/>
  <c r="G59" i="5"/>
  <c r="G13" i="27"/>
  <c r="F14" i="32"/>
  <c r="M14" i="31"/>
  <c r="D14" i="29"/>
  <c r="G13" i="23"/>
  <c r="E12" i="27"/>
  <c r="L12" i="31"/>
  <c r="G15" i="31"/>
  <c r="F12" i="34"/>
  <c r="F15" i="27"/>
  <c r="K12" i="20"/>
  <c r="K14" i="27"/>
  <c r="J15" i="30"/>
  <c r="L15" i="31"/>
  <c r="L14" i="34"/>
  <c r="I59" i="6"/>
  <c r="K13" i="34"/>
  <c r="M14" i="30"/>
  <c r="J12" i="25"/>
  <c r="J15" i="32"/>
  <c r="K12" i="26"/>
  <c r="L13" i="27"/>
  <c r="E14" i="32"/>
  <c r="L13" i="35"/>
  <c r="M15" i="22"/>
  <c r="J15" i="36"/>
  <c r="E15" i="27"/>
  <c r="H59" i="5"/>
  <c r="J14" i="27"/>
  <c r="G14" i="27"/>
  <c r="M14" i="26"/>
  <c r="K14" i="31"/>
  <c r="K15" i="31"/>
  <c r="K12" i="32"/>
  <c r="D15" i="15"/>
  <c r="M14" i="27"/>
  <c r="E12" i="34"/>
  <c r="G59" i="6"/>
  <c r="J13" i="27"/>
  <c r="G15" i="34"/>
  <c r="M15" i="20"/>
  <c r="E15" i="29"/>
  <c r="E13" i="23"/>
  <c r="J14" i="25"/>
  <c r="M12" i="25"/>
  <c r="H59" i="6"/>
  <c r="E59" i="6"/>
  <c r="L15" i="32"/>
  <c r="M15" i="16"/>
  <c r="J12" i="32"/>
  <c r="J14" i="31"/>
  <c r="M13" i="27"/>
  <c r="D14" i="15"/>
  <c r="K14" i="15"/>
  <c r="J59" i="5"/>
  <c r="J12" i="27"/>
  <c r="D13" i="27"/>
  <c r="G14" i="31"/>
  <c r="J13" i="32"/>
  <c r="G13" i="34"/>
  <c r="K14" i="26"/>
  <c r="G14" i="32"/>
  <c r="L15" i="30"/>
  <c r="J12" i="34"/>
  <c r="F12" i="26"/>
  <c r="F12" i="31"/>
  <c r="L12" i="26"/>
  <c r="M12" i="26"/>
  <c r="K13" i="15"/>
  <c r="F15" i="34"/>
  <c r="M12" i="32"/>
  <c r="J13" i="26"/>
  <c r="D14" i="34"/>
  <c r="J15" i="18"/>
  <c r="G15" i="26"/>
  <c r="D13" i="26"/>
  <c r="G12" i="26"/>
  <c r="M15" i="34"/>
  <c r="D13" i="34"/>
  <c r="M14" i="34"/>
  <c r="E14" i="35"/>
  <c r="E14" i="26"/>
  <c r="D13" i="21"/>
  <c r="K15" i="20"/>
  <c r="K59" i="5"/>
  <c r="J12" i="26"/>
  <c r="L15" i="29"/>
  <c r="L12" i="30"/>
  <c r="Q59" i="6"/>
  <c r="M15" i="27"/>
  <c r="E13" i="34"/>
  <c r="G12" i="34"/>
  <c r="M13" i="34"/>
  <c r="L15" i="27"/>
  <c r="F14" i="35"/>
  <c r="J15" i="27"/>
  <c r="L15" i="28"/>
  <c r="K12" i="31"/>
  <c r="G15" i="19"/>
  <c r="G13" i="30"/>
  <c r="J15" i="26"/>
  <c r="F14" i="26"/>
  <c r="J12" i="30"/>
  <c r="M15" i="31"/>
  <c r="G13" i="20"/>
  <c r="G12" i="27"/>
  <c r="G14" i="34"/>
  <c r="K15" i="26"/>
  <c r="M13" i="31"/>
  <c r="K12" i="33"/>
  <c r="K13" i="26"/>
  <c r="K13" i="31"/>
  <c r="L14" i="31"/>
  <c r="E13" i="27"/>
  <c r="J13" i="34"/>
  <c r="K12" i="15"/>
  <c r="F13" i="27"/>
  <c r="E15" i="34"/>
  <c r="F14" i="27"/>
  <c r="J14" i="26"/>
  <c r="L15" i="15"/>
  <c r="F15" i="26"/>
  <c r="D13" i="31"/>
  <c r="M12" i="34"/>
  <c r="K15" i="27"/>
  <c r="D15" i="34"/>
  <c r="L13" i="26"/>
  <c r="F13" i="26"/>
  <c r="E15" i="32"/>
  <c r="D14" i="33"/>
  <c r="F12" i="35"/>
  <c r="M12" i="33"/>
  <c r="L13" i="34"/>
  <c r="J13" i="35"/>
  <c r="G14" i="26"/>
  <c r="G12" i="31"/>
  <c r="K15" i="15"/>
  <c r="J13" i="31"/>
  <c r="K15" i="34"/>
  <c r="G15" i="27"/>
  <c r="M15" i="26"/>
  <c r="L12" i="19"/>
  <c r="E13" i="22"/>
  <c r="F13" i="34"/>
  <c r="J14" i="16"/>
  <c r="M14" i="20"/>
  <c r="L13" i="24"/>
  <c r="R14" i="25" l="1"/>
  <c r="T12" i="23"/>
  <c r="S15" i="15"/>
  <c r="S13" i="26"/>
  <c r="U14" i="26"/>
  <c r="S14" i="19"/>
  <c r="S12" i="24"/>
  <c r="R14" i="23"/>
  <c r="S14" i="27"/>
  <c r="R12" i="19"/>
  <c r="R12" i="35"/>
  <c r="T14" i="29"/>
  <c r="R14" i="27"/>
  <c r="R14" i="32"/>
  <c r="U14" i="27"/>
  <c r="T12" i="21"/>
  <c r="R13" i="26"/>
  <c r="S13" i="20"/>
  <c r="T15" i="35"/>
  <c r="U15" i="27"/>
  <c r="T12" i="31"/>
  <c r="S12" i="16"/>
  <c r="T14" i="32"/>
  <c r="U14" i="21"/>
  <c r="S15" i="30"/>
  <c r="R12" i="20"/>
  <c r="S14" i="17"/>
  <c r="R12" i="32"/>
  <c r="U12" i="15"/>
  <c r="U12" i="26"/>
  <c r="U12" i="27"/>
  <c r="O12" i="27" s="1"/>
  <c r="Y12" i="27" s="1"/>
  <c r="U14" i="32"/>
  <c r="U14" i="24"/>
  <c r="U13" i="31"/>
  <c r="R12" i="27"/>
  <c r="S15" i="31"/>
  <c r="T12" i="25"/>
  <c r="U14" i="36"/>
  <c r="T14" i="34"/>
  <c r="T14" i="23"/>
  <c r="U14" i="18"/>
  <c r="U12" i="25"/>
  <c r="S15" i="27"/>
  <c r="U15" i="19"/>
  <c r="R12" i="28"/>
  <c r="R12" i="26"/>
  <c r="R14" i="18"/>
  <c r="R15" i="29"/>
  <c r="S12" i="26"/>
  <c r="S13" i="29"/>
  <c r="S12" i="27"/>
  <c r="H12" i="27" s="1"/>
  <c r="X12" i="27" s="1"/>
  <c r="S13" i="23"/>
  <c r="S13" i="35"/>
  <c r="S15" i="35"/>
  <c r="T15" i="19"/>
  <c r="T14" i="25"/>
  <c r="T12" i="28"/>
  <c r="S15" i="34"/>
  <c r="U15" i="33"/>
  <c r="R15" i="26"/>
  <c r="R15" i="35"/>
  <c r="S12" i="34"/>
  <c r="S13" i="15"/>
  <c r="S16" i="15" s="1"/>
  <c r="R13" i="22"/>
  <c r="U14" i="28"/>
  <c r="U15" i="26"/>
  <c r="S12" i="25"/>
  <c r="R14" i="26"/>
  <c r="R12" i="24"/>
  <c r="T13" i="23"/>
  <c r="T12" i="15"/>
  <c r="S13" i="22"/>
  <c r="R14" i="29"/>
  <c r="U14" i="23"/>
  <c r="S15" i="26"/>
  <c r="U14" i="20"/>
  <c r="S13" i="21"/>
  <c r="T15" i="31"/>
  <c r="T15" i="23"/>
  <c r="S12" i="28"/>
  <c r="U15" i="32"/>
  <c r="R12" i="33"/>
  <c r="S12" i="20"/>
  <c r="S12" i="22"/>
  <c r="R15" i="27"/>
  <c r="U12" i="19"/>
  <c r="S13" i="31"/>
  <c r="U13" i="29"/>
  <c r="S15" i="22"/>
  <c r="R14" i="30"/>
  <c r="U15" i="25"/>
  <c r="R12" i="18"/>
  <c r="H12" i="18" s="1"/>
  <c r="X12" i="18" s="1"/>
  <c r="R15" i="19"/>
  <c r="T15" i="21"/>
  <c r="R12" i="22"/>
  <c r="U15" i="22"/>
  <c r="S15" i="25"/>
  <c r="T15" i="27"/>
  <c r="R14" i="34"/>
  <c r="H14" i="34" s="1"/>
  <c r="X14" i="34" s="1"/>
  <c r="U15" i="18"/>
  <c r="U12" i="24"/>
  <c r="T13" i="27"/>
  <c r="S13" i="19"/>
  <c r="S14" i="25"/>
  <c r="T15" i="24"/>
  <c r="S15" i="36"/>
  <c r="U14" i="34"/>
  <c r="T15" i="29"/>
  <c r="S15" i="28"/>
  <c r="R13" i="35"/>
  <c r="U12" i="32"/>
  <c r="T15" i="17"/>
  <c r="T15" i="32"/>
  <c r="U12" i="23"/>
  <c r="R15" i="33"/>
  <c r="U13" i="16"/>
  <c r="S13" i="16"/>
  <c r="U13" i="23"/>
  <c r="U15" i="35"/>
  <c r="F59" i="5"/>
  <c r="F59" i="6"/>
  <c r="O16" i="37"/>
  <c r="O14" i="37"/>
  <c r="Y14" i="37" s="1"/>
  <c r="H16" i="37"/>
  <c r="T13" i="36"/>
  <c r="R13" i="36"/>
  <c r="U15" i="20"/>
  <c r="T14" i="21"/>
  <c r="R15" i="31"/>
  <c r="R13" i="31"/>
  <c r="T14" i="36"/>
  <c r="R13" i="16"/>
  <c r="T12" i="18"/>
  <c r="T13" i="31"/>
  <c r="U12" i="31"/>
  <c r="T13" i="15"/>
  <c r="T12" i="20"/>
  <c r="R12" i="23"/>
  <c r="U13" i="34"/>
  <c r="T12" i="19"/>
  <c r="T14" i="30"/>
  <c r="R13" i="34"/>
  <c r="S15" i="17"/>
  <c r="R15" i="23"/>
  <c r="S15" i="16"/>
  <c r="U12" i="22"/>
  <c r="R15" i="25"/>
  <c r="S13" i="30"/>
  <c r="U15" i="30"/>
  <c r="T14" i="26"/>
  <c r="U15" i="28"/>
  <c r="S15" i="33"/>
  <c r="T15" i="18"/>
  <c r="R13" i="25"/>
  <c r="U13" i="36"/>
  <c r="U14" i="17"/>
  <c r="T13" i="17"/>
  <c r="S15" i="18"/>
  <c r="U15" i="21"/>
  <c r="U12" i="33"/>
  <c r="U12" i="35"/>
  <c r="U13" i="30"/>
  <c r="S13" i="34"/>
  <c r="R13" i="15"/>
  <c r="U12" i="18"/>
  <c r="T15" i="20"/>
  <c r="S15" i="29"/>
  <c r="T15" i="33"/>
  <c r="R15" i="16"/>
  <c r="S15" i="19"/>
  <c r="S15" i="20"/>
  <c r="T15" i="22"/>
  <c r="T15" i="26"/>
  <c r="S15" i="32"/>
  <c r="S16" i="32" s="1"/>
  <c r="R15" i="32"/>
  <c r="T15" i="36"/>
  <c r="T15" i="16"/>
  <c r="R15" i="18"/>
  <c r="U15" i="17"/>
  <c r="S13" i="25"/>
  <c r="U14" i="30"/>
  <c r="U13" i="26"/>
  <c r="R13" i="32"/>
  <c r="T12" i="32"/>
  <c r="T14" i="33"/>
  <c r="S15" i="23"/>
  <c r="R14" i="36"/>
  <c r="U15" i="16"/>
  <c r="R15" i="20"/>
  <c r="R13" i="21"/>
  <c r="R14" i="22"/>
  <c r="T12" i="35"/>
  <c r="S13" i="17"/>
  <c r="U12" i="20"/>
  <c r="R13" i="30"/>
  <c r="T12" i="26"/>
  <c r="U13" i="28"/>
  <c r="N14" i="32"/>
  <c r="G16" i="34"/>
  <c r="N15" i="34"/>
  <c r="F16" i="34"/>
  <c r="N12" i="34"/>
  <c r="J16" i="34"/>
  <c r="L16" i="34"/>
  <c r="K16" i="34"/>
  <c r="J16" i="32"/>
  <c r="N14" i="34"/>
  <c r="N13" i="34"/>
  <c r="E16" i="34"/>
  <c r="M16" i="34"/>
  <c r="D16" i="34"/>
  <c r="U12" i="36"/>
  <c r="T12" i="36"/>
  <c r="S12" i="33"/>
  <c r="S12" i="36"/>
  <c r="S16" i="35"/>
  <c r="U14" i="33"/>
  <c r="T15" i="34"/>
  <c r="R15" i="34"/>
  <c r="T13" i="32"/>
  <c r="U13" i="35"/>
  <c r="T13" i="35"/>
  <c r="U13" i="32"/>
  <c r="R15" i="36"/>
  <c r="R13" i="33"/>
  <c r="U13" i="33"/>
  <c r="T13" i="33"/>
  <c r="T13" i="34"/>
  <c r="R12" i="36"/>
  <c r="T36" i="34"/>
  <c r="R12" i="34"/>
  <c r="U12" i="34"/>
  <c r="T12" i="34"/>
  <c r="U15" i="34"/>
  <c r="T24" i="34"/>
  <c r="U15" i="36"/>
  <c r="T20" i="34"/>
  <c r="R14" i="33"/>
  <c r="T12" i="33"/>
  <c r="N15" i="31"/>
  <c r="N13" i="26"/>
  <c r="N14" i="27"/>
  <c r="K16" i="27"/>
  <c r="M16" i="31"/>
  <c r="J16" i="27"/>
  <c r="N12" i="27"/>
  <c r="N13" i="27"/>
  <c r="N13" i="31"/>
  <c r="L16" i="27"/>
  <c r="M16" i="27"/>
  <c r="D16" i="26"/>
  <c r="N12" i="26"/>
  <c r="J16" i="26"/>
  <c r="G16" i="26"/>
  <c r="E16" i="31"/>
  <c r="L16" i="26"/>
  <c r="F16" i="31"/>
  <c r="N15" i="27"/>
  <c r="N14" i="26"/>
  <c r="H12" i="31"/>
  <c r="X12" i="31" s="1"/>
  <c r="G16" i="31"/>
  <c r="O12" i="31"/>
  <c r="Y12" i="31" s="1"/>
  <c r="F16" i="26"/>
  <c r="J16" i="31"/>
  <c r="N12" i="31"/>
  <c r="M16" i="26"/>
  <c r="E16" i="27"/>
  <c r="K16" i="31"/>
  <c r="L16" i="31"/>
  <c r="E16" i="26"/>
  <c r="N15" i="26"/>
  <c r="N14" i="31"/>
  <c r="H14" i="27"/>
  <c r="X14" i="27" s="1"/>
  <c r="G16" i="27"/>
  <c r="F16" i="27"/>
  <c r="K16" i="26"/>
  <c r="T12" i="30"/>
  <c r="R12" i="30"/>
  <c r="U14" i="29"/>
  <c r="T15" i="28"/>
  <c r="T13" i="28"/>
  <c r="R13" i="28"/>
  <c r="U15" i="29"/>
  <c r="T14" i="31"/>
  <c r="R14" i="31"/>
  <c r="H14" i="31" s="1"/>
  <c r="X14" i="31" s="1"/>
  <c r="U12" i="30"/>
  <c r="D16" i="27"/>
  <c r="T13" i="26"/>
  <c r="U15" i="31"/>
  <c r="T14" i="28"/>
  <c r="R14" i="28"/>
  <c r="R15" i="28"/>
  <c r="S13" i="27"/>
  <c r="U14" i="31"/>
  <c r="D16" i="31"/>
  <c r="T15" i="30"/>
  <c r="R15" i="30"/>
  <c r="R12" i="29"/>
  <c r="U12" i="29"/>
  <c r="T12" i="29"/>
  <c r="R13" i="27"/>
  <c r="U13" i="27"/>
  <c r="T13" i="30"/>
  <c r="T13" i="29"/>
  <c r="R13" i="29"/>
  <c r="T15" i="25"/>
  <c r="U13" i="25"/>
  <c r="T13" i="25"/>
  <c r="U14" i="25"/>
  <c r="S13" i="24"/>
  <c r="U13" i="24"/>
  <c r="T13" i="24"/>
  <c r="R13" i="24"/>
  <c r="T12" i="24"/>
  <c r="S15" i="24"/>
  <c r="T14" i="24"/>
  <c r="R14" i="24"/>
  <c r="R15" i="24"/>
  <c r="U15" i="24"/>
  <c r="R13" i="23"/>
  <c r="U15" i="23"/>
  <c r="T12" i="22"/>
  <c r="T14" i="22"/>
  <c r="U14" i="22"/>
  <c r="U13" i="22"/>
  <c r="R15" i="22"/>
  <c r="T13" i="22"/>
  <c r="U13" i="21"/>
  <c r="R15" i="21"/>
  <c r="T13" i="21"/>
  <c r="R14" i="21"/>
  <c r="S15" i="21"/>
  <c r="T14" i="20"/>
  <c r="R14" i="20"/>
  <c r="U13" i="20"/>
  <c r="T13" i="20"/>
  <c r="R13" i="20"/>
  <c r="T14" i="19"/>
  <c r="R14" i="19"/>
  <c r="U14" i="19"/>
  <c r="T13" i="19"/>
  <c r="U13" i="19"/>
  <c r="R13" i="19"/>
  <c r="S13" i="18"/>
  <c r="U13" i="18"/>
  <c r="T13" i="18"/>
  <c r="R13" i="18"/>
  <c r="R15" i="17"/>
  <c r="R14" i="17"/>
  <c r="U13" i="17"/>
  <c r="T12" i="17"/>
  <c r="R12" i="17"/>
  <c r="R13" i="17"/>
  <c r="U12" i="17"/>
  <c r="U12" i="16"/>
  <c r="T12" i="16"/>
  <c r="R12" i="16"/>
  <c r="T13" i="16"/>
  <c r="T14" i="16"/>
  <c r="R14" i="16"/>
  <c r="K16" i="15"/>
  <c r="U15" i="15"/>
  <c r="R15" i="15"/>
  <c r="U13" i="15"/>
  <c r="T15" i="15"/>
  <c r="J12" i="24"/>
  <c r="G13" i="25"/>
  <c r="K13" i="25"/>
  <c r="M13" i="23"/>
  <c r="D15" i="18"/>
  <c r="L13" i="23"/>
  <c r="M15" i="23"/>
  <c r="F15" i="24"/>
  <c r="J15" i="28"/>
  <c r="G12" i="19"/>
  <c r="J15" i="35"/>
  <c r="D13" i="29"/>
  <c r="E14" i="18"/>
  <c r="L14" i="23"/>
  <c r="D13" i="22"/>
  <c r="J12" i="15"/>
  <c r="G12" i="25"/>
  <c r="K12" i="19"/>
  <c r="K13" i="22"/>
  <c r="L14" i="17"/>
  <c r="L15" i="20"/>
  <c r="K15" i="25"/>
  <c r="E13" i="16"/>
  <c r="L13" i="19"/>
  <c r="M15" i="18"/>
  <c r="E13" i="21"/>
  <c r="G12" i="21"/>
  <c r="E15" i="17"/>
  <c r="E14" i="16"/>
  <c r="K15" i="33"/>
  <c r="F14" i="19"/>
  <c r="E13" i="19"/>
  <c r="J12" i="21"/>
  <c r="M14" i="21"/>
  <c r="M12" i="35"/>
  <c r="K14" i="24"/>
  <c r="E13" i="36"/>
  <c r="G15" i="28"/>
  <c r="G14" i="24"/>
  <c r="G15" i="25"/>
  <c r="L15" i="33"/>
  <c r="E12" i="30"/>
  <c r="E12" i="28"/>
  <c r="G15" i="15"/>
  <c r="Q44" i="6"/>
  <c r="M13" i="33"/>
  <c r="J13" i="36"/>
  <c r="K15" i="30"/>
  <c r="G14" i="28"/>
  <c r="G61" i="6"/>
  <c r="M14" i="17"/>
  <c r="F12" i="32"/>
  <c r="J15" i="17"/>
  <c r="K15" i="32"/>
  <c r="E14" i="23"/>
  <c r="G15" i="33"/>
  <c r="L12" i="29"/>
  <c r="E13" i="15"/>
  <c r="H61" i="5"/>
  <c r="D14" i="22"/>
  <c r="I55" i="6"/>
  <c r="J12" i="28"/>
  <c r="J12" i="20"/>
  <c r="L12" i="15"/>
  <c r="M13" i="17"/>
  <c r="M14" i="15"/>
  <c r="F14" i="17"/>
  <c r="E14" i="24"/>
  <c r="L12" i="18"/>
  <c r="E56" i="6"/>
  <c r="D13" i="25"/>
  <c r="F13" i="24"/>
  <c r="G15" i="21"/>
  <c r="D13" i="15"/>
  <c r="K13" i="29"/>
  <c r="E61" i="5"/>
  <c r="D15" i="25"/>
  <c r="D15" i="28"/>
  <c r="E14" i="33"/>
  <c r="G64" i="6"/>
  <c r="M13" i="18"/>
  <c r="L14" i="20"/>
  <c r="M15" i="36"/>
  <c r="E12" i="32"/>
  <c r="G56" i="5"/>
  <c r="H64" i="6"/>
  <c r="J13" i="25"/>
  <c r="G15" i="35"/>
  <c r="G15" i="29"/>
  <c r="L15" i="24"/>
  <c r="M13" i="25"/>
  <c r="F14" i="33"/>
  <c r="J15" i="19"/>
  <c r="K15" i="22"/>
  <c r="F12" i="16"/>
  <c r="J12" i="33"/>
  <c r="K14" i="33"/>
  <c r="F13" i="36"/>
  <c r="G13" i="19"/>
  <c r="F12" i="25"/>
  <c r="F13" i="25"/>
  <c r="F15" i="23"/>
  <c r="L12" i="23"/>
  <c r="M13" i="15"/>
  <c r="D15" i="19"/>
  <c r="M14" i="18"/>
  <c r="E12" i="33"/>
  <c r="J13" i="19"/>
  <c r="H55" i="6"/>
  <c r="E13" i="25"/>
  <c r="F14" i="36"/>
  <c r="G12" i="35"/>
  <c r="M13" i="20"/>
  <c r="M13" i="35"/>
  <c r="J15" i="20"/>
  <c r="K14" i="18"/>
  <c r="K13" i="24"/>
  <c r="K14" i="36"/>
  <c r="L13" i="16"/>
  <c r="L13" i="28"/>
  <c r="G12" i="24"/>
  <c r="G14" i="22"/>
  <c r="K15" i="28"/>
  <c r="F13" i="17"/>
  <c r="K13" i="23"/>
  <c r="L14" i="16"/>
  <c r="J13" i="24"/>
  <c r="J14" i="35"/>
  <c r="F12" i="17"/>
  <c r="G13" i="24"/>
  <c r="E13" i="29"/>
  <c r="F14" i="15"/>
  <c r="D15" i="22"/>
  <c r="J15" i="23"/>
  <c r="G14" i="17"/>
  <c r="G13" i="33"/>
  <c r="L12" i="32"/>
  <c r="Q62" i="6"/>
  <c r="F12" i="33"/>
  <c r="J13" i="15"/>
  <c r="L14" i="25"/>
  <c r="D14" i="24"/>
  <c r="K14" i="35"/>
  <c r="G13" i="16"/>
  <c r="K15" i="21"/>
  <c r="K13" i="20"/>
  <c r="D13" i="17"/>
  <c r="J14" i="15"/>
  <c r="M14" i="22"/>
  <c r="F12" i="20"/>
  <c r="F15" i="22"/>
  <c r="F14" i="25"/>
  <c r="K14" i="29"/>
  <c r="E15" i="15"/>
  <c r="F13" i="16"/>
  <c r="J15" i="25"/>
  <c r="F15" i="30"/>
  <c r="F13" i="23"/>
  <c r="K14" i="23"/>
  <c r="D14" i="21"/>
  <c r="K14" i="28"/>
  <c r="D15" i="29"/>
  <c r="G15" i="36"/>
  <c r="D13" i="36"/>
  <c r="D13" i="19"/>
  <c r="E14" i="21"/>
  <c r="J12" i="35"/>
  <c r="G14" i="30"/>
  <c r="F13" i="33"/>
  <c r="F15" i="19"/>
  <c r="F15" i="18"/>
  <c r="G12" i="29"/>
  <c r="E55" i="5"/>
  <c r="J14" i="33"/>
  <c r="K13" i="33"/>
  <c r="D13" i="32"/>
  <c r="L14" i="29"/>
  <c r="G14" i="15"/>
  <c r="G13" i="28"/>
  <c r="K14" i="30"/>
  <c r="J14" i="19"/>
  <c r="M12" i="24"/>
  <c r="H64" i="5"/>
  <c r="K12" i="23"/>
  <c r="G12" i="28"/>
  <c r="E14" i="36"/>
  <c r="J13" i="21"/>
  <c r="G12" i="36"/>
  <c r="M14" i="24"/>
  <c r="D15" i="33"/>
  <c r="L12" i="21"/>
  <c r="G14" i="23"/>
  <c r="J13" i="18"/>
  <c r="L14" i="21"/>
  <c r="E15" i="30"/>
  <c r="L14" i="18"/>
  <c r="D13" i="30"/>
  <c r="L15" i="36"/>
  <c r="J12" i="23"/>
  <c r="D13" i="24"/>
  <c r="E15" i="28"/>
  <c r="G15" i="18"/>
  <c r="E14" i="17"/>
  <c r="L15" i="23"/>
  <c r="F12" i="18"/>
  <c r="L12" i="24"/>
  <c r="G14" i="16"/>
  <c r="F15" i="25"/>
  <c r="G56" i="6"/>
  <c r="G12" i="32"/>
  <c r="J13" i="28"/>
  <c r="E14" i="29"/>
  <c r="K13" i="35"/>
  <c r="M15" i="19"/>
  <c r="F14" i="22"/>
  <c r="E15" i="24"/>
  <c r="D13" i="18"/>
  <c r="G55" i="6"/>
  <c r="D14" i="32"/>
  <c r="G12" i="20"/>
  <c r="H56" i="5"/>
  <c r="J13" i="20"/>
  <c r="E12" i="16"/>
  <c r="K15" i="24"/>
  <c r="K15" i="29"/>
  <c r="M14" i="25"/>
  <c r="L15" i="25"/>
  <c r="E15" i="19"/>
  <c r="M15" i="33"/>
  <c r="D15" i="24"/>
  <c r="M12" i="19"/>
  <c r="M13" i="16"/>
  <c r="D14" i="30"/>
  <c r="G13" i="36"/>
  <c r="G15" i="22"/>
  <c r="D15" i="21"/>
  <c r="E15" i="18"/>
  <c r="J12" i="36"/>
  <c r="J13" i="17"/>
  <c r="J12" i="22"/>
  <c r="F13" i="35"/>
  <c r="E12" i="29"/>
  <c r="F14" i="23"/>
  <c r="E12" i="15"/>
  <c r="E12" i="23"/>
  <c r="F15" i="20"/>
  <c r="E13" i="20"/>
  <c r="M15" i="25"/>
  <c r="K15" i="16"/>
  <c r="G14" i="36"/>
  <c r="K13" i="21"/>
  <c r="K15" i="19"/>
  <c r="L12" i="17"/>
  <c r="E13" i="28"/>
  <c r="E12" i="20"/>
  <c r="K12" i="36"/>
  <c r="E13" i="30"/>
  <c r="M14" i="23"/>
  <c r="L13" i="17"/>
  <c r="J12" i="18"/>
  <c r="E14" i="30"/>
  <c r="K14" i="20"/>
  <c r="M15" i="28"/>
  <c r="K12" i="21"/>
  <c r="F14" i="29"/>
  <c r="G12" i="17"/>
  <c r="J14" i="18"/>
  <c r="D14" i="28"/>
  <c r="E13" i="24"/>
  <c r="K14" i="19"/>
  <c r="J14" i="17"/>
  <c r="F13" i="32"/>
  <c r="G15" i="30"/>
  <c r="K13" i="17"/>
  <c r="M12" i="29"/>
  <c r="L13" i="32"/>
  <c r="L59" i="5"/>
  <c r="E14" i="15"/>
  <c r="F12" i="21"/>
  <c r="E13" i="35"/>
  <c r="D14" i="35"/>
  <c r="K13" i="32"/>
  <c r="E55" i="6"/>
  <c r="F13" i="21"/>
  <c r="F13" i="28"/>
  <c r="I64" i="6"/>
  <c r="K12" i="25"/>
  <c r="L14" i="19"/>
  <c r="E14" i="20"/>
  <c r="G64" i="5"/>
  <c r="G13" i="21"/>
  <c r="E14" i="22"/>
  <c r="L12" i="33"/>
  <c r="K15" i="17"/>
  <c r="J14" i="30"/>
  <c r="M13" i="29"/>
  <c r="L13" i="29"/>
  <c r="M12" i="17"/>
  <c r="I61" i="6"/>
  <c r="F12" i="28"/>
  <c r="D14" i="25"/>
  <c r="L12" i="22"/>
  <c r="K14" i="16"/>
  <c r="M13" i="30"/>
  <c r="L14" i="32"/>
  <c r="F12" i="23"/>
  <c r="L15" i="19"/>
  <c r="J12" i="17"/>
  <c r="M12" i="18"/>
  <c r="M14" i="29"/>
  <c r="E56" i="5"/>
  <c r="L12" i="35"/>
  <c r="Q65" i="6"/>
  <c r="M13" i="28"/>
  <c r="E13" i="17"/>
  <c r="M15" i="17"/>
  <c r="G61" i="5"/>
  <c r="D15" i="20"/>
  <c r="L13" i="33"/>
  <c r="K15" i="23"/>
  <c r="J14" i="21"/>
  <c r="K12" i="18"/>
  <c r="M12" i="16"/>
  <c r="G14" i="29"/>
  <c r="M12" i="36"/>
  <c r="J13" i="30"/>
  <c r="D14" i="16"/>
  <c r="L12" i="25"/>
  <c r="M15" i="30"/>
  <c r="E14" i="28"/>
  <c r="E15" i="22"/>
  <c r="G15" i="23"/>
  <c r="F15" i="17"/>
  <c r="M13" i="36"/>
  <c r="F14" i="28"/>
  <c r="E15" i="33"/>
  <c r="J14" i="28"/>
  <c r="M13" i="24"/>
  <c r="G15" i="16"/>
  <c r="K13" i="19"/>
  <c r="E12" i="25"/>
  <c r="F13" i="15"/>
  <c r="D13" i="35"/>
  <c r="D15" i="16"/>
  <c r="M13" i="32"/>
  <c r="M12" i="20"/>
  <c r="I56" i="6"/>
  <c r="L13" i="22"/>
  <c r="L12" i="20"/>
  <c r="G12" i="15"/>
  <c r="J13" i="22"/>
  <c r="D15" i="23"/>
  <c r="G14" i="33"/>
  <c r="F14" i="30"/>
  <c r="K12" i="22"/>
  <c r="M13" i="22"/>
  <c r="F15" i="21"/>
  <c r="L14" i="22"/>
  <c r="L13" i="30"/>
  <c r="M14" i="16"/>
  <c r="F14" i="18"/>
  <c r="F12" i="22"/>
  <c r="K14" i="21"/>
  <c r="G14" i="25"/>
  <c r="K12" i="17"/>
  <c r="E13" i="33"/>
  <c r="E15" i="21"/>
  <c r="E12" i="24"/>
  <c r="D14" i="19"/>
  <c r="D13" i="23"/>
  <c r="F14" i="16"/>
  <c r="E15" i="35"/>
  <c r="M14" i="19"/>
  <c r="K15" i="18"/>
  <c r="J14" i="23"/>
  <c r="G13" i="29"/>
  <c r="D15" i="17"/>
  <c r="F15" i="32"/>
  <c r="K13" i="18"/>
  <c r="F13" i="22"/>
  <c r="J14" i="20"/>
  <c r="L13" i="21"/>
  <c r="M13" i="19"/>
  <c r="D14" i="18"/>
  <c r="D14" i="23"/>
  <c r="J14" i="22"/>
  <c r="K12" i="16"/>
  <c r="G14" i="19"/>
  <c r="G12" i="16"/>
  <c r="D14" i="17"/>
  <c r="G14" i="20"/>
  <c r="K13" i="36"/>
  <c r="E15" i="16"/>
  <c r="K13" i="16"/>
  <c r="G15" i="20"/>
  <c r="E12" i="35"/>
  <c r="M14" i="28"/>
  <c r="E14" i="19"/>
  <c r="E12" i="19"/>
  <c r="K14" i="25"/>
  <c r="F13" i="29"/>
  <c r="D13" i="33"/>
  <c r="L15" i="22"/>
  <c r="J12" i="19"/>
  <c r="F12" i="19"/>
  <c r="J15" i="22"/>
  <c r="L15" i="35"/>
  <c r="G12" i="30"/>
  <c r="K12" i="30"/>
  <c r="L13" i="20"/>
  <c r="D14" i="20"/>
  <c r="J14" i="29"/>
  <c r="G55" i="5"/>
  <c r="K14" i="17"/>
  <c r="M15" i="29"/>
  <c r="D13" i="16"/>
  <c r="F15" i="33"/>
  <c r="L14" i="28"/>
  <c r="T59" i="6"/>
  <c r="H61" i="6"/>
  <c r="J12" i="16"/>
  <c r="G13" i="18"/>
  <c r="M12" i="21"/>
  <c r="M15" i="15"/>
  <c r="M15" i="21"/>
  <c r="G14" i="35"/>
  <c r="L14" i="30"/>
  <c r="F12" i="24"/>
  <c r="E64" i="5"/>
  <c r="L13" i="25"/>
  <c r="M15" i="24"/>
  <c r="M14" i="35"/>
  <c r="K13" i="30"/>
  <c r="L15" i="21"/>
  <c r="L13" i="18"/>
  <c r="J15" i="29"/>
  <c r="E15" i="36"/>
  <c r="F13" i="20"/>
  <c r="K15" i="35"/>
  <c r="F13" i="18"/>
  <c r="G13" i="15"/>
  <c r="K15" i="36"/>
  <c r="J13" i="33"/>
  <c r="L12" i="36"/>
  <c r="F13" i="30"/>
  <c r="G15" i="24"/>
  <c r="E64" i="6"/>
  <c r="G14" i="21"/>
  <c r="J15" i="15"/>
  <c r="K12" i="28"/>
  <c r="K12" i="24"/>
  <c r="G12" i="33"/>
  <c r="G13" i="17"/>
  <c r="M12" i="15"/>
  <c r="E12" i="22"/>
  <c r="F15" i="16"/>
  <c r="G15" i="17"/>
  <c r="J13" i="29"/>
  <c r="D14" i="36"/>
  <c r="M12" i="23"/>
  <c r="F15" i="35"/>
  <c r="J14" i="24"/>
  <c r="E14" i="25"/>
  <c r="E15" i="25"/>
  <c r="F14" i="21"/>
  <c r="F12" i="29"/>
  <c r="J13" i="23"/>
  <c r="E12" i="18"/>
  <c r="L14" i="24"/>
  <c r="E13" i="18"/>
  <c r="E61" i="6"/>
  <c r="M14" i="36"/>
  <c r="F12" i="36"/>
  <c r="J15" i="33"/>
  <c r="L14" i="33"/>
  <c r="G14" i="18"/>
  <c r="L15" i="16"/>
  <c r="F15" i="28"/>
  <c r="E15" i="23"/>
  <c r="K13" i="28"/>
  <c r="L13" i="36"/>
  <c r="E12" i="36"/>
  <c r="F12" i="15"/>
  <c r="J15" i="16"/>
  <c r="F13" i="19"/>
  <c r="M15" i="35"/>
  <c r="H56" i="6"/>
  <c r="F12" i="30"/>
  <c r="E12" i="17"/>
  <c r="L12" i="16"/>
  <c r="K12" i="29"/>
  <c r="K14" i="22"/>
  <c r="L15" i="18"/>
  <c r="D13" i="28"/>
  <c r="G12" i="23"/>
  <c r="G13" i="35"/>
  <c r="D13" i="20"/>
  <c r="L13" i="15"/>
  <c r="M12" i="28"/>
  <c r="F15" i="36"/>
  <c r="G13" i="22"/>
  <c r="J14" i="36"/>
  <c r="H55" i="5"/>
  <c r="J13" i="16"/>
  <c r="M13" i="21"/>
  <c r="F14" i="24"/>
  <c r="F14" i="20"/>
  <c r="G12" i="22"/>
  <c r="E12" i="21"/>
  <c r="D15" i="36"/>
  <c r="J15" i="24"/>
  <c r="M14" i="33"/>
  <c r="M12" i="22"/>
  <c r="J12" i="29"/>
  <c r="J15" i="21"/>
  <c r="H12" i="26" l="1"/>
  <c r="X12" i="26" s="1"/>
  <c r="H13" i="26"/>
  <c r="X13" i="26" s="1"/>
  <c r="S16" i="29"/>
  <c r="S16" i="23"/>
  <c r="O15" i="27"/>
  <c r="Y15" i="27" s="1"/>
  <c r="R16" i="25"/>
  <c r="S16" i="31"/>
  <c r="O15" i="32"/>
  <c r="Y15" i="32" s="1"/>
  <c r="O13" i="31"/>
  <c r="Y13" i="31" s="1"/>
  <c r="H15" i="27"/>
  <c r="X15" i="27" s="1"/>
  <c r="S16" i="17"/>
  <c r="R16" i="27"/>
  <c r="O15" i="26"/>
  <c r="Y15" i="26" s="1"/>
  <c r="H15" i="34"/>
  <c r="X15" i="34" s="1"/>
  <c r="S16" i="19"/>
  <c r="T16" i="23"/>
  <c r="O12" i="26"/>
  <c r="Y12" i="26" s="1"/>
  <c r="S16" i="30"/>
  <c r="S16" i="28"/>
  <c r="H15" i="26"/>
  <c r="X15" i="26" s="1"/>
  <c r="T16" i="15"/>
  <c r="S16" i="22"/>
  <c r="R16" i="26"/>
  <c r="S16" i="34"/>
  <c r="S16" i="25"/>
  <c r="U16" i="17"/>
  <c r="U16" i="32"/>
  <c r="H15" i="32"/>
  <c r="X15" i="32" s="1"/>
  <c r="S16" i="26"/>
  <c r="S16" i="20"/>
  <c r="H13" i="31"/>
  <c r="X13" i="31" s="1"/>
  <c r="H15" i="31"/>
  <c r="X15" i="31" s="1"/>
  <c r="R16" i="35"/>
  <c r="D16" i="32"/>
  <c r="O15" i="19"/>
  <c r="Y15" i="19" s="1"/>
  <c r="H15" i="19"/>
  <c r="X15" i="19" s="1"/>
  <c r="H14" i="32"/>
  <c r="X14" i="32" s="1"/>
  <c r="G16" i="32"/>
  <c r="H12" i="32"/>
  <c r="X12" i="32" s="1"/>
  <c r="H12" i="22"/>
  <c r="X12" i="22" s="1"/>
  <c r="N15" i="19"/>
  <c r="L16" i="32"/>
  <c r="K16" i="32"/>
  <c r="O15" i="18"/>
  <c r="Y15" i="18" s="1"/>
  <c r="F16" i="32"/>
  <c r="N12" i="32"/>
  <c r="O12" i="25"/>
  <c r="Y12" i="25" s="1"/>
  <c r="H12" i="25"/>
  <c r="X12" i="25" s="1"/>
  <c r="E16" i="32"/>
  <c r="N15" i="32"/>
  <c r="M16" i="32"/>
  <c r="N13" i="32"/>
  <c r="U16" i="35"/>
  <c r="H14" i="26"/>
  <c r="X14" i="26" s="1"/>
  <c r="O12" i="32"/>
  <c r="Y12" i="32" s="1"/>
  <c r="S16" i="36"/>
  <c r="H13" i="32"/>
  <c r="X13" i="32" s="1"/>
  <c r="S16" i="18"/>
  <c r="U16" i="26"/>
  <c r="T16" i="27"/>
  <c r="T16" i="17"/>
  <c r="T16" i="29"/>
  <c r="O13" i="34"/>
  <c r="Y13" i="34" s="1"/>
  <c r="T16" i="36"/>
  <c r="U16" i="28"/>
  <c r="S16" i="16"/>
  <c r="O15" i="31"/>
  <c r="Y15" i="31" s="1"/>
  <c r="S16" i="21"/>
  <c r="R16" i="23"/>
  <c r="U16" i="31"/>
  <c r="T16" i="35"/>
  <c r="T16" i="32"/>
  <c r="U16" i="16"/>
  <c r="U16" i="19"/>
  <c r="H15" i="18"/>
  <c r="X15" i="18" s="1"/>
  <c r="O13" i="27"/>
  <c r="Y13" i="27" s="1"/>
  <c r="T16" i="33"/>
  <c r="O13" i="26"/>
  <c r="Y13" i="26" s="1"/>
  <c r="U16" i="33"/>
  <c r="H13" i="34"/>
  <c r="X13" i="34" s="1"/>
  <c r="T16" i="18"/>
  <c r="U16" i="18"/>
  <c r="T16" i="31"/>
  <c r="U16" i="23"/>
  <c r="F64" i="5"/>
  <c r="F55" i="5"/>
  <c r="F56" i="5"/>
  <c r="F61" i="5"/>
  <c r="D16" i="15"/>
  <c r="H12" i="15"/>
  <c r="X12" i="15" s="1"/>
  <c r="R16" i="18"/>
  <c r="R16" i="21"/>
  <c r="X16" i="37"/>
  <c r="N16" i="37"/>
  <c r="Y16" i="37"/>
  <c r="F61" i="6"/>
  <c r="F64" i="6"/>
  <c r="F55" i="6"/>
  <c r="F56" i="6"/>
  <c r="R16" i="33"/>
  <c r="O15" i="22"/>
  <c r="Y15" i="22" s="1"/>
  <c r="N15" i="18"/>
  <c r="D16" i="22"/>
  <c r="H13" i="22"/>
  <c r="X13" i="22" s="1"/>
  <c r="M16" i="22"/>
  <c r="N12" i="22"/>
  <c r="L16" i="22"/>
  <c r="K16" i="22"/>
  <c r="H15" i="22"/>
  <c r="X15" i="22" s="1"/>
  <c r="O12" i="22"/>
  <c r="Y12" i="22" s="1"/>
  <c r="R16" i="32"/>
  <c r="E16" i="30"/>
  <c r="N14" i="25"/>
  <c r="N14" i="24"/>
  <c r="N15" i="24"/>
  <c r="D16" i="24"/>
  <c r="N15" i="30"/>
  <c r="F16" i="25"/>
  <c r="N12" i="25"/>
  <c r="N13" i="24"/>
  <c r="J16" i="24"/>
  <c r="N13" i="25"/>
  <c r="J16" i="25"/>
  <c r="E16" i="35"/>
  <c r="L16" i="30"/>
  <c r="H13" i="30"/>
  <c r="X13" i="30" s="1"/>
  <c r="D16" i="30"/>
  <c r="N15" i="25"/>
  <c r="H15" i="25"/>
  <c r="X15" i="25" s="1"/>
  <c r="E16" i="24"/>
  <c r="O15" i="35"/>
  <c r="Y15" i="35" s="1"/>
  <c r="H15" i="35"/>
  <c r="X15" i="35" s="1"/>
  <c r="K16" i="24"/>
  <c r="N15" i="35"/>
  <c r="D16" i="25"/>
  <c r="H13" i="35"/>
  <c r="X13" i="35" s="1"/>
  <c r="G16" i="25"/>
  <c r="H13" i="25"/>
  <c r="X13" i="25" s="1"/>
  <c r="L16" i="35"/>
  <c r="K16" i="25"/>
  <c r="F16" i="35"/>
  <c r="N13" i="35"/>
  <c r="H14" i="35"/>
  <c r="X14" i="35" s="1"/>
  <c r="M16" i="25"/>
  <c r="O15" i="24"/>
  <c r="Y15" i="24" s="1"/>
  <c r="H12" i="24"/>
  <c r="X12" i="24" s="1"/>
  <c r="G16" i="24"/>
  <c r="M16" i="30"/>
  <c r="G16" i="30"/>
  <c r="H14" i="30"/>
  <c r="X14" i="30" s="1"/>
  <c r="H14" i="25"/>
  <c r="X14" i="25" s="1"/>
  <c r="F16" i="30"/>
  <c r="N12" i="30"/>
  <c r="L16" i="25"/>
  <c r="J16" i="30"/>
  <c r="N13" i="30"/>
  <c r="D16" i="35"/>
  <c r="M16" i="24"/>
  <c r="L16" i="24"/>
  <c r="N14" i="30"/>
  <c r="K16" i="35"/>
  <c r="K16" i="30"/>
  <c r="H12" i="35"/>
  <c r="X12" i="35" s="1"/>
  <c r="G16" i="35"/>
  <c r="O12" i="35"/>
  <c r="Y12" i="35" s="1"/>
  <c r="E16" i="25"/>
  <c r="N14" i="35"/>
  <c r="F16" i="24"/>
  <c r="N12" i="24"/>
  <c r="M16" i="35"/>
  <c r="N12" i="35"/>
  <c r="J16" i="35"/>
  <c r="H13" i="15"/>
  <c r="X13" i="15" s="1"/>
  <c r="O13" i="15"/>
  <c r="Y13" i="15" s="1"/>
  <c r="O13" i="24"/>
  <c r="Y13" i="24" s="1"/>
  <c r="T16" i="21"/>
  <c r="S16" i="24"/>
  <c r="T16" i="25"/>
  <c r="O15" i="30"/>
  <c r="Y15" i="30" s="1"/>
  <c r="R16" i="15"/>
  <c r="U16" i="21"/>
  <c r="U16" i="25"/>
  <c r="O15" i="25"/>
  <c r="Y15" i="25" s="1"/>
  <c r="O15" i="34"/>
  <c r="Y15" i="34" s="1"/>
  <c r="O13" i="22"/>
  <c r="Y13" i="22" s="1"/>
  <c r="T16" i="28"/>
  <c r="U16" i="22"/>
  <c r="O13" i="30"/>
  <c r="Y13" i="30" s="1"/>
  <c r="T16" i="20"/>
  <c r="S16" i="33"/>
  <c r="U16" i="20"/>
  <c r="H14" i="24"/>
  <c r="X14" i="24" s="1"/>
  <c r="O12" i="24"/>
  <c r="Y12" i="24" s="1"/>
  <c r="U16" i="30"/>
  <c r="H13" i="24"/>
  <c r="X13" i="24" s="1"/>
  <c r="H15" i="30"/>
  <c r="X15" i="30" s="1"/>
  <c r="N14" i="19"/>
  <c r="D16" i="19"/>
  <c r="N13" i="22"/>
  <c r="F16" i="22"/>
  <c r="M16" i="19"/>
  <c r="F16" i="19"/>
  <c r="J16" i="22"/>
  <c r="N15" i="22"/>
  <c r="H12" i="19"/>
  <c r="X12" i="19" s="1"/>
  <c r="O12" i="19"/>
  <c r="Y12" i="19" s="1"/>
  <c r="G16" i="19"/>
  <c r="N14" i="22"/>
  <c r="H14" i="22"/>
  <c r="X14" i="22" s="1"/>
  <c r="G16" i="22"/>
  <c r="E16" i="19"/>
  <c r="E16" i="22"/>
  <c r="N13" i="19"/>
  <c r="K16" i="19"/>
  <c r="L16" i="19"/>
  <c r="J16" i="19"/>
  <c r="N12" i="19"/>
  <c r="O13" i="19"/>
  <c r="Y13" i="19" s="1"/>
  <c r="H14" i="19"/>
  <c r="X14" i="19" s="1"/>
  <c r="R16" i="34"/>
  <c r="R16" i="28"/>
  <c r="H13" i="19"/>
  <c r="X13" i="19" s="1"/>
  <c r="N15" i="16"/>
  <c r="R16" i="20"/>
  <c r="H13" i="27"/>
  <c r="X13" i="27" s="1"/>
  <c r="R16" i="36"/>
  <c r="R16" i="17"/>
  <c r="H15" i="24"/>
  <c r="X15" i="24" s="1"/>
  <c r="N14" i="36"/>
  <c r="O13" i="36"/>
  <c r="Y13" i="36" s="1"/>
  <c r="H13" i="36"/>
  <c r="X13" i="36" s="1"/>
  <c r="E16" i="33"/>
  <c r="K16" i="33"/>
  <c r="N15" i="36"/>
  <c r="D16" i="33"/>
  <c r="N15" i="33"/>
  <c r="L16" i="36"/>
  <c r="N12" i="33"/>
  <c r="J16" i="33"/>
  <c r="M16" i="36"/>
  <c r="N13" i="36"/>
  <c r="O13" i="33"/>
  <c r="Y13" i="33" s="1"/>
  <c r="H13" i="33"/>
  <c r="X13" i="33" s="1"/>
  <c r="L16" i="33"/>
  <c r="N13" i="33"/>
  <c r="E16" i="36"/>
  <c r="H14" i="33"/>
  <c r="X14" i="33" s="1"/>
  <c r="N14" i="33"/>
  <c r="O15" i="36"/>
  <c r="Y15" i="36" s="1"/>
  <c r="H15" i="36"/>
  <c r="X15" i="36" s="1"/>
  <c r="F16" i="36"/>
  <c r="F16" i="33"/>
  <c r="H14" i="36"/>
  <c r="X14" i="36" s="1"/>
  <c r="H12" i="36"/>
  <c r="X12" i="36" s="1"/>
  <c r="G16" i="36"/>
  <c r="O12" i="36"/>
  <c r="Y12" i="36" s="1"/>
  <c r="D16" i="36"/>
  <c r="J16" i="36"/>
  <c r="N12" i="36"/>
  <c r="M16" i="33"/>
  <c r="G16" i="33"/>
  <c r="O12" i="33"/>
  <c r="Y12" i="33" s="1"/>
  <c r="H12" i="33"/>
  <c r="X12" i="33" s="1"/>
  <c r="K16" i="36"/>
  <c r="H15" i="33"/>
  <c r="X15" i="33" s="1"/>
  <c r="O15" i="33"/>
  <c r="Y15" i="33" s="1"/>
  <c r="U16" i="36"/>
  <c r="O13" i="32"/>
  <c r="Y13" i="32" s="1"/>
  <c r="T16" i="34"/>
  <c r="O13" i="35"/>
  <c r="Y13" i="35" s="1"/>
  <c r="U16" i="34"/>
  <c r="H12" i="34"/>
  <c r="X12" i="34" s="1"/>
  <c r="O12" i="34"/>
  <c r="Y12" i="34" s="1"/>
  <c r="N14" i="28"/>
  <c r="F16" i="28"/>
  <c r="D16" i="29"/>
  <c r="D16" i="28"/>
  <c r="H14" i="28"/>
  <c r="X14" i="28" s="1"/>
  <c r="O13" i="28"/>
  <c r="Y13" i="28" s="1"/>
  <c r="H13" i="28"/>
  <c r="X13" i="28" s="1"/>
  <c r="N13" i="28"/>
  <c r="H15" i="29"/>
  <c r="X15" i="29" s="1"/>
  <c r="O15" i="29"/>
  <c r="Y15" i="29" s="1"/>
  <c r="L16" i="28"/>
  <c r="J16" i="29"/>
  <c r="N12" i="29"/>
  <c r="N14" i="29"/>
  <c r="F16" i="29"/>
  <c r="E16" i="28"/>
  <c r="K16" i="29"/>
  <c r="O13" i="29"/>
  <c r="Y13" i="29" s="1"/>
  <c r="H13" i="29"/>
  <c r="X13" i="29" s="1"/>
  <c r="G16" i="28"/>
  <c r="H12" i="28"/>
  <c r="X12" i="28" s="1"/>
  <c r="O12" i="28"/>
  <c r="Y12" i="28" s="1"/>
  <c r="N15" i="29"/>
  <c r="M16" i="29"/>
  <c r="N12" i="28"/>
  <c r="J16" i="28"/>
  <c r="N13" i="29"/>
  <c r="K16" i="28"/>
  <c r="E16" i="29"/>
  <c r="H15" i="28"/>
  <c r="X15" i="28" s="1"/>
  <c r="O15" i="28"/>
  <c r="Y15" i="28" s="1"/>
  <c r="M16" i="28"/>
  <c r="H14" i="29"/>
  <c r="X14" i="29" s="1"/>
  <c r="O12" i="29"/>
  <c r="Y12" i="29" s="1"/>
  <c r="H12" i="29"/>
  <c r="X12" i="29" s="1"/>
  <c r="G16" i="29"/>
  <c r="L16" i="29"/>
  <c r="N15" i="28"/>
  <c r="R16" i="30"/>
  <c r="T16" i="30"/>
  <c r="R16" i="31"/>
  <c r="S16" i="27"/>
  <c r="T16" i="26"/>
  <c r="O14" i="26" s="1"/>
  <c r="Y14" i="26" s="1"/>
  <c r="H12" i="30"/>
  <c r="X12" i="30" s="1"/>
  <c r="U16" i="29"/>
  <c r="U16" i="27"/>
  <c r="O12" i="30"/>
  <c r="Y12" i="30" s="1"/>
  <c r="R16" i="29"/>
  <c r="O13" i="25"/>
  <c r="Y13" i="25" s="1"/>
  <c r="U16" i="24"/>
  <c r="R16" i="24"/>
  <c r="T16" i="24"/>
  <c r="F16" i="23"/>
  <c r="H12" i="23"/>
  <c r="X12" i="23" s="1"/>
  <c r="G16" i="23"/>
  <c r="O12" i="23"/>
  <c r="Y12" i="23" s="1"/>
  <c r="N14" i="23"/>
  <c r="K16" i="23"/>
  <c r="H14" i="23"/>
  <c r="X14" i="23" s="1"/>
  <c r="D16" i="23"/>
  <c r="O13" i="23"/>
  <c r="Y13" i="23" s="1"/>
  <c r="H13" i="23"/>
  <c r="X13" i="23" s="1"/>
  <c r="N15" i="23"/>
  <c r="E16" i="23"/>
  <c r="J16" i="23"/>
  <c r="N12" i="23"/>
  <c r="M16" i="23"/>
  <c r="L16" i="23"/>
  <c r="O15" i="23"/>
  <c r="Y15" i="23" s="1"/>
  <c r="H15" i="23"/>
  <c r="X15" i="23" s="1"/>
  <c r="N13" i="23"/>
  <c r="R16" i="22"/>
  <c r="T16" i="22"/>
  <c r="O15" i="21"/>
  <c r="Y15" i="21" s="1"/>
  <c r="H15" i="21"/>
  <c r="X15" i="21" s="1"/>
  <c r="O13" i="21"/>
  <c r="Y13" i="21" s="1"/>
  <c r="H13" i="21"/>
  <c r="X13" i="21" s="1"/>
  <c r="N15" i="21"/>
  <c r="H14" i="21"/>
  <c r="X14" i="21" s="1"/>
  <c r="K16" i="21"/>
  <c r="L16" i="21"/>
  <c r="E16" i="21"/>
  <c r="M16" i="21"/>
  <c r="N14" i="21"/>
  <c r="D16" i="21"/>
  <c r="F16" i="21"/>
  <c r="G16" i="21"/>
  <c r="O12" i="21"/>
  <c r="Y12" i="21" s="1"/>
  <c r="H12" i="21"/>
  <c r="X12" i="21" s="1"/>
  <c r="N13" i="21"/>
  <c r="N12" i="21"/>
  <c r="J16" i="21"/>
  <c r="J16" i="20"/>
  <c r="N12" i="20"/>
  <c r="F16" i="20"/>
  <c r="K16" i="20"/>
  <c r="H14" i="20"/>
  <c r="X14" i="20" s="1"/>
  <c r="N15" i="20"/>
  <c r="E16" i="20"/>
  <c r="N14" i="20"/>
  <c r="N13" i="20"/>
  <c r="L16" i="20"/>
  <c r="M16" i="20"/>
  <c r="H12" i="20"/>
  <c r="X12" i="20" s="1"/>
  <c r="G16" i="20"/>
  <c r="O12" i="20"/>
  <c r="Y12" i="20" s="1"/>
  <c r="O15" i="20"/>
  <c r="Y15" i="20" s="1"/>
  <c r="H15" i="20"/>
  <c r="X15" i="20" s="1"/>
  <c r="D16" i="20"/>
  <c r="O13" i="20"/>
  <c r="Y13" i="20" s="1"/>
  <c r="H13" i="20"/>
  <c r="X13" i="20" s="1"/>
  <c r="R16" i="19"/>
  <c r="T16" i="19"/>
  <c r="F16" i="18"/>
  <c r="N13" i="18"/>
  <c r="J16" i="18"/>
  <c r="L16" i="18"/>
  <c r="H14" i="18"/>
  <c r="X14" i="18" s="1"/>
  <c r="G16" i="18"/>
  <c r="N14" i="18"/>
  <c r="D16" i="18"/>
  <c r="O13" i="18"/>
  <c r="Y13" i="18" s="1"/>
  <c r="H13" i="18"/>
  <c r="X13" i="18" s="1"/>
  <c r="E16" i="18"/>
  <c r="K16" i="18"/>
  <c r="M16" i="18"/>
  <c r="O12" i="18"/>
  <c r="Y12" i="18" s="1"/>
  <c r="N12" i="18"/>
  <c r="K16" i="17"/>
  <c r="H14" i="17"/>
  <c r="X14" i="17" s="1"/>
  <c r="L16" i="17"/>
  <c r="N15" i="17"/>
  <c r="E16" i="17"/>
  <c r="N14" i="17"/>
  <c r="F16" i="17"/>
  <c r="H12" i="17"/>
  <c r="X12" i="17" s="1"/>
  <c r="G16" i="17"/>
  <c r="O12" i="17"/>
  <c r="Y12" i="17" s="1"/>
  <c r="D16" i="17"/>
  <c r="O13" i="17"/>
  <c r="Y13" i="17" s="1"/>
  <c r="H13" i="17"/>
  <c r="X13" i="17" s="1"/>
  <c r="J16" i="17"/>
  <c r="N12" i="17"/>
  <c r="M16" i="17"/>
  <c r="O15" i="17"/>
  <c r="Y15" i="17" s="1"/>
  <c r="H15" i="17"/>
  <c r="X15" i="17" s="1"/>
  <c r="N13" i="17"/>
  <c r="O15" i="16"/>
  <c r="Y15" i="16" s="1"/>
  <c r="H15" i="16"/>
  <c r="X15" i="16" s="1"/>
  <c r="E16" i="16"/>
  <c r="O13" i="16"/>
  <c r="Y13" i="16" s="1"/>
  <c r="H13" i="16"/>
  <c r="X13" i="16" s="1"/>
  <c r="G16" i="16"/>
  <c r="O12" i="16"/>
  <c r="Y12" i="16" s="1"/>
  <c r="H12" i="16"/>
  <c r="X12" i="16" s="1"/>
  <c r="N14" i="16"/>
  <c r="D16" i="16"/>
  <c r="F16" i="16"/>
  <c r="L16" i="16"/>
  <c r="M16" i="16"/>
  <c r="J16" i="16"/>
  <c r="N12" i="16"/>
  <c r="K16" i="16"/>
  <c r="H14" i="16"/>
  <c r="X14" i="16" s="1"/>
  <c r="N13" i="16"/>
  <c r="R16" i="16"/>
  <c r="T16" i="16"/>
  <c r="H14" i="15"/>
  <c r="X14" i="15" s="1"/>
  <c r="G16" i="15"/>
  <c r="E16" i="15"/>
  <c r="M16" i="15"/>
  <c r="O12" i="15"/>
  <c r="Y12" i="15" s="1"/>
  <c r="J16" i="15"/>
  <c r="N12" i="15"/>
  <c r="N14" i="15"/>
  <c r="F16" i="15"/>
  <c r="L16" i="15"/>
  <c r="N13" i="15"/>
  <c r="N15" i="15"/>
  <c r="O15" i="15"/>
  <c r="Y15" i="15" s="1"/>
  <c r="H15" i="15"/>
  <c r="X15" i="15" s="1"/>
  <c r="U16" i="15"/>
  <c r="C42" i="6"/>
  <c r="C41" i="6"/>
  <c r="A6" i="7"/>
  <c r="B6" i="7"/>
  <c r="C6" i="7"/>
  <c r="D6" i="7"/>
  <c r="A7" i="7"/>
  <c r="B7" i="7"/>
  <c r="C7" i="7"/>
  <c r="D7" i="7"/>
  <c r="A8" i="7"/>
  <c r="B8" i="7"/>
  <c r="C8" i="7"/>
  <c r="D8" i="7"/>
  <c r="A9" i="7"/>
  <c r="B9" i="7"/>
  <c r="C9" i="7"/>
  <c r="D9" i="7"/>
  <c r="A10" i="7"/>
  <c r="B10" i="7"/>
  <c r="C10" i="7"/>
  <c r="D10" i="7"/>
  <c r="A11" i="7"/>
  <c r="B11" i="7"/>
  <c r="C11" i="7"/>
  <c r="D11" i="7"/>
  <c r="A12" i="7"/>
  <c r="B12" i="7"/>
  <c r="C12" i="7"/>
  <c r="D12" i="7"/>
  <c r="A13" i="7"/>
  <c r="B13" i="7"/>
  <c r="C13" i="7"/>
  <c r="D13" i="7"/>
  <c r="A14" i="7"/>
  <c r="B14" i="7"/>
  <c r="C14" i="7"/>
  <c r="D14" i="7"/>
  <c r="A15" i="7"/>
  <c r="B15" i="7"/>
  <c r="C15" i="7"/>
  <c r="D15" i="7"/>
  <c r="A16" i="7"/>
  <c r="B16" i="7"/>
  <c r="C16" i="7"/>
  <c r="D16" i="7"/>
  <c r="A17" i="7"/>
  <c r="B17" i="7"/>
  <c r="C17" i="7"/>
  <c r="D17" i="7"/>
  <c r="A18" i="7"/>
  <c r="B18" i="7"/>
  <c r="C18" i="7"/>
  <c r="D18" i="7"/>
  <c r="A19" i="7"/>
  <c r="B19" i="7"/>
  <c r="C19" i="7"/>
  <c r="D19" i="7"/>
  <c r="A20" i="7"/>
  <c r="B20" i="7"/>
  <c r="C20" i="7"/>
  <c r="D20" i="7"/>
  <c r="A21" i="7"/>
  <c r="B21" i="7"/>
  <c r="D21" i="7"/>
  <c r="A22" i="7"/>
  <c r="B22" i="7"/>
  <c r="C22" i="7"/>
  <c r="D22" i="7"/>
  <c r="B5" i="7"/>
  <c r="C5" i="7"/>
  <c r="D5" i="7"/>
  <c r="A5" i="7"/>
  <c r="A5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5" i="8"/>
  <c r="Q58" i="6"/>
  <c r="J54" i="5"/>
  <c r="J65" i="5"/>
  <c r="G65" i="6"/>
  <c r="G57" i="6"/>
  <c r="O48" i="6"/>
  <c r="I65" i="6"/>
  <c r="E48" i="5"/>
  <c r="E52" i="6"/>
  <c r="J47" i="5"/>
  <c r="G51" i="6"/>
  <c r="H63" i="6"/>
  <c r="E57" i="5"/>
  <c r="H51" i="6"/>
  <c r="O4" i="7"/>
  <c r="Q61" i="6"/>
  <c r="O65" i="6"/>
  <c r="O46" i="6"/>
  <c r="K46" i="5"/>
  <c r="E58" i="6"/>
  <c r="E54" i="6"/>
  <c r="H47" i="6"/>
  <c r="K49" i="5"/>
  <c r="K50" i="5"/>
  <c r="K53" i="5"/>
  <c r="O53" i="6"/>
  <c r="E63" i="5"/>
  <c r="E51" i="6"/>
  <c r="Q47" i="6"/>
  <c r="H60" i="5"/>
  <c r="J53" i="5"/>
  <c r="O64" i="6"/>
  <c r="G53" i="5"/>
  <c r="G46" i="5"/>
  <c r="H46" i="5"/>
  <c r="H57" i="5"/>
  <c r="H45" i="6"/>
  <c r="Q46" i="6"/>
  <c r="J66" i="5"/>
  <c r="I57" i="6"/>
  <c r="G44" i="6"/>
  <c r="I48" i="6"/>
  <c r="K61" i="5"/>
  <c r="E46" i="5"/>
  <c r="E50" i="6"/>
  <c r="K48" i="5"/>
  <c r="N4" i="7"/>
  <c r="K56" i="5"/>
  <c r="Q54" i="6"/>
  <c r="H47" i="5"/>
  <c r="G63" i="6"/>
  <c r="J57" i="5"/>
  <c r="K58" i="5"/>
  <c r="O50" i="6"/>
  <c r="G57" i="5"/>
  <c r="H49" i="5"/>
  <c r="J63" i="5"/>
  <c r="K60" i="5"/>
  <c r="E48" i="6"/>
  <c r="G46" i="6"/>
  <c r="Q55" i="6"/>
  <c r="E65" i="5"/>
  <c r="G51" i="5"/>
  <c r="I58" i="6"/>
  <c r="Q52" i="6"/>
  <c r="O56" i="6"/>
  <c r="G58" i="5"/>
  <c r="H65" i="6"/>
  <c r="J60" i="5"/>
  <c r="H45" i="5"/>
  <c r="J56" i="5"/>
  <c r="Q53" i="6"/>
  <c r="E54" i="5"/>
  <c r="K63" i="5"/>
  <c r="O66" i="6"/>
  <c r="E47" i="5"/>
  <c r="G53" i="6"/>
  <c r="K45" i="5"/>
  <c r="E51" i="5"/>
  <c r="G62" i="5"/>
  <c r="G45" i="5"/>
  <c r="K62" i="5"/>
  <c r="O52" i="6"/>
  <c r="O60" i="6"/>
  <c r="G52" i="6"/>
  <c r="G63" i="5"/>
  <c r="H58" i="5"/>
  <c r="H54" i="5"/>
  <c r="K47" i="5"/>
  <c r="G54" i="5"/>
  <c r="I49" i="6"/>
  <c r="Q48" i="6"/>
  <c r="E62" i="5"/>
  <c r="H54" i="6"/>
  <c r="I51" i="6"/>
  <c r="Q49" i="6"/>
  <c r="E57" i="6"/>
  <c r="J51" i="5"/>
  <c r="I47" i="6"/>
  <c r="G54" i="6"/>
  <c r="G62" i="6"/>
  <c r="I50" i="6"/>
  <c r="K52" i="5"/>
  <c r="I44" i="6"/>
  <c r="E62" i="6"/>
  <c r="J61" i="5"/>
  <c r="O51" i="6"/>
  <c r="Q66" i="6"/>
  <c r="H65" i="5"/>
  <c r="G65" i="5"/>
  <c r="H58" i="6"/>
  <c r="Q60" i="6"/>
  <c r="O58" i="6"/>
  <c r="H66" i="6"/>
  <c r="E44" i="6"/>
  <c r="G52" i="5"/>
  <c r="Q57" i="6"/>
  <c r="Q45" i="6"/>
  <c r="O57" i="6"/>
  <c r="Q63" i="6"/>
  <c r="J58" i="5"/>
  <c r="H44" i="6"/>
  <c r="K51" i="5"/>
  <c r="H53" i="6"/>
  <c r="G49" i="6"/>
  <c r="Q50" i="6"/>
  <c r="K57" i="5"/>
  <c r="E46" i="6"/>
  <c r="K44" i="5"/>
  <c r="H48" i="5"/>
  <c r="O63" i="6"/>
  <c r="H51" i="5"/>
  <c r="I62" i="6"/>
  <c r="H52" i="6"/>
  <c r="J62" i="5"/>
  <c r="G60" i="5"/>
  <c r="E45" i="5"/>
  <c r="I52" i="6"/>
  <c r="I60" i="6"/>
  <c r="I46" i="6"/>
  <c r="E58" i="5"/>
  <c r="E45" i="6"/>
  <c r="G66" i="6"/>
  <c r="O55" i="6"/>
  <c r="J44" i="5"/>
  <c r="I53" i="6"/>
  <c r="G48" i="5"/>
  <c r="G47" i="5"/>
  <c r="E53" i="6"/>
  <c r="H63" i="5"/>
  <c r="J52" i="5"/>
  <c r="O47" i="6"/>
  <c r="O44" i="6"/>
  <c r="K55" i="5"/>
  <c r="H50" i="5"/>
  <c r="I63" i="6"/>
  <c r="E44" i="5"/>
  <c r="E60" i="5"/>
  <c r="J48" i="5"/>
  <c r="J50" i="5"/>
  <c r="G48" i="6"/>
  <c r="G50" i="6"/>
  <c r="H66" i="5"/>
  <c r="E60" i="6"/>
  <c r="I45" i="6"/>
  <c r="H44" i="5"/>
  <c r="E47" i="6"/>
  <c r="O54" i="6"/>
  <c r="J45" i="5"/>
  <c r="J55" i="5"/>
  <c r="G49" i="5"/>
  <c r="G60" i="6"/>
  <c r="G50" i="5"/>
  <c r="G45" i="6"/>
  <c r="G44" i="5"/>
  <c r="E50" i="5"/>
  <c r="H48" i="6"/>
  <c r="Q56" i="6"/>
  <c r="G66" i="5"/>
  <c r="I54" i="6"/>
  <c r="E66" i="6"/>
  <c r="E49" i="6"/>
  <c r="Q51" i="6"/>
  <c r="Q64" i="6"/>
  <c r="E66" i="5"/>
  <c r="O49" i="6"/>
  <c r="O61" i="6"/>
  <c r="H46" i="6"/>
  <c r="G58" i="6"/>
  <c r="H57" i="6"/>
  <c r="J46" i="5"/>
  <c r="E52" i="5"/>
  <c r="E53" i="5"/>
  <c r="H62" i="6"/>
  <c r="I66" i="6"/>
  <c r="K64" i="5"/>
  <c r="O62" i="6"/>
  <c r="K54" i="5"/>
  <c r="K65" i="5"/>
  <c r="H49" i="6"/>
  <c r="H53" i="5"/>
  <c r="J64" i="5"/>
  <c r="O45" i="6"/>
  <c r="H60" i="6"/>
  <c r="J49" i="5"/>
  <c r="H52" i="5"/>
  <c r="G47" i="6"/>
  <c r="E63" i="6"/>
  <c r="H62" i="5"/>
  <c r="H50" i="6"/>
  <c r="E49" i="5"/>
  <c r="K66" i="5"/>
  <c r="E65" i="6"/>
  <c r="H16" i="26" l="1"/>
  <c r="X16" i="26" s="1"/>
  <c r="O14" i="31"/>
  <c r="Y14" i="31" s="1"/>
  <c r="O16" i="32"/>
  <c r="Y16" i="32" s="1"/>
  <c r="F62" i="6"/>
  <c r="F62" i="5"/>
  <c r="O14" i="27"/>
  <c r="Y14" i="27" s="1"/>
  <c r="O14" i="32"/>
  <c r="Y14" i="32" s="1"/>
  <c r="O16" i="31"/>
  <c r="Y16" i="31" s="1"/>
  <c r="H16" i="27"/>
  <c r="X16" i="27" s="1"/>
  <c r="H16" i="34"/>
  <c r="X16" i="34" s="1"/>
  <c r="F57" i="5"/>
  <c r="F58" i="5"/>
  <c r="F48" i="5"/>
  <c r="F52" i="5"/>
  <c r="F45" i="5"/>
  <c r="F53" i="5"/>
  <c r="F51" i="5"/>
  <c r="F50" i="5"/>
  <c r="F47" i="5"/>
  <c r="F60" i="5"/>
  <c r="F54" i="5"/>
  <c r="F66" i="5"/>
  <c r="F65" i="5"/>
  <c r="F49" i="5"/>
  <c r="F63" i="5"/>
  <c r="F46" i="5"/>
  <c r="F44" i="5"/>
  <c r="H16" i="31"/>
  <c r="H16" i="32"/>
  <c r="F46" i="6"/>
  <c r="F66" i="6"/>
  <c r="F47" i="6"/>
  <c r="F60" i="6"/>
  <c r="F65" i="6"/>
  <c r="F49" i="6"/>
  <c r="F63" i="6"/>
  <c r="F57" i="6"/>
  <c r="F54" i="6"/>
  <c r="F50" i="6"/>
  <c r="F48" i="6"/>
  <c r="F51" i="6"/>
  <c r="F58" i="6"/>
  <c r="F45" i="6"/>
  <c r="F53" i="6"/>
  <c r="F52" i="6"/>
  <c r="F44" i="6"/>
  <c r="O16" i="35"/>
  <c r="N16" i="35" s="1"/>
  <c r="O16" i="22"/>
  <c r="Y16" i="22" s="1"/>
  <c r="O16" i="25"/>
  <c r="N16" i="25" s="1"/>
  <c r="O14" i="30"/>
  <c r="Y14" i="30" s="1"/>
  <c r="H16" i="25"/>
  <c r="O14" i="25"/>
  <c r="Y14" i="25" s="1"/>
  <c r="O16" i="19"/>
  <c r="Y16" i="19" s="1"/>
  <c r="O16" i="24"/>
  <c r="Y16" i="24" s="1"/>
  <c r="H16" i="35"/>
  <c r="H16" i="19"/>
  <c r="H16" i="30"/>
  <c r="H16" i="22"/>
  <c r="O14" i="35"/>
  <c r="Y14" i="35" s="1"/>
  <c r="O16" i="34"/>
  <c r="Y16" i="34" s="1"/>
  <c r="O14" i="22"/>
  <c r="Y14" i="22" s="1"/>
  <c r="H16" i="24"/>
  <c r="O16" i="30"/>
  <c r="Y16" i="30" s="1"/>
  <c r="H16" i="33"/>
  <c r="O16" i="33"/>
  <c r="O14" i="33"/>
  <c r="Y14" i="33" s="1"/>
  <c r="O14" i="34"/>
  <c r="Y14" i="34" s="1"/>
  <c r="O16" i="36"/>
  <c r="O14" i="36"/>
  <c r="Y14" i="36" s="1"/>
  <c r="H16" i="36"/>
  <c r="O16" i="29"/>
  <c r="O14" i="29"/>
  <c r="Y14" i="29" s="1"/>
  <c r="H16" i="29"/>
  <c r="O16" i="27"/>
  <c r="O16" i="26"/>
  <c r="H16" i="28"/>
  <c r="O16" i="28"/>
  <c r="O14" i="28"/>
  <c r="Y14" i="28" s="1"/>
  <c r="O14" i="24"/>
  <c r="Y14" i="24" s="1"/>
  <c r="O16" i="23"/>
  <c r="O14" i="23"/>
  <c r="Y14" i="23" s="1"/>
  <c r="H16" i="23"/>
  <c r="O16" i="21"/>
  <c r="O14" i="21"/>
  <c r="Y14" i="21" s="1"/>
  <c r="H16" i="21"/>
  <c r="O16" i="20"/>
  <c r="O14" i="20"/>
  <c r="Y14" i="20" s="1"/>
  <c r="H16" i="20"/>
  <c r="O14" i="19"/>
  <c r="Y14" i="19" s="1"/>
  <c r="O16" i="18"/>
  <c r="O14" i="18"/>
  <c r="Y14" i="18" s="1"/>
  <c r="H16" i="18"/>
  <c r="O16" i="17"/>
  <c r="O14" i="17"/>
  <c r="Y14" i="17" s="1"/>
  <c r="H16" i="17"/>
  <c r="O16" i="16"/>
  <c r="O14" i="16"/>
  <c r="Y14" i="16" s="1"/>
  <c r="H16" i="16"/>
  <c r="O16" i="15"/>
  <c r="O14" i="15"/>
  <c r="Y14" i="15" s="1"/>
  <c r="H16" i="15"/>
  <c r="V15" i="13"/>
  <c r="A15" i="13"/>
  <c r="V14" i="13"/>
  <c r="A14" i="13"/>
  <c r="V13" i="13"/>
  <c r="A13" i="13"/>
  <c r="V12" i="13"/>
  <c r="A12" i="13"/>
  <c r="D12" i="13" s="1"/>
  <c r="B4" i="13"/>
  <c r="A1" i="13" s="1"/>
  <c r="R38" i="12"/>
  <c r="J38" i="12"/>
  <c r="U38" i="12" s="1"/>
  <c r="S38" i="12"/>
  <c r="J37" i="12"/>
  <c r="K37" i="12" s="1"/>
  <c r="R37" i="12"/>
  <c r="R36" i="12"/>
  <c r="J36" i="12"/>
  <c r="J35" i="12"/>
  <c r="K35" i="12" s="1"/>
  <c r="S35" i="12"/>
  <c r="S34" i="12"/>
  <c r="J34" i="12"/>
  <c r="R34" i="12"/>
  <c r="J33" i="12"/>
  <c r="K33" i="12" s="1"/>
  <c r="T33" i="12" s="1"/>
  <c r="R33" i="12"/>
  <c r="R32" i="12"/>
  <c r="J32" i="12"/>
  <c r="Q32" i="12" s="1"/>
  <c r="S31" i="12"/>
  <c r="R31" i="12"/>
  <c r="J31" i="12"/>
  <c r="K31" i="12" s="1"/>
  <c r="S30" i="12"/>
  <c r="J30" i="12"/>
  <c r="U30" i="12" s="1"/>
  <c r="J29" i="12"/>
  <c r="Q29" i="12" s="1"/>
  <c r="S29" i="12"/>
  <c r="J28" i="12"/>
  <c r="J27" i="12"/>
  <c r="R26" i="12"/>
  <c r="J26" i="12"/>
  <c r="K26" i="12" s="1"/>
  <c r="S26" i="12"/>
  <c r="J25" i="12"/>
  <c r="R25" i="12"/>
  <c r="J24" i="12"/>
  <c r="K24" i="12" s="1"/>
  <c r="R24" i="12"/>
  <c r="J23" i="12"/>
  <c r="K23" i="12" s="1"/>
  <c r="J22" i="12"/>
  <c r="K22" i="12" s="1"/>
  <c r="S22" i="12"/>
  <c r="J21" i="12"/>
  <c r="S21" i="12"/>
  <c r="J20" i="12"/>
  <c r="K20" i="12" s="1"/>
  <c r="S20" i="12"/>
  <c r="V15" i="12"/>
  <c r="A15" i="12"/>
  <c r="V14" i="12"/>
  <c r="A14" i="12"/>
  <c r="V13" i="12"/>
  <c r="A13" i="12"/>
  <c r="V12" i="12"/>
  <c r="A12" i="12"/>
  <c r="B4" i="12"/>
  <c r="F6" i="12" s="1"/>
  <c r="N6" i="7"/>
  <c r="L55" i="5"/>
  <c r="L54" i="5"/>
  <c r="T51" i="6"/>
  <c r="L58" i="5"/>
  <c r="T63" i="6"/>
  <c r="O9" i="7"/>
  <c r="T66" i="6"/>
  <c r="O16" i="7"/>
  <c r="N7" i="7"/>
  <c r="N17" i="7"/>
  <c r="T55" i="6"/>
  <c r="T62" i="6"/>
  <c r="T45" i="6"/>
  <c r="T52" i="6"/>
  <c r="N12" i="7"/>
  <c r="O21" i="7"/>
  <c r="T46" i="6"/>
  <c r="T49" i="6"/>
  <c r="F13" i="13"/>
  <c r="T56" i="6"/>
  <c r="L46" i="5"/>
  <c r="O15" i="7"/>
  <c r="L52" i="5"/>
  <c r="N22" i="7"/>
  <c r="T65" i="6"/>
  <c r="T53" i="6"/>
  <c r="N14" i="7"/>
  <c r="N21" i="7"/>
  <c r="T50" i="6"/>
  <c r="L49" i="5"/>
  <c r="L47" i="5"/>
  <c r="O7" i="7"/>
  <c r="N16" i="7"/>
  <c r="T44" i="6"/>
  <c r="O5" i="7"/>
  <c r="O22" i="7"/>
  <c r="O19" i="7"/>
  <c r="L48" i="5"/>
  <c r="T57" i="6"/>
  <c r="T54" i="6"/>
  <c r="L50" i="5"/>
  <c r="O10" i="7"/>
  <c r="N10" i="7"/>
  <c r="T47" i="6"/>
  <c r="T64" i="6"/>
  <c r="O6" i="7"/>
  <c r="N11" i="7"/>
  <c r="L45" i="5"/>
  <c r="O11" i="7"/>
  <c r="N15" i="7"/>
  <c r="L63" i="5"/>
  <c r="O14" i="7"/>
  <c r="L44" i="5"/>
  <c r="L53" i="5"/>
  <c r="N5" i="7"/>
  <c r="N9" i="7"/>
  <c r="O13" i="7"/>
  <c r="N19" i="7"/>
  <c r="O8" i="7"/>
  <c r="N8" i="7"/>
  <c r="L62" i="5"/>
  <c r="T61" i="6"/>
  <c r="N20" i="7"/>
  <c r="L61" i="5"/>
  <c r="L56" i="5"/>
  <c r="O17" i="7"/>
  <c r="L60" i="5"/>
  <c r="O20" i="7"/>
  <c r="N18" i="7"/>
  <c r="T60" i="6"/>
  <c r="L66" i="5"/>
  <c r="N13" i="7"/>
  <c r="T58" i="6"/>
  <c r="L64" i="5"/>
  <c r="T48" i="6"/>
  <c r="L65" i="5"/>
  <c r="L57" i="5"/>
  <c r="L51" i="5"/>
  <c r="O12" i="7"/>
  <c r="O18" i="7"/>
  <c r="N16" i="31" l="1"/>
  <c r="S14" i="12"/>
  <c r="N16" i="32"/>
  <c r="X16" i="32"/>
  <c r="X16" i="31"/>
  <c r="X16" i="36"/>
  <c r="X16" i="20"/>
  <c r="X16" i="29"/>
  <c r="X16" i="35"/>
  <c r="X16" i="16"/>
  <c r="X16" i="17"/>
  <c r="X16" i="25"/>
  <c r="X16" i="19"/>
  <c r="X16" i="18"/>
  <c r="X16" i="28"/>
  <c r="X16" i="33"/>
  <c r="X16" i="23"/>
  <c r="X16" i="24"/>
  <c r="X16" i="22"/>
  <c r="X16" i="15"/>
  <c r="X16" i="21"/>
  <c r="X16" i="30"/>
  <c r="N16" i="22"/>
  <c r="Y16" i="35"/>
  <c r="N16" i="24"/>
  <c r="Y16" i="25"/>
  <c r="N16" i="19"/>
  <c r="N16" i="30"/>
  <c r="N16" i="34"/>
  <c r="Y16" i="33"/>
  <c r="N16" i="33"/>
  <c r="N16" i="36"/>
  <c r="Y16" i="36"/>
  <c r="N16" i="28"/>
  <c r="Y16" i="28"/>
  <c r="Y16" i="26"/>
  <c r="N16" i="26"/>
  <c r="Y16" i="27"/>
  <c r="N16" i="27"/>
  <c r="Y16" i="29"/>
  <c r="N16" i="29"/>
  <c r="N16" i="23"/>
  <c r="Y16" i="23"/>
  <c r="N16" i="21"/>
  <c r="Y16" i="21"/>
  <c r="N16" i="20"/>
  <c r="Y16" i="20"/>
  <c r="N16" i="18"/>
  <c r="Y16" i="18"/>
  <c r="N16" i="17"/>
  <c r="Y16" i="17"/>
  <c r="Y16" i="16"/>
  <c r="N16" i="16"/>
  <c r="N16" i="15"/>
  <c r="Y16" i="15"/>
  <c r="T24" i="12"/>
  <c r="R35" i="12"/>
  <c r="R15" i="12" s="1"/>
  <c r="S24" i="12"/>
  <c r="U28" i="12"/>
  <c r="K28" i="12"/>
  <c r="T28" i="12" s="1"/>
  <c r="R28" i="12"/>
  <c r="U21" i="12"/>
  <c r="U25" i="12"/>
  <c r="U36" i="12"/>
  <c r="U27" i="12"/>
  <c r="S33" i="12"/>
  <c r="S25" i="12"/>
  <c r="R22" i="12"/>
  <c r="R14" i="13"/>
  <c r="U34" i="12"/>
  <c r="U14" i="13"/>
  <c r="T14" i="13"/>
  <c r="S14" i="13"/>
  <c r="S12" i="13"/>
  <c r="U31" i="12"/>
  <c r="Q31" i="12"/>
  <c r="U23" i="12"/>
  <c r="Q33" i="12"/>
  <c r="U20" i="12"/>
  <c r="T20" i="12"/>
  <c r="T12" i="13"/>
  <c r="Q26" i="12"/>
  <c r="U29" i="12"/>
  <c r="U32" i="12"/>
  <c r="Q35" i="12"/>
  <c r="Q23" i="12"/>
  <c r="K27" i="12"/>
  <c r="T27" i="12" s="1"/>
  <c r="U33" i="12"/>
  <c r="U24" i="12"/>
  <c r="Q27" i="12"/>
  <c r="Q24" i="12"/>
  <c r="Q22" i="12"/>
  <c r="U22" i="12"/>
  <c r="T26" i="12"/>
  <c r="K36" i="12"/>
  <c r="T36" i="12" s="1"/>
  <c r="Q36" i="12"/>
  <c r="A1" i="12"/>
  <c r="S6" i="12"/>
  <c r="F4" i="12"/>
  <c r="B5" i="13"/>
  <c r="S4" i="13"/>
  <c r="S4" i="12"/>
  <c r="F4" i="13"/>
  <c r="F5" i="13"/>
  <c r="S5" i="13"/>
  <c r="R12" i="13"/>
  <c r="B6" i="13"/>
  <c r="F6" i="13"/>
  <c r="S13" i="13"/>
  <c r="S6" i="13"/>
  <c r="U12" i="13"/>
  <c r="T31" i="12"/>
  <c r="T22" i="12"/>
  <c r="T37" i="12"/>
  <c r="T35" i="12"/>
  <c r="K30" i="12"/>
  <c r="T30" i="12" s="1"/>
  <c r="Q37" i="12"/>
  <c r="B5" i="12"/>
  <c r="Q21" i="12"/>
  <c r="S28" i="12"/>
  <c r="Q30" i="12"/>
  <c r="F5" i="12"/>
  <c r="R21" i="12"/>
  <c r="U26" i="12"/>
  <c r="R30" i="12"/>
  <c r="K32" i="12"/>
  <c r="T32" i="12" s="1"/>
  <c r="U35" i="12"/>
  <c r="S37" i="12"/>
  <c r="Q28" i="12"/>
  <c r="K21" i="12"/>
  <c r="T21" i="12" s="1"/>
  <c r="B6" i="12"/>
  <c r="S12" i="12"/>
  <c r="R23" i="12"/>
  <c r="K25" i="12"/>
  <c r="T25" i="12" s="1"/>
  <c r="K34" i="12"/>
  <c r="T34" i="12" s="1"/>
  <c r="U37" i="12"/>
  <c r="S5" i="12"/>
  <c r="S23" i="12"/>
  <c r="Q25" i="12"/>
  <c r="S32" i="12"/>
  <c r="Q34" i="12"/>
  <c r="K29" i="12"/>
  <c r="T29" i="12" s="1"/>
  <c r="T23" i="12"/>
  <c r="D12" i="12"/>
  <c r="Q20" i="12"/>
  <c r="R27" i="12"/>
  <c r="K38" i="12"/>
  <c r="T38" i="12" s="1"/>
  <c r="R20" i="12"/>
  <c r="S27" i="12"/>
  <c r="R29" i="12"/>
  <c r="S36" i="12"/>
  <c r="Q38" i="12"/>
  <c r="D13" i="13"/>
  <c r="M15" i="13"/>
  <c r="F15" i="13"/>
  <c r="E12" i="13"/>
  <c r="K15" i="13"/>
  <c r="M12" i="13"/>
  <c r="E13" i="13"/>
  <c r="J13" i="13"/>
  <c r="J14" i="13"/>
  <c r="F12" i="13"/>
  <c r="J15" i="13"/>
  <c r="L12" i="12"/>
  <c r="D15" i="13"/>
  <c r="L13" i="13"/>
  <c r="E15" i="13"/>
  <c r="J12" i="13"/>
  <c r="M14" i="13"/>
  <c r="G12" i="13"/>
  <c r="K12" i="13"/>
  <c r="G14" i="13"/>
  <c r="G15" i="13"/>
  <c r="F14" i="13"/>
  <c r="J15" i="12"/>
  <c r="D14" i="13"/>
  <c r="L15" i="13"/>
  <c r="M13" i="13"/>
  <c r="G13" i="13"/>
  <c r="L14" i="13"/>
  <c r="K14" i="13"/>
  <c r="L12" i="13"/>
  <c r="K13" i="13"/>
  <c r="E14" i="13"/>
  <c r="K14" i="12"/>
  <c r="U13" i="12" l="1"/>
  <c r="T15" i="12"/>
  <c r="U15" i="12"/>
  <c r="R14" i="12"/>
  <c r="T13" i="12"/>
  <c r="U15" i="13"/>
  <c r="R13" i="12"/>
  <c r="S13" i="12"/>
  <c r="S15" i="13"/>
  <c r="S16" i="13" s="1"/>
  <c r="U14" i="12"/>
  <c r="T12" i="12"/>
  <c r="N23" i="7"/>
  <c r="O23" i="7"/>
  <c r="T13" i="13"/>
  <c r="S15" i="12"/>
  <c r="H12" i="13"/>
  <c r="X12" i="13" s="1"/>
  <c r="G16" i="13"/>
  <c r="O12" i="13"/>
  <c r="Y12" i="13" s="1"/>
  <c r="L16" i="13"/>
  <c r="H14" i="13"/>
  <c r="X14" i="13" s="1"/>
  <c r="E16" i="13"/>
  <c r="N15" i="13"/>
  <c r="M16" i="13"/>
  <c r="N13" i="13"/>
  <c r="N14" i="13"/>
  <c r="F16" i="13"/>
  <c r="J16" i="13"/>
  <c r="N12" i="13"/>
  <c r="K16" i="13"/>
  <c r="D16" i="13"/>
  <c r="U13" i="13"/>
  <c r="T15" i="13"/>
  <c r="R15" i="13"/>
  <c r="R13" i="13"/>
  <c r="H13" i="13" s="1"/>
  <c r="X13" i="13" s="1"/>
  <c r="U12" i="12"/>
  <c r="R12" i="12"/>
  <c r="T14" i="12"/>
  <c r="G12" i="12"/>
  <c r="F14" i="12"/>
  <c r="E12" i="12"/>
  <c r="F12" i="12"/>
  <c r="E43" i="5"/>
  <c r="D15" i="12"/>
  <c r="L14" i="12"/>
  <c r="L15" i="12"/>
  <c r="D14" i="12"/>
  <c r="J14" i="12"/>
  <c r="L13" i="12"/>
  <c r="J13" i="12"/>
  <c r="Q43" i="6"/>
  <c r="K13" i="12"/>
  <c r="J12" i="12"/>
  <c r="H43" i="5"/>
  <c r="D13" i="12"/>
  <c r="E13" i="12"/>
  <c r="E14" i="12"/>
  <c r="G15" i="12"/>
  <c r="F15" i="12"/>
  <c r="K15" i="12"/>
  <c r="M12" i="12"/>
  <c r="G14" i="12"/>
  <c r="M15" i="12"/>
  <c r="E15" i="12"/>
  <c r="G43" i="5"/>
  <c r="M13" i="12"/>
  <c r="M14" i="12"/>
  <c r="G13" i="12"/>
  <c r="F13" i="12"/>
  <c r="K12" i="12"/>
  <c r="F43" i="5" l="1"/>
  <c r="H14" i="12"/>
  <c r="X14" i="12" s="1"/>
  <c r="H15" i="12"/>
  <c r="X15" i="12" s="1"/>
  <c r="O15" i="13"/>
  <c r="Y15" i="13" s="1"/>
  <c r="D16" i="12"/>
  <c r="O13" i="12"/>
  <c r="Y13" i="12" s="1"/>
  <c r="H13" i="12"/>
  <c r="X13" i="12" s="1"/>
  <c r="R16" i="12"/>
  <c r="E16" i="12"/>
  <c r="N13" i="12"/>
  <c r="K16" i="12"/>
  <c r="N12" i="12"/>
  <c r="F16" i="12"/>
  <c r="G16" i="12"/>
  <c r="H15" i="13"/>
  <c r="X15" i="13" s="1"/>
  <c r="O13" i="13"/>
  <c r="Y13" i="13" s="1"/>
  <c r="U16" i="12"/>
  <c r="T16" i="12"/>
  <c r="L16" i="12"/>
  <c r="N15" i="12"/>
  <c r="M16" i="12"/>
  <c r="O15" i="12"/>
  <c r="Y15" i="12" s="1"/>
  <c r="N14" i="12"/>
  <c r="J16" i="12"/>
  <c r="S16" i="12"/>
  <c r="R16" i="13"/>
  <c r="T16" i="13"/>
  <c r="U16" i="13"/>
  <c r="O12" i="12"/>
  <c r="Y12" i="12" s="1"/>
  <c r="H12" i="12"/>
  <c r="X12" i="12" s="1"/>
  <c r="E43" i="6"/>
  <c r="Q42" i="6"/>
  <c r="O42" i="6"/>
  <c r="E42" i="6"/>
  <c r="E42" i="5"/>
  <c r="G43" i="6"/>
  <c r="I43" i="6"/>
  <c r="H42" i="6"/>
  <c r="G42" i="6"/>
  <c r="J43" i="5"/>
  <c r="K43" i="5"/>
  <c r="O43" i="6"/>
  <c r="H42" i="5"/>
  <c r="J42" i="5"/>
  <c r="K42" i="5"/>
  <c r="I42" i="6"/>
  <c r="H43" i="6"/>
  <c r="G42" i="5"/>
  <c r="F42" i="5" l="1"/>
  <c r="F43" i="6"/>
  <c r="F42" i="6"/>
  <c r="O16" i="13"/>
  <c r="N16" i="13" s="1"/>
  <c r="O14" i="13"/>
  <c r="Y14" i="13" s="1"/>
  <c r="O16" i="12"/>
  <c r="Y16" i="12" s="1"/>
  <c r="O14" i="12"/>
  <c r="Y14" i="12" s="1"/>
  <c r="H16" i="12"/>
  <c r="H16" i="13"/>
  <c r="A41" i="5"/>
  <c r="L43" i="5"/>
  <c r="T43" i="6"/>
  <c r="T42" i="6"/>
  <c r="L42" i="5"/>
  <c r="C41" i="5" l="1"/>
  <c r="Y16" i="13"/>
  <c r="N16" i="12"/>
  <c r="X16" i="12"/>
  <c r="X16" i="13"/>
  <c r="A15" i="11"/>
  <c r="A14" i="11"/>
  <c r="A13" i="11"/>
  <c r="A12" i="11"/>
  <c r="D12" i="11" s="1"/>
  <c r="A9" i="6"/>
  <c r="A8" i="6"/>
  <c r="A7" i="6"/>
  <c r="A6" i="6"/>
  <c r="A9" i="5"/>
  <c r="A8" i="5"/>
  <c r="A7" i="5"/>
  <c r="A6" i="5"/>
  <c r="K37" i="11"/>
  <c r="S37" i="11"/>
  <c r="Q36" i="11"/>
  <c r="S36" i="11"/>
  <c r="Q35" i="11"/>
  <c r="S35" i="11"/>
  <c r="Q34" i="11"/>
  <c r="S34" i="11"/>
  <c r="S33" i="11"/>
  <c r="Q32" i="11"/>
  <c r="S32" i="11"/>
  <c r="S31" i="11"/>
  <c r="Q30" i="11"/>
  <c r="S30" i="11"/>
  <c r="S28" i="11"/>
  <c r="Q27" i="11"/>
  <c r="S27" i="11"/>
  <c r="Q26" i="11"/>
  <c r="R26" i="11"/>
  <c r="Q25" i="11"/>
  <c r="R25" i="11"/>
  <c r="S24" i="11"/>
  <c r="J23" i="11"/>
  <c r="Q23" i="11" s="1"/>
  <c r="R23" i="11"/>
  <c r="J22" i="11"/>
  <c r="S22" i="11"/>
  <c r="J21" i="11"/>
  <c r="Q20" i="11"/>
  <c r="S20" i="11"/>
  <c r="V15" i="11"/>
  <c r="V14" i="11"/>
  <c r="V13" i="11"/>
  <c r="V12" i="11"/>
  <c r="B4" i="11"/>
  <c r="I41" i="5"/>
  <c r="S4" i="11" l="1"/>
  <c r="B6" i="11"/>
  <c r="Q28" i="11"/>
  <c r="K28" i="11"/>
  <c r="T28" i="11" s="1"/>
  <c r="R22" i="11"/>
  <c r="Q21" i="11"/>
  <c r="K21" i="11"/>
  <c r="T21" i="11" s="1"/>
  <c r="R31" i="11"/>
  <c r="R36" i="11"/>
  <c r="R32" i="11"/>
  <c r="U31" i="11"/>
  <c r="R37" i="11"/>
  <c r="R28" i="11"/>
  <c r="Q22" i="11"/>
  <c r="K22" i="11"/>
  <c r="T22" i="11" s="1"/>
  <c r="A1" i="11"/>
  <c r="K31" i="11"/>
  <c r="T31" i="11" s="1"/>
  <c r="Q31" i="11"/>
  <c r="U36" i="11"/>
  <c r="U32" i="11"/>
  <c r="K35" i="11"/>
  <c r="T35" i="11" s="1"/>
  <c r="K23" i="11"/>
  <c r="T23" i="11" s="1"/>
  <c r="U28" i="11"/>
  <c r="S23" i="11"/>
  <c r="K27" i="11"/>
  <c r="T27" i="11" s="1"/>
  <c r="U33" i="11"/>
  <c r="U23" i="11"/>
  <c r="U29" i="11"/>
  <c r="U27" i="11"/>
  <c r="U24" i="11"/>
  <c r="U20" i="11"/>
  <c r="U35" i="11"/>
  <c r="R27" i="11"/>
  <c r="R35" i="11"/>
  <c r="R30" i="11"/>
  <c r="R34" i="11"/>
  <c r="B5" i="11"/>
  <c r="S5" i="11"/>
  <c r="F6" i="11"/>
  <c r="S6" i="11"/>
  <c r="K29" i="11"/>
  <c r="T29" i="11" s="1"/>
  <c r="Q37" i="11"/>
  <c r="R21" i="11"/>
  <c r="S26" i="11"/>
  <c r="K25" i="11"/>
  <c r="T25" i="11" s="1"/>
  <c r="R29" i="11"/>
  <c r="S21" i="11"/>
  <c r="S25" i="11"/>
  <c r="S29" i="11"/>
  <c r="S15" i="11"/>
  <c r="K33" i="11"/>
  <c r="T33" i="11" s="1"/>
  <c r="K20" i="11"/>
  <c r="T20" i="11" s="1"/>
  <c r="K24" i="11"/>
  <c r="T24" i="11" s="1"/>
  <c r="K32" i="11"/>
  <c r="T32" i="11" s="1"/>
  <c r="K36" i="11"/>
  <c r="T36" i="11" s="1"/>
  <c r="T37" i="11"/>
  <c r="U22" i="11"/>
  <c r="Q29" i="11"/>
  <c r="Q33" i="11"/>
  <c r="R33" i="11"/>
  <c r="F4" i="11"/>
  <c r="U21" i="11"/>
  <c r="U25" i="11"/>
  <c r="U37" i="11"/>
  <c r="U34" i="11"/>
  <c r="R20" i="11"/>
  <c r="R24" i="11"/>
  <c r="U26" i="11"/>
  <c r="U30" i="11"/>
  <c r="K26" i="11"/>
  <c r="T26" i="11" s="1"/>
  <c r="K30" i="11"/>
  <c r="T30" i="11" s="1"/>
  <c r="K34" i="11"/>
  <c r="T34" i="11" s="1"/>
  <c r="G21" i="37"/>
  <c r="G22" i="37"/>
  <c r="G23" i="37"/>
  <c r="G24" i="37"/>
  <c r="G25" i="37"/>
  <c r="G26" i="37"/>
  <c r="G27" i="37"/>
  <c r="G28" i="37"/>
  <c r="G29" i="37"/>
  <c r="G30" i="37"/>
  <c r="G31" i="37"/>
  <c r="G32" i="37"/>
  <c r="G33" i="37"/>
  <c r="G34" i="37"/>
  <c r="G35" i="37"/>
  <c r="G36" i="37"/>
  <c r="G37" i="37"/>
  <c r="G38" i="37"/>
  <c r="G20" i="37"/>
  <c r="K12" i="11"/>
  <c r="G25" i="34" l="1"/>
  <c r="G25" i="33"/>
  <c r="G25" i="36"/>
  <c r="G25" i="22"/>
  <c r="G25" i="29"/>
  <c r="G25" i="35"/>
  <c r="G25" i="32"/>
  <c r="G25" i="27"/>
  <c r="G25" i="26"/>
  <c r="G25" i="25"/>
  <c r="G25" i="30"/>
  <c r="G25" i="31"/>
  <c r="G25" i="21"/>
  <c r="G25" i="16"/>
  <c r="G25" i="19"/>
  <c r="G25" i="24"/>
  <c r="G25" i="18"/>
  <c r="G25" i="23"/>
  <c r="G25" i="15"/>
  <c r="G25" i="17"/>
  <c r="G25" i="13"/>
  <c r="G25" i="20"/>
  <c r="G25" i="28"/>
  <c r="G23" i="36"/>
  <c r="G23" i="35"/>
  <c r="G23" i="34"/>
  <c r="G23" i="33"/>
  <c r="G23" i="28"/>
  <c r="G23" i="29"/>
  <c r="G23" i="24"/>
  <c r="G23" i="31"/>
  <c r="G23" i="21"/>
  <c r="G23" i="20"/>
  <c r="G23" i="27"/>
  <c r="G23" i="32"/>
  <c r="G23" i="30"/>
  <c r="G23" i="18"/>
  <c r="G23" i="26"/>
  <c r="G23" i="13"/>
  <c r="G23" i="15"/>
  <c r="G23" i="22"/>
  <c r="G23" i="17"/>
  <c r="G23" i="25"/>
  <c r="G23" i="16"/>
  <c r="G23" i="23"/>
  <c r="G23" i="19"/>
  <c r="G37" i="34"/>
  <c r="G37" i="27"/>
  <c r="G37" i="32"/>
  <c r="G37" i="36"/>
  <c r="G37" i="31"/>
  <c r="G37" i="29"/>
  <c r="G37" i="28"/>
  <c r="G37" i="35"/>
  <c r="G37" i="33"/>
  <c r="G37" i="30"/>
  <c r="G37" i="17"/>
  <c r="G37" i="26"/>
  <c r="G37" i="19"/>
  <c r="G37" i="23"/>
  <c r="G37" i="24"/>
  <c r="G37" i="16"/>
  <c r="G37" i="18"/>
  <c r="G37" i="21"/>
  <c r="G37" i="20"/>
  <c r="G37" i="13"/>
  <c r="G37" i="22"/>
  <c r="G37" i="15"/>
  <c r="G37" i="25"/>
  <c r="G21" i="28"/>
  <c r="G21" i="35"/>
  <c r="G21" i="36"/>
  <c r="G21" i="31"/>
  <c r="G21" i="27"/>
  <c r="G21" i="34"/>
  <c r="G21" i="26"/>
  <c r="G21" i="33"/>
  <c r="G21" i="30"/>
  <c r="G21" i="29"/>
  <c r="G21" i="32"/>
  <c r="G21" i="24"/>
  <c r="G21" i="16"/>
  <c r="G21" i="25"/>
  <c r="G21" i="20"/>
  <c r="G21" i="23"/>
  <c r="G21" i="21"/>
  <c r="G21" i="19"/>
  <c r="G21" i="18"/>
  <c r="G21" i="13"/>
  <c r="G21" i="15"/>
  <c r="G21" i="17"/>
  <c r="G21" i="22"/>
  <c r="G35" i="33"/>
  <c r="G35" i="36"/>
  <c r="G35" i="25"/>
  <c r="G35" i="27"/>
  <c r="G35" i="29"/>
  <c r="G35" i="21"/>
  <c r="G35" i="19"/>
  <c r="G35" i="30"/>
  <c r="G35" i="26"/>
  <c r="G35" i="28"/>
  <c r="G35" i="34"/>
  <c r="G35" i="32"/>
  <c r="G35" i="31"/>
  <c r="G35" i="35"/>
  <c r="G35" i="18"/>
  <c r="G35" i="20"/>
  <c r="G35" i="22"/>
  <c r="G35" i="23"/>
  <c r="G35" i="17"/>
  <c r="G35" i="15"/>
  <c r="G35" i="13"/>
  <c r="G35" i="16"/>
  <c r="G35" i="24"/>
  <c r="G27" i="32"/>
  <c r="G27" i="36"/>
  <c r="G27" i="34"/>
  <c r="G27" i="27"/>
  <c r="G27" i="20"/>
  <c r="G27" i="30"/>
  <c r="G27" i="29"/>
  <c r="G27" i="24"/>
  <c r="G27" i="33"/>
  <c r="G27" i="16"/>
  <c r="G27" i="28"/>
  <c r="G27" i="31"/>
  <c r="G27" i="17"/>
  <c r="G27" i="15"/>
  <c r="G27" i="22"/>
  <c r="G27" i="13"/>
  <c r="G27" i="35"/>
  <c r="G27" i="26"/>
  <c r="G27" i="21"/>
  <c r="G27" i="19"/>
  <c r="G27" i="18"/>
  <c r="G27" i="25"/>
  <c r="G27" i="23"/>
  <c r="G34" i="36"/>
  <c r="G34" i="32"/>
  <c r="G34" i="26"/>
  <c r="G34" i="35"/>
  <c r="G34" i="33"/>
  <c r="G34" i="23"/>
  <c r="G34" i="34"/>
  <c r="G34" i="31"/>
  <c r="G34" i="27"/>
  <c r="G34" i="21"/>
  <c r="G34" i="29"/>
  <c r="G34" i="30"/>
  <c r="G34" i="28"/>
  <c r="G34" i="18"/>
  <c r="G34" i="13"/>
  <c r="G34" i="16"/>
  <c r="G34" i="24"/>
  <c r="G34" i="20"/>
  <c r="G34" i="22"/>
  <c r="G34" i="25"/>
  <c r="G34" i="19"/>
  <c r="G34" i="17"/>
  <c r="G34" i="15"/>
  <c r="G33" i="35"/>
  <c r="G33" i="36"/>
  <c r="G33" i="28"/>
  <c r="G33" i="29"/>
  <c r="G33" i="22"/>
  <c r="G33" i="32"/>
  <c r="G33" i="33"/>
  <c r="G33" i="30"/>
  <c r="G33" i="24"/>
  <c r="G33" i="23"/>
  <c r="G33" i="31"/>
  <c r="G33" i="26"/>
  <c r="G33" i="27"/>
  <c r="G33" i="20"/>
  <c r="G33" i="17"/>
  <c r="G33" i="13"/>
  <c r="G33" i="18"/>
  <c r="G33" i="15"/>
  <c r="G33" i="16"/>
  <c r="G33" i="21"/>
  <c r="G33" i="34"/>
  <c r="G33" i="25"/>
  <c r="G33" i="19"/>
  <c r="G38" i="36"/>
  <c r="G38" i="28"/>
  <c r="G38" i="33"/>
  <c r="G38" i="34"/>
  <c r="G38" i="21"/>
  <c r="G38" i="24"/>
  <c r="G38" i="23"/>
  <c r="G38" i="27"/>
  <c r="G38" i="30"/>
  <c r="G38" i="18"/>
  <c r="G38" i="32"/>
  <c r="G38" i="31"/>
  <c r="G38" i="35"/>
  <c r="G38" i="29"/>
  <c r="G38" i="15"/>
  <c r="G38" i="19"/>
  <c r="G38" i="20"/>
  <c r="G38" i="13"/>
  <c r="G38" i="22"/>
  <c r="G38" i="26"/>
  <c r="G38" i="25"/>
  <c r="G38" i="16"/>
  <c r="G38" i="17"/>
  <c r="G22" i="34"/>
  <c r="G22" i="33"/>
  <c r="G22" i="32"/>
  <c r="G22" i="36"/>
  <c r="G22" i="35"/>
  <c r="G22" i="29"/>
  <c r="G22" i="23"/>
  <c r="G22" i="27"/>
  <c r="G22" i="26"/>
  <c r="G22" i="25"/>
  <c r="G22" i="30"/>
  <c r="G22" i="17"/>
  <c r="G22" i="31"/>
  <c r="G22" i="13"/>
  <c r="G22" i="19"/>
  <c r="G22" i="18"/>
  <c r="G22" i="22"/>
  <c r="G22" i="15"/>
  <c r="G22" i="28"/>
  <c r="G22" i="16"/>
  <c r="G22" i="20"/>
  <c r="G22" i="24"/>
  <c r="G22" i="21"/>
  <c r="G36" i="34"/>
  <c r="G36" i="36"/>
  <c r="G36" i="32"/>
  <c r="G36" i="29"/>
  <c r="G36" i="24"/>
  <c r="G36" i="27"/>
  <c r="G36" i="30"/>
  <c r="G36" i="26"/>
  <c r="G36" i="25"/>
  <c r="G36" i="28"/>
  <c r="G36" i="33"/>
  <c r="G36" i="35"/>
  <c r="G36" i="19"/>
  <c r="G36" i="15"/>
  <c r="G36" i="17"/>
  <c r="G36" i="23"/>
  <c r="G36" i="31"/>
  <c r="G36" i="13"/>
  <c r="G36" i="18"/>
  <c r="G36" i="21"/>
  <c r="G36" i="20"/>
  <c r="G36" i="16"/>
  <c r="G36" i="22"/>
  <c r="G32" i="33"/>
  <c r="G32" i="35"/>
  <c r="G32" i="36"/>
  <c r="G32" i="32"/>
  <c r="G32" i="26"/>
  <c r="G32" i="34"/>
  <c r="G32" i="20"/>
  <c r="G32" i="27"/>
  <c r="G32" i="29"/>
  <c r="G32" i="28"/>
  <c r="G32" i="25"/>
  <c r="G32" i="15"/>
  <c r="G32" i="31"/>
  <c r="G32" i="30"/>
  <c r="G32" i="23"/>
  <c r="G32" i="19"/>
  <c r="G32" i="13"/>
  <c r="G32" i="17"/>
  <c r="G32" i="21"/>
  <c r="G32" i="22"/>
  <c r="G32" i="18"/>
  <c r="G32" i="24"/>
  <c r="G32" i="16"/>
  <c r="G24" i="34"/>
  <c r="G24" i="36"/>
  <c r="G24" i="35"/>
  <c r="G24" i="28"/>
  <c r="G24" i="33"/>
  <c r="G24" i="29"/>
  <c r="G24" i="24"/>
  <c r="G24" i="22"/>
  <c r="G24" i="21"/>
  <c r="G24" i="31"/>
  <c r="G24" i="27"/>
  <c r="G24" i="23"/>
  <c r="G24" i="32"/>
  <c r="G24" i="25"/>
  <c r="G24" i="30"/>
  <c r="G24" i="15"/>
  <c r="G24" i="13"/>
  <c r="G24" i="17"/>
  <c r="G24" i="20"/>
  <c r="G24" i="19"/>
  <c r="G24" i="16"/>
  <c r="G24" i="18"/>
  <c r="G24" i="26"/>
  <c r="G20" i="36"/>
  <c r="G20" i="29"/>
  <c r="G20" i="33"/>
  <c r="G20" i="35"/>
  <c r="G20" i="24"/>
  <c r="G20" i="32"/>
  <c r="G20" i="30"/>
  <c r="G20" i="28"/>
  <c r="G20" i="34"/>
  <c r="G20" i="31"/>
  <c r="G20" i="23"/>
  <c r="G20" i="21"/>
  <c r="G20" i="26"/>
  <c r="G20" i="27"/>
  <c r="G20" i="18"/>
  <c r="G20" i="17"/>
  <c r="G20" i="22"/>
  <c r="G20" i="19"/>
  <c r="G20" i="16"/>
  <c r="G20" i="20"/>
  <c r="G20" i="15"/>
  <c r="G20" i="25"/>
  <c r="G20" i="13"/>
  <c r="G31" i="36"/>
  <c r="G31" i="30"/>
  <c r="G31" i="33"/>
  <c r="G31" i="25"/>
  <c r="G31" i="21"/>
  <c r="G31" i="23"/>
  <c r="G31" i="34"/>
  <c r="G31" i="26"/>
  <c r="G31" i="20"/>
  <c r="G31" i="32"/>
  <c r="G31" i="29"/>
  <c r="G31" i="22"/>
  <c r="G31" i="35"/>
  <c r="G31" i="31"/>
  <c r="G31" i="16"/>
  <c r="G31" i="18"/>
  <c r="G31" i="19"/>
  <c r="G31" i="27"/>
  <c r="G31" i="13"/>
  <c r="G31" i="15"/>
  <c r="G31" i="28"/>
  <c r="G31" i="17"/>
  <c r="G31" i="24"/>
  <c r="G28" i="36"/>
  <c r="G28" i="35"/>
  <c r="G28" i="31"/>
  <c r="G28" i="34"/>
  <c r="G28" i="32"/>
  <c r="G28" i="26"/>
  <c r="G28" i="28"/>
  <c r="G28" i="27"/>
  <c r="G28" i="25"/>
  <c r="G28" i="29"/>
  <c r="G28" i="33"/>
  <c r="G28" i="30"/>
  <c r="G28" i="21"/>
  <c r="G28" i="13"/>
  <c r="G28" i="23"/>
  <c r="G28" i="24"/>
  <c r="G28" i="16"/>
  <c r="G28" i="19"/>
  <c r="G28" i="18"/>
  <c r="G28" i="20"/>
  <c r="G28" i="22"/>
  <c r="G28" i="17"/>
  <c r="G28" i="15"/>
  <c r="G26" i="34"/>
  <c r="G26" i="36"/>
  <c r="G26" i="33"/>
  <c r="G26" i="28"/>
  <c r="G26" i="30"/>
  <c r="G26" i="24"/>
  <c r="G26" i="31"/>
  <c r="G26" i="20"/>
  <c r="G26" i="32"/>
  <c r="G26" i="27"/>
  <c r="G26" i="35"/>
  <c r="G26" i="17"/>
  <c r="G26" i="25"/>
  <c r="G26" i="18"/>
  <c r="G26" i="23"/>
  <c r="G26" i="15"/>
  <c r="G26" i="26"/>
  <c r="G26" i="22"/>
  <c r="G26" i="13"/>
  <c r="G26" i="16"/>
  <c r="G26" i="21"/>
  <c r="G26" i="29"/>
  <c r="G26" i="19"/>
  <c r="G30" i="32"/>
  <c r="G30" i="36"/>
  <c r="G30" i="34"/>
  <c r="G30" i="29"/>
  <c r="G30" i="35"/>
  <c r="G30" i="27"/>
  <c r="G30" i="33"/>
  <c r="G30" i="31"/>
  <c r="G30" i="30"/>
  <c r="G30" i="26"/>
  <c r="G30" i="28"/>
  <c r="G30" i="25"/>
  <c r="G30" i="17"/>
  <c r="G30" i="24"/>
  <c r="G30" i="15"/>
  <c r="G30" i="20"/>
  <c r="G30" i="21"/>
  <c r="G30" i="22"/>
  <c r="G30" i="19"/>
  <c r="G30" i="18"/>
  <c r="G30" i="16"/>
  <c r="G30" i="13"/>
  <c r="G30" i="23"/>
  <c r="G29" i="35"/>
  <c r="G29" i="32"/>
  <c r="G29" i="36"/>
  <c r="G29" i="30"/>
  <c r="G29" i="26"/>
  <c r="G29" i="28"/>
  <c r="G29" i="20"/>
  <c r="G29" i="29"/>
  <c r="G29" i="27"/>
  <c r="G29" i="33"/>
  <c r="G29" i="31"/>
  <c r="G29" i="24"/>
  <c r="G29" i="34"/>
  <c r="G29" i="19"/>
  <c r="G29" i="13"/>
  <c r="G29" i="23"/>
  <c r="G29" i="22"/>
  <c r="G29" i="17"/>
  <c r="G29" i="25"/>
  <c r="G29" i="15"/>
  <c r="G29" i="21"/>
  <c r="G29" i="16"/>
  <c r="G29" i="18"/>
  <c r="E22" i="7"/>
  <c r="E22" i="8"/>
  <c r="E9" i="8"/>
  <c r="E9" i="7"/>
  <c r="E20" i="7"/>
  <c r="E20" i="8"/>
  <c r="E19" i="8"/>
  <c r="E19" i="7"/>
  <c r="E5" i="8"/>
  <c r="E5" i="7"/>
  <c r="E8" i="8"/>
  <c r="E8" i="7"/>
  <c r="E6" i="7"/>
  <c r="E6" i="8"/>
  <c r="E17" i="8"/>
  <c r="E17" i="7"/>
  <c r="E21" i="7"/>
  <c r="E21" i="8"/>
  <c r="E16" i="8"/>
  <c r="E16" i="7"/>
  <c r="E13" i="8"/>
  <c r="E13" i="7"/>
  <c r="E12" i="7"/>
  <c r="E12" i="8"/>
  <c r="E7" i="7"/>
  <c r="E7" i="8"/>
  <c r="E14" i="7"/>
  <c r="E14" i="8"/>
  <c r="E18" i="7"/>
  <c r="E18" i="8"/>
  <c r="E15" i="7"/>
  <c r="E15" i="8"/>
  <c r="E11" i="7"/>
  <c r="E11" i="8"/>
  <c r="E10" i="8"/>
  <c r="E10" i="7"/>
  <c r="U14" i="11"/>
  <c r="U15" i="11"/>
  <c r="R15" i="11"/>
  <c r="S13" i="11"/>
  <c r="T15" i="11"/>
  <c r="R12" i="11"/>
  <c r="T13" i="11"/>
  <c r="U13" i="11"/>
  <c r="S14" i="11"/>
  <c r="R14" i="11"/>
  <c r="S12" i="11"/>
  <c r="T14" i="11"/>
  <c r="R13" i="11"/>
  <c r="T12" i="11"/>
  <c r="U12" i="11"/>
  <c r="L14" i="11"/>
  <c r="J14" i="11"/>
  <c r="K13" i="11"/>
  <c r="F14" i="11"/>
  <c r="G13" i="11"/>
  <c r="K14" i="11"/>
  <c r="E12" i="11"/>
  <c r="L12" i="11"/>
  <c r="K15" i="11"/>
  <c r="F15" i="11"/>
  <c r="F12" i="11"/>
  <c r="J15" i="11"/>
  <c r="M12" i="11"/>
  <c r="J13" i="11"/>
  <c r="E14" i="11"/>
  <c r="L15" i="11"/>
  <c r="M13" i="11"/>
  <c r="E15" i="11"/>
  <c r="D15" i="11"/>
  <c r="G12" i="11"/>
  <c r="M15" i="11"/>
  <c r="D14" i="11"/>
  <c r="D13" i="11"/>
  <c r="J12" i="11"/>
  <c r="E13" i="11"/>
  <c r="G14" i="11"/>
  <c r="F13" i="11"/>
  <c r="M14" i="11"/>
  <c r="G15" i="11"/>
  <c r="L13" i="11"/>
  <c r="H14" i="11" l="1"/>
  <c r="X14" i="11" s="1"/>
  <c r="U16" i="11"/>
  <c r="S16" i="11"/>
  <c r="T16" i="11"/>
  <c r="H12" i="11"/>
  <c r="X12" i="11" s="1"/>
  <c r="D16" i="11"/>
  <c r="N15" i="11"/>
  <c r="K16" i="11"/>
  <c r="E16" i="11"/>
  <c r="O13" i="11"/>
  <c r="Y13" i="11" s="1"/>
  <c r="H13" i="11"/>
  <c r="X13" i="11" s="1"/>
  <c r="G16" i="11"/>
  <c r="H15" i="11"/>
  <c r="X15" i="11" s="1"/>
  <c r="O15" i="11"/>
  <c r="Y15" i="11" s="1"/>
  <c r="F16" i="11"/>
  <c r="L16" i="11"/>
  <c r="N13" i="11"/>
  <c r="M16" i="11"/>
  <c r="O12" i="11"/>
  <c r="Y12" i="11" s="1"/>
  <c r="N12" i="11"/>
  <c r="N14" i="11"/>
  <c r="J16" i="11"/>
  <c r="R16" i="11"/>
  <c r="D3" i="8"/>
  <c r="C3" i="8"/>
  <c r="A3" i="8"/>
  <c r="D3" i="7"/>
  <c r="C3" i="7"/>
  <c r="A3" i="7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R7" i="2"/>
  <c r="Q7" i="2" s="1"/>
  <c r="U4" i="13" s="1"/>
  <c r="R6" i="2"/>
  <c r="Q6" i="2" s="1"/>
  <c r="U4" i="12" s="1"/>
  <c r="R5" i="2"/>
  <c r="Q5" i="2" s="1"/>
  <c r="U4" i="11" s="1"/>
  <c r="E41" i="5"/>
  <c r="I41" i="6"/>
  <c r="E41" i="6"/>
  <c r="J41" i="5"/>
  <c r="H41" i="6"/>
  <c r="G41" i="5"/>
  <c r="Q41" i="6"/>
  <c r="S4" i="8"/>
  <c r="G41" i="6"/>
  <c r="M4" i="7"/>
  <c r="O41" i="6"/>
  <c r="K41" i="5"/>
  <c r="U4" i="8"/>
  <c r="H41" i="5"/>
  <c r="T4" i="8"/>
  <c r="J67" i="5" l="1"/>
  <c r="O14" i="11"/>
  <c r="Y14" i="11" s="1"/>
  <c r="O16" i="11"/>
  <c r="H16" i="11"/>
  <c r="M16" i="7"/>
  <c r="J42" i="6"/>
  <c r="U8" i="8"/>
  <c r="S6" i="8"/>
  <c r="T13" i="8"/>
  <c r="M5" i="7"/>
  <c r="U21" i="8"/>
  <c r="U22" i="8"/>
  <c r="M42" i="6"/>
  <c r="S12" i="8"/>
  <c r="S18" i="8"/>
  <c r="M15" i="7"/>
  <c r="T16" i="8"/>
  <c r="T18" i="8"/>
  <c r="T9" i="8"/>
  <c r="S5" i="8"/>
  <c r="T6" i="8"/>
  <c r="S22" i="8"/>
  <c r="U6" i="8"/>
  <c r="S19" i="8"/>
  <c r="M13" i="7"/>
  <c r="U16" i="8"/>
  <c r="M10" i="7"/>
  <c r="R41" i="6"/>
  <c r="U14" i="8"/>
  <c r="M7" i="7"/>
  <c r="T7" i="8"/>
  <c r="U10" i="8"/>
  <c r="T41" i="6"/>
  <c r="M6" i="7"/>
  <c r="S7" i="8"/>
  <c r="U13" i="8"/>
  <c r="S16" i="8"/>
  <c r="M19" i="7"/>
  <c r="T17" i="8"/>
  <c r="M18" i="7"/>
  <c r="S8" i="8"/>
  <c r="P41" i="6"/>
  <c r="L42" i="6"/>
  <c r="S20" i="8"/>
  <c r="S15" i="8"/>
  <c r="U12" i="8"/>
  <c r="S10" i="8"/>
  <c r="T14" i="8"/>
  <c r="T19" i="8"/>
  <c r="T11" i="8"/>
  <c r="M8" i="7"/>
  <c r="T15" i="8"/>
  <c r="U11" i="8"/>
  <c r="M11" i="7"/>
  <c r="U18" i="8"/>
  <c r="U7" i="8"/>
  <c r="K42" i="6"/>
  <c r="S13" i="8"/>
  <c r="U20" i="8"/>
  <c r="S14" i="8"/>
  <c r="T20" i="8"/>
  <c r="M17" i="7"/>
  <c r="M20" i="7"/>
  <c r="M12" i="7"/>
  <c r="T8" i="8"/>
  <c r="M14" i="7"/>
  <c r="U5" i="8"/>
  <c r="R42" i="6"/>
  <c r="U19" i="8"/>
  <c r="S21" i="8"/>
  <c r="U15" i="8"/>
  <c r="U9" i="8"/>
  <c r="S17" i="8"/>
  <c r="M9" i="7"/>
  <c r="U17" i="8"/>
  <c r="M22" i="7"/>
  <c r="P42" i="6"/>
  <c r="S9" i="8"/>
  <c r="M21" i="7"/>
  <c r="L41" i="5"/>
  <c r="T5" i="8"/>
  <c r="T12" i="8"/>
  <c r="S11" i="8"/>
  <c r="T22" i="8"/>
  <c r="T10" i="8"/>
  <c r="T21" i="8"/>
  <c r="S23" i="8" l="1"/>
  <c r="X16" i="11"/>
  <c r="Y16" i="11"/>
  <c r="N16" i="11"/>
  <c r="T23" i="8"/>
  <c r="K67" i="5"/>
  <c r="U23" i="8"/>
  <c r="N42" i="6"/>
  <c r="P67" i="6"/>
  <c r="R67" i="6"/>
  <c r="Q67" i="6"/>
  <c r="L41" i="6"/>
  <c r="S42" i="6"/>
  <c r="K41" i="6"/>
  <c r="J41" i="6"/>
  <c r="M41" i="6"/>
  <c r="U42" i="6"/>
  <c r="M23" i="7" l="1"/>
  <c r="O67" i="6"/>
  <c r="L67" i="5"/>
  <c r="H67" i="6"/>
  <c r="H67" i="5"/>
  <c r="L67" i="6"/>
  <c r="E67" i="6"/>
  <c r="F41" i="6"/>
  <c r="F67" i="6" s="1"/>
  <c r="G67" i="6"/>
  <c r="G67" i="5"/>
  <c r="I67" i="6"/>
  <c r="I67" i="5"/>
  <c r="N41" i="6"/>
  <c r="N67" i="6" s="1"/>
  <c r="K67" i="6"/>
  <c r="M67" i="6"/>
  <c r="J67" i="6"/>
  <c r="U41" i="6"/>
  <c r="S67" i="6" l="1"/>
  <c r="T67" i="6"/>
  <c r="U67" i="6"/>
  <c r="S41" i="6"/>
  <c r="F41" i="5" l="1"/>
  <c r="F67" i="5" s="1"/>
  <c r="E67" i="5"/>
  <c r="F5" i="11" l="1"/>
  <c r="K5" i="8"/>
  <c r="M17" i="8"/>
  <c r="N8" i="8"/>
  <c r="M8" i="8"/>
  <c r="F17" i="8"/>
  <c r="K17" i="8"/>
  <c r="L5" i="8"/>
  <c r="F9" i="7"/>
  <c r="M14" i="8"/>
  <c r="L17" i="8"/>
  <c r="L8" i="8"/>
  <c r="N14" i="8"/>
  <c r="L14" i="8"/>
  <c r="N5" i="8"/>
  <c r="N17" i="8"/>
  <c r="K8" i="8"/>
  <c r="M5" i="8"/>
  <c r="K14" i="8"/>
  <c r="P17" i="8" l="1"/>
  <c r="F8" i="8"/>
  <c r="F15" i="7"/>
  <c r="P8" i="8" l="1"/>
  <c r="F14" i="8"/>
  <c r="P14" i="8" l="1"/>
  <c r="F22" i="7"/>
  <c r="F18" i="7"/>
  <c r="F14" i="7"/>
  <c r="F13" i="7"/>
  <c r="F16" i="7"/>
  <c r="E8" i="5" l="1"/>
  <c r="F7" i="7"/>
  <c r="I11" i="7"/>
  <c r="F6" i="7"/>
  <c r="F8" i="7"/>
  <c r="F5" i="8"/>
  <c r="F20" i="7"/>
  <c r="H14" i="7"/>
  <c r="H14" i="8" l="1"/>
  <c r="I11" i="8"/>
  <c r="P5" i="8"/>
  <c r="J15" i="7"/>
  <c r="K15" i="7" l="1"/>
  <c r="J15" i="8"/>
  <c r="J5" i="7"/>
  <c r="J5" i="8" l="1"/>
  <c r="F5" i="7"/>
  <c r="K5" i="7" l="1"/>
  <c r="E6" i="5"/>
  <c r="O5" i="8"/>
  <c r="J18" i="7"/>
  <c r="H8" i="7"/>
  <c r="F18" i="8"/>
  <c r="H12" i="7"/>
  <c r="F19" i="7"/>
  <c r="I15" i="7"/>
  <c r="I12" i="7"/>
  <c r="H9" i="7"/>
  <c r="H10" i="7"/>
  <c r="F11" i="7"/>
  <c r="H7" i="7"/>
  <c r="H10" i="8" l="1"/>
  <c r="H7" i="8"/>
  <c r="I12" i="8"/>
  <c r="H8" i="8"/>
  <c r="H12" i="8"/>
  <c r="H9" i="8"/>
  <c r="I15" i="8"/>
  <c r="K18" i="7"/>
  <c r="J18" i="8"/>
  <c r="O18" i="8" s="1"/>
  <c r="H16" i="7"/>
  <c r="F15" i="8"/>
  <c r="H19" i="7"/>
  <c r="H16" i="8" l="1"/>
  <c r="H19" i="8"/>
  <c r="O15" i="8"/>
  <c r="F7" i="8"/>
  <c r="J7" i="7"/>
  <c r="I6" i="7"/>
  <c r="I6" i="8" l="1"/>
  <c r="K7" i="7"/>
  <c r="J7" i="8"/>
  <c r="O7" i="8" s="1"/>
  <c r="F9" i="8"/>
  <c r="J9" i="7"/>
  <c r="K9" i="7" l="1"/>
  <c r="J9" i="8"/>
  <c r="O9" i="8" s="1"/>
  <c r="J10" i="7"/>
  <c r="F10" i="7"/>
  <c r="F10" i="8"/>
  <c r="J10" i="8" l="1"/>
  <c r="O10" i="8" s="1"/>
  <c r="K10" i="7"/>
  <c r="F13" i="8"/>
  <c r="J13" i="7"/>
  <c r="K13" i="7" l="1"/>
  <c r="J13" i="8"/>
  <c r="O13" i="8" s="1"/>
  <c r="J14" i="7"/>
  <c r="K14" i="7" l="1"/>
  <c r="J14" i="8"/>
  <c r="O14" i="8" s="1"/>
  <c r="J16" i="7"/>
  <c r="K16" i="7" l="1"/>
  <c r="J8" i="5" s="1"/>
  <c r="I8" i="5"/>
  <c r="I8" i="6"/>
  <c r="J16" i="8"/>
  <c r="I17" i="7"/>
  <c r="F8" i="5" l="1"/>
  <c r="I17" i="8"/>
  <c r="I22" i="7"/>
  <c r="I20" i="7"/>
  <c r="I19" i="7"/>
  <c r="I20" i="8" l="1"/>
  <c r="I22" i="8"/>
  <c r="I19" i="8"/>
  <c r="F16" i="8"/>
  <c r="E8" i="6" l="1"/>
  <c r="O16" i="8"/>
  <c r="O8" i="6" s="1"/>
  <c r="F6" i="8"/>
  <c r="E6" i="6" l="1"/>
  <c r="F8" i="6"/>
  <c r="J6" i="7"/>
  <c r="K6" i="7" l="1"/>
  <c r="I6" i="6"/>
  <c r="F6" i="6" s="1"/>
  <c r="I6" i="5"/>
  <c r="J6" i="8"/>
  <c r="F20" i="8"/>
  <c r="O6" i="8" l="1"/>
  <c r="F6" i="5"/>
  <c r="J6" i="5"/>
  <c r="J20" i="7"/>
  <c r="K20" i="7" l="1"/>
  <c r="O6" i="6"/>
  <c r="J20" i="8"/>
  <c r="O20" i="8" s="1"/>
  <c r="F22" i="8"/>
  <c r="J22" i="7"/>
  <c r="K22" i="7" l="1"/>
  <c r="J22" i="8"/>
  <c r="O22" i="8" s="1"/>
  <c r="H6" i="7"/>
  <c r="F12" i="8"/>
  <c r="I9" i="7"/>
  <c r="F12" i="7"/>
  <c r="J12" i="7"/>
  <c r="I9" i="8" l="1"/>
  <c r="H6" i="8"/>
  <c r="J12" i="8"/>
  <c r="O12" i="8" s="1"/>
  <c r="E7" i="5"/>
  <c r="K12" i="7"/>
  <c r="H17" i="7"/>
  <c r="H17" i="8" l="1"/>
  <c r="F21" i="7"/>
  <c r="H5" i="7"/>
  <c r="F17" i="7"/>
  <c r="I10" i="7"/>
  <c r="I7" i="7"/>
  <c r="H20" i="7"/>
  <c r="H22" i="7"/>
  <c r="I13" i="7"/>
  <c r="I7" i="8" l="1"/>
  <c r="H20" i="8"/>
  <c r="I13" i="8"/>
  <c r="I10" i="8"/>
  <c r="H22" i="8"/>
  <c r="H5" i="8"/>
  <c r="F23" i="7"/>
  <c r="E9" i="5"/>
  <c r="H13" i="7"/>
  <c r="E10" i="5" l="1"/>
  <c r="H13" i="8"/>
  <c r="I16" i="7"/>
  <c r="F19" i="8"/>
  <c r="J19" i="7"/>
  <c r="I16" i="8" l="1"/>
  <c r="K19" i="7"/>
  <c r="J19" i="8"/>
  <c r="O19" i="8" s="1"/>
  <c r="H11" i="7"/>
  <c r="H11" i="8" l="1"/>
  <c r="I5" i="7"/>
  <c r="I5" i="8" l="1"/>
  <c r="H6" i="5"/>
  <c r="H6" i="6"/>
  <c r="I14" i="7"/>
  <c r="H8" i="5" l="1"/>
  <c r="H8" i="6"/>
  <c r="I14" i="8"/>
  <c r="J17" i="7"/>
  <c r="K17" i="7" l="1"/>
  <c r="J17" i="8"/>
  <c r="O17" i="8" s="1"/>
  <c r="I8" i="7"/>
  <c r="H7" i="6" l="1"/>
  <c r="H7" i="5"/>
  <c r="I8" i="8"/>
  <c r="F11" i="8"/>
  <c r="E7" i="6" l="1"/>
  <c r="J11" i="7"/>
  <c r="K11" i="7" l="1"/>
  <c r="J11" i="8"/>
  <c r="O11" i="8" s="1"/>
  <c r="J8" i="7"/>
  <c r="H21" i="7"/>
  <c r="I7" i="5" l="1"/>
  <c r="I7" i="6"/>
  <c r="K8" i="7"/>
  <c r="H21" i="8"/>
  <c r="J8" i="8"/>
  <c r="H18" i="7"/>
  <c r="O8" i="8" l="1"/>
  <c r="J7" i="5"/>
  <c r="F7" i="6"/>
  <c r="F7" i="5"/>
  <c r="H18" i="8"/>
  <c r="H15" i="7"/>
  <c r="I21" i="7"/>
  <c r="H23" i="7" l="1"/>
  <c r="I21" i="8"/>
  <c r="O7" i="6"/>
  <c r="H15" i="8"/>
  <c r="H23" i="8" s="1"/>
  <c r="I18" i="7"/>
  <c r="H9" i="6" l="1"/>
  <c r="H10" i="6" s="1"/>
  <c r="H9" i="5"/>
  <c r="H10" i="5" s="1"/>
  <c r="I23" i="7"/>
  <c r="I18" i="8"/>
  <c r="I23" i="8" s="1"/>
  <c r="F21" i="8"/>
  <c r="E9" i="6" l="1"/>
  <c r="F23" i="8"/>
  <c r="J21" i="7"/>
  <c r="M13" i="8"/>
  <c r="L13" i="8"/>
  <c r="N13" i="8"/>
  <c r="P13" i="8" l="1"/>
  <c r="K21" i="7"/>
  <c r="I9" i="6"/>
  <c r="F9" i="6" s="1"/>
  <c r="F10" i="6" s="1"/>
  <c r="I9" i="5"/>
  <c r="J23" i="7"/>
  <c r="J21" i="8"/>
  <c r="E10" i="6"/>
  <c r="G13" i="7"/>
  <c r="L13" i="7" l="1"/>
  <c r="F9" i="5"/>
  <c r="F10" i="5" s="1"/>
  <c r="I10" i="5"/>
  <c r="J23" i="8"/>
  <c r="O21" i="8"/>
  <c r="J9" i="5"/>
  <c r="J10" i="5" s="1"/>
  <c r="K23" i="7"/>
  <c r="I10" i="6"/>
  <c r="G13" i="8"/>
  <c r="Q13" i="8" s="1"/>
  <c r="N7" i="8"/>
  <c r="M7" i="8"/>
  <c r="K13" i="8"/>
  <c r="L7" i="8"/>
  <c r="P7" i="8" l="1"/>
  <c r="R13" i="8"/>
  <c r="O9" i="6"/>
  <c r="O10" i="6" s="1"/>
  <c r="O23" i="8"/>
  <c r="G7" i="7"/>
  <c r="L7" i="7" l="1"/>
  <c r="G7" i="8"/>
  <c r="Q7" i="8" s="1"/>
  <c r="K7" i="8"/>
  <c r="N19" i="8"/>
  <c r="M19" i="8"/>
  <c r="L19" i="8"/>
  <c r="P19" i="8" l="1"/>
  <c r="R7" i="8"/>
  <c r="G19" i="7"/>
  <c r="L19" i="7" l="1"/>
  <c r="G19" i="8"/>
  <c r="Q19" i="8" s="1"/>
  <c r="K19" i="8"/>
  <c r="L12" i="8"/>
  <c r="N12" i="8"/>
  <c r="M12" i="8"/>
  <c r="P12" i="8" l="1"/>
  <c r="R19" i="8"/>
  <c r="G12" i="7"/>
  <c r="L12" i="7" l="1"/>
  <c r="G12" i="8"/>
  <c r="Q12" i="8" s="1"/>
  <c r="L21" i="8"/>
  <c r="K12" i="8"/>
  <c r="M21" i="8"/>
  <c r="N21" i="8"/>
  <c r="P21" i="8" l="1"/>
  <c r="R12" i="8"/>
  <c r="G21" i="7"/>
  <c r="L21" i="7" l="1"/>
  <c r="G21" i="8"/>
  <c r="Q21" i="8" s="1"/>
  <c r="N16" i="8"/>
  <c r="K21" i="8"/>
  <c r="M16" i="8"/>
  <c r="L16" i="8"/>
  <c r="P16" i="8" l="1"/>
  <c r="R21" i="8"/>
  <c r="G16" i="7"/>
  <c r="L16" i="7" l="1"/>
  <c r="G16" i="8"/>
  <c r="Q16" i="8" s="1"/>
  <c r="K16" i="8"/>
  <c r="R16" i="8" l="1"/>
  <c r="G14" i="7"/>
  <c r="L14" i="7" l="1"/>
  <c r="G14" i="8"/>
  <c r="Q14" i="8" s="1"/>
  <c r="G5" i="7"/>
  <c r="R14" i="8" l="1"/>
  <c r="L5" i="7"/>
  <c r="G5" i="8"/>
  <c r="R5" i="8" s="1"/>
  <c r="G17" i="7"/>
  <c r="L17" i="7" l="1"/>
  <c r="Q5" i="8"/>
  <c r="G17" i="8"/>
  <c r="Q17" i="8" s="1"/>
  <c r="L22" i="8"/>
  <c r="M22" i="8"/>
  <c r="N22" i="8"/>
  <c r="R17" i="8" l="1"/>
  <c r="P22" i="8"/>
  <c r="G22" i="7"/>
  <c r="L22" i="7" l="1"/>
  <c r="G22" i="8"/>
  <c r="Q22" i="8" s="1"/>
  <c r="L20" i="8"/>
  <c r="M20" i="8"/>
  <c r="K22" i="8"/>
  <c r="N20" i="8"/>
  <c r="P20" i="8" l="1"/>
  <c r="R22" i="8"/>
  <c r="G20" i="7"/>
  <c r="L20" i="7" l="1"/>
  <c r="G20" i="8"/>
  <c r="Q20" i="8" s="1"/>
  <c r="L15" i="8"/>
  <c r="N15" i="8"/>
  <c r="K20" i="8"/>
  <c r="M15" i="8"/>
  <c r="K8" i="6" l="1"/>
  <c r="M8" i="6"/>
  <c r="P15" i="8"/>
  <c r="P8" i="6" s="1"/>
  <c r="L8" i="6"/>
  <c r="R20" i="8"/>
  <c r="G15" i="7"/>
  <c r="G8" i="6" l="1"/>
  <c r="G8" i="5"/>
  <c r="L15" i="7"/>
  <c r="K8" i="5" s="1"/>
  <c r="L8" i="5" s="1"/>
  <c r="N8" i="6"/>
  <c r="G15" i="8"/>
  <c r="Q15" i="8" s="1"/>
  <c r="Q8" i="6" s="1"/>
  <c r="T8" i="6" s="1"/>
  <c r="K15" i="8"/>
  <c r="M18" i="8"/>
  <c r="N18" i="8"/>
  <c r="L18" i="8"/>
  <c r="M9" i="6" l="1"/>
  <c r="P18" i="8"/>
  <c r="P9" i="6" s="1"/>
  <c r="L9" i="6"/>
  <c r="K9" i="6"/>
  <c r="J8" i="6"/>
  <c r="S8" i="6" s="1"/>
  <c r="R15" i="8"/>
  <c r="R8" i="6" s="1"/>
  <c r="U8" i="6" s="1"/>
  <c r="G18" i="7"/>
  <c r="G9" i="6" l="1"/>
  <c r="G9" i="5"/>
  <c r="L18" i="7"/>
  <c r="K9" i="5" s="1"/>
  <c r="L9" i="5" s="1"/>
  <c r="N9" i="6"/>
  <c r="G18" i="8"/>
  <c r="Q18" i="8" s="1"/>
  <c r="Q9" i="6" s="1"/>
  <c r="T9" i="6" s="1"/>
  <c r="K18" i="8"/>
  <c r="L6" i="8"/>
  <c r="N6" i="8"/>
  <c r="M6" i="8"/>
  <c r="K6" i="6" l="1"/>
  <c r="L6" i="6"/>
  <c r="M6" i="6"/>
  <c r="P6" i="8"/>
  <c r="J9" i="6"/>
  <c r="S9" i="6" s="1"/>
  <c r="R18" i="8"/>
  <c r="R9" i="6" s="1"/>
  <c r="U9" i="6" s="1"/>
  <c r="G6" i="7"/>
  <c r="G6" i="5" l="1"/>
  <c r="G6" i="6"/>
  <c r="L6" i="7"/>
  <c r="P6" i="6"/>
  <c r="N6" i="6"/>
  <c r="G6" i="8"/>
  <c r="N9" i="8"/>
  <c r="L9" i="8"/>
  <c r="M9" i="8"/>
  <c r="K6" i="8"/>
  <c r="P9" i="8" l="1"/>
  <c r="J6" i="6"/>
  <c r="Q6" i="8"/>
  <c r="R6" i="8"/>
  <c r="K6" i="5"/>
  <c r="G9" i="7"/>
  <c r="L9" i="7" l="1"/>
  <c r="L6" i="5"/>
  <c r="R6" i="6"/>
  <c r="Q6" i="6"/>
  <c r="S6" i="6"/>
  <c r="G9" i="8"/>
  <c r="Q9" i="8" s="1"/>
  <c r="K9" i="8"/>
  <c r="R9" i="8" l="1"/>
  <c r="T6" i="6"/>
  <c r="U6" i="6"/>
  <c r="G8" i="7"/>
  <c r="L8" i="7" l="1"/>
  <c r="G8" i="8"/>
  <c r="R8" i="8" s="1"/>
  <c r="M10" i="8"/>
  <c r="L10" i="8"/>
  <c r="N10" i="8"/>
  <c r="P10" i="8" l="1"/>
  <c r="Q8" i="8"/>
  <c r="G10" i="7"/>
  <c r="L10" i="7" l="1"/>
  <c r="G10" i="8"/>
  <c r="L11" i="8"/>
  <c r="K10" i="8"/>
  <c r="N11" i="8"/>
  <c r="M11" i="8"/>
  <c r="L7" i="6" l="1"/>
  <c r="L10" i="6" s="1"/>
  <c r="M23" i="8"/>
  <c r="P11" i="8"/>
  <c r="M7" i="6"/>
  <c r="N23" i="8"/>
  <c r="K7" i="6"/>
  <c r="L23" i="8"/>
  <c r="R10" i="8"/>
  <c r="Q10" i="8"/>
  <c r="G11" i="7"/>
  <c r="G7" i="5" l="1"/>
  <c r="G10" i="5" s="1"/>
  <c r="G7" i="6"/>
  <c r="G10" i="6" s="1"/>
  <c r="G23" i="7"/>
  <c r="L11" i="7"/>
  <c r="M10" i="6"/>
  <c r="N7" i="6"/>
  <c r="N10" i="6" s="1"/>
  <c r="K10" i="6"/>
  <c r="P23" i="8"/>
  <c r="P7" i="6"/>
  <c r="P10" i="6" s="1"/>
  <c r="G11" i="8"/>
  <c r="K11" i="8"/>
  <c r="K23" i="8" l="1"/>
  <c r="J7" i="6"/>
  <c r="R11" i="8"/>
  <c r="Q11" i="8"/>
  <c r="G23" i="8"/>
  <c r="K7" i="5"/>
  <c r="L23" i="7"/>
  <c r="Q7" i="6" l="1"/>
  <c r="Q23" i="8"/>
  <c r="S7" i="6"/>
  <c r="J10" i="6"/>
  <c r="S10" i="6" s="1"/>
  <c r="L7" i="5"/>
  <c r="K10" i="5"/>
  <c r="L10" i="5" s="1"/>
  <c r="R23" i="8"/>
  <c r="R7" i="6"/>
  <c r="R10" i="6" l="1"/>
  <c r="U10" i="6" s="1"/>
  <c r="U7" i="6"/>
  <c r="T7" i="6"/>
  <c r="Q10" i="6"/>
  <c r="T10" i="6" s="1"/>
</calcChain>
</file>

<file path=xl/sharedStrings.xml><?xml version="1.0" encoding="utf-8"?>
<sst xmlns="http://schemas.openxmlformats.org/spreadsheetml/2006/main" count="4955" uniqueCount="311">
  <si>
    <t>No.</t>
  </si>
  <si>
    <t>호스트명</t>
  </si>
  <si>
    <t>IP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</si>
  <si>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</si>
  <si>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</si>
  <si>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</si>
  <si>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</si>
  <si>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</si>
  <si>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</si>
  <si>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</si>
  <si>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</si>
  <si>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</si>
  <si>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</si>
  <si>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</si>
  <si>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기밀성</t>
  </si>
  <si>
    <t>무결성</t>
  </si>
  <si>
    <t>가용성</t>
  </si>
  <si>
    <t>등급</t>
  </si>
  <si>
    <t>점수(Hidden)</t>
  </si>
  <si>
    <t>1. 분류 Code</t>
  </si>
  <si>
    <t>Code</t>
  </si>
  <si>
    <t>NW</t>
  </si>
  <si>
    <t>2. 중요도, 자산등급, 위협도 점수</t>
  </si>
  <si>
    <t>중요도</t>
  </si>
  <si>
    <t>점수</t>
  </si>
  <si>
    <t>H</t>
  </si>
  <si>
    <t>M</t>
  </si>
  <si>
    <t>L</t>
  </si>
  <si>
    <t>3. 점검결과 점수</t>
  </si>
  <si>
    <t>점검 결과</t>
  </si>
  <si>
    <t>취약점 진단</t>
  </si>
  <si>
    <t>위험평가</t>
  </si>
  <si>
    <t>Y</t>
  </si>
  <si>
    <t>N</t>
  </si>
  <si>
    <t>P</t>
  </si>
  <si>
    <t>N/A</t>
  </si>
  <si>
    <t>R/A</t>
  </si>
  <si>
    <t>Y(즉시조치)</t>
  </si>
  <si>
    <t>4. DoA</t>
  </si>
  <si>
    <t>DoA</t>
  </si>
  <si>
    <t>5. 자산등급 점수 범위</t>
  </si>
  <si>
    <t>8_2. 위험평가 방법론</t>
  </si>
  <si>
    <t>위험 등급</t>
  </si>
  <si>
    <t>점수 범위</t>
  </si>
  <si>
    <t>최저</t>
  </si>
  <si>
    <t>최고</t>
  </si>
  <si>
    <t>6. 위협도 점수 범위</t>
  </si>
  <si>
    <t>7. 위험도 점수 범위</t>
  </si>
  <si>
    <t>8. 위험도 평가표</t>
  </si>
  <si>
    <t>8_1. 위험도 평가표</t>
  </si>
  <si>
    <t>V'</t>
  </si>
  <si>
    <t>보호대책</t>
  </si>
  <si>
    <t>Y=0(보호대책 있음)</t>
  </si>
  <si>
    <t>N=1(보호대책 없음)</t>
  </si>
  <si>
    <t xml:space="preserve">취약점(Vulnerability) </t>
  </si>
  <si>
    <t>위협(Threats)</t>
  </si>
  <si>
    <t>자산</t>
  </si>
  <si>
    <t>■ Check List</t>
  </si>
  <si>
    <t>취약점 진단항목</t>
  </si>
  <si>
    <t>개선방안 및 보호대책</t>
  </si>
  <si>
    <t>분류</t>
  </si>
  <si>
    <t>진단항목</t>
  </si>
  <si>
    <t>위험도</t>
  </si>
  <si>
    <t>계정 관리</t>
  </si>
  <si>
    <t>■ 영역별/장비별 보안수준 통계</t>
  </si>
  <si>
    <t>1) 영역별 보안수준</t>
  </si>
  <si>
    <t>진단 결과</t>
  </si>
  <si>
    <t>중요도점수</t>
  </si>
  <si>
    <t>전체항목</t>
  </si>
  <si>
    <t>양호</t>
  </si>
  <si>
    <t>취약</t>
  </si>
  <si>
    <t>해당없음</t>
  </si>
  <si>
    <t>전체점수</t>
  </si>
  <si>
    <t>평가점수</t>
  </si>
  <si>
    <t>보안수준</t>
  </si>
  <si>
    <t>계</t>
  </si>
  <si>
    <t>2) 장비별 보안수준</t>
  </si>
  <si>
    <t>장비 구분</t>
  </si>
  <si>
    <t>이행 결과</t>
  </si>
  <si>
    <t>조치</t>
  </si>
  <si>
    <t>미조치</t>
  </si>
  <si>
    <t>위험수용</t>
  </si>
  <si>
    <t>잔여취약점
(미조치+위험수용)</t>
  </si>
  <si>
    <t>전체점수
(이행전)</t>
  </si>
  <si>
    <t>전체점수
(이행후)</t>
  </si>
  <si>
    <t>평가점수
(이행전)</t>
  </si>
  <si>
    <t>평가점수
(이행후)</t>
  </si>
  <si>
    <t>이행율</t>
  </si>
  <si>
    <t>보안수준 
(이행 전)</t>
  </si>
  <si>
    <t>보안수준 
(이행 후)</t>
  </si>
  <si>
    <t>■ 취약점 진단 항목별 통계</t>
  </si>
  <si>
    <t>진단 통계</t>
  </si>
  <si>
    <t>중요도 점수</t>
  </si>
  <si>
    <t>진단결과</t>
  </si>
  <si>
    <t>전체</t>
  </si>
  <si>
    <t>즉시조치</t>
  </si>
  <si>
    <t>평가</t>
  </si>
  <si>
    <t>이행 진단 통계</t>
  </si>
  <si>
    <t>전체이행전</t>
  </si>
  <si>
    <t>전체이행후</t>
  </si>
  <si>
    <t>평가이행전</t>
  </si>
  <si>
    <t>평가이행후</t>
  </si>
  <si>
    <t>1) 시스템 현황</t>
  </si>
  <si>
    <t>※ 자산 평가</t>
  </si>
  <si>
    <t>HostName</t>
  </si>
  <si>
    <t>운영자산 명</t>
  </si>
  <si>
    <t>자산등급</t>
  </si>
  <si>
    <t>OS 종류 및 버전</t>
  </si>
  <si>
    <t>IP Address</t>
  </si>
  <si>
    <t>설치 위치</t>
  </si>
  <si>
    <t>2) 진단 결과</t>
  </si>
  <si>
    <t>① 부분별 진단 결과</t>
  </si>
  <si>
    <t>본진단 결과 (이행 전)</t>
  </si>
  <si>
    <t>영역별 수준 그래프</t>
  </si>
  <si>
    <t>결과 점수</t>
  </si>
  <si>
    <t>수준</t>
  </si>
  <si>
    <t>전체점수(이행 전)</t>
  </si>
  <si>
    <t>평가점수 (이행 전)</t>
  </si>
  <si>
    <t>평가점수 (이행 후)</t>
  </si>
  <si>
    <t>전체점수(이행 후)</t>
  </si>
  <si>
    <t>전체 보안 수준</t>
  </si>
  <si>
    <t>전채 보안 수준</t>
  </si>
  <si>
    <t>② 상세 진단 현황</t>
  </si>
  <si>
    <t>HIDDEN 필드입니다</t>
  </si>
  <si>
    <t>진단 항목</t>
  </si>
  <si>
    <t>현황 및 문제점</t>
  </si>
  <si>
    <t>이행여부</t>
  </si>
  <si>
    <t>조치 현황</t>
  </si>
  <si>
    <t>전체점수(이행전)</t>
  </si>
  <si>
    <t>결과</t>
  </si>
  <si>
    <t>중요도</t>
    <phoneticPr fontId="3" type="noConversion"/>
  </si>
  <si>
    <t>패치 관리</t>
  </si>
  <si>
    <t>P-02</t>
    <phoneticPr fontId="3" type="noConversion"/>
  </si>
  <si>
    <t>P-03</t>
  </si>
  <si>
    <t>PC-01</t>
  </si>
  <si>
    <t>PC-02</t>
  </si>
  <si>
    <t>PC-15</t>
  </si>
  <si>
    <t>PC-03</t>
  </si>
  <si>
    <t>PC-04</t>
  </si>
  <si>
    <t>PC-05</t>
  </si>
  <si>
    <t>PC-16</t>
  </si>
  <si>
    <t>PC-17</t>
  </si>
  <si>
    <t>PC-18</t>
  </si>
  <si>
    <t>PC-06</t>
  </si>
  <si>
    <t>PC-07</t>
  </si>
  <si>
    <t>PC-08</t>
  </si>
  <si>
    <t>PC-09</t>
  </si>
  <si>
    <t>PC-10</t>
  </si>
  <si>
    <t>PC-11</t>
  </si>
  <si>
    <t>PC-12</t>
  </si>
  <si>
    <t>PC-13</t>
  </si>
  <si>
    <t>PC-14</t>
  </si>
  <si>
    <t>PC-19</t>
  </si>
  <si>
    <t>복구 콘솔에서 자동 로그온을 금지하도록 설정</t>
  </si>
  <si>
    <t>공유 폴더 제거</t>
  </si>
  <si>
    <t>항목의 불필요한 서비스 제거</t>
  </si>
  <si>
    <t>파일 시스템이 NTFS 포맷으로 설정</t>
  </si>
  <si>
    <t>브라우저 종료 시 임시 인터넷 파일 폴더의 내용을 삭제하도록 설정</t>
  </si>
  <si>
    <t>바이러스 백신 프로그램 설치 및 주기적 업데이트</t>
  </si>
  <si>
    <t>바이러스 백신 프로그램에서 제공하는 실시간 감시 기능 활성화</t>
  </si>
  <si>
    <t>OS에서 제공하는 침입차단 기능 활성화</t>
  </si>
  <si>
    <t>화면보호기 대기 시간 설정 및 재시작 시 암호 보호 설정</t>
  </si>
  <si>
    <t>원격 지원을 금지하도록 정책이 설정</t>
  </si>
  <si>
    <t>서비스 관리</t>
  </si>
  <si>
    <t>보안 관리</t>
  </si>
  <si>
    <t>패스워드의 주기적 변경</t>
    <phoneticPr fontId="3" type="noConversion"/>
  </si>
  <si>
    <t>패스워드 정책이 해당 기관의 보안 정책에 적합하게 설정</t>
    <phoneticPr fontId="3" type="noConversion"/>
  </si>
  <si>
    <t>복구 콘솔에서 자동 로그온을 금지하도록 설정</t>
    <phoneticPr fontId="3" type="noConversion"/>
  </si>
  <si>
    <t>공유 폴더 제거</t>
    <phoneticPr fontId="3" type="noConversion"/>
  </si>
  <si>
    <t>항목의 불필요한 서비스 제거</t>
    <phoneticPr fontId="3" type="noConversion"/>
  </si>
  <si>
    <t>파일 시스템이 NTFS 포맷으로 설정</t>
    <phoneticPr fontId="3" type="noConversion"/>
  </si>
  <si>
    <t>대상 시스템이 Windows 서버를 제외한 다른 OS로 멀티 부팅이 가능하지 않도록 설정</t>
    <phoneticPr fontId="3" type="noConversion"/>
  </si>
  <si>
    <t>브라우저 종료 시 임시 인터넷 파일 폴더의 내용을 삭제하도록 설정</t>
    <phoneticPr fontId="3" type="noConversion"/>
  </si>
  <si>
    <t>HOT FIX 등 최신 보안패치 적용</t>
    <phoneticPr fontId="3" type="noConversion"/>
  </si>
  <si>
    <t>최신 서비스팩 적용</t>
    <phoneticPr fontId="3" type="noConversion"/>
  </si>
  <si>
    <t>MS-Office, 한글, 어도비 아크로뱃 등의 응용 프로그램에 대한 최신 보안패치 및 벤더 권고사항 적용</t>
    <phoneticPr fontId="3" type="noConversion"/>
  </si>
  <si>
    <t>바이러스 백신 프로그램 설치 및 주기적 업데이트</t>
    <phoneticPr fontId="3" type="noConversion"/>
  </si>
  <si>
    <t>바이러스 백신 프로그램에서 제공하는 실시간 감시 기능 활성화</t>
    <phoneticPr fontId="3" type="noConversion"/>
  </si>
  <si>
    <t>OS에서 제공하는 침입차단 기능 활성화</t>
    <phoneticPr fontId="3" type="noConversion"/>
  </si>
  <si>
    <t>화면보호기 대기 시간 설정 및 재시작 시 암호 보호 설정</t>
    <phoneticPr fontId="3" type="noConversion"/>
  </si>
  <si>
    <t>PC 내부의 미사용(3개월) ActiveX 제거</t>
    <phoneticPr fontId="3" type="noConversion"/>
  </si>
  <si>
    <t>원격 지원을 금지하도록 정책이 설정</t>
    <phoneticPr fontId="3" type="noConversion"/>
  </si>
  <si>
    <t>PC</t>
    <phoneticPr fontId="3" type="noConversion"/>
  </si>
  <si>
    <t>■ 취약점 진단 항목별 통계</t>
    <phoneticPr fontId="3" type="noConversion"/>
  </si>
  <si>
    <t>P-01</t>
    <phoneticPr fontId="3" type="noConversion"/>
  </si>
  <si>
    <t>사원 PC</t>
    <phoneticPr fontId="3" type="noConversion"/>
  </si>
  <si>
    <t>사원 PC</t>
    <phoneticPr fontId="3" type="noConversion"/>
  </si>
  <si>
    <t>진단 결과</t>
    <phoneticPr fontId="3" type="noConversion"/>
  </si>
  <si>
    <t>양호함
암호는 복잡성을 만족해야 함" 사용으로, 최소 암호 길이 8문자로 설정</t>
    <phoneticPr fontId="3" type="noConversion"/>
  </si>
  <si>
    <t>■ 자산목록</t>
    <phoneticPr fontId="3" type="noConversion"/>
  </si>
  <si>
    <t>Windows 10</t>
    <phoneticPr fontId="3" type="noConversion"/>
  </si>
  <si>
    <t>Windows Messenger(MSN, .NET 메신저 등)와 같은 상용 메신저의 사용 금지</t>
    <phoneticPr fontId="3" type="noConversion"/>
  </si>
  <si>
    <t>CD, DVD, USB 메모리 등과 같은 미디어의 자동실행 방지등 이동식 미디어에 대한 보안대책 수립</t>
    <phoneticPr fontId="3" type="noConversion"/>
  </si>
  <si>
    <t>P-04</t>
  </si>
  <si>
    <t>P-05</t>
  </si>
  <si>
    <t>P-06</t>
  </si>
  <si>
    <t>P-07</t>
  </si>
  <si>
    <t>P-08</t>
  </si>
  <si>
    <t>P-09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</si>
  <si>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</si>
  <si>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</si>
  <si>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</si>
  <si>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</si>
  <si>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</si>
  <si>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</si>
  <si>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</si>
  <si>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</si>
  <si>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</si>
  <si>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</si>
  <si>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</si>
  <si>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</si>
  <si>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</si>
  <si>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</si>
  <si>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</si>
  <si>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</si>
  <si>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</si>
  <si>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본사</t>
    <phoneticPr fontId="3" type="noConversion"/>
  </si>
  <si>
    <t>지사</t>
    <phoneticPr fontId="3" type="noConversion"/>
  </si>
  <si>
    <t>관리부 전산팀</t>
    <phoneticPr fontId="3" type="noConversion"/>
  </si>
  <si>
    <t>패스워드 주기 적용으로 양호
최대 암호 사용 기간 "90일"
최소 암호 사용 기간 "1일"
최근 암호 기억 "24개"</t>
    <phoneticPr fontId="3" type="noConversion"/>
  </si>
  <si>
    <t>인터뷰</t>
  </si>
  <si>
    <t>패스워드 보안 정책 확인 필요</t>
    <phoneticPr fontId="3" type="noConversion"/>
  </si>
  <si>
    <t>복구 콘솔에서 자동로그온 금지로 양호함
복구 콘솔 자동 관리 로그인 허용 "사용 안 함"</t>
    <phoneticPr fontId="3" type="noConversion"/>
  </si>
  <si>
    <t xml:space="preserve">불필요한 서비스 실행 중으로 취약함
Cryptographic Services "중지"
Human interface Device Services "중지"
Infrared monitor service "중지"
MessagingService_15b520 "중지"
Print Spooler "실행 중"
Remote Registry "중지"
</t>
    <phoneticPr fontId="3" type="noConversion"/>
  </si>
  <si>
    <t>홍길동</t>
    <phoneticPr fontId="3" type="noConversion"/>
  </si>
  <si>
    <t>김철수</t>
    <phoneticPr fontId="3" type="noConversion"/>
  </si>
  <si>
    <t>Windows Messenger 정책 적요으로 양호함
Windows Messenger 실행 허용 안 함 “사용”</t>
    <phoneticPr fontId="3" type="noConversion"/>
  </si>
  <si>
    <t>파일 시스템의 폴더 및 파일 계정 권한 정책 확인 필요
파일 시스템  "NTFS"
폴더 및 파일 계정 권한 정책 확인 필요</t>
    <phoneticPr fontId="3" type="noConversion"/>
  </si>
  <si>
    <t>기본 OS 1개로 양호함
기본 OS "windows 10"</t>
    <phoneticPr fontId="3" type="noConversion"/>
  </si>
  <si>
    <t>브라우저 종료 시 임시 인터넷 파일 비우기 설정으로 양호함
브라우저를 닫을 때 임시 인터넷 파일 폴더 비우기 "사용"</t>
    <phoneticPr fontId="3" type="noConversion"/>
  </si>
  <si>
    <t>백신 프로그램 미설치로 취약함
최신 업데이트 적용
백신 프로그램 미설치</t>
    <phoneticPr fontId="3" type="noConversion"/>
  </si>
  <si>
    <t>백신 프로그램 미설치로 취약함
바이러스 및 위협 방지 설정 실시간 보호 "켬" 
백신 프로그램 미설치</t>
    <phoneticPr fontId="3" type="noConversion"/>
  </si>
  <si>
    <t>Y</t>
    <phoneticPr fontId="3" type="noConversion"/>
  </si>
  <si>
    <t>침입 차단 기능 활성화 상태로 양호함
Windows Defender 방화벽 "사용"</t>
    <phoneticPr fontId="3" type="noConversion"/>
  </si>
  <si>
    <t>재시작 시 로그온 화면 표시 미설정으로 취약함
화면 보호기 대기 시간 "10분"
다시 시작할 때 로그온 화면 표시 미설정</t>
    <phoneticPr fontId="3" type="noConversion"/>
  </si>
  <si>
    <t>이동식 미디어에 대한 보안 대책 적용으로 양호함
자동 실행 끄기  “사용" - "모든 드라이브”</t>
    <phoneticPr fontId="3" type="noConversion"/>
  </si>
  <si>
    <t>PC-06 HOT FIX 등 최신 보안패치 적용 인터뷰 상태로 인하여 인터뷰 설정
Windows 10 운영체제의 경우 HOT FIX 패치를 통해 업데이트</t>
    <phoneticPr fontId="3" type="noConversion"/>
  </si>
  <si>
    <t>ActiveX가 없으므로 양호함
ActiveX 없음</t>
    <phoneticPr fontId="3" type="noConversion"/>
  </si>
  <si>
    <t>원격 지원 정책 적용으로 양호함
원격 지원 제공 구성 "사용 안함"</t>
    <phoneticPr fontId="3" type="noConversion"/>
  </si>
  <si>
    <t>접근권한 및 암호 설정 없이 공유폴더 사용으로 취약함
불필요한 공유 폴더 존재, 권한 및 암호 설정 미적용</t>
    <phoneticPr fontId="3" type="noConversion"/>
  </si>
  <si>
    <t>10.0.16.1/24</t>
    <phoneticPr fontId="3" type="noConversion"/>
  </si>
  <si>
    <t>10.0.16.2/24</t>
    <phoneticPr fontId="3" type="noConversion"/>
  </si>
  <si>
    <t>10.0.17.1/24</t>
    <phoneticPr fontId="3" type="noConversion"/>
  </si>
  <si>
    <t>10.0.17.2/24</t>
    <phoneticPr fontId="3" type="noConversion"/>
  </si>
  <si>
    <t>10.0.18.1/24</t>
    <phoneticPr fontId="3" type="noConversion"/>
  </si>
  <si>
    <t>10.0.18.2/24</t>
    <phoneticPr fontId="3" type="noConversion"/>
  </si>
  <si>
    <t>10.0.19.1/24</t>
    <phoneticPr fontId="3" type="noConversion"/>
  </si>
  <si>
    <t>10.0.19.2/24</t>
    <phoneticPr fontId="3" type="noConversion"/>
  </si>
  <si>
    <t>10.0.20.1/24</t>
    <phoneticPr fontId="3" type="noConversion"/>
  </si>
  <si>
    <t>10.0.20.2/24</t>
    <phoneticPr fontId="3" type="noConversion"/>
  </si>
  <si>
    <t>10.0.21.1/24</t>
    <phoneticPr fontId="3" type="noConversion"/>
  </si>
  <si>
    <t>10.0.21.2/24</t>
    <phoneticPr fontId="3" type="noConversion"/>
  </si>
  <si>
    <t>10.0.22.1/24</t>
    <phoneticPr fontId="3" type="noConversion"/>
  </si>
  <si>
    <t>10.0.22.2/24</t>
    <phoneticPr fontId="3" type="noConversion"/>
  </si>
  <si>
    <t>10.0.23.1/24</t>
    <phoneticPr fontId="3" type="noConversion"/>
  </si>
  <si>
    <t>10.0.23.2/24</t>
    <phoneticPr fontId="3" type="noConversion"/>
  </si>
  <si>
    <t>10.0.48.1/24</t>
    <phoneticPr fontId="3" type="noConversion"/>
  </si>
  <si>
    <t>10.0.48.2/24</t>
    <phoneticPr fontId="3" type="noConversion"/>
  </si>
  <si>
    <t>10.0.49.1/24</t>
    <phoneticPr fontId="3" type="noConversion"/>
  </si>
  <si>
    <t>10.0.49.2/24</t>
    <phoneticPr fontId="3" type="noConversion"/>
  </si>
  <si>
    <t>10.0.50.1/24</t>
    <phoneticPr fontId="3" type="noConversion"/>
  </si>
  <si>
    <t>10.0.50.2/24</t>
    <phoneticPr fontId="3" type="noConversion"/>
  </si>
  <si>
    <t>10.0.51.1/24</t>
    <phoneticPr fontId="3" type="noConversion"/>
  </si>
  <si>
    <t>10.0.52.1/24</t>
    <phoneticPr fontId="3" type="noConversion"/>
  </si>
  <si>
    <t>10.0.52.2/24</t>
    <phoneticPr fontId="3" type="noConversion"/>
  </si>
  <si>
    <t>10.0.51.2/24</t>
    <phoneticPr fontId="3" type="noConversion"/>
  </si>
  <si>
    <t>양호함</t>
    <phoneticPr fontId="3" type="noConversion"/>
  </si>
  <si>
    <t>양호함</t>
    <phoneticPr fontId="3" type="noConversion"/>
  </si>
  <si>
    <t>양호함
Administrator 계정의 암호 사용 기간 제한 없음, 계정 사용 안함에 체크 해제로 설정
최대 암호 사용 기간 90일, 최근 암호 기억 24개, 최소 암호 사용 기간을 1일로 설정</t>
    <phoneticPr fontId="3" type="noConversion"/>
  </si>
  <si>
    <t>양호함
암호는 복잡성을 만족해야 함" 사용으로, 최소 암호 길이 8문자로 설정</t>
    <phoneticPr fontId="3" type="noConversion"/>
  </si>
  <si>
    <t>양호함
Cryptographci Services  사용안함, Human Interface Device Service 사용안함, Infrared monitor service 사용안함, Print Spooler 사용안함, Remote Register 사용안함으로 설정</t>
    <phoneticPr fontId="3" type="noConversion"/>
  </si>
  <si>
    <t>Windows Messenger 정책 적요으로 양호함
Windows Messenger 실행 허용 안 함 “사용”</t>
    <phoneticPr fontId="3" type="noConversion"/>
  </si>
  <si>
    <t>양호함
Windows Messenger 실행 허용 안 함을 사용으로 설정
레지스트리 값 PreventRun 0으로 설정</t>
    <phoneticPr fontId="3" type="noConversion"/>
  </si>
  <si>
    <t>양호함
불필요한 폴더 공유 중지, 시스템 재부팅 후 자동 공유 방지 설정, 암호로 보호된 공유 커기로 설정, 공유 사용 권한에서 Everyone 제거,  레지스트리값 AutorShareServer를 0, AutoShareWks를 0으로 설정</t>
    <phoneticPr fontId="3" type="noConversion"/>
  </si>
  <si>
    <t>양호함</t>
    <phoneticPr fontId="3" type="noConversion"/>
  </si>
  <si>
    <t>기본 OS 1개로 양호함
기본 OS "windows 10"</t>
    <phoneticPr fontId="3" type="noConversion"/>
  </si>
  <si>
    <t>양호함
OS가 Windows 10 1개로 양호함</t>
    <phoneticPr fontId="3" type="noConversion"/>
  </si>
  <si>
    <t>양호함
브라우저를 닫을 때 임시 인터넷 파일 폴더 비우기를 사용으로 설정
Internet Explorer의 인터넷 옵션의 브라우저를 닫을 때 임시 인터넷 파일 폴더 비우기를 사용으로 설정</t>
    <phoneticPr fontId="3" type="noConversion"/>
  </si>
  <si>
    <t xml:space="preserve">양호함
레지스트리값 EnableFireWall을 1로 설정, Windows Defentder 방화벽 사용으로 설정
</t>
    <phoneticPr fontId="3" type="noConversion"/>
  </si>
  <si>
    <t>양호함
화면보호기 대기 10분으로 설정, 다시 시작할 때 로그온 화면 표시 체크로 설정</t>
    <phoneticPr fontId="3" type="noConversion"/>
  </si>
  <si>
    <t>양호함
자동실행끄기를 모든드라이브에 사용으로 설정, 레지스트리값 NoDriveTypeAutoRun을 255로 설정, 모든 미디어 및 장치에 자동 실행 사용을 체크 해제로 설정</t>
    <phoneticPr fontId="3" type="noConversion"/>
  </si>
  <si>
    <t>ActiveX가 없으므로 양호함
ActiveX 없음</t>
    <phoneticPr fontId="3" type="noConversion"/>
  </si>
  <si>
    <t>양호함
ActiveX 없음</t>
    <phoneticPr fontId="3" type="noConversion"/>
  </si>
  <si>
    <t>양호함
원격 지원 제공 구성을 사용안함으로 설정</t>
    <phoneticPr fontId="3" type="noConversion"/>
  </si>
  <si>
    <t>양호함
Windows Defender 바이러스 및 위협 방지 설정의 실시간 보호를 켬으로 설정</t>
    <phoneticPr fontId="3" type="noConversion"/>
  </si>
  <si>
    <t>양호함
Windows Defender 보호 업데이트 확인</t>
    <phoneticPr fontId="3" type="noConversion"/>
  </si>
  <si>
    <t>비밀번호의 주기적 변경</t>
  </si>
  <si>
    <t>※ 최대 암호 사용 기간 “90일” 설정 ※ 최소 암호 사용 기간 “1일” 설정 ※ 최근 암호 기억 설정 (권장: 24개의 비밀번호 기억) ※ 사용자가 새 비밀번호를 변경하기 전에 이를 유지해야 하는 일수를 결정. 비밀번호 변경 후 편의성 때문에 기존 비밀번호로 다시 설정하는 경우가 많으므로 최소 사용 기간을 설정 ※ 이전 비밀번호를 다시 사용한다면 변경 주기가 의미가 없으므로 기존에 사용하던 비밀번호를 기억해서 사용하지 못하게 함</t>
  </si>
  <si>
    <t>비밀번호 관리정책 설정</t>
  </si>
  <si>
    <t>비밀번호 정책을 해당 기관의 보안 정책에 적합하게 설정</t>
  </si>
  <si>
    <t>계정관리</t>
  </si>
  <si>
    <t>복구 콘솔 자동 로그온 허용 “사용 안 함”으로 설정</t>
  </si>
  <si>
    <t>Ÿ 공유 폴더 불필요 시 삭제 Ÿ 공유 폴더 필요하면 적절한 접근 권한 부여 및 비밀번호 설정 Ÿ 조치 후 “AutoShareWks”값 변경으로 자동 공유 방지</t>
  </si>
  <si>
    <t>불필요한 서비스 중지 설정</t>
  </si>
  <si>
    <t>비인가 상용 메신저 사용 금지</t>
  </si>
  <si>
    <t>“Windows Messenger를 실행하지 않음” 설정 및 상용 메신저 삭제</t>
  </si>
  <si>
    <t>모든 디스크 볼륨에 대해 파일 시스템 NTFS로 변경</t>
  </si>
  <si>
    <t>하나의 OS만 설치하여 운영함</t>
  </si>
  <si>
    <t>주기적 보안 패치 및 벤더 권고사항 적용</t>
  </si>
  <si>
    <t>Windows Update 사이트에 접속하여 최신 패치 존재 여부 확인 및 패치 적용</t>
  </si>
  <si>
    <t>지원이 종료되지 않은 Windows OS Build 적용</t>
  </si>
  <si>
    <t>Windows Update 사이트에 접속하여 최신 서비스팩 여부 확인 및 적용</t>
  </si>
  <si>
    <t>Windows 자동 로그인 점검</t>
  </si>
  <si>
    <t>Windows 자동 로그인 비활성화 설정</t>
  </si>
  <si>
    <t>바이러스 백신 설치 및 최신 업데이트 적용</t>
  </si>
  <si>
    <t>바이러스 백신 실시간 감시 기능 설정</t>
  </si>
  <si>
    <t>Windows 방화벽 “사용”으로 설정 또는 유·무료 기타 방화벽을 사용</t>
  </si>
  <si>
    <t>화면보호기 설정 및 비밀번호 보호 설정</t>
  </si>
  <si>
    <t>CD, DVD, USB 메모리 등과 같은 미디어의 자동 실행 방지 등 이동식 미디어에 대한 보안대책 수립</t>
  </si>
  <si>
    <t>미디어 자동 실행 방지 설정</t>
  </si>
  <si>
    <t>원격 지원 서비스 비활성화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</si>
</sst>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#,##0_ "/>
  </numFmts>
  <fonts count="4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ajor"/>
    </font>
    <font>
      <sz val="11"/>
      <color theme="0"/>
      <name val="돋움"/>
      <family val="3"/>
      <charset val="129"/>
    </font>
    <font>
      <b/>
      <sz val="9"/>
      <color theme="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u/>
      <sz val="11"/>
      <color theme="10"/>
      <name val="돋움"/>
      <family val="3"/>
      <charset val="129"/>
    </font>
    <font>
      <sz val="8"/>
      <color indexed="8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inor"/>
    </font>
    <font>
      <b/>
      <sz val="9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ajor"/>
    </font>
    <font>
      <b/>
      <u/>
      <sz val="8"/>
      <color theme="0" tint="-4.9989318521683403E-2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u/>
      <sz val="8"/>
      <color theme="0" tint="-4.9989318521683403E-2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u/>
      <sz val="8"/>
      <name val="맑은 고딕"/>
      <family val="3"/>
      <charset val="129"/>
      <scheme val="minor"/>
    </font>
    <font>
      <u/>
      <sz val="8"/>
      <name val="돋움"/>
      <family val="3"/>
      <charset val="129"/>
    </font>
    <font>
      <b/>
      <i/>
      <sz val="10"/>
      <color indexed="9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1"/>
      <name val="Carlito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indexed="64"/>
      </bottom>
      <diagonal/>
    </border>
    <border>
      <left style="medium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9" fontId="24" fillId="0" borderId="0">
      <alignment vertical="center"/>
    </xf>
    <xf numFmtId="0" fontId="2" fillId="0" borderId="0">
      <alignment vertical="center"/>
    </xf>
    <xf numFmtId="0" fontId="42" fillId="0" borderId="0">
      <alignment vertical="center"/>
    </xf>
    <xf numFmtId="0" fontId="47" fillId="0" borderId="0"/>
  </cellStyleXfs>
  <cellXfs count="292">
    <xf numFmtId="0" fontId="0" fillId="0" borderId="0" xfId="0">
      <alignment vertical="center"/>
    </xf>
    <xf numFmtId="9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top" wrapText="1"/>
    </xf>
    <xf numFmtId="0" fontId="9" fillId="2" borderId="0" xfId="0" applyFont="1" applyFill="1" applyAlignment="1">
      <alignment vertical="top" wrapText="1"/>
    </xf>
    <xf numFmtId="9" fontId="8" fillId="0" borderId="0" xfId="0" applyNumberFormat="1" applyFont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176" fontId="18" fillId="0" borderId="2" xfId="0" applyNumberFormat="1" applyFont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left" vertical="center"/>
    </xf>
    <xf numFmtId="0" fontId="19" fillId="7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4" fillId="4" borderId="2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>
      <alignment vertical="center"/>
    </xf>
    <xf numFmtId="0" fontId="13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4" fillId="0" borderId="0" xfId="0" applyFont="1" applyAlignment="1">
      <alignment horizontal="left" vertical="center" indent="2"/>
    </xf>
    <xf numFmtId="176" fontId="13" fillId="0" borderId="2" xfId="0" applyNumberFormat="1" applyFont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29" fillId="0" borderId="2" xfId="7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76" fontId="29" fillId="0" borderId="2" xfId="7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76" fontId="13" fillId="0" borderId="3" xfId="0" applyNumberFormat="1" applyFont="1" applyBorder="1" applyAlignment="1">
      <alignment horizontal="center" vertical="center"/>
    </xf>
    <xf numFmtId="176" fontId="11" fillId="0" borderId="7" xfId="0" applyNumberFormat="1" applyFont="1" applyBorder="1" applyAlignment="1">
      <alignment horizontal="center" vertical="center"/>
    </xf>
    <xf numFmtId="0" fontId="14" fillId="4" borderId="0" xfId="0" applyFont="1" applyFill="1" applyAlignment="1" applyProtection="1">
      <alignment horizontal="center" vertical="center" wrapText="1"/>
      <protection locked="0"/>
    </xf>
    <xf numFmtId="0" fontId="27" fillId="0" borderId="2" xfId="0" applyFont="1" applyBorder="1" applyAlignment="1">
      <alignment horizontal="center" vertical="center" wrapText="1" shrinkToFit="1"/>
    </xf>
    <xf numFmtId="0" fontId="27" fillId="0" borderId="2" xfId="0" applyFont="1" applyBorder="1" applyAlignment="1">
      <alignment horizontal="center" vertical="center" shrinkToFit="1"/>
    </xf>
    <xf numFmtId="0" fontId="1" fillId="6" borderId="0" xfId="8" applyFont="1" applyFill="1" applyAlignment="1">
      <alignment horizontal="center" vertical="center"/>
    </xf>
    <xf numFmtId="0" fontId="1" fillId="6" borderId="0" xfId="8" applyFont="1" applyFill="1">
      <alignment vertical="center"/>
    </xf>
    <xf numFmtId="0" fontId="1" fillId="0" borderId="0" xfId="8" applyFont="1">
      <alignment vertical="center"/>
    </xf>
    <xf numFmtId="0" fontId="1" fillId="0" borderId="0" xfId="8" applyFont="1" applyAlignment="1">
      <alignment horizontal="center" vertical="center"/>
    </xf>
    <xf numFmtId="0" fontId="32" fillId="10" borderId="18" xfId="0" applyFont="1" applyFill="1" applyBorder="1" applyAlignment="1">
      <alignment horizontal="center" vertical="center"/>
    </xf>
    <xf numFmtId="0" fontId="32" fillId="10" borderId="19" xfId="0" applyFont="1" applyFill="1" applyBorder="1" applyAlignment="1">
      <alignment horizontal="center" vertical="center"/>
    </xf>
    <xf numFmtId="0" fontId="33" fillId="10" borderId="22" xfId="0" applyFont="1" applyFill="1" applyBorder="1" applyAlignment="1">
      <alignment horizontal="center" vertical="center" wrapText="1"/>
    </xf>
    <xf numFmtId="0" fontId="33" fillId="10" borderId="28" xfId="0" applyFont="1" applyFill="1" applyBorder="1" applyAlignment="1">
      <alignment horizontal="center" vertical="center" wrapText="1"/>
    </xf>
    <xf numFmtId="176" fontId="18" fillId="0" borderId="29" xfId="0" applyNumberFormat="1" applyFont="1" applyBorder="1" applyAlignment="1">
      <alignment horizontal="center" vertical="center" wrapText="1"/>
    </xf>
    <xf numFmtId="177" fontId="15" fillId="5" borderId="32" xfId="0" applyNumberFormat="1" applyFont="1" applyFill="1" applyBorder="1" applyAlignment="1">
      <alignment horizontal="center" vertical="center" wrapText="1"/>
    </xf>
    <xf numFmtId="176" fontId="10" fillId="5" borderId="33" xfId="0" applyNumberFormat="1" applyFont="1" applyFill="1" applyBorder="1" applyAlignment="1">
      <alignment horizontal="center" vertical="center" wrapText="1"/>
    </xf>
    <xf numFmtId="176" fontId="17" fillId="0" borderId="29" xfId="0" applyNumberFormat="1" applyFont="1" applyBorder="1" applyAlignment="1">
      <alignment horizontal="center" vertical="center" wrapText="1"/>
    </xf>
    <xf numFmtId="0" fontId="14" fillId="5" borderId="35" xfId="0" applyFont="1" applyFill="1" applyBorder="1" applyAlignment="1">
      <alignment horizontal="center" vertical="center" wrapText="1"/>
    </xf>
    <xf numFmtId="0" fontId="16" fillId="5" borderId="32" xfId="0" applyFont="1" applyFill="1" applyBorder="1" applyAlignment="1">
      <alignment horizontal="center" vertical="center" wrapText="1"/>
    </xf>
    <xf numFmtId="176" fontId="14" fillId="5" borderId="33" xfId="0" applyNumberFormat="1" applyFont="1" applyFill="1" applyBorder="1" applyAlignment="1">
      <alignment horizontal="center" vertical="center" wrapText="1"/>
    </xf>
    <xf numFmtId="0" fontId="34" fillId="11" borderId="39" xfId="0" applyFont="1" applyFill="1" applyBorder="1" applyAlignment="1">
      <alignment horizontal="center" vertical="center" wrapText="1"/>
    </xf>
    <xf numFmtId="0" fontId="34" fillId="11" borderId="40" xfId="0" applyFont="1" applyFill="1" applyBorder="1" applyAlignment="1">
      <alignment horizontal="center" vertical="center" wrapText="1"/>
    </xf>
    <xf numFmtId="0" fontId="34" fillId="11" borderId="41" xfId="0" applyFont="1" applyFill="1" applyBorder="1" applyAlignment="1">
      <alignment horizontal="center" vertical="center" wrapText="1"/>
    </xf>
    <xf numFmtId="0" fontId="15" fillId="12" borderId="40" xfId="0" applyFont="1" applyFill="1" applyBorder="1" applyAlignment="1">
      <alignment horizontal="center" vertical="center" wrapText="1"/>
    </xf>
    <xf numFmtId="0" fontId="15" fillId="12" borderId="41" xfId="0" applyFont="1" applyFill="1" applyBorder="1" applyAlignment="1">
      <alignment horizontal="center" vertical="center" wrapText="1"/>
    </xf>
    <xf numFmtId="0" fontId="15" fillId="12" borderId="39" xfId="0" applyFont="1" applyFill="1" applyBorder="1" applyAlignment="1">
      <alignment horizontal="center" vertical="center" wrapText="1"/>
    </xf>
    <xf numFmtId="9" fontId="15" fillId="13" borderId="40" xfId="0" applyNumberFormat="1" applyFont="1" applyFill="1" applyBorder="1" applyAlignment="1">
      <alignment horizontal="center" vertical="center" wrapText="1"/>
    </xf>
    <xf numFmtId="9" fontId="15" fillId="13" borderId="1" xfId="0" applyNumberFormat="1" applyFont="1" applyFill="1" applyBorder="1" applyAlignment="1">
      <alignment horizontal="center" vertical="center" wrapText="1"/>
    </xf>
    <xf numFmtId="9" fontId="15" fillId="13" borderId="39" xfId="0" applyNumberFormat="1" applyFont="1" applyFill="1" applyBorder="1" applyAlignment="1">
      <alignment horizontal="center" vertical="center" wrapText="1"/>
    </xf>
    <xf numFmtId="9" fontId="15" fillId="13" borderId="42" xfId="0" applyNumberFormat="1" applyFont="1" applyFill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176" fontId="10" fillId="5" borderId="32" xfId="0" applyNumberFormat="1" applyFont="1" applyFill="1" applyBorder="1" applyAlignment="1">
      <alignment horizontal="center" vertical="center" wrapText="1"/>
    </xf>
    <xf numFmtId="0" fontId="35" fillId="10" borderId="43" xfId="0" applyFont="1" applyFill="1" applyBorder="1" applyAlignment="1">
      <alignment horizontal="center" vertical="center" wrapText="1"/>
    </xf>
    <xf numFmtId="0" fontId="35" fillId="10" borderId="44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39" xfId="0" applyFont="1" applyFill="1" applyBorder="1" applyAlignment="1">
      <alignment horizontal="center" vertical="center" wrapText="1"/>
    </xf>
    <xf numFmtId="0" fontId="35" fillId="10" borderId="40" xfId="0" applyFont="1" applyFill="1" applyBorder="1" applyAlignment="1">
      <alignment horizontal="center" vertical="center" wrapText="1"/>
    </xf>
    <xf numFmtId="0" fontId="35" fillId="10" borderId="42" xfId="0" applyFont="1" applyFill="1" applyBorder="1" applyAlignment="1">
      <alignment horizontal="center" vertical="center" wrapText="1"/>
    </xf>
    <xf numFmtId="176" fontId="29" fillId="0" borderId="29" xfId="7" applyNumberFormat="1" applyFont="1" applyBorder="1" applyAlignment="1">
      <alignment horizontal="center" vertical="center" wrapText="1"/>
    </xf>
    <xf numFmtId="176" fontId="16" fillId="5" borderId="32" xfId="0" applyNumberFormat="1" applyFont="1" applyFill="1" applyBorder="1" applyAlignment="1">
      <alignment horizontal="center" vertical="center" wrapText="1"/>
    </xf>
    <xf numFmtId="176" fontId="16" fillId="5" borderId="33" xfId="0" applyNumberFormat="1" applyFont="1" applyFill="1" applyBorder="1" applyAlignment="1">
      <alignment horizontal="center" vertical="center" wrapText="1"/>
    </xf>
    <xf numFmtId="0" fontId="35" fillId="10" borderId="44" xfId="0" applyFont="1" applyFill="1" applyBorder="1" applyAlignment="1">
      <alignment horizontal="center" vertical="center"/>
    </xf>
    <xf numFmtId="0" fontId="35" fillId="10" borderId="43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0" fontId="35" fillId="10" borderId="40" xfId="0" applyFont="1" applyFill="1" applyBorder="1" applyAlignment="1">
      <alignment horizontal="center" vertical="center"/>
    </xf>
    <xf numFmtId="0" fontId="36" fillId="10" borderId="25" xfId="0" applyFont="1" applyFill="1" applyBorder="1" applyAlignment="1">
      <alignment horizontal="center" vertical="center"/>
    </xf>
    <xf numFmtId="0" fontId="37" fillId="10" borderId="42" xfId="0" applyFont="1" applyFill="1" applyBorder="1" applyAlignment="1">
      <alignment horizontal="center" vertical="center"/>
    </xf>
    <xf numFmtId="0" fontId="13" fillId="0" borderId="51" xfId="0" applyFont="1" applyBorder="1" applyAlignment="1">
      <alignment horizontal="center" vertical="center" wrapText="1"/>
    </xf>
    <xf numFmtId="0" fontId="14" fillId="5" borderId="32" xfId="0" applyFont="1" applyFill="1" applyBorder="1" applyAlignment="1">
      <alignment vertical="center" wrapText="1"/>
    </xf>
    <xf numFmtId="0" fontId="14" fillId="5" borderId="32" xfId="0" applyFont="1" applyFill="1" applyBorder="1">
      <alignment vertical="center"/>
    </xf>
    <xf numFmtId="0" fontId="14" fillId="5" borderId="32" xfId="0" applyFont="1" applyFill="1" applyBorder="1" applyAlignment="1">
      <alignment horizontal="center" vertical="center"/>
    </xf>
    <xf numFmtId="0" fontId="26" fillId="5" borderId="32" xfId="0" applyFont="1" applyFill="1" applyBorder="1" applyAlignment="1">
      <alignment horizontal="center" vertical="center"/>
    </xf>
    <xf numFmtId="0" fontId="26" fillId="5" borderId="33" xfId="0" applyFont="1" applyFill="1" applyBorder="1" applyAlignment="1">
      <alignment horizontal="center" vertical="center"/>
    </xf>
    <xf numFmtId="0" fontId="35" fillId="10" borderId="39" xfId="0" applyFont="1" applyFill="1" applyBorder="1" applyAlignment="1">
      <alignment horizontal="center" vertical="center"/>
    </xf>
    <xf numFmtId="0" fontId="37" fillId="10" borderId="40" xfId="0" applyFont="1" applyFill="1" applyBorder="1" applyAlignment="1">
      <alignment horizontal="center" vertical="center"/>
    </xf>
    <xf numFmtId="0" fontId="36" fillId="10" borderId="21" xfId="0" applyFont="1" applyFill="1" applyBorder="1" applyAlignment="1">
      <alignment horizontal="center" vertical="center"/>
    </xf>
    <xf numFmtId="0" fontId="36" fillId="10" borderId="38" xfId="0" applyFont="1" applyFill="1" applyBorder="1" applyAlignment="1">
      <alignment horizontal="center" vertical="center"/>
    </xf>
    <xf numFmtId="0" fontId="35" fillId="10" borderId="24" xfId="0" applyFont="1" applyFill="1" applyBorder="1" applyAlignment="1">
      <alignment horizontal="center" vertical="center"/>
    </xf>
    <xf numFmtId="0" fontId="35" fillId="10" borderId="54" xfId="0" applyFont="1" applyFill="1" applyBorder="1" applyAlignment="1">
      <alignment horizontal="center" vertical="center"/>
    </xf>
    <xf numFmtId="0" fontId="35" fillId="10" borderId="56" xfId="0" applyFont="1" applyFill="1" applyBorder="1" applyAlignment="1">
      <alignment horizontal="center" vertical="center"/>
    </xf>
    <xf numFmtId="0" fontId="33" fillId="11" borderId="43" xfId="0" applyFont="1" applyFill="1" applyBorder="1" applyAlignment="1">
      <alignment horizontal="center" vertical="center"/>
    </xf>
    <xf numFmtId="0" fontId="33" fillId="11" borderId="40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33" fillId="11" borderId="39" xfId="0" applyFont="1" applyFill="1" applyBorder="1" applyAlignment="1">
      <alignment horizontal="center" vertical="center"/>
    </xf>
    <xf numFmtId="0" fontId="14" fillId="12" borderId="40" xfId="0" applyFont="1" applyFill="1" applyBorder="1" applyAlignment="1">
      <alignment horizontal="center" vertical="center"/>
    </xf>
    <xf numFmtId="0" fontId="14" fillId="12" borderId="39" xfId="0" applyFont="1" applyFill="1" applyBorder="1" applyAlignment="1">
      <alignment horizontal="center" vertical="center"/>
    </xf>
    <xf numFmtId="0" fontId="14" fillId="12" borderId="42" xfId="0" applyFont="1" applyFill="1" applyBorder="1" applyAlignment="1">
      <alignment horizontal="center" vertical="center"/>
    </xf>
    <xf numFmtId="176" fontId="13" fillId="0" borderId="29" xfId="0" applyNumberFormat="1" applyFont="1" applyBorder="1" applyAlignment="1">
      <alignment horizontal="center" vertical="center"/>
    </xf>
    <xf numFmtId="0" fontId="14" fillId="5" borderId="60" xfId="0" applyFont="1" applyFill="1" applyBorder="1" applyAlignment="1">
      <alignment horizontal="center" vertical="center"/>
    </xf>
    <xf numFmtId="0" fontId="14" fillId="5" borderId="62" xfId="0" applyFont="1" applyFill="1" applyBorder="1" applyAlignment="1">
      <alignment horizontal="center" vertical="center"/>
    </xf>
    <xf numFmtId="0" fontId="14" fillId="5" borderId="63" xfId="0" applyFont="1" applyFill="1" applyBorder="1" applyAlignment="1">
      <alignment horizontal="center" vertical="center"/>
    </xf>
    <xf numFmtId="176" fontId="14" fillId="5" borderId="62" xfId="7" applyNumberFormat="1" applyFont="1" applyFill="1" applyBorder="1" applyAlignment="1">
      <alignment horizontal="center" vertical="center"/>
    </xf>
    <xf numFmtId="176" fontId="14" fillId="5" borderId="63" xfId="7" applyNumberFormat="1" applyFont="1" applyFill="1" applyBorder="1" applyAlignment="1">
      <alignment horizontal="center" vertical="center"/>
    </xf>
    <xf numFmtId="176" fontId="14" fillId="5" borderId="64" xfId="7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4" fontId="39" fillId="6" borderId="0" xfId="8" applyNumberFormat="1" applyFont="1" applyFill="1" applyAlignment="1">
      <alignment horizontal="center" vertical="center"/>
    </xf>
    <xf numFmtId="0" fontId="35" fillId="10" borderId="16" xfId="0" applyFont="1" applyFill="1" applyBorder="1" applyAlignment="1" applyProtection="1">
      <alignment horizontal="center" vertical="center" wrapText="1"/>
      <protection locked="0"/>
    </xf>
    <xf numFmtId="0" fontId="35" fillId="10" borderId="15" xfId="0" applyFont="1" applyFill="1" applyBorder="1" applyAlignment="1" applyProtection="1">
      <alignment horizontal="center" vertical="center" wrapText="1"/>
      <protection locked="0"/>
    </xf>
    <xf numFmtId="0" fontId="35" fillId="10" borderId="50" xfId="0" applyFont="1" applyFill="1" applyBorder="1" applyAlignment="1" applyProtection="1">
      <alignment horizontal="center" vertical="center" wrapText="1"/>
      <protection locked="0"/>
    </xf>
    <xf numFmtId="0" fontId="35" fillId="10" borderId="80" xfId="0" applyFont="1" applyFill="1" applyBorder="1" applyAlignment="1" applyProtection="1">
      <alignment horizontal="center" vertical="center" wrapText="1"/>
      <protection locked="0"/>
    </xf>
    <xf numFmtId="0" fontId="35" fillId="10" borderId="83" xfId="0" applyFont="1" applyFill="1" applyBorder="1" applyAlignment="1">
      <alignment horizontal="center" vertical="center"/>
    </xf>
    <xf numFmtId="0" fontId="35" fillId="10" borderId="0" xfId="0" applyFont="1" applyFill="1" applyAlignment="1">
      <alignment horizontal="center" vertical="center"/>
    </xf>
    <xf numFmtId="0" fontId="35" fillId="10" borderId="84" xfId="0" applyFont="1" applyFill="1" applyBorder="1" applyAlignment="1">
      <alignment horizontal="center" vertical="center"/>
    </xf>
    <xf numFmtId="0" fontId="35" fillId="10" borderId="86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vertical="center" wrapText="1"/>
    </xf>
    <xf numFmtId="0" fontId="14" fillId="5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4" fillId="4" borderId="69" xfId="0" applyFont="1" applyFill="1" applyBorder="1" applyAlignment="1" applyProtection="1">
      <alignment horizontal="center" vertical="center" wrapText="1"/>
      <protection locked="0"/>
    </xf>
    <xf numFmtId="0" fontId="14" fillId="4" borderId="6" xfId="0" applyFont="1" applyFill="1" applyBorder="1" applyAlignment="1" applyProtection="1">
      <alignment horizontal="center" vertical="center" wrapText="1"/>
      <protection locked="0"/>
    </xf>
    <xf numFmtId="0" fontId="14" fillId="4" borderId="6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41" fillId="0" borderId="2" xfId="9" applyFont="1" applyBorder="1" applyAlignment="1">
      <alignment horizontal="center" vertical="center"/>
    </xf>
    <xf numFmtId="0" fontId="41" fillId="0" borderId="2" xfId="9" applyFont="1" applyBorder="1" applyAlignment="1">
      <alignment vertical="center" wrapText="1"/>
    </xf>
    <xf numFmtId="0" fontId="36" fillId="10" borderId="2" xfId="0" applyFont="1" applyFill="1" applyBorder="1" applyAlignment="1">
      <alignment horizontal="center" vertical="center"/>
    </xf>
    <xf numFmtId="0" fontId="40" fillId="10" borderId="2" xfId="0" applyFont="1" applyFill="1" applyBorder="1" applyAlignment="1">
      <alignment horizontal="center" vertical="center"/>
    </xf>
    <xf numFmtId="0" fontId="35" fillId="10" borderId="87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27" fillId="0" borderId="5" xfId="0" applyFont="1" applyBorder="1">
      <alignment vertical="center"/>
    </xf>
    <xf numFmtId="0" fontId="32" fillId="10" borderId="85" xfId="0" applyFont="1" applyFill="1" applyBorder="1" applyAlignment="1">
      <alignment horizontal="center" vertical="center" wrapText="1"/>
    </xf>
    <xf numFmtId="0" fontId="32" fillId="10" borderId="84" xfId="0" applyFont="1" applyFill="1" applyBorder="1" applyAlignment="1">
      <alignment horizontal="center" vertical="center" wrapText="1"/>
    </xf>
    <xf numFmtId="0" fontId="32" fillId="10" borderId="8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45" fillId="2" borderId="0" xfId="0" applyFont="1" applyFill="1" applyAlignment="1">
      <alignment vertical="top" wrapText="1"/>
    </xf>
    <xf numFmtId="0" fontId="46" fillId="0" borderId="0" xfId="0" applyFont="1">
      <alignment vertical="center"/>
    </xf>
    <xf numFmtId="0" fontId="11" fillId="0" borderId="2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0" fontId="1" fillId="6" borderId="0" xfId="8" applyFont="1" applyFill="1" applyAlignment="1">
      <alignment horizontal="center" vertical="center"/>
    </xf>
    <xf numFmtId="0" fontId="1" fillId="0" borderId="0" xfId="8" applyFont="1">
      <alignment vertical="center"/>
    </xf>
    <xf numFmtId="0" fontId="32" fillId="10" borderId="50" xfId="0" applyFont="1" applyFill="1" applyBorder="1" applyAlignment="1">
      <alignment horizontal="center" vertical="center"/>
    </xf>
    <xf numFmtId="0" fontId="0" fillId="0" borderId="16" xfId="0" applyBorder="1" applyAlignment="1"/>
    <xf numFmtId="0" fontId="0" fillId="0" borderId="17" xfId="0" applyBorder="1" applyAlignment="1"/>
    <xf numFmtId="0" fontId="32" fillId="10" borderId="13" xfId="0" applyFont="1" applyFill="1" applyBorder="1" applyAlignment="1">
      <alignment horizontal="center" vertical="center"/>
    </xf>
    <xf numFmtId="0" fontId="0" fillId="0" borderId="68" xfId="0" applyBorder="1" applyAlignment="1"/>
    <xf numFmtId="0" fontId="32" fillId="10" borderId="14" xfId="0" applyFont="1" applyFill="1" applyBorder="1" applyAlignment="1">
      <alignment horizontal="center" vertical="center"/>
    </xf>
    <xf numFmtId="0" fontId="0" fillId="0" borderId="44" xfId="0" applyBorder="1" applyAlignment="1"/>
    <xf numFmtId="0" fontId="19" fillId="7" borderId="2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5" xfId="0" applyBorder="1" applyAlignment="1"/>
    <xf numFmtId="0" fontId="22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8" xfId="0" applyBorder="1" applyAlignment="1"/>
    <xf numFmtId="0" fontId="32" fillId="10" borderId="89" xfId="0" applyFont="1" applyFill="1" applyBorder="1" applyAlignment="1">
      <alignment horizontal="center" vertical="center" wrapText="1"/>
    </xf>
    <xf numFmtId="0" fontId="32" fillId="10" borderId="90" xfId="0" applyFont="1" applyFill="1" applyBorder="1" applyAlignment="1">
      <alignment horizontal="center" vertical="center" wrapText="1"/>
    </xf>
    <xf numFmtId="0" fontId="32" fillId="10" borderId="70" xfId="0" applyFont="1" applyFill="1" applyBorder="1" applyAlignment="1">
      <alignment horizontal="center" vertical="center" wrapText="1"/>
    </xf>
    <xf numFmtId="0" fontId="38" fillId="0" borderId="20" xfId="0" applyFont="1" applyBorder="1" applyAlignment="1"/>
    <xf numFmtId="0" fontId="38" fillId="0" borderId="21" xfId="0" applyFont="1" applyBorder="1" applyAlignment="1"/>
    <xf numFmtId="0" fontId="17" fillId="0" borderId="2" xfId="0" applyFont="1" applyBorder="1" applyAlignment="1">
      <alignment horizontal="center" vertical="center" wrapText="1"/>
    </xf>
    <xf numFmtId="0" fontId="13" fillId="0" borderId="2" xfId="6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4" fillId="5" borderId="35" xfId="0" applyFont="1" applyFill="1" applyBorder="1" applyAlignment="1">
      <alignment horizontal="center" vertical="center" wrapText="1"/>
    </xf>
    <xf numFmtId="0" fontId="0" fillId="0" borderId="30" xfId="0" applyBorder="1" applyAlignment="1"/>
    <xf numFmtId="0" fontId="0" fillId="0" borderId="31" xfId="0" applyBorder="1" applyAlignment="1"/>
    <xf numFmtId="0" fontId="13" fillId="0" borderId="4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33" fillId="10" borderId="25" xfId="0" applyFont="1" applyFill="1" applyBorder="1" applyAlignment="1">
      <alignment horizontal="center" vertical="center" wrapText="1"/>
    </xf>
    <xf numFmtId="0" fontId="0" fillId="0" borderId="20" xfId="0" applyBorder="1" applyAlignment="1"/>
    <xf numFmtId="0" fontId="0" fillId="0" borderId="21" xfId="0" applyBorder="1" applyAlignment="1"/>
    <xf numFmtId="0" fontId="33" fillId="10" borderId="71" xfId="0" applyFont="1" applyFill="1" applyBorder="1" applyAlignment="1">
      <alignment horizontal="center" vertical="center" wrapText="1"/>
    </xf>
    <xf numFmtId="0" fontId="0" fillId="0" borderId="26" xfId="0" applyBorder="1" applyAlignment="1"/>
    <xf numFmtId="0" fontId="0" fillId="0" borderId="27" xfId="0" applyBorder="1" applyAlignment="1"/>
    <xf numFmtId="0" fontId="0" fillId="0" borderId="23" xfId="0" applyBorder="1" applyAlignment="1"/>
    <xf numFmtId="0" fontId="0" fillId="0" borderId="81" xfId="0" applyBorder="1" applyAlignment="1"/>
    <xf numFmtId="0" fontId="0" fillId="0" borderId="0" xfId="0" applyAlignment="1"/>
    <xf numFmtId="0" fontId="10" fillId="0" borderId="34" xfId="0" applyFont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 wrapText="1"/>
    </xf>
    <xf numFmtId="0" fontId="44" fillId="0" borderId="2" xfId="6" applyFont="1" applyBorder="1" applyAlignment="1">
      <alignment horizontal="center" vertical="center"/>
    </xf>
    <xf numFmtId="0" fontId="43" fillId="0" borderId="2" xfId="0" applyFont="1" applyBorder="1" applyAlignment="1">
      <alignment horizontal="center"/>
    </xf>
    <xf numFmtId="0" fontId="43" fillId="0" borderId="2" xfId="6" applyFont="1" applyBorder="1" applyAlignment="1">
      <alignment horizontal="center" vertical="center"/>
    </xf>
    <xf numFmtId="0" fontId="35" fillId="10" borderId="45" xfId="0" applyFont="1" applyFill="1" applyBorder="1" applyAlignment="1">
      <alignment horizontal="center" vertical="center" wrapText="1"/>
    </xf>
    <xf numFmtId="0" fontId="0" fillId="0" borderId="52" xfId="0" applyBorder="1" applyAlignment="1"/>
    <xf numFmtId="0" fontId="0" fillId="0" borderId="59" xfId="0" applyBorder="1" applyAlignment="1"/>
    <xf numFmtId="0" fontId="0" fillId="0" borderId="1" xfId="0" applyBorder="1" applyAlignment="1"/>
    <xf numFmtId="0" fontId="0" fillId="0" borderId="10" xfId="0" applyBorder="1" applyAlignment="1"/>
    <xf numFmtId="0" fontId="15" fillId="13" borderId="38" xfId="0" applyFont="1" applyFill="1" applyBorder="1" applyAlignment="1">
      <alignment horizontal="center" vertical="center" wrapText="1"/>
    </xf>
    <xf numFmtId="0" fontId="0" fillId="0" borderId="38" xfId="0" applyBorder="1" applyAlignment="1"/>
    <xf numFmtId="0" fontId="35" fillId="10" borderId="49" xfId="0" applyFont="1" applyFill="1" applyBorder="1" applyAlignment="1">
      <alignment horizontal="center" vertical="center" wrapText="1"/>
    </xf>
    <xf numFmtId="0" fontId="34" fillId="11" borderId="36" xfId="0" applyFont="1" applyFill="1" applyBorder="1" applyAlignment="1">
      <alignment horizontal="center" vertical="center" wrapText="1"/>
    </xf>
    <xf numFmtId="0" fontId="35" fillId="10" borderId="47" xfId="0" applyFont="1" applyFill="1" applyBorder="1" applyAlignment="1">
      <alignment horizontal="center" vertical="center" wrapText="1"/>
    </xf>
    <xf numFmtId="0" fontId="0" fillId="0" borderId="53" xfId="0" applyBorder="1" applyAlignment="1"/>
    <xf numFmtId="0" fontId="15" fillId="12" borderId="25" xfId="0" applyFont="1" applyFill="1" applyBorder="1" applyAlignment="1">
      <alignment horizontal="center" vertical="center" wrapText="1"/>
    </xf>
    <xf numFmtId="0" fontId="35" fillId="10" borderId="15" xfId="0" applyFont="1" applyFill="1" applyBorder="1" applyAlignment="1">
      <alignment horizontal="center" vertical="center" wrapText="1"/>
    </xf>
    <xf numFmtId="0" fontId="35" fillId="10" borderId="15" xfId="0" applyFont="1" applyFill="1" applyBorder="1" applyAlignment="1">
      <alignment horizontal="center" vertical="center"/>
    </xf>
    <xf numFmtId="0" fontId="35" fillId="10" borderId="14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35" fillId="10" borderId="45" xfId="0" applyFont="1" applyFill="1" applyBorder="1" applyAlignment="1">
      <alignment horizontal="center" vertical="center"/>
    </xf>
    <xf numFmtId="0" fontId="0" fillId="0" borderId="82" xfId="0" applyBorder="1" applyAlignment="1"/>
    <xf numFmtId="0" fontId="35" fillId="10" borderId="37" xfId="0" applyFont="1" applyFill="1" applyBorder="1" applyAlignment="1">
      <alignment horizontal="center" vertical="center"/>
    </xf>
    <xf numFmtId="0" fontId="35" fillId="10" borderId="14" xfId="0" applyFont="1" applyFill="1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35" fillId="10" borderId="67" xfId="0" applyFont="1" applyFill="1" applyBorder="1" applyAlignment="1">
      <alignment horizontal="center" vertical="center"/>
    </xf>
    <xf numFmtId="0" fontId="0" fillId="0" borderId="9" xfId="0" applyBorder="1" applyAlignment="1"/>
    <xf numFmtId="0" fontId="35" fillId="10" borderId="65" xfId="0" applyFont="1" applyFill="1" applyBorder="1" applyAlignment="1">
      <alignment horizontal="center" vertical="center"/>
    </xf>
    <xf numFmtId="0" fontId="0" fillId="0" borderId="43" xfId="0" applyBorder="1" applyAlignment="1"/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2" xfId="0" applyFont="1" applyBorder="1" applyAlignment="1"/>
    <xf numFmtId="0" fontId="35" fillId="10" borderId="79" xfId="0" applyFont="1" applyFill="1" applyBorder="1" applyAlignment="1" applyProtection="1">
      <alignment horizontal="center" vertical="center" wrapText="1"/>
      <protection locked="0"/>
    </xf>
    <xf numFmtId="0" fontId="0" fillId="0" borderId="52" xfId="0" applyBorder="1" applyAlignment="1" applyProtection="1">
      <protection locked="0"/>
    </xf>
    <xf numFmtId="0" fontId="35" fillId="10" borderId="16" xfId="0" applyFont="1" applyFill="1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protection locked="0"/>
    </xf>
    <xf numFmtId="0" fontId="35" fillId="10" borderId="15" xfId="0" applyFont="1" applyFill="1" applyBorder="1" applyAlignment="1" applyProtection="1">
      <alignment horizontal="center" vertical="center" wrapText="1"/>
      <protection locked="0"/>
    </xf>
    <xf numFmtId="0" fontId="35" fillId="10" borderId="52" xfId="0" applyFont="1" applyFill="1" applyBorder="1" applyAlignment="1" applyProtection="1">
      <alignment horizontal="center" vertical="center" wrapText="1"/>
      <protection locked="0"/>
    </xf>
    <xf numFmtId="0" fontId="14" fillId="7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0" borderId="88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0" fillId="0" borderId="74" xfId="0" applyBorder="1" applyAlignment="1"/>
    <xf numFmtId="0" fontId="0" fillId="0" borderId="75" xfId="0" applyBorder="1" applyAlignment="1"/>
    <xf numFmtId="0" fontId="13" fillId="0" borderId="2" xfId="0" applyFont="1" applyBorder="1" applyAlignment="1">
      <alignment horizontal="center" vertical="center"/>
    </xf>
    <xf numFmtId="0" fontId="14" fillId="5" borderId="76" xfId="0" applyFont="1" applyFill="1" applyBorder="1" applyAlignment="1">
      <alignment horizontal="center" vertical="center"/>
    </xf>
    <xf numFmtId="0" fontId="0" fillId="0" borderId="60" xfId="0" applyBorder="1" applyAlignment="1"/>
    <xf numFmtId="0" fontId="0" fillId="0" borderId="61" xfId="0" applyBorder="1" applyAlignment="1"/>
    <xf numFmtId="0" fontId="13" fillId="0" borderId="7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35" fillId="10" borderId="77" xfId="0" applyFont="1" applyFill="1" applyBorder="1" applyAlignment="1">
      <alignment horizontal="center" vertical="center"/>
    </xf>
    <xf numFmtId="0" fontId="35" fillId="11" borderId="37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35" fillId="10" borderId="55" xfId="0" applyFont="1" applyFill="1" applyBorder="1" applyAlignment="1">
      <alignment horizontal="center" vertical="center"/>
    </xf>
    <xf numFmtId="0" fontId="0" fillId="0" borderId="72" xfId="0" applyBorder="1" applyAlignment="1"/>
    <xf numFmtId="0" fontId="14" fillId="0" borderId="32" xfId="0" applyFont="1" applyBorder="1" applyAlignment="1">
      <alignment horizontal="center" vertical="center" wrapText="1"/>
    </xf>
    <xf numFmtId="0" fontId="35" fillId="10" borderId="57" xfId="0" applyFont="1" applyFill="1" applyBorder="1" applyAlignment="1">
      <alignment horizontal="center" vertical="center"/>
    </xf>
    <xf numFmtId="0" fontId="0" fillId="0" borderId="73" xfId="0" applyBorder="1" applyAlignment="1"/>
    <xf numFmtId="0" fontId="35" fillId="10" borderId="58" xfId="0" applyFont="1" applyFill="1" applyBorder="1" applyAlignment="1">
      <alignment horizontal="center" vertical="center"/>
    </xf>
    <xf numFmtId="0" fontId="0" fillId="0" borderId="78" xfId="0" applyBorder="1" applyAlignment="1"/>
    <xf numFmtId="0" fontId="14" fillId="12" borderId="38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 wrapText="1"/>
    </xf>
    <xf numFmtId="0" fontId="35" fillId="10" borderId="48" xfId="0" applyFont="1" applyFill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0" fillId="0" borderId="66" xfId="0" applyBorder="1" applyAlignment="1"/>
    <xf numFmtId="0" fontId="27" fillId="0" borderId="5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</cellXfs>
  <cellStyles count="11">
    <cellStyle name="Normal" xfId="10"/>
    <cellStyle name="백분율" xfId="7" builtinId="5"/>
    <cellStyle name="표준" xfId="0" builtinId="0"/>
    <cellStyle name="표준 2" xfId="1"/>
    <cellStyle name="표준 2 2" xfId="4"/>
    <cellStyle name="표준 3" xfId="3"/>
    <cellStyle name="표준 4" xfId="5"/>
    <cellStyle name="표준 4 2" xfId="8"/>
    <cellStyle name="표준 5" xfId="2"/>
    <cellStyle name="표준_정보통신부_취약점진단결과_우체국금융_서버_0708_v0.7" xfId="9"/>
    <cellStyle name="하이퍼링크" xfId="6" builtinId="8"/>
  </cellStyles>
  <dxfs count="590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800" b="1" i="0" baseline="0">
                <a:effectLst/>
              </a:rPr>
              <a:t>PC</a:t>
            </a:r>
            <a:r>
              <a:rPr lang="ko-KR" altLang="ko-KR" sz="1800" b="1" i="0" baseline="0">
                <a:effectLst/>
              </a:rPr>
              <a:t> 보안수준</a:t>
            </a:r>
            <a:endParaRPr lang="ko-KR" altLang="ko-KR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06-4933-A64A-3205DDB820A1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06-4933-A64A-3205DDB820A1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06-4933-A64A-3205DDB820A1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06-4933-A64A-3205DDB820A1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006-4933-A64A-3205DDB820A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006-4933-A64A-3205DDB820A1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006-4933-A64A-3205DDB820A1}"/>
              </c:ext>
            </c:extLst>
          </c:dPt>
          <c:dPt>
            <c:idx val="9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006-4933-A64A-3205DDB820A1}"/>
              </c:ext>
            </c:extLst>
          </c:dPt>
          <c:dLbls>
            <c:dLbl>
              <c:idx val="4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b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7006-4933-A64A-3205DDB820A1}"/>
                </c:ext>
              </c:extLst>
            </c:dLbl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sz="1100" b="1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7006-4933-A64A-3205DDB820A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통계'!$A$6:$D$10</c:f>
              <c:strCache>
                <c:ptCount val="5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  <c:pt idx="4">
                  <c:v>계</c:v>
                </c:pt>
              </c:strCache>
            </c:strRef>
          </c:cat>
          <c:val>
            <c:numRef>
              <c:f>'취약점 진단 통계'!$L$6:$L$10</c:f>
              <c:numCache>
                <c:formatCode>0.0%</c:formatCode>
                <c:ptCount val="5"/>
                <c:pt idx="0">
                  <c:v>0.5</c:v>
                </c:pt>
                <c:pt idx="1">
                  <c:v>0.42857142857142855</c:v>
                </c:pt>
                <c:pt idx="2">
                  <c:v>0</c:v>
                </c:pt>
                <c:pt idx="3">
                  <c:v>0.47058823529411764</c:v>
                </c:pt>
                <c:pt idx="4">
                  <c:v>0.39534883720930231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006-4933-A64A-3205DDB82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006368"/>
        <c:axId val="173008544"/>
      </c:barChart>
      <c:catAx>
        <c:axId val="173006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73008544"/>
        <c:crosses val="autoZero"/>
        <c:auto val="1"/>
        <c:lblAlgn val="ctr"/>
        <c:lblOffset val="100"/>
        <c:noMultiLvlLbl val="0"/>
      </c:catAx>
      <c:valAx>
        <c:axId val="173008544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73006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ysClr val="windowText" lastClr="000000"/>
                </a:solidFill>
              </a:rPr>
              <a:t>PC</a:t>
            </a:r>
            <a:r>
              <a:rPr lang="ko-KR" b="1">
                <a:solidFill>
                  <a:sysClr val="windowText" lastClr="000000"/>
                </a:solidFill>
              </a:rPr>
              <a:t> 보안수준</a:t>
            </a:r>
          </a:p>
        </c:rich>
      </c:tx>
      <c:layout>
        <c:manualLayout>
          <c:xMode val="edge"/>
          <c:yMode val="edge"/>
          <c:x val="0.45771633301621362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7917033098135461E-2"/>
          <c:y val="0.1218625600368452"/>
          <c:w val="0.95429075910965677"/>
          <c:h val="0.708551217514339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5B-4CB1-809C-A665063FD7AB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5B-4CB1-809C-A665063FD7AB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5B-4CB1-809C-A665063FD7AB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5B-4CB1-809C-A665063FD7AB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5B-4CB1-809C-A665063FD7AB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65B-4CB1-809C-A665063FD7AB}"/>
              </c:ext>
            </c:extLst>
          </c:dPt>
          <c:dLbls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A66B-4D92-8F8B-8879FB65718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(이행)'!$A$6:$D$10</c:f>
              <c:strCache>
                <c:ptCount val="5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  <c:pt idx="4">
                  <c:v>계</c:v>
                </c:pt>
              </c:strCache>
            </c:strRef>
          </c:cat>
          <c:val>
            <c:numRef>
              <c:f>'취약점 진단 통계 (이행)'!$T$6:$T$10</c:f>
              <c:numCache>
                <c:formatCode>0.0%</c:formatCode>
                <c:ptCount val="5"/>
                <c:pt idx="0">
                  <c:v>0.5</c:v>
                </c:pt>
                <c:pt idx="1">
                  <c:v>0.42857142857142855</c:v>
                </c:pt>
                <c:pt idx="2">
                  <c:v>0</c:v>
                </c:pt>
                <c:pt idx="3">
                  <c:v>0.47058823529411764</c:v>
                </c:pt>
                <c:pt idx="4">
                  <c:v>0.39534883720930231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65B-4CB1-809C-A665063FD7AB}"/>
            </c:ext>
          </c:extLst>
        </c:ser>
        <c:ser>
          <c:idx val="1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A66B-4D92-8F8B-8879FB65718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(이행)'!$A$6:$D$10</c:f>
              <c:strCache>
                <c:ptCount val="5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  <c:pt idx="4">
                  <c:v>계</c:v>
                </c:pt>
              </c:strCache>
            </c:strRef>
          </c:cat>
          <c:val>
            <c:numRef>
              <c:f>'취약점 진단 통계 (이행)'!$U$6:$U$10</c:f>
              <c:numCache>
                <c:formatCode>0.0%</c:formatCode>
                <c:ptCount val="5"/>
                <c:pt idx="0">
                  <c:v>0.5</c:v>
                </c:pt>
                <c:pt idx="1">
                  <c:v>0.8571428571428571</c:v>
                </c:pt>
                <c:pt idx="2">
                  <c:v>0</c:v>
                </c:pt>
                <c:pt idx="3">
                  <c:v>0.92727272727272725</c:v>
                </c:pt>
                <c:pt idx="4">
                  <c:v>0.72180451127819545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65B-4CB1-809C-A665063FD7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3002016"/>
        <c:axId val="172995488"/>
      </c:barChart>
      <c:catAx>
        <c:axId val="17300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995488"/>
        <c:crosses val="autoZero"/>
        <c:auto val="1"/>
        <c:lblAlgn val="ctr"/>
        <c:lblOffset val="100"/>
        <c:noMultiLvlLbl val="0"/>
      </c:catAx>
      <c:valAx>
        <c:axId val="1729954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002016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'P-01'!$D$10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'P-01'!$H$12:$H$15</c:f>
              <c:numCache>
                <c:formatCode>0.0%</c:formatCode>
                <c:ptCount val="4"/>
                <c:pt idx="0">
                  <c:v>0</c:v>
                </c:pt>
                <c:pt idx="1">
                  <c:v>0.42857142857142855</c:v>
                </c:pt>
                <c:pt idx="2">
                  <c:v>0</c:v>
                </c:pt>
                <c:pt idx="3">
                  <c:v>0.47058823529411764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F-4CC6-9948-D330A3CFE751}"/>
            </c:ext>
          </c:extLst>
        </c:ser>
        <c:ser>
          <c:idx val="1"/>
          <c:order val="1"/>
          <c:tx>
            <c:strRef>
              <c:f>'P-01'!$J$10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'P-01'!$O$12:$O$15</c:f>
              <c:numCache>
                <c:formatCode>0.0%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F-4CC6-9948-D330A3CF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007456"/>
        <c:axId val="173008000"/>
      </c:barChart>
      <c:catAx>
        <c:axId val="1730074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008000"/>
        <c:crosses val="autoZero"/>
        <c:auto val="1"/>
        <c:lblAlgn val="ctr"/>
        <c:lblOffset val="100"/>
        <c:noMultiLvlLbl val="0"/>
      </c:catAx>
      <c:valAx>
        <c:axId val="17300800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0074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'P-02'!$D$10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'P-02'!$H$12:$H$15</c:f>
              <c:numCache>
                <c:formatCode>0.0%</c:formatCode>
                <c:ptCount val="4"/>
                <c:pt idx="0">
                  <c:v>0.5</c:v>
                </c:pt>
                <c:pt idx="1">
                  <c:v>0.42857142857142855</c:v>
                </c:pt>
                <c:pt idx="2">
                  <c:v>0</c:v>
                </c:pt>
                <c:pt idx="3">
                  <c:v>0.47058823529411764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4-4898-A143-B39567B9ED43}"/>
            </c:ext>
          </c:extLst>
        </c:ser>
        <c:ser>
          <c:idx val="1"/>
          <c:order val="1"/>
          <c:tx>
            <c:strRef>
              <c:f>'P-02'!$J$10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'P-02'!$O$12:$O$15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D4-4898-A143-B39567B9E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006912"/>
        <c:axId val="172994400"/>
      </c:barChart>
      <c:catAx>
        <c:axId val="17300691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994400"/>
        <c:crosses val="autoZero"/>
        <c:auto val="1"/>
        <c:lblAlgn val="ctr"/>
        <c:lblOffset val="100"/>
        <c:noMultiLvlLbl val="0"/>
      </c:catAx>
      <c:valAx>
        <c:axId val="17299440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006912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'P-03'!$D$10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'P-03'!$H$12:$H$15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A-4880-86AB-7475ABBC16D4}"/>
            </c:ext>
          </c:extLst>
        </c:ser>
        <c:ser>
          <c:idx val="1"/>
          <c:order val="1"/>
          <c:tx>
            <c:strRef>
              <c:f>'P-03'!$J$10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'P-03'!$O$12:$O$15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A-4880-86AB-7475ABBC1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997120"/>
        <c:axId val="172997664"/>
      </c:barChart>
      <c:catAx>
        <c:axId val="17299712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997664"/>
        <c:crosses val="autoZero"/>
        <c:auto val="1"/>
        <c:lblAlgn val="ctr"/>
        <c:lblOffset val="100"/>
        <c:noMultiLvlLbl val="0"/>
      </c:catAx>
      <c:valAx>
        <c:axId val="17299766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997120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'P-04'!$D$10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'P-04'!$H$12:$H$15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8-416E-972D-0784FED00F83}"/>
            </c:ext>
          </c:extLst>
        </c:ser>
        <c:ser>
          <c:idx val="1"/>
          <c:order val="1"/>
          <c:tx>
            <c:strRef>
              <c:f>'P-04'!$J$10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'P-04'!$O$12:$O$15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D8-416E-972D-0784FED00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998752"/>
        <c:axId val="173000384"/>
      </c:barChart>
      <c:catAx>
        <c:axId val="17299875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000384"/>
        <c:crosses val="autoZero"/>
        <c:auto val="1"/>
        <c:lblAlgn val="ctr"/>
        <c:lblOffset val="100"/>
        <c:noMultiLvlLbl val="0"/>
      </c:catAx>
      <c:valAx>
        <c:axId val="17300038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998752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'P-05'!$D$10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'P-05'!$H$12:$H$15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5-41AD-913E-A97D0C4F7231}"/>
            </c:ext>
          </c:extLst>
        </c:ser>
        <c:ser>
          <c:idx val="1"/>
          <c:order val="1"/>
          <c:tx>
            <c:strRef>
              <c:f>'P-05'!$J$10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'P-05'!$O$12:$O$15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85-41AD-913E-A97D0C4F7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000928"/>
        <c:axId val="173001472"/>
      </c:barChart>
      <c:catAx>
        <c:axId val="17300092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001472"/>
        <c:crosses val="autoZero"/>
        <c:auto val="1"/>
        <c:lblAlgn val="ctr"/>
        <c:lblOffset val="100"/>
        <c:noMultiLvlLbl val="0"/>
      </c:catAx>
      <c:valAx>
        <c:axId val="173001472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000928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'P-06'!$D$10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'P-06'!$H$12:$H$15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D-4CBC-8106-440332921E14}"/>
            </c:ext>
          </c:extLst>
        </c:ser>
        <c:ser>
          <c:idx val="1"/>
          <c:order val="1"/>
          <c:tx>
            <c:strRef>
              <c:f>'P-06'!$J$10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'P-06'!$O$12:$O$15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AD-4CBC-8106-440332921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9955120"/>
        <c:axId val="239967088"/>
      </c:barChart>
      <c:catAx>
        <c:axId val="23995512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9967088"/>
        <c:crosses val="autoZero"/>
        <c:auto val="1"/>
        <c:lblAlgn val="ctr"/>
        <c:lblOffset val="100"/>
        <c:noMultiLvlLbl val="0"/>
      </c:catAx>
      <c:valAx>
        <c:axId val="23996708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9955120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'P-07'!$D$10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'P-07'!$H$12:$H$15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8-4DCB-83F5-ECB069190A50}"/>
            </c:ext>
          </c:extLst>
        </c:ser>
        <c:ser>
          <c:idx val="1"/>
          <c:order val="1"/>
          <c:tx>
            <c:strRef>
              <c:f>'P-07'!$J$10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'P-07'!$O$12:$O$15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68-4DCB-83F5-ECB069190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9967632"/>
        <c:axId val="239955664"/>
      </c:barChart>
      <c:catAx>
        <c:axId val="23996763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9955664"/>
        <c:crosses val="autoZero"/>
        <c:auto val="1"/>
        <c:lblAlgn val="ctr"/>
        <c:lblOffset val="100"/>
        <c:noMultiLvlLbl val="0"/>
      </c:catAx>
      <c:valAx>
        <c:axId val="23995566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9967632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'P-08'!$D$10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'P-08'!$H$12:$H$15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A-415D-B147-B1CBD5DD2BE1}"/>
            </c:ext>
          </c:extLst>
        </c:ser>
        <c:ser>
          <c:idx val="1"/>
          <c:order val="1"/>
          <c:tx>
            <c:strRef>
              <c:f>'P-08'!$J$10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'P-08'!$O$12:$O$15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5A-415D-B147-B1CBD5DD2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9958928"/>
        <c:axId val="239968176"/>
      </c:barChart>
      <c:catAx>
        <c:axId val="23995892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9968176"/>
        <c:crosses val="autoZero"/>
        <c:auto val="1"/>
        <c:lblAlgn val="ctr"/>
        <c:lblOffset val="100"/>
        <c:noMultiLvlLbl val="0"/>
      </c:catAx>
      <c:valAx>
        <c:axId val="23996817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9958928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'P-09'!$D$10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'P-09'!$H$12:$H$15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1-44C2-B3E3-CDC5F08ACF59}"/>
            </c:ext>
          </c:extLst>
        </c:ser>
        <c:ser>
          <c:idx val="1"/>
          <c:order val="1"/>
          <c:tx>
            <c:strRef>
              <c:f>'P-09'!$J$10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'P-09'!$O$12:$O$15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81-44C2-B3E3-CDC5F08AC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9959472"/>
        <c:axId val="239963824"/>
      </c:barChart>
      <c:catAx>
        <c:axId val="23995947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9963824"/>
        <c:crosses val="autoZero"/>
        <c:auto val="1"/>
        <c:lblAlgn val="ctr"/>
        <c:lblOffset val="100"/>
        <c:noMultiLvlLbl val="0"/>
      </c:catAx>
      <c:valAx>
        <c:axId val="2399638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9959472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'P-10'!$D$10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'P-10'!$H$12:$H$15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7-4538-9D8B-48B1DA7C353A}"/>
            </c:ext>
          </c:extLst>
        </c:ser>
        <c:ser>
          <c:idx val="1"/>
          <c:order val="1"/>
          <c:tx>
            <c:strRef>
              <c:f>'P-10'!$J$10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'P-10'!$O$12:$O$15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37-4538-9D8B-48B1DA7C3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9969808"/>
        <c:axId val="239964368"/>
      </c:barChart>
      <c:catAx>
        <c:axId val="23996980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9964368"/>
        <c:crosses val="autoZero"/>
        <c:auto val="1"/>
        <c:lblAlgn val="ctr"/>
        <c:lblOffset val="100"/>
        <c:noMultiLvlLbl val="0"/>
      </c:catAx>
      <c:valAx>
        <c:axId val="23996436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9969808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'P-11'!$D$10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'P-11'!$H$12:$H$15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9-4212-8DD3-5D68B2E6561C}"/>
            </c:ext>
          </c:extLst>
        </c:ser>
        <c:ser>
          <c:idx val="1"/>
          <c:order val="1"/>
          <c:tx>
            <c:strRef>
              <c:f>'P-11'!$J$10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'P-11'!$O$12:$O$15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9-4212-8DD3-5D68B2E65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9963280"/>
        <c:axId val="239956752"/>
      </c:barChart>
      <c:catAx>
        <c:axId val="23996328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9956752"/>
        <c:crosses val="autoZero"/>
        <c:auto val="1"/>
        <c:lblAlgn val="ctr"/>
        <c:lblOffset val="100"/>
        <c:noMultiLvlLbl val="0"/>
      </c:catAx>
      <c:valAx>
        <c:axId val="239956752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9963280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'P-12'!$D$10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'P-12'!$H$12:$H$15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B-4B60-8877-B24E6DF9F11B}"/>
            </c:ext>
          </c:extLst>
        </c:ser>
        <c:ser>
          <c:idx val="1"/>
          <c:order val="1"/>
          <c:tx>
            <c:strRef>
              <c:f>'P-12'!$J$10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'P-12'!$O$12:$O$15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B-4B60-8877-B24E6DF9F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9964912"/>
        <c:axId val="239957840"/>
      </c:barChart>
      <c:catAx>
        <c:axId val="23996491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9957840"/>
        <c:crosses val="autoZero"/>
        <c:auto val="1"/>
        <c:lblAlgn val="ctr"/>
        <c:lblOffset val="100"/>
        <c:noMultiLvlLbl val="0"/>
      </c:catAx>
      <c:valAx>
        <c:axId val="23995784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9964912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'P-13'!$D$10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'P-13'!$H$12:$H$15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3-48C0-80E0-5EC0002E0FDE}"/>
            </c:ext>
          </c:extLst>
        </c:ser>
        <c:ser>
          <c:idx val="1"/>
          <c:order val="1"/>
          <c:tx>
            <c:strRef>
              <c:f>'P-13'!$J$10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'P-13'!$O$12:$O$15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03-48C0-80E0-5EC0002E0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1798256"/>
        <c:axId val="241786288"/>
      </c:barChart>
      <c:catAx>
        <c:axId val="2417982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86288"/>
        <c:crosses val="autoZero"/>
        <c:auto val="1"/>
        <c:lblAlgn val="ctr"/>
        <c:lblOffset val="100"/>
        <c:noMultiLvlLbl val="0"/>
      </c:catAx>
      <c:valAx>
        <c:axId val="24178628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982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'P-14'!$D$10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'P-14'!$H$12:$H$15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7-4C36-AA17-EE85899C2186}"/>
            </c:ext>
          </c:extLst>
        </c:ser>
        <c:ser>
          <c:idx val="1"/>
          <c:order val="1"/>
          <c:tx>
            <c:strRef>
              <c:f>'P-14'!$J$10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'P-14'!$O$12:$O$15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27-4C36-AA17-EE85899C2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1790096"/>
        <c:axId val="241793360"/>
      </c:barChart>
      <c:catAx>
        <c:axId val="2417900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93360"/>
        <c:crosses val="autoZero"/>
        <c:auto val="1"/>
        <c:lblAlgn val="ctr"/>
        <c:lblOffset val="100"/>
        <c:noMultiLvlLbl val="0"/>
      </c:catAx>
      <c:valAx>
        <c:axId val="241793360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9009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'P-15'!$D$10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'P-15'!$H$12:$H$15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5-4779-AD1D-A6F75480340A}"/>
            </c:ext>
          </c:extLst>
        </c:ser>
        <c:ser>
          <c:idx val="1"/>
          <c:order val="1"/>
          <c:tx>
            <c:strRef>
              <c:f>'P-15'!$J$10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'P-15'!$O$12:$O$15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E5-4779-AD1D-A6F754803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1787376"/>
        <c:axId val="241792272"/>
      </c:barChart>
      <c:catAx>
        <c:axId val="24178737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92272"/>
        <c:crosses val="autoZero"/>
        <c:auto val="1"/>
        <c:lblAlgn val="ctr"/>
        <c:lblOffset val="100"/>
        <c:noMultiLvlLbl val="0"/>
      </c:catAx>
      <c:valAx>
        <c:axId val="241792272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8737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'P-16'!$D$10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'P-16'!$H$12:$H$15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0-47EC-BE59-39E45BBC0D66}"/>
            </c:ext>
          </c:extLst>
        </c:ser>
        <c:ser>
          <c:idx val="1"/>
          <c:order val="1"/>
          <c:tx>
            <c:strRef>
              <c:f>'P-16'!$J$10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'P-16'!$O$12:$O$15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10-47EC-BE59-39E45BBC0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1789008"/>
        <c:axId val="241793904"/>
      </c:barChart>
      <c:catAx>
        <c:axId val="24178900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93904"/>
        <c:crosses val="autoZero"/>
        <c:auto val="1"/>
        <c:lblAlgn val="ctr"/>
        <c:lblOffset val="100"/>
        <c:noMultiLvlLbl val="0"/>
      </c:catAx>
      <c:valAx>
        <c:axId val="24179390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89008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'P-17'!$D$10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'P-17'!$H$12:$H$15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C-40B5-A9EE-B0A19081B334}"/>
            </c:ext>
          </c:extLst>
        </c:ser>
        <c:ser>
          <c:idx val="1"/>
          <c:order val="1"/>
          <c:tx>
            <c:strRef>
              <c:f>'P-17'!$J$10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'P-17'!$O$12:$O$15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C-40B5-A9EE-B0A19081B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1789552"/>
        <c:axId val="241799344"/>
      </c:barChart>
      <c:catAx>
        <c:axId val="24178955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99344"/>
        <c:crosses val="autoZero"/>
        <c:auto val="1"/>
        <c:lblAlgn val="ctr"/>
        <c:lblOffset val="100"/>
        <c:noMultiLvlLbl val="0"/>
      </c:catAx>
      <c:valAx>
        <c:axId val="24179934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89552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'P-18'!$D$10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'P-18'!$H$12:$H$15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A-4088-AF32-61BA124A0B67}"/>
            </c:ext>
          </c:extLst>
        </c:ser>
        <c:ser>
          <c:idx val="1"/>
          <c:order val="1"/>
          <c:tx>
            <c:strRef>
              <c:f>'P-18'!$J$10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'P-18'!$O$12:$O$15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4A-4088-AF32-61BA124A0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1797168"/>
        <c:axId val="241791184"/>
      </c:barChart>
      <c:catAx>
        <c:axId val="24179716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91184"/>
        <c:crosses val="autoZero"/>
        <c:auto val="1"/>
        <c:lblAlgn val="ctr"/>
        <c:lblOffset val="100"/>
        <c:noMultiLvlLbl val="0"/>
      </c:catAx>
      <c:valAx>
        <c:axId val="24179118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97168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'P-19'!$D$10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'P-19'!$H$12:$H$15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A-4088-AF32-61BA124A0B67}"/>
            </c:ext>
          </c:extLst>
        </c:ser>
        <c:ser>
          <c:idx val="1"/>
          <c:order val="1"/>
          <c:tx>
            <c:strRef>
              <c:f>'P-19'!$J$10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'P-19'!$O$12:$O$15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4A-4088-AF32-61BA124A0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1784656"/>
        <c:axId val="241799888"/>
      </c:barChart>
      <c:catAx>
        <c:axId val="241784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99888"/>
        <c:crosses val="autoZero"/>
        <c:auto val="1"/>
        <c:lblAlgn val="ctr"/>
        <c:lblOffset val="100"/>
        <c:noMultiLvlLbl val="0"/>
      </c:catAx>
      <c:valAx>
        <c:axId val="24179988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1784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'P-20'!$D$10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'P-20'!$H$12:$H$15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5-49B4-BC2B-8383EC607C57}"/>
            </c:ext>
          </c:extLst>
        </c:ser>
        <c:ser>
          <c:idx val="1"/>
          <c:order val="1"/>
          <c:tx>
            <c:strRef>
              <c:f>'P-20'!$J$10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'P-20'!$O$12:$O$15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D5-49B4-BC2B-8383EC607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4212128"/>
        <c:axId val="244214304"/>
      </c:barChart>
      <c:catAx>
        <c:axId val="24421212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4214304"/>
        <c:crosses val="autoZero"/>
        <c:auto val="1"/>
        <c:lblAlgn val="ctr"/>
        <c:lblOffset val="100"/>
        <c:noMultiLvlLbl val="0"/>
      </c:catAx>
      <c:valAx>
        <c:axId val="24421430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4212128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'P-21'!$D$10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'P-21'!$H$12:$H$15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7-46DC-8BC7-9D09C8E13A17}"/>
            </c:ext>
          </c:extLst>
        </c:ser>
        <c:ser>
          <c:idx val="1"/>
          <c:order val="1"/>
          <c:tx>
            <c:strRef>
              <c:f>'P-21'!$J$10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'P-21'!$O$12:$O$15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67-46DC-8BC7-9D09C8E13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4218656"/>
        <c:axId val="244214848"/>
      </c:barChart>
      <c:catAx>
        <c:axId val="244218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4214848"/>
        <c:crosses val="autoZero"/>
        <c:auto val="1"/>
        <c:lblAlgn val="ctr"/>
        <c:lblOffset val="100"/>
        <c:noMultiLvlLbl val="0"/>
      </c:catAx>
      <c:valAx>
        <c:axId val="24421484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4218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'P-22'!$D$10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'P-22'!$H$12:$H$15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4-473D-86E1-1997680E2E8A}"/>
            </c:ext>
          </c:extLst>
        </c:ser>
        <c:ser>
          <c:idx val="1"/>
          <c:order val="1"/>
          <c:tx>
            <c:strRef>
              <c:f>'P-22'!$J$10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'P-22'!$O$12:$O$15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C4-473D-86E1-1997680E2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4218112"/>
        <c:axId val="244215392"/>
      </c:barChart>
      <c:catAx>
        <c:axId val="24421811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4215392"/>
        <c:crosses val="autoZero"/>
        <c:auto val="1"/>
        <c:lblAlgn val="ctr"/>
        <c:lblOffset val="100"/>
        <c:noMultiLvlLbl val="0"/>
      </c:catAx>
      <c:valAx>
        <c:axId val="244215392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4218112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'P-23'!$D$10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'P-23'!$H$12:$H$15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8-497A-A441-643BD60FD61B}"/>
            </c:ext>
          </c:extLst>
        </c:ser>
        <c:ser>
          <c:idx val="1"/>
          <c:order val="1"/>
          <c:tx>
            <c:strRef>
              <c:f>'P-23'!$J$10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'P-23'!$O$12:$O$15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B8-497A-A441-643BD60FD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4211040"/>
        <c:axId val="244209408"/>
      </c:barChart>
      <c:catAx>
        <c:axId val="24421104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4209408"/>
        <c:crosses val="autoZero"/>
        <c:auto val="1"/>
        <c:lblAlgn val="ctr"/>
        <c:lblOffset val="100"/>
        <c:noMultiLvlLbl val="0"/>
      </c:catAx>
      <c:valAx>
        <c:axId val="24420940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4211040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'P-24'!$D$10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'P-24'!$H$12:$H$15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E-4EE5-A25A-B6BE6AFA99BB}"/>
            </c:ext>
          </c:extLst>
        </c:ser>
        <c:ser>
          <c:idx val="1"/>
          <c:order val="1"/>
          <c:tx>
            <c:strRef>
              <c:f>'P-24'!$J$10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'P-24'!$O$12:$O$15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E-4EE5-A25A-B6BE6AFA9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4215936"/>
        <c:axId val="244220288"/>
      </c:barChart>
      <c:catAx>
        <c:axId val="24421593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4220288"/>
        <c:crosses val="autoZero"/>
        <c:auto val="1"/>
        <c:lblAlgn val="ctr"/>
        <c:lblOffset val="100"/>
        <c:noMultiLvlLbl val="0"/>
      </c:catAx>
      <c:valAx>
        <c:axId val="24422028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421593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'P-25'!$D$10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'P-25'!$H$12:$H$15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C-44AF-996E-C644239D4019}"/>
            </c:ext>
          </c:extLst>
        </c:ser>
        <c:ser>
          <c:idx val="1"/>
          <c:order val="1"/>
          <c:tx>
            <c:strRef>
              <c:f>'P-25'!$J$10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'P-25'!$O$12:$O$15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7C-44AF-996E-C644239D4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4222464"/>
        <c:axId val="244223008"/>
      </c:barChart>
      <c:catAx>
        <c:axId val="2442224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4223008"/>
        <c:crosses val="autoZero"/>
        <c:auto val="1"/>
        <c:lblAlgn val="ctr"/>
        <c:lblOffset val="100"/>
        <c:noMultiLvlLbl val="0"/>
      </c:catAx>
      <c:valAx>
        <c:axId val="24422300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4222464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'P-26'!$D$10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'P-26'!$H$12:$H$15</c:f>
              <c:numCache>
                <c:formatCode>0.0%</c:formatCode>
                <c:ptCount val="4"/>
                <c:pt idx="0">
                  <c:v>0.625</c:v>
                </c:pt>
                <c:pt idx="1">
                  <c:v>0.42857142857142855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A-4546-9445-63355C9E2E08}"/>
            </c:ext>
          </c:extLst>
        </c:ser>
        <c:ser>
          <c:idx val="1"/>
          <c:order val="1"/>
          <c:tx>
            <c:strRef>
              <c:f>'P-26'!$J$10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numFmt formatCode="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(이행)'!$A$6:$D$9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보안 관리</c:v>
                </c:pt>
              </c:strCache>
            </c:strRef>
          </c:cat>
          <c:val>
            <c:numRef>
              <c:f>'P-26'!$O$12:$O$15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A-4546-9445-63355C9E2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4209952"/>
        <c:axId val="244210496"/>
      </c:barChart>
      <c:catAx>
        <c:axId val="24420995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4210496"/>
        <c:crosses val="autoZero"/>
        <c:auto val="1"/>
        <c:lblAlgn val="ctr"/>
        <c:lblOffset val="100"/>
        <c:noMultiLvlLbl val="0"/>
      </c:catAx>
      <c:valAx>
        <c:axId val="2442104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4209952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82551</xdr:colOff>
      <xdr:row>4</xdr:row>
      <xdr:rowOff>228601</xdr:rowOff>
    </xdr:from>
    <xdr:to>
      <xdr:col>9</xdr:col>
      <xdr:colOff>831851</xdr:colOff>
      <xdr:row>9</xdr:row>
      <xdr:rowOff>178705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0137" y="1752601"/>
          <a:ext cx="7846785" cy="18551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en-US" altLang="ko-KR" sz="2800" b="1" baseline="0">
              <a:solidFill>
                <a:sysClr val="windowText" lastClr="000000"/>
              </a:solidFill>
              <a:latin typeface="+mj-ea"/>
              <a:ea typeface="+mj-ea"/>
            </a:rPr>
            <a:t>PC</a:t>
          </a:r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709386</xdr:colOff>
      <xdr:row>4</xdr:row>
      <xdr:rowOff>187778</xdr:rowOff>
    </xdr:from>
    <xdr:to>
      <xdr:col>9</xdr:col>
      <xdr:colOff>2729</xdr:colOff>
      <xdr:row>4</xdr:row>
      <xdr:rowOff>224685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986972" y="1711778"/>
          <a:ext cx="6390828" cy="369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746579</xdr:colOff>
      <xdr:row>9</xdr:row>
      <xdr:rowOff>177799</xdr:rowOff>
    </xdr:from>
    <xdr:to>
      <xdr:col>9</xdr:col>
      <xdr:colOff>42643</xdr:colOff>
      <xdr:row>9</xdr:row>
      <xdr:rowOff>214706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24165" y="3606799"/>
          <a:ext cx="6393549" cy="369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33355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525" y="4295775"/>
          <a:ext cx="4105275" cy="345283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10</xdr:row>
      <xdr:rowOff>161925</xdr:rowOff>
    </xdr:from>
    <xdr:to>
      <xdr:col>11</xdr:col>
      <xdr:colOff>409575</xdr:colOff>
      <xdr:row>34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10</xdr:row>
      <xdr:rowOff>183697</xdr:rowOff>
    </xdr:from>
    <xdr:to>
      <xdr:col>20</xdr:col>
      <xdr:colOff>619124</xdr:colOff>
      <xdr:row>34</xdr:row>
      <xdr:rowOff>88447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60466</xdr:colOff>
      <xdr:row>11</xdr:row>
      <xdr:rowOff>92154</xdr:rowOff>
    </xdr:from>
    <xdr:to>
      <xdr:col>8</xdr:col>
      <xdr:colOff>4741373</xdr:colOff>
      <xdr:row>15</xdr:row>
      <xdr:rowOff>276517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 rtlCol="0" anchor="t" anchorCtr="0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800" b="1">
            <a:solidFill>
              <a:sysClr val="windowText" lastClr="000000"/>
            </a:solidFill>
            <a:latin typeface="굴림체" pitchFamily="49" charset="-127"/>
            <a:ea typeface="굴림체" pitchFamily="49" charset="-127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"/>
  <sheetViews>
    <sheetView tabSelected="1" view="pageBreakPreview" zoomScaleNormal="70" zoomScaleSheetLayoutView="100" workbookViewId="0"/>
  </sheetViews>
  <sheetFormatPr defaultColWidth="8.77734375" defaultRowHeight="16.5"/>
  <cols>
    <col min="1" max="1" width="3.6640625" style="69" customWidth="1"/>
    <col min="2" max="5" width="11.6640625" style="69" customWidth="1"/>
    <col min="6" max="6" width="12.44140625" style="69" bestFit="1" customWidth="1"/>
    <col min="7" max="10" width="11.6640625" style="69" customWidth="1"/>
    <col min="11" max="11" width="3.6640625" style="68" customWidth="1"/>
    <col min="12" max="12" width="8.77734375" style="68" customWidth="1"/>
    <col min="13" max="16384" width="8.77734375" style="68"/>
  </cols>
  <sheetData>
    <row r="1" spans="1:11" ht="30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7"/>
    </row>
    <row r="2" spans="1:11" ht="30" customHeight="1">
      <c r="A2" s="66"/>
      <c r="B2" s="175"/>
      <c r="C2" s="176"/>
      <c r="D2" s="176"/>
      <c r="E2" s="66"/>
      <c r="F2" s="66"/>
      <c r="G2" s="66"/>
      <c r="H2" s="66"/>
      <c r="I2" s="66"/>
      <c r="J2" s="66"/>
      <c r="K2" s="66"/>
    </row>
    <row r="3" spans="1:11" ht="30" customHeight="1">
      <c r="A3" s="66"/>
      <c r="B3" s="176"/>
      <c r="C3" s="176"/>
      <c r="D3" s="176"/>
      <c r="E3" s="66"/>
      <c r="F3" s="66"/>
      <c r="G3" s="66"/>
      <c r="H3" s="66"/>
      <c r="I3" s="66"/>
      <c r="J3" s="66"/>
      <c r="K3" s="66"/>
    </row>
    <row r="4" spans="1:11" ht="30" customHeight="1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</row>
    <row r="5" spans="1:11" ht="30" customHeight="1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</row>
    <row r="6" spans="1:11" ht="30" customHeight="1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</row>
    <row r="7" spans="1:11" ht="30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</row>
    <row r="8" spans="1:11" ht="30" customHeight="1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</row>
    <row r="9" spans="1:11" ht="30" customHeight="1">
      <c r="A9" s="66"/>
      <c r="B9" s="66"/>
      <c r="C9" s="66"/>
      <c r="D9" s="66"/>
      <c r="E9" s="66"/>
      <c r="F9" s="66"/>
      <c r="G9" s="66"/>
      <c r="H9" s="66"/>
      <c r="I9" s="66"/>
      <c r="J9" s="66"/>
      <c r="K9" s="67"/>
    </row>
    <row r="10" spans="1:11" ht="30" customHeight="1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7"/>
    </row>
    <row r="11" spans="1:11" ht="30" customHeight="1">
      <c r="A11" s="66"/>
      <c r="B11" s="66"/>
      <c r="C11" s="66"/>
      <c r="D11" s="66"/>
      <c r="E11" s="66"/>
      <c r="F11" s="140">
        <v>46219</v>
      </c>
      <c r="G11" s="66"/>
      <c r="H11" s="66"/>
      <c r="I11" s="66"/>
      <c r="J11" s="66"/>
      <c r="K11" s="67"/>
    </row>
    <row r="12" spans="1:11" ht="30" customHeight="1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7"/>
    </row>
    <row r="13" spans="1:11" ht="30" customHeight="1">
      <c r="A13" s="66"/>
      <c r="B13" s="66"/>
      <c r="C13" s="66"/>
      <c r="D13" s="66"/>
      <c r="E13" s="66"/>
      <c r="F13" s="66"/>
      <c r="G13" s="66"/>
      <c r="H13"/>
      <c r="I13" s="66"/>
      <c r="J13" s="66"/>
      <c r="K13" s="67"/>
    </row>
    <row r="14" spans="1:11" ht="30" customHeight="1">
      <c r="A14" s="177"/>
      <c r="B14" s="176"/>
      <c r="C14" s="176"/>
      <c r="D14" s="176"/>
      <c r="E14" s="176"/>
      <c r="F14" s="176"/>
      <c r="G14" s="176"/>
      <c r="H14" s="176"/>
      <c r="I14" s="176"/>
      <c r="J14" s="176"/>
      <c r="K14" s="178"/>
    </row>
    <row r="15" spans="1:11" ht="30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</row>
    <row r="16" spans="1:11" ht="16.350000000000001" customHeight="1"/>
  </sheetData>
  <mergeCells count="2">
    <mergeCell ref="B2:D3"/>
    <mergeCell ref="A14:K14"/>
  </mergeCells>
  <phoneticPr fontId="3" type="noConversion"/>
  <printOptions horizontalCentered="1"/>
  <pageMargins left="0.19685039370078741" right="0.19685039370078741" top="0.59055118110236227" bottom="0.19685039370078741" header="0.31496062992125978" footer="0.31496062992125978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R30"/>
  <sheetViews>
    <sheetView showGridLines="0" view="pageBreakPreview" zoomScaleNormal="100" zoomScaleSheetLayoutView="100" workbookViewId="0"/>
  </sheetViews>
  <sheetFormatPr defaultColWidth="8.77734375" defaultRowHeight="11.25"/>
  <cols>
    <col min="1" max="1" width="3.77734375" style="17" customWidth="1"/>
    <col min="2" max="2" width="15.77734375" style="20" bestFit="1" customWidth="1"/>
    <col min="3" max="3" width="12.44140625" style="20" bestFit="1" customWidth="1"/>
    <col min="4" max="6" width="6.109375" style="20" hidden="1" customWidth="1"/>
    <col min="7" max="7" width="8.21875" style="20" bestFit="1" customWidth="1"/>
    <col min="8" max="8" width="8" style="20" bestFit="1" customWidth="1"/>
    <col min="9" max="9" width="23" style="20" bestFit="1" customWidth="1"/>
    <col min="10" max="10" width="6.109375" style="17" bestFit="1" customWidth="1"/>
    <col min="11" max="11" width="11.6640625" style="17" bestFit="1" customWidth="1"/>
    <col min="12" max="13" width="6.44140625" style="17" customWidth="1"/>
    <col min="14" max="17" width="4.77734375" style="17" customWidth="1"/>
    <col min="18" max="18" width="8.44140625" style="20" customWidth="1"/>
    <col min="19" max="19" width="8.77734375" style="17" customWidth="1"/>
    <col min="20" max="16384" width="8.77734375" style="17"/>
  </cols>
  <sheetData>
    <row r="1" spans="1:18" ht="17.100000000000001" customHeight="1">
      <c r="A1" s="16" t="s">
        <v>189</v>
      </c>
    </row>
    <row r="2" spans="1:18" ht="14.1" customHeight="1" thickBot="1"/>
    <row r="3" spans="1:18" ht="11.25" customHeight="1">
      <c r="A3" s="182" t="s">
        <v>0</v>
      </c>
      <c r="B3" s="184" t="s">
        <v>1</v>
      </c>
      <c r="C3" s="184" t="s">
        <v>2</v>
      </c>
      <c r="D3" s="184" t="s">
        <v>3</v>
      </c>
      <c r="E3" s="184" t="s">
        <v>4</v>
      </c>
      <c r="F3" s="184" t="s">
        <v>5</v>
      </c>
      <c r="G3" s="184" t="s">
        <v>6</v>
      </c>
      <c r="H3" s="184" t="s">
        <v>7</v>
      </c>
      <c r="I3" s="184" t="s">
        <v>8</v>
      </c>
      <c r="J3" s="184" t="s">
        <v>9</v>
      </c>
      <c r="K3" s="184" t="s">
        <v>10</v>
      </c>
      <c r="L3" s="184" t="s">
        <v>11</v>
      </c>
      <c r="M3" s="184" t="s">
        <v>12</v>
      </c>
      <c r="N3" s="179" t="s">
        <v>13</v>
      </c>
      <c r="O3" s="180"/>
      <c r="P3" s="180"/>
      <c r="Q3" s="181"/>
      <c r="R3" s="27"/>
    </row>
    <row r="4" spans="1:18" ht="14.1" customHeight="1" thickBot="1">
      <c r="A4" s="183"/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70" t="s">
        <v>14</v>
      </c>
      <c r="O4" s="70" t="s">
        <v>15</v>
      </c>
      <c r="P4" s="70" t="s">
        <v>16</v>
      </c>
      <c r="Q4" s="71" t="s">
        <v>17</v>
      </c>
      <c r="R4" s="27" t="s">
        <v>18</v>
      </c>
    </row>
    <row r="5" spans="1:18" ht="14.1" customHeight="1">
      <c r="A5" s="32">
        <v>1</v>
      </c>
      <c r="B5" s="64" t="s">
        <v>184</v>
      </c>
      <c r="C5" s="31" t="s">
        <v>240</v>
      </c>
      <c r="D5" s="31"/>
      <c r="E5" s="31"/>
      <c r="F5" s="31"/>
      <c r="G5" s="31" t="s">
        <v>190</v>
      </c>
      <c r="H5" s="31">
        <v>10</v>
      </c>
      <c r="I5" s="31" t="s">
        <v>185</v>
      </c>
      <c r="J5" s="64" t="s">
        <v>216</v>
      </c>
      <c r="K5" s="64" t="s">
        <v>218</v>
      </c>
      <c r="L5" s="64" t="s">
        <v>224</v>
      </c>
      <c r="M5" s="31"/>
      <c r="N5" s="65">
        <v>3</v>
      </c>
      <c r="O5" s="65">
        <v>3</v>
      </c>
      <c r="P5" s="65">
        <v>3</v>
      </c>
      <c r="Q5" s="159" t="str">
        <f t="shared" ref="Q5:Q7" si="0">IF(R5&gt;=7,"H",IF(R5&gt;=5,"M","L"))</f>
        <v>H</v>
      </c>
      <c r="R5" s="27">
        <f t="shared" ref="R5:R7" si="1">SUM(N5:P5)</f>
        <v>9</v>
      </c>
    </row>
    <row r="6" spans="1:18" ht="14.1" customHeight="1">
      <c r="A6" s="32">
        <v>2</v>
      </c>
      <c r="B6" s="64" t="s">
        <v>132</v>
      </c>
      <c r="C6" s="31" t="s">
        <v>241</v>
      </c>
      <c r="D6" s="31"/>
      <c r="E6" s="31"/>
      <c r="F6" s="31"/>
      <c r="G6" s="31" t="s">
        <v>190</v>
      </c>
      <c r="H6" s="31">
        <v>10</v>
      </c>
      <c r="I6" s="31" t="s">
        <v>185</v>
      </c>
      <c r="J6" s="64" t="s">
        <v>216</v>
      </c>
      <c r="K6" s="64" t="s">
        <v>218</v>
      </c>
      <c r="L6" s="64" t="s">
        <v>224</v>
      </c>
      <c r="M6" s="31"/>
      <c r="N6" s="65">
        <v>3</v>
      </c>
      <c r="O6" s="65">
        <v>3</v>
      </c>
      <c r="P6" s="65">
        <v>3</v>
      </c>
      <c r="Q6" s="159" t="str">
        <f t="shared" si="0"/>
        <v>H</v>
      </c>
      <c r="R6" s="27">
        <f t="shared" si="1"/>
        <v>9</v>
      </c>
    </row>
    <row r="7" spans="1:18" ht="14.1" customHeight="1">
      <c r="A7" s="32">
        <v>3</v>
      </c>
      <c r="B7" s="64" t="s">
        <v>133</v>
      </c>
      <c r="C7" s="31" t="s">
        <v>242</v>
      </c>
      <c r="D7" s="31"/>
      <c r="E7" s="31"/>
      <c r="F7" s="31"/>
      <c r="G7" s="31" t="s">
        <v>190</v>
      </c>
      <c r="H7" s="31">
        <v>10</v>
      </c>
      <c r="I7" s="31" t="s">
        <v>186</v>
      </c>
      <c r="J7" s="64" t="s">
        <v>216</v>
      </c>
      <c r="K7" s="64" t="s">
        <v>218</v>
      </c>
      <c r="L7" s="64" t="s">
        <v>224</v>
      </c>
      <c r="M7" s="31"/>
      <c r="N7" s="65">
        <v>3</v>
      </c>
      <c r="O7" s="65">
        <v>3</v>
      </c>
      <c r="P7" s="65">
        <v>3</v>
      </c>
      <c r="Q7" s="159" t="str">
        <f t="shared" si="0"/>
        <v>H</v>
      </c>
      <c r="R7" s="27">
        <f t="shared" si="1"/>
        <v>9</v>
      </c>
    </row>
    <row r="8" spans="1:18" ht="13.5" customHeight="1">
      <c r="A8" s="32">
        <v>4</v>
      </c>
      <c r="B8" s="64" t="s">
        <v>193</v>
      </c>
      <c r="C8" s="31" t="s">
        <v>243</v>
      </c>
      <c r="D8" s="31"/>
      <c r="E8" s="31"/>
      <c r="F8" s="31"/>
      <c r="G8" s="31" t="s">
        <v>190</v>
      </c>
      <c r="H8" s="31">
        <v>10</v>
      </c>
      <c r="I8" s="31" t="s">
        <v>185</v>
      </c>
      <c r="J8" s="64" t="s">
        <v>216</v>
      </c>
      <c r="K8" s="64" t="s">
        <v>218</v>
      </c>
      <c r="L8" s="64" t="s">
        <v>224</v>
      </c>
      <c r="M8" s="31"/>
      <c r="N8" s="65">
        <v>3</v>
      </c>
      <c r="O8" s="65">
        <v>3</v>
      </c>
      <c r="P8" s="65">
        <v>3</v>
      </c>
      <c r="Q8" s="159" t="str">
        <f t="shared" ref="Q8" si="2">IF(R8&gt;=7,"H",IF(R8&gt;=5,"M","L"))</f>
        <v>H</v>
      </c>
      <c r="R8" s="27">
        <f t="shared" ref="R8" si="3">SUM(N8:P8)</f>
        <v>9</v>
      </c>
    </row>
    <row r="9" spans="1:18" ht="13.5" customHeight="1">
      <c r="A9" s="32">
        <v>5</v>
      </c>
      <c r="B9" s="64" t="s">
        <v>194</v>
      </c>
      <c r="C9" s="31" t="s">
        <v>244</v>
      </c>
      <c r="D9" s="31"/>
      <c r="E9" s="31"/>
      <c r="F9" s="31"/>
      <c r="G9" s="31" t="s">
        <v>190</v>
      </c>
      <c r="H9" s="31">
        <v>10</v>
      </c>
      <c r="I9" s="31" t="s">
        <v>185</v>
      </c>
      <c r="J9" s="64" t="s">
        <v>216</v>
      </c>
      <c r="K9" s="64" t="s">
        <v>218</v>
      </c>
      <c r="L9" s="64" t="s">
        <v>224</v>
      </c>
      <c r="M9" s="31"/>
      <c r="N9" s="65">
        <v>3</v>
      </c>
      <c r="O9" s="65">
        <v>3</v>
      </c>
      <c r="P9" s="65">
        <v>3</v>
      </c>
      <c r="Q9" s="159" t="str">
        <f t="shared" ref="Q9:Q17" si="4">IF(R9&gt;=7,"H",IF(R9&gt;=5,"M","L"))</f>
        <v>H</v>
      </c>
      <c r="R9" s="27">
        <f t="shared" ref="R9:R17" si="5">SUM(N9:P9)</f>
        <v>9</v>
      </c>
    </row>
    <row r="10" spans="1:18" ht="13.5" customHeight="1">
      <c r="A10" s="32">
        <v>6</v>
      </c>
      <c r="B10" s="64" t="s">
        <v>195</v>
      </c>
      <c r="C10" s="31" t="s">
        <v>245</v>
      </c>
      <c r="D10" s="31"/>
      <c r="E10" s="31"/>
      <c r="F10" s="31"/>
      <c r="G10" s="31" t="s">
        <v>190</v>
      </c>
      <c r="H10" s="31">
        <v>10</v>
      </c>
      <c r="I10" s="31" t="s">
        <v>185</v>
      </c>
      <c r="J10" s="64" t="s">
        <v>216</v>
      </c>
      <c r="K10" s="64" t="s">
        <v>218</v>
      </c>
      <c r="L10" s="64" t="s">
        <v>224</v>
      </c>
      <c r="M10" s="31"/>
      <c r="N10" s="65">
        <v>3</v>
      </c>
      <c r="O10" s="65">
        <v>3</v>
      </c>
      <c r="P10" s="65">
        <v>3</v>
      </c>
      <c r="Q10" s="159" t="str">
        <f t="shared" si="4"/>
        <v>H</v>
      </c>
      <c r="R10" s="27">
        <f t="shared" si="5"/>
        <v>9</v>
      </c>
    </row>
    <row r="11" spans="1:18" ht="13.5" customHeight="1">
      <c r="A11" s="32">
        <v>7</v>
      </c>
      <c r="B11" s="64" t="s">
        <v>196</v>
      </c>
      <c r="C11" s="31" t="s">
        <v>246</v>
      </c>
      <c r="D11" s="31"/>
      <c r="E11" s="31"/>
      <c r="F11" s="31"/>
      <c r="G11" s="31" t="s">
        <v>190</v>
      </c>
      <c r="H11" s="31">
        <v>10</v>
      </c>
      <c r="I11" s="31" t="s">
        <v>185</v>
      </c>
      <c r="J11" s="64" t="s">
        <v>216</v>
      </c>
      <c r="K11" s="64" t="s">
        <v>218</v>
      </c>
      <c r="L11" s="64" t="s">
        <v>224</v>
      </c>
      <c r="M11" s="31"/>
      <c r="N11" s="65">
        <v>3</v>
      </c>
      <c r="O11" s="65">
        <v>3</v>
      </c>
      <c r="P11" s="65">
        <v>3</v>
      </c>
      <c r="Q11" s="159" t="str">
        <f t="shared" si="4"/>
        <v>H</v>
      </c>
      <c r="R11" s="27">
        <f t="shared" si="5"/>
        <v>9</v>
      </c>
    </row>
    <row r="12" spans="1:18" ht="13.5" customHeight="1">
      <c r="A12" s="32">
        <v>8</v>
      </c>
      <c r="B12" s="64" t="s">
        <v>197</v>
      </c>
      <c r="C12" s="31" t="s">
        <v>247</v>
      </c>
      <c r="D12" s="31"/>
      <c r="E12" s="31"/>
      <c r="F12" s="31"/>
      <c r="G12" s="31" t="s">
        <v>190</v>
      </c>
      <c r="H12" s="31">
        <v>10</v>
      </c>
      <c r="I12" s="31" t="s">
        <v>185</v>
      </c>
      <c r="J12" s="64" t="s">
        <v>216</v>
      </c>
      <c r="K12" s="64" t="s">
        <v>218</v>
      </c>
      <c r="L12" s="64" t="s">
        <v>224</v>
      </c>
      <c r="M12" s="31"/>
      <c r="N12" s="65">
        <v>3</v>
      </c>
      <c r="O12" s="65">
        <v>3</v>
      </c>
      <c r="P12" s="65">
        <v>3</v>
      </c>
      <c r="Q12" s="159" t="str">
        <f t="shared" si="4"/>
        <v>H</v>
      </c>
      <c r="R12" s="27">
        <f t="shared" si="5"/>
        <v>9</v>
      </c>
    </row>
    <row r="13" spans="1:18" ht="13.5" customHeight="1">
      <c r="A13" s="32">
        <v>9</v>
      </c>
      <c r="B13" s="64" t="s">
        <v>198</v>
      </c>
      <c r="C13" s="31" t="s">
        <v>248</v>
      </c>
      <c r="D13" s="31"/>
      <c r="E13" s="31"/>
      <c r="F13" s="31"/>
      <c r="G13" s="31" t="s">
        <v>190</v>
      </c>
      <c r="H13" s="31">
        <v>10</v>
      </c>
      <c r="I13" s="31" t="s">
        <v>185</v>
      </c>
      <c r="J13" s="64" t="s">
        <v>216</v>
      </c>
      <c r="K13" s="64" t="s">
        <v>218</v>
      </c>
      <c r="L13" s="64" t="s">
        <v>224</v>
      </c>
      <c r="M13" s="31"/>
      <c r="N13" s="65">
        <v>3</v>
      </c>
      <c r="O13" s="65">
        <v>3</v>
      </c>
      <c r="P13" s="65">
        <v>3</v>
      </c>
      <c r="Q13" s="159" t="str">
        <f t="shared" si="4"/>
        <v>H</v>
      </c>
      <c r="R13" s="27">
        <f t="shared" si="5"/>
        <v>9</v>
      </c>
    </row>
    <row r="14" spans="1:18" ht="13.5" customHeight="1">
      <c r="A14" s="32">
        <v>10</v>
      </c>
      <c r="B14" s="64" t="s">
        <v>199</v>
      </c>
      <c r="C14" s="31" t="s">
        <v>249</v>
      </c>
      <c r="D14" s="31"/>
      <c r="E14" s="31"/>
      <c r="F14" s="31"/>
      <c r="G14" s="31" t="s">
        <v>190</v>
      </c>
      <c r="H14" s="31">
        <v>10</v>
      </c>
      <c r="I14" s="31" t="s">
        <v>185</v>
      </c>
      <c r="J14" s="64" t="s">
        <v>216</v>
      </c>
      <c r="K14" s="64" t="s">
        <v>218</v>
      </c>
      <c r="L14" s="64" t="s">
        <v>224</v>
      </c>
      <c r="M14" s="31"/>
      <c r="N14" s="65">
        <v>3</v>
      </c>
      <c r="O14" s="65">
        <v>3</v>
      </c>
      <c r="P14" s="65">
        <v>3</v>
      </c>
      <c r="Q14" s="159" t="str">
        <f t="shared" si="4"/>
        <v>H</v>
      </c>
      <c r="R14" s="27">
        <f t="shared" si="5"/>
        <v>9</v>
      </c>
    </row>
    <row r="15" spans="1:18" ht="13.5" customHeight="1">
      <c r="A15" s="32">
        <v>11</v>
      </c>
      <c r="B15" s="64" t="s">
        <v>200</v>
      </c>
      <c r="C15" s="31" t="s">
        <v>250</v>
      </c>
      <c r="D15" s="31"/>
      <c r="E15" s="31"/>
      <c r="F15" s="31"/>
      <c r="G15" s="31" t="s">
        <v>190</v>
      </c>
      <c r="H15" s="31">
        <v>10</v>
      </c>
      <c r="I15" s="31" t="s">
        <v>185</v>
      </c>
      <c r="J15" s="64" t="s">
        <v>216</v>
      </c>
      <c r="K15" s="64" t="s">
        <v>218</v>
      </c>
      <c r="L15" s="64" t="s">
        <v>224</v>
      </c>
      <c r="M15" s="31"/>
      <c r="N15" s="65">
        <v>3</v>
      </c>
      <c r="O15" s="65">
        <v>3</v>
      </c>
      <c r="P15" s="65">
        <v>3</v>
      </c>
      <c r="Q15" s="159" t="str">
        <f t="shared" si="4"/>
        <v>H</v>
      </c>
      <c r="R15" s="27">
        <f t="shared" si="5"/>
        <v>9</v>
      </c>
    </row>
    <row r="16" spans="1:18" ht="13.5" customHeight="1">
      <c r="A16" s="32">
        <v>12</v>
      </c>
      <c r="B16" s="64" t="s">
        <v>201</v>
      </c>
      <c r="C16" s="31" t="s">
        <v>251</v>
      </c>
      <c r="D16" s="31"/>
      <c r="E16" s="31"/>
      <c r="F16" s="31"/>
      <c r="G16" s="31" t="s">
        <v>190</v>
      </c>
      <c r="H16" s="31">
        <v>10</v>
      </c>
      <c r="I16" s="31" t="s">
        <v>185</v>
      </c>
      <c r="J16" s="64" t="s">
        <v>216</v>
      </c>
      <c r="K16" s="64" t="s">
        <v>218</v>
      </c>
      <c r="L16" s="64" t="s">
        <v>224</v>
      </c>
      <c r="M16" s="31"/>
      <c r="N16" s="65">
        <v>3</v>
      </c>
      <c r="O16" s="65">
        <v>3</v>
      </c>
      <c r="P16" s="65">
        <v>3</v>
      </c>
      <c r="Q16" s="159" t="str">
        <f t="shared" si="4"/>
        <v>H</v>
      </c>
      <c r="R16" s="27">
        <f t="shared" si="5"/>
        <v>9</v>
      </c>
    </row>
    <row r="17" spans="1:18" ht="13.5" customHeight="1">
      <c r="A17" s="32">
        <v>13</v>
      </c>
      <c r="B17" s="64" t="s">
        <v>202</v>
      </c>
      <c r="C17" s="31" t="s">
        <v>252</v>
      </c>
      <c r="D17" s="31"/>
      <c r="E17" s="31"/>
      <c r="F17" s="31"/>
      <c r="G17" s="31" t="s">
        <v>190</v>
      </c>
      <c r="H17" s="31">
        <v>10</v>
      </c>
      <c r="I17" s="31" t="s">
        <v>185</v>
      </c>
      <c r="J17" s="64" t="s">
        <v>216</v>
      </c>
      <c r="K17" s="64" t="s">
        <v>218</v>
      </c>
      <c r="L17" s="64" t="s">
        <v>224</v>
      </c>
      <c r="M17" s="31"/>
      <c r="N17" s="65">
        <v>3</v>
      </c>
      <c r="O17" s="65">
        <v>3</v>
      </c>
      <c r="P17" s="65">
        <v>3</v>
      </c>
      <c r="Q17" s="159" t="str">
        <f t="shared" si="4"/>
        <v>H</v>
      </c>
      <c r="R17" s="27">
        <f t="shared" si="5"/>
        <v>9</v>
      </c>
    </row>
    <row r="18" spans="1:18" ht="13.5" customHeight="1">
      <c r="A18" s="32">
        <v>14</v>
      </c>
      <c r="B18" s="64" t="s">
        <v>203</v>
      </c>
      <c r="C18" s="31" t="s">
        <v>253</v>
      </c>
      <c r="D18" s="31"/>
      <c r="E18" s="31"/>
      <c r="F18" s="31"/>
      <c r="G18" s="31" t="s">
        <v>190</v>
      </c>
      <c r="H18" s="31">
        <v>10</v>
      </c>
      <c r="I18" s="31" t="s">
        <v>185</v>
      </c>
      <c r="J18" s="64" t="s">
        <v>216</v>
      </c>
      <c r="K18" s="64" t="s">
        <v>218</v>
      </c>
      <c r="L18" s="64" t="s">
        <v>224</v>
      </c>
      <c r="M18" s="31"/>
      <c r="N18" s="65">
        <v>3</v>
      </c>
      <c r="O18" s="65">
        <v>3</v>
      </c>
      <c r="P18" s="65">
        <v>3</v>
      </c>
      <c r="Q18" s="159" t="str">
        <f t="shared" ref="Q18:Q29" si="6">IF(R18&gt;=7,"H",IF(R18&gt;=5,"M","L"))</f>
        <v>H</v>
      </c>
      <c r="R18" s="27">
        <f t="shared" ref="R18:R29" si="7">SUM(N18:P18)</f>
        <v>9</v>
      </c>
    </row>
    <row r="19" spans="1:18" ht="13.5" customHeight="1">
      <c r="A19" s="32">
        <v>15</v>
      </c>
      <c r="B19" s="64" t="s">
        <v>204</v>
      </c>
      <c r="C19" s="31" t="s">
        <v>254</v>
      </c>
      <c r="D19" s="31"/>
      <c r="E19" s="31"/>
      <c r="F19" s="31"/>
      <c r="G19" s="31" t="s">
        <v>190</v>
      </c>
      <c r="H19" s="31">
        <v>10</v>
      </c>
      <c r="I19" s="31" t="s">
        <v>185</v>
      </c>
      <c r="J19" s="64" t="s">
        <v>216</v>
      </c>
      <c r="K19" s="64" t="s">
        <v>218</v>
      </c>
      <c r="L19" s="64" t="s">
        <v>224</v>
      </c>
      <c r="M19" s="31"/>
      <c r="N19" s="65">
        <v>3</v>
      </c>
      <c r="O19" s="65">
        <v>3</v>
      </c>
      <c r="P19" s="65">
        <v>3</v>
      </c>
      <c r="Q19" s="159" t="str">
        <f t="shared" si="6"/>
        <v>H</v>
      </c>
      <c r="R19" s="27">
        <f t="shared" si="7"/>
        <v>9</v>
      </c>
    </row>
    <row r="20" spans="1:18" ht="13.5" customHeight="1">
      <c r="A20" s="32">
        <v>16</v>
      </c>
      <c r="B20" s="64" t="s">
        <v>205</v>
      </c>
      <c r="C20" s="31" t="s">
        <v>255</v>
      </c>
      <c r="D20" s="31"/>
      <c r="E20" s="31"/>
      <c r="F20" s="31"/>
      <c r="G20" s="31" t="s">
        <v>190</v>
      </c>
      <c r="H20" s="31">
        <v>10</v>
      </c>
      <c r="I20" s="31" t="s">
        <v>185</v>
      </c>
      <c r="J20" s="64" t="s">
        <v>216</v>
      </c>
      <c r="K20" s="64" t="s">
        <v>218</v>
      </c>
      <c r="L20" s="64" t="s">
        <v>224</v>
      </c>
      <c r="M20" s="31"/>
      <c r="N20" s="65">
        <v>3</v>
      </c>
      <c r="O20" s="65">
        <v>3</v>
      </c>
      <c r="P20" s="65">
        <v>3</v>
      </c>
      <c r="Q20" s="159" t="str">
        <f t="shared" si="6"/>
        <v>H</v>
      </c>
      <c r="R20" s="27">
        <f t="shared" si="7"/>
        <v>9</v>
      </c>
    </row>
    <row r="21" spans="1:18" ht="13.5" customHeight="1">
      <c r="A21" s="32">
        <v>17</v>
      </c>
      <c r="B21" s="64" t="s">
        <v>206</v>
      </c>
      <c r="C21" s="31" t="s">
        <v>256</v>
      </c>
      <c r="D21" s="31"/>
      <c r="E21" s="31"/>
      <c r="F21" s="31"/>
      <c r="G21" s="31" t="s">
        <v>190</v>
      </c>
      <c r="H21" s="31">
        <v>10</v>
      </c>
      <c r="I21" s="31" t="s">
        <v>185</v>
      </c>
      <c r="J21" s="64" t="s">
        <v>217</v>
      </c>
      <c r="K21" s="64" t="s">
        <v>218</v>
      </c>
      <c r="L21" s="64" t="s">
        <v>225</v>
      </c>
      <c r="M21" s="31"/>
      <c r="N21" s="65">
        <v>3</v>
      </c>
      <c r="O21" s="65">
        <v>3</v>
      </c>
      <c r="P21" s="65">
        <v>3</v>
      </c>
      <c r="Q21" s="159" t="str">
        <f t="shared" si="6"/>
        <v>H</v>
      </c>
      <c r="R21" s="27">
        <f t="shared" si="7"/>
        <v>9</v>
      </c>
    </row>
    <row r="22" spans="1:18" ht="13.5" customHeight="1">
      <c r="A22" s="32">
        <v>18</v>
      </c>
      <c r="B22" s="64" t="s">
        <v>207</v>
      </c>
      <c r="C22" s="31" t="s">
        <v>257</v>
      </c>
      <c r="D22" s="31"/>
      <c r="E22" s="31"/>
      <c r="F22" s="31"/>
      <c r="G22" s="31" t="s">
        <v>190</v>
      </c>
      <c r="H22" s="31">
        <v>10</v>
      </c>
      <c r="I22" s="31" t="s">
        <v>185</v>
      </c>
      <c r="J22" s="64" t="s">
        <v>217</v>
      </c>
      <c r="K22" s="64" t="s">
        <v>218</v>
      </c>
      <c r="L22" s="64" t="s">
        <v>225</v>
      </c>
      <c r="M22" s="31"/>
      <c r="N22" s="65">
        <v>3</v>
      </c>
      <c r="O22" s="65">
        <v>3</v>
      </c>
      <c r="P22" s="65">
        <v>3</v>
      </c>
      <c r="Q22" s="159" t="str">
        <f t="shared" si="6"/>
        <v>H</v>
      </c>
      <c r="R22" s="27">
        <f t="shared" si="7"/>
        <v>9</v>
      </c>
    </row>
    <row r="23" spans="1:18" ht="13.5" customHeight="1">
      <c r="A23" s="32">
        <v>19</v>
      </c>
      <c r="B23" s="64" t="s">
        <v>208</v>
      </c>
      <c r="C23" s="31" t="s">
        <v>258</v>
      </c>
      <c r="D23" s="31"/>
      <c r="E23" s="31"/>
      <c r="F23" s="31"/>
      <c r="G23" s="31" t="s">
        <v>190</v>
      </c>
      <c r="H23" s="31">
        <v>10</v>
      </c>
      <c r="I23" s="31" t="s">
        <v>185</v>
      </c>
      <c r="J23" s="64" t="s">
        <v>217</v>
      </c>
      <c r="K23" s="64" t="s">
        <v>218</v>
      </c>
      <c r="L23" s="64" t="s">
        <v>225</v>
      </c>
      <c r="M23" s="31"/>
      <c r="N23" s="65">
        <v>3</v>
      </c>
      <c r="O23" s="65">
        <v>3</v>
      </c>
      <c r="P23" s="65">
        <v>3</v>
      </c>
      <c r="Q23" s="159" t="str">
        <f t="shared" si="6"/>
        <v>H</v>
      </c>
      <c r="R23" s="27">
        <f t="shared" si="7"/>
        <v>9</v>
      </c>
    </row>
    <row r="24" spans="1:18" ht="13.5" customHeight="1">
      <c r="A24" s="32">
        <v>20</v>
      </c>
      <c r="B24" s="64" t="s">
        <v>209</v>
      </c>
      <c r="C24" s="31" t="s">
        <v>259</v>
      </c>
      <c r="D24" s="31"/>
      <c r="E24" s="31"/>
      <c r="F24" s="31"/>
      <c r="G24" s="31" t="s">
        <v>190</v>
      </c>
      <c r="H24" s="31">
        <v>10</v>
      </c>
      <c r="I24" s="31" t="s">
        <v>185</v>
      </c>
      <c r="J24" s="64" t="s">
        <v>217</v>
      </c>
      <c r="K24" s="64" t="s">
        <v>218</v>
      </c>
      <c r="L24" s="64" t="s">
        <v>225</v>
      </c>
      <c r="M24" s="31"/>
      <c r="N24" s="65">
        <v>3</v>
      </c>
      <c r="O24" s="65">
        <v>3</v>
      </c>
      <c r="P24" s="65">
        <v>3</v>
      </c>
      <c r="Q24" s="159" t="str">
        <f t="shared" si="6"/>
        <v>H</v>
      </c>
      <c r="R24" s="27">
        <f t="shared" si="7"/>
        <v>9</v>
      </c>
    </row>
    <row r="25" spans="1:18" ht="13.5" customHeight="1">
      <c r="A25" s="32">
        <v>21</v>
      </c>
      <c r="B25" s="64" t="s">
        <v>210</v>
      </c>
      <c r="C25" s="31" t="s">
        <v>260</v>
      </c>
      <c r="D25" s="31"/>
      <c r="E25" s="31"/>
      <c r="F25" s="31"/>
      <c r="G25" s="31" t="s">
        <v>190</v>
      </c>
      <c r="H25" s="31">
        <v>10</v>
      </c>
      <c r="I25" s="31" t="s">
        <v>185</v>
      </c>
      <c r="J25" s="64" t="s">
        <v>217</v>
      </c>
      <c r="K25" s="64" t="s">
        <v>218</v>
      </c>
      <c r="L25" s="64" t="s">
        <v>225</v>
      </c>
      <c r="M25" s="31"/>
      <c r="N25" s="65">
        <v>3</v>
      </c>
      <c r="O25" s="65">
        <v>3</v>
      </c>
      <c r="P25" s="65">
        <v>3</v>
      </c>
      <c r="Q25" s="159" t="str">
        <f t="shared" si="6"/>
        <v>H</v>
      </c>
      <c r="R25" s="27">
        <f t="shared" si="7"/>
        <v>9</v>
      </c>
    </row>
    <row r="26" spans="1:18" ht="13.5" customHeight="1">
      <c r="A26" s="32">
        <v>22</v>
      </c>
      <c r="B26" s="64" t="s">
        <v>211</v>
      </c>
      <c r="C26" s="31" t="s">
        <v>261</v>
      </c>
      <c r="D26" s="31"/>
      <c r="E26" s="31"/>
      <c r="F26" s="31"/>
      <c r="G26" s="31" t="s">
        <v>190</v>
      </c>
      <c r="H26" s="31">
        <v>10</v>
      </c>
      <c r="I26" s="31" t="s">
        <v>185</v>
      </c>
      <c r="J26" s="64" t="s">
        <v>217</v>
      </c>
      <c r="K26" s="64" t="s">
        <v>218</v>
      </c>
      <c r="L26" s="64" t="s">
        <v>225</v>
      </c>
      <c r="M26" s="31"/>
      <c r="N26" s="65">
        <v>3</v>
      </c>
      <c r="O26" s="65">
        <v>3</v>
      </c>
      <c r="P26" s="65">
        <v>3</v>
      </c>
      <c r="Q26" s="159" t="str">
        <f t="shared" si="6"/>
        <v>H</v>
      </c>
      <c r="R26" s="27">
        <f t="shared" si="7"/>
        <v>9</v>
      </c>
    </row>
    <row r="27" spans="1:18" ht="13.5" customHeight="1">
      <c r="A27" s="32">
        <v>23</v>
      </c>
      <c r="B27" s="64" t="s">
        <v>212</v>
      </c>
      <c r="C27" s="31" t="s">
        <v>262</v>
      </c>
      <c r="D27" s="31"/>
      <c r="E27" s="31"/>
      <c r="F27" s="31"/>
      <c r="G27" s="31" t="s">
        <v>190</v>
      </c>
      <c r="H27" s="31">
        <v>10</v>
      </c>
      <c r="I27" s="31" t="s">
        <v>185</v>
      </c>
      <c r="J27" s="64" t="s">
        <v>217</v>
      </c>
      <c r="K27" s="64" t="s">
        <v>218</v>
      </c>
      <c r="L27" s="64" t="s">
        <v>225</v>
      </c>
      <c r="M27" s="31"/>
      <c r="N27" s="65">
        <v>3</v>
      </c>
      <c r="O27" s="65">
        <v>3</v>
      </c>
      <c r="P27" s="65">
        <v>3</v>
      </c>
      <c r="Q27" s="159" t="str">
        <f t="shared" si="6"/>
        <v>H</v>
      </c>
      <c r="R27" s="27">
        <f t="shared" si="7"/>
        <v>9</v>
      </c>
    </row>
    <row r="28" spans="1:18" ht="13.5" customHeight="1">
      <c r="A28" s="32">
        <v>24</v>
      </c>
      <c r="B28" s="64" t="s">
        <v>213</v>
      </c>
      <c r="C28" s="31" t="s">
        <v>265</v>
      </c>
      <c r="D28" s="31"/>
      <c r="E28" s="31"/>
      <c r="F28" s="31"/>
      <c r="G28" s="31" t="s">
        <v>190</v>
      </c>
      <c r="H28" s="31">
        <v>10</v>
      </c>
      <c r="I28" s="31" t="s">
        <v>185</v>
      </c>
      <c r="J28" s="64" t="s">
        <v>217</v>
      </c>
      <c r="K28" s="64" t="s">
        <v>218</v>
      </c>
      <c r="L28" s="64" t="s">
        <v>225</v>
      </c>
      <c r="M28" s="31"/>
      <c r="N28" s="65">
        <v>3</v>
      </c>
      <c r="O28" s="65">
        <v>3</v>
      </c>
      <c r="P28" s="65">
        <v>3</v>
      </c>
      <c r="Q28" s="159" t="str">
        <f t="shared" si="6"/>
        <v>H</v>
      </c>
      <c r="R28" s="27">
        <f t="shared" si="7"/>
        <v>9</v>
      </c>
    </row>
    <row r="29" spans="1:18" ht="13.5" customHeight="1">
      <c r="A29" s="32">
        <v>25</v>
      </c>
      <c r="B29" s="64" t="s">
        <v>214</v>
      </c>
      <c r="C29" s="31" t="s">
        <v>263</v>
      </c>
      <c r="D29" s="31"/>
      <c r="E29" s="31"/>
      <c r="F29" s="31"/>
      <c r="G29" s="31" t="s">
        <v>190</v>
      </c>
      <c r="H29" s="31">
        <v>10</v>
      </c>
      <c r="I29" s="31" t="s">
        <v>185</v>
      </c>
      <c r="J29" s="64" t="s">
        <v>217</v>
      </c>
      <c r="K29" s="64" t="s">
        <v>218</v>
      </c>
      <c r="L29" s="64" t="s">
        <v>225</v>
      </c>
      <c r="M29" s="31"/>
      <c r="N29" s="65">
        <v>3</v>
      </c>
      <c r="O29" s="65">
        <v>3</v>
      </c>
      <c r="P29" s="65">
        <v>3</v>
      </c>
      <c r="Q29" s="159" t="str">
        <f t="shared" si="6"/>
        <v>H</v>
      </c>
      <c r="R29" s="27">
        <f t="shared" si="7"/>
        <v>9</v>
      </c>
    </row>
    <row r="30" spans="1:18" ht="13.5" customHeight="1">
      <c r="A30" s="32">
        <v>26</v>
      </c>
      <c r="B30" s="64" t="s">
        <v>215</v>
      </c>
      <c r="C30" s="31" t="s">
        <v>264</v>
      </c>
      <c r="D30" s="31"/>
      <c r="E30" s="31"/>
      <c r="F30" s="31"/>
      <c r="G30" s="31" t="s">
        <v>190</v>
      </c>
      <c r="H30" s="31">
        <v>10</v>
      </c>
      <c r="I30" s="31" t="s">
        <v>185</v>
      </c>
      <c r="J30" s="64" t="s">
        <v>217</v>
      </c>
      <c r="K30" s="64" t="s">
        <v>218</v>
      </c>
      <c r="L30" s="64" t="s">
        <v>225</v>
      </c>
      <c r="M30" s="31"/>
      <c r="N30" s="65">
        <v>3</v>
      </c>
      <c r="O30" s="65">
        <v>3</v>
      </c>
      <c r="P30" s="65">
        <v>3</v>
      </c>
      <c r="Q30" s="159" t="str">
        <f t="shared" ref="Q30" si="8">IF(R30&gt;=7,"H",IF(R30&gt;=5,"M","L"))</f>
        <v>H</v>
      </c>
      <c r="R30" s="27">
        <f t="shared" ref="R30" si="9">SUM(N30:P30)</f>
        <v>9</v>
      </c>
    </row>
  </sheetData>
  <mergeCells count="14">
    <mergeCell ref="N3:Q3"/>
    <mergeCell ref="A3:A4"/>
    <mergeCell ref="J3:J4"/>
    <mergeCell ref="M3:M4"/>
    <mergeCell ref="B3:B4"/>
    <mergeCell ref="C3:C4"/>
    <mergeCell ref="G3:G4"/>
    <mergeCell ref="I3:I4"/>
    <mergeCell ref="D3:D4"/>
    <mergeCell ref="H3:H4"/>
    <mergeCell ref="L3:L4"/>
    <mergeCell ref="E3:E4"/>
    <mergeCell ref="F3:F4"/>
    <mergeCell ref="K3:K4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68" fitToHeight="0" orientation="portrait" horizontalDpi="4294967294" verticalDpi="4294967294" r:id="rId1"/>
  <headerFooter alignWithMargins="0">
    <oddHeader>&amp;L
&amp;R&amp;F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2:U53"/>
  <sheetViews>
    <sheetView topLeftCell="A10" zoomScaleNormal="100" workbookViewId="0">
      <selection activeCell="L57" sqref="L57"/>
    </sheetView>
  </sheetViews>
  <sheetFormatPr defaultColWidth="8.77734375" defaultRowHeight="13.5"/>
  <cols>
    <col min="1" max="1" width="2.6640625" style="136" customWidth="1"/>
    <col min="3" max="3" width="15.109375" style="136" bestFit="1" customWidth="1"/>
  </cols>
  <sheetData>
    <row r="2" spans="2:8">
      <c r="B2" s="9" t="s">
        <v>19</v>
      </c>
    </row>
    <row r="3" spans="2:8">
      <c r="B3" s="26" t="s">
        <v>20</v>
      </c>
    </row>
    <row r="4" spans="2:8">
      <c r="B4" s="11" t="s">
        <v>21</v>
      </c>
    </row>
    <row r="6" spans="2:8">
      <c r="B6" s="9" t="s">
        <v>22</v>
      </c>
      <c r="C6" s="9"/>
    </row>
    <row r="7" spans="2:8">
      <c r="B7" s="26" t="s">
        <v>23</v>
      </c>
      <c r="C7" s="26" t="s">
        <v>24</v>
      </c>
    </row>
    <row r="8" spans="2:8">
      <c r="B8" s="11" t="s">
        <v>25</v>
      </c>
      <c r="C8" s="11">
        <v>3</v>
      </c>
    </row>
    <row r="9" spans="2:8">
      <c r="B9" s="11" t="s">
        <v>26</v>
      </c>
      <c r="C9" s="11">
        <v>2</v>
      </c>
    </row>
    <row r="10" spans="2:8">
      <c r="B10" s="11" t="s">
        <v>27</v>
      </c>
      <c r="C10" s="11">
        <v>1</v>
      </c>
    </row>
    <row r="11" spans="2:8">
      <c r="B11" s="12"/>
      <c r="C11" s="12"/>
    </row>
    <row r="12" spans="2:8">
      <c r="B12" s="9" t="s">
        <v>28</v>
      </c>
      <c r="C12" s="9"/>
    </row>
    <row r="13" spans="2:8">
      <c r="B13" s="186" t="s">
        <v>29</v>
      </c>
      <c r="C13" s="186" t="s">
        <v>24</v>
      </c>
      <c r="D13" s="188"/>
    </row>
    <row r="14" spans="2:8">
      <c r="B14" s="187"/>
      <c r="C14" s="26" t="s">
        <v>30</v>
      </c>
      <c r="D14" s="26" t="s">
        <v>31</v>
      </c>
    </row>
    <row r="15" spans="2:8">
      <c r="B15" s="11" t="s">
        <v>32</v>
      </c>
      <c r="C15" s="11">
        <v>1</v>
      </c>
      <c r="D15" s="11">
        <v>0</v>
      </c>
    </row>
    <row r="16" spans="2:8">
      <c r="B16" s="11" t="s">
        <v>33</v>
      </c>
      <c r="C16" s="11">
        <v>0</v>
      </c>
      <c r="D16" s="11">
        <v>3</v>
      </c>
      <c r="F16" s="11" t="s">
        <v>34</v>
      </c>
      <c r="G16" s="11">
        <v>0.5</v>
      </c>
      <c r="H16" s="11">
        <v>0.5</v>
      </c>
    </row>
    <row r="17" spans="2:6">
      <c r="B17" s="11" t="s">
        <v>35</v>
      </c>
      <c r="C17" s="11">
        <v>0</v>
      </c>
      <c r="D17" s="11">
        <v>0</v>
      </c>
    </row>
    <row r="18" spans="2:6">
      <c r="B18" s="11" t="s">
        <v>36</v>
      </c>
      <c r="C18" s="11">
        <v>0</v>
      </c>
      <c r="D18" s="11">
        <v>0</v>
      </c>
    </row>
    <row r="19" spans="2:6">
      <c r="B19" s="11" t="s">
        <v>37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38</v>
      </c>
    </row>
    <row r="22" spans="2:6">
      <c r="B22" s="26" t="s">
        <v>39</v>
      </c>
    </row>
    <row r="23" spans="2:6">
      <c r="B23" s="11">
        <v>21</v>
      </c>
    </row>
    <row r="25" spans="2:6">
      <c r="B25" s="9" t="s">
        <v>40</v>
      </c>
      <c r="F25" s="9" t="s">
        <v>41</v>
      </c>
    </row>
    <row r="26" spans="2:6">
      <c r="B26" s="186" t="s">
        <v>42</v>
      </c>
      <c r="C26" s="186" t="s">
        <v>43</v>
      </c>
      <c r="D26" s="188"/>
    </row>
    <row r="27" spans="2:6">
      <c r="B27" s="187"/>
      <c r="C27" s="26" t="s">
        <v>44</v>
      </c>
      <c r="D27" s="26" t="s">
        <v>45</v>
      </c>
    </row>
    <row r="28" spans="2:6">
      <c r="B28" s="11" t="s">
        <v>25</v>
      </c>
      <c r="C28" s="11">
        <v>7</v>
      </c>
      <c r="D28" s="11">
        <v>9</v>
      </c>
    </row>
    <row r="29" spans="2:6">
      <c r="B29" s="11" t="s">
        <v>26</v>
      </c>
      <c r="C29" s="11">
        <v>5</v>
      </c>
      <c r="D29" s="11">
        <v>6</v>
      </c>
    </row>
    <row r="30" spans="2:6">
      <c r="B30" s="11" t="s">
        <v>27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46</v>
      </c>
    </row>
    <row r="33" spans="2:21">
      <c r="B33" s="186" t="s">
        <v>42</v>
      </c>
      <c r="C33" s="186" t="s">
        <v>43</v>
      </c>
      <c r="D33" s="188"/>
    </row>
    <row r="34" spans="2:21">
      <c r="B34" s="187"/>
      <c r="C34" s="26" t="s">
        <v>44</v>
      </c>
      <c r="D34" s="26" t="s">
        <v>45</v>
      </c>
    </row>
    <row r="35" spans="2:21">
      <c r="B35" s="11" t="s">
        <v>25</v>
      </c>
      <c r="C35" s="11">
        <v>5</v>
      </c>
      <c r="D35" s="11">
        <v>6</v>
      </c>
    </row>
    <row r="36" spans="2:21">
      <c r="B36" s="11" t="s">
        <v>26</v>
      </c>
      <c r="C36" s="11">
        <v>4</v>
      </c>
      <c r="D36" s="11">
        <v>4</v>
      </c>
    </row>
    <row r="37" spans="2:21">
      <c r="B37" s="11" t="s">
        <v>27</v>
      </c>
      <c r="C37" s="11">
        <v>2</v>
      </c>
      <c r="D37" s="11">
        <v>3</v>
      </c>
    </row>
    <row r="39" spans="2:21">
      <c r="B39" s="9" t="s">
        <v>47</v>
      </c>
    </row>
    <row r="40" spans="2:21">
      <c r="B40" s="186" t="s">
        <v>42</v>
      </c>
      <c r="C40" s="186" t="s">
        <v>43</v>
      </c>
      <c r="D40" s="188"/>
    </row>
    <row r="41" spans="2:21">
      <c r="B41" s="187"/>
      <c r="C41" s="26" t="s">
        <v>44</v>
      </c>
      <c r="D41" s="26" t="s">
        <v>45</v>
      </c>
    </row>
    <row r="42" spans="2:21">
      <c r="B42" s="11" t="s">
        <v>25</v>
      </c>
      <c r="C42" s="11">
        <f>$B$23</f>
        <v>21</v>
      </c>
      <c r="D42" s="11">
        <v>30</v>
      </c>
    </row>
    <row r="43" spans="2:21">
      <c r="B43" s="11" t="s">
        <v>26</v>
      </c>
      <c r="C43" s="11">
        <v>11</v>
      </c>
      <c r="D43" s="11">
        <f>$C$42-1</f>
        <v>20</v>
      </c>
    </row>
    <row r="44" spans="2:21">
      <c r="B44" s="11" t="s">
        <v>27</v>
      </c>
      <c r="C44" s="11">
        <v>1</v>
      </c>
      <c r="D44" s="11">
        <f>$C$43-1</f>
        <v>10</v>
      </c>
    </row>
    <row r="46" spans="2:21">
      <c r="B46" s="9" t="s">
        <v>48</v>
      </c>
    </row>
    <row r="47" spans="2:21">
      <c r="B47" s="9" t="s">
        <v>49</v>
      </c>
    </row>
    <row r="48" spans="2:21">
      <c r="B48" s="189" t="s">
        <v>50</v>
      </c>
      <c r="C48" s="34" t="s">
        <v>51</v>
      </c>
      <c r="D48" s="190" t="s">
        <v>52</v>
      </c>
      <c r="E48" s="191"/>
      <c r="F48" s="191"/>
      <c r="G48" s="191"/>
      <c r="H48" s="191"/>
      <c r="I48" s="191"/>
      <c r="J48" s="191"/>
      <c r="K48" s="191"/>
      <c r="L48" s="188"/>
      <c r="M48" s="190" t="s">
        <v>53</v>
      </c>
      <c r="N48" s="191"/>
      <c r="O48" s="191"/>
      <c r="P48" s="191"/>
      <c r="Q48" s="191"/>
      <c r="R48" s="191"/>
      <c r="S48" s="191"/>
      <c r="T48" s="191"/>
      <c r="U48" s="188"/>
    </row>
    <row r="49" spans="2:21">
      <c r="B49" s="187"/>
      <c r="C49" s="34" t="s">
        <v>54</v>
      </c>
      <c r="D49" s="186" t="s">
        <v>27</v>
      </c>
      <c r="E49" s="191"/>
      <c r="F49" s="188"/>
      <c r="G49" s="186" t="s">
        <v>26</v>
      </c>
      <c r="H49" s="191"/>
      <c r="I49" s="188"/>
      <c r="J49" s="186" t="s">
        <v>25</v>
      </c>
      <c r="K49" s="191"/>
      <c r="L49" s="188"/>
      <c r="M49" s="186" t="s">
        <v>27</v>
      </c>
      <c r="N49" s="191"/>
      <c r="O49" s="188"/>
      <c r="P49" s="186" t="s">
        <v>26</v>
      </c>
      <c r="Q49" s="191"/>
      <c r="R49" s="188"/>
      <c r="S49" s="186" t="s">
        <v>25</v>
      </c>
      <c r="T49" s="191"/>
      <c r="U49" s="188"/>
    </row>
    <row r="50" spans="2:21">
      <c r="B50" s="186" t="s">
        <v>55</v>
      </c>
      <c r="C50" s="188"/>
      <c r="D50" s="26" t="s">
        <v>27</v>
      </c>
      <c r="E50" s="26" t="s">
        <v>26</v>
      </c>
      <c r="F50" s="26" t="s">
        <v>25</v>
      </c>
      <c r="G50" s="26" t="s">
        <v>27</v>
      </c>
      <c r="H50" s="26" t="s">
        <v>26</v>
      </c>
      <c r="I50" s="26" t="s">
        <v>25</v>
      </c>
      <c r="J50" s="26" t="s">
        <v>27</v>
      </c>
      <c r="K50" s="26" t="s">
        <v>26</v>
      </c>
      <c r="L50" s="26" t="s">
        <v>25</v>
      </c>
      <c r="M50" s="26" t="s">
        <v>27</v>
      </c>
      <c r="N50" s="26" t="s">
        <v>26</v>
      </c>
      <c r="O50" s="26" t="s">
        <v>25</v>
      </c>
      <c r="P50" s="26" t="s">
        <v>27</v>
      </c>
      <c r="Q50" s="26" t="s">
        <v>26</v>
      </c>
      <c r="R50" s="26" t="s">
        <v>25</v>
      </c>
      <c r="S50" s="26" t="s">
        <v>27</v>
      </c>
      <c r="T50" s="26" t="s">
        <v>26</v>
      </c>
      <c r="U50" s="26" t="s">
        <v>25</v>
      </c>
    </row>
    <row r="51" spans="2:21">
      <c r="B51" s="186" t="s">
        <v>56</v>
      </c>
      <c r="C51" s="26" t="s">
        <v>27</v>
      </c>
      <c r="D51" s="36">
        <f t="shared" ref="D51:F53" si="0">VLOOKUP($C51,$B$8:$C$10,2,FALSE)*(1+VLOOKUP($D$49,$B$8:$C$10,2,FALSE)*0*VLOOKUP(D$50,$B$8:$C$10,2,FALSE))</f>
        <v>1</v>
      </c>
      <c r="E51" s="36">
        <f t="shared" si="0"/>
        <v>1</v>
      </c>
      <c r="F51" s="36">
        <f t="shared" si="0"/>
        <v>1</v>
      </c>
      <c r="G51" s="36">
        <f t="shared" ref="G51:I53" si="1">VLOOKUP($C51,$B$8:$C$10,2,FALSE)*(1+VLOOKUP($G$49,$B$8:$C$10,2,FALSE)*0*VLOOKUP(G$50,$B$8:$C$10,2,FALSE))</f>
        <v>1</v>
      </c>
      <c r="H51" s="36">
        <f t="shared" si="1"/>
        <v>1</v>
      </c>
      <c r="I51" s="36">
        <f t="shared" si="1"/>
        <v>1</v>
      </c>
      <c r="J51" s="28">
        <f t="shared" ref="J51:L53" si="2">VLOOKUP($C51,$B$8:$C$10,2,FALSE)*(1+VLOOKUP($J$49,$B$8:$C$10,2,FALSE)*0*VLOOKUP(J$50,$B$8:$C$10,2,FALSE))</f>
        <v>1</v>
      </c>
      <c r="K51" s="28">
        <f t="shared" si="2"/>
        <v>1</v>
      </c>
      <c r="L51" s="28">
        <f t="shared" si="2"/>
        <v>1</v>
      </c>
      <c r="M51" s="28">
        <f t="shared" ref="M51:O53" si="3">VLOOKUP($C51,$B$8:$C$10,2,FALSE)*(1+VLOOKUP($M$49,$B$8:$C$10,2,FALSE)*1*VLOOKUP(M$50,$B$8:$C$10,2,FALSE))</f>
        <v>2</v>
      </c>
      <c r="N51" s="28">
        <f t="shared" si="3"/>
        <v>3</v>
      </c>
      <c r="O51" s="28">
        <f t="shared" si="3"/>
        <v>4</v>
      </c>
      <c r="P51" s="28">
        <f t="shared" ref="P51:R53" si="4">VLOOKUP($C51,$B$8:$C$10,2,FALSE)*(1+VLOOKUP($P$49,$B$8:$C$10,2,FALSE)*1*VLOOKUP(P$50,$B$8:$C$10,2,FALSE))</f>
        <v>3</v>
      </c>
      <c r="Q51" s="28">
        <f t="shared" si="4"/>
        <v>5</v>
      </c>
      <c r="R51" s="28">
        <f t="shared" si="4"/>
        <v>7</v>
      </c>
      <c r="S51" s="28">
        <f t="shared" ref="S51:U53" si="5">VLOOKUP($C51,$B$8:$C$10,2,FALSE)*(1+VLOOKUP($S$49,$B$8:$C$10,2,FALSE)*1*VLOOKUP(S$50,$B$8:$C$10,2,FALSE))</f>
        <v>4</v>
      </c>
      <c r="T51" s="28">
        <f t="shared" si="5"/>
        <v>7</v>
      </c>
      <c r="U51" s="28">
        <f t="shared" si="5"/>
        <v>10</v>
      </c>
    </row>
    <row r="52" spans="2:21">
      <c r="B52" s="192"/>
      <c r="C52" s="26" t="s">
        <v>26</v>
      </c>
      <c r="D52" s="36">
        <f t="shared" si="0"/>
        <v>2</v>
      </c>
      <c r="E52" s="36">
        <f t="shared" si="0"/>
        <v>2</v>
      </c>
      <c r="F52" s="36">
        <f t="shared" si="0"/>
        <v>2</v>
      </c>
      <c r="G52" s="36">
        <f t="shared" si="1"/>
        <v>2</v>
      </c>
      <c r="H52" s="36">
        <f t="shared" si="1"/>
        <v>2</v>
      </c>
      <c r="I52" s="36">
        <f t="shared" si="1"/>
        <v>2</v>
      </c>
      <c r="J52" s="28">
        <f t="shared" si="2"/>
        <v>2</v>
      </c>
      <c r="K52" s="28">
        <f t="shared" si="2"/>
        <v>2</v>
      </c>
      <c r="L52" s="28">
        <f t="shared" si="2"/>
        <v>2</v>
      </c>
      <c r="M52" s="28">
        <f t="shared" si="3"/>
        <v>4</v>
      </c>
      <c r="N52" s="28">
        <f t="shared" si="3"/>
        <v>6</v>
      </c>
      <c r="O52" s="28">
        <f t="shared" si="3"/>
        <v>8</v>
      </c>
      <c r="P52" s="28">
        <f t="shared" si="4"/>
        <v>6</v>
      </c>
      <c r="Q52" s="28">
        <f t="shared" si="4"/>
        <v>10</v>
      </c>
      <c r="R52" s="28">
        <f t="shared" si="4"/>
        <v>14</v>
      </c>
      <c r="S52" s="28">
        <f t="shared" si="5"/>
        <v>8</v>
      </c>
      <c r="T52" s="28">
        <f t="shared" si="5"/>
        <v>14</v>
      </c>
      <c r="U52" s="28">
        <f t="shared" si="5"/>
        <v>20</v>
      </c>
    </row>
    <row r="53" spans="2:21">
      <c r="B53" s="187"/>
      <c r="C53" s="26" t="s">
        <v>25</v>
      </c>
      <c r="D53" s="36">
        <f t="shared" si="0"/>
        <v>3</v>
      </c>
      <c r="E53" s="36">
        <f t="shared" si="0"/>
        <v>3</v>
      </c>
      <c r="F53" s="36">
        <f t="shared" si="0"/>
        <v>3</v>
      </c>
      <c r="G53" s="36">
        <f t="shared" si="1"/>
        <v>3</v>
      </c>
      <c r="H53" s="36">
        <f t="shared" si="1"/>
        <v>3</v>
      </c>
      <c r="I53" s="36">
        <f t="shared" si="1"/>
        <v>3</v>
      </c>
      <c r="J53" s="28">
        <f t="shared" si="2"/>
        <v>3</v>
      </c>
      <c r="K53" s="28">
        <f t="shared" si="2"/>
        <v>3</v>
      </c>
      <c r="L53" s="28">
        <f t="shared" si="2"/>
        <v>3</v>
      </c>
      <c r="M53" s="28">
        <f t="shared" si="3"/>
        <v>6</v>
      </c>
      <c r="N53" s="28">
        <f t="shared" si="3"/>
        <v>9</v>
      </c>
      <c r="O53" s="28">
        <f t="shared" si="3"/>
        <v>12</v>
      </c>
      <c r="P53" s="28">
        <f t="shared" si="4"/>
        <v>9</v>
      </c>
      <c r="Q53" s="28">
        <f t="shared" si="4"/>
        <v>15</v>
      </c>
      <c r="R53" s="28">
        <f t="shared" si="4"/>
        <v>21</v>
      </c>
      <c r="S53" s="28">
        <f t="shared" si="5"/>
        <v>12</v>
      </c>
      <c r="T53" s="28">
        <f t="shared" si="5"/>
        <v>21</v>
      </c>
      <c r="U53" s="28">
        <f t="shared" si="5"/>
        <v>30</v>
      </c>
    </row>
  </sheetData>
  <mergeCells count="19">
    <mergeCell ref="M48:U48"/>
    <mergeCell ref="D49:F49"/>
    <mergeCell ref="G49:I49"/>
    <mergeCell ref="J49:L49"/>
    <mergeCell ref="M49:O49"/>
    <mergeCell ref="P49:R49"/>
    <mergeCell ref="S49:U49"/>
    <mergeCell ref="B48:B49"/>
    <mergeCell ref="D48:L48"/>
    <mergeCell ref="B50:C50"/>
    <mergeCell ref="B51:B53"/>
    <mergeCell ref="B40:B41"/>
    <mergeCell ref="C40:D40"/>
    <mergeCell ref="B13:B14"/>
    <mergeCell ref="C13:D13"/>
    <mergeCell ref="B26:B27"/>
    <mergeCell ref="C26:D26"/>
    <mergeCell ref="B33:B34"/>
    <mergeCell ref="C33:D33"/>
  </mergeCells>
  <phoneticPr fontId="3" type="noConversion"/>
  <conditionalFormatting sqref="D51:U53">
    <cfRule type="expression" dxfId="589" priority="1">
      <formula>IF(D51&gt;=$C$42,1,0)</formula>
    </cfRule>
    <cfRule type="expression" dxfId="588" priority="2">
      <formula>IF(D51&gt;=$C$43,1,0)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F22"/>
  <sheetViews>
    <sheetView showGridLines="0" view="pageBreakPreview" zoomScaleNormal="100" zoomScaleSheetLayoutView="100" workbookViewId="0"/>
  </sheetViews>
  <sheetFormatPr defaultColWidth="8.77734375" defaultRowHeight="12"/>
  <cols>
    <col min="1" max="1" width="14.77734375" style="10" bestFit="1" customWidth="1"/>
    <col min="2" max="2" width="8.33203125" style="10" customWidth="1"/>
    <col min="3" max="3" width="64.5546875" style="12" bestFit="1" customWidth="1"/>
    <col min="4" max="5" width="7.77734375" style="10" customWidth="1"/>
    <col min="6" max="6" width="155.109375" style="12" bestFit="1" customWidth="1"/>
    <col min="7" max="7" width="8.77734375" style="12" customWidth="1"/>
    <col min="8" max="16384" width="8.77734375" style="12"/>
  </cols>
  <sheetData>
    <row r="1" spans="1:6" s="33" customFormat="1" ht="17.100000000000001" customHeight="1">
      <c r="A1" s="137" t="s">
        <v>57</v>
      </c>
      <c r="B1" s="10"/>
      <c r="C1" s="12"/>
      <c r="D1" s="10"/>
      <c r="E1" s="10"/>
    </row>
    <row r="2" spans="1:6" ht="15" customHeight="1" thickBot="1">
      <c r="B2" s="138"/>
    </row>
    <row r="3" spans="1:6" ht="13.35" customHeight="1" thickBot="1">
      <c r="A3" s="195" t="s">
        <v>58</v>
      </c>
      <c r="B3" s="196"/>
      <c r="C3" s="196"/>
      <c r="D3" s="196"/>
      <c r="E3" s="197"/>
      <c r="F3" s="139" t="s">
        <v>59</v>
      </c>
    </row>
    <row r="4" spans="1:6" ht="15" customHeight="1">
      <c r="A4" s="193" t="s">
        <v>60</v>
      </c>
      <c r="B4" s="194"/>
      <c r="C4" s="168" t="s">
        <v>61</v>
      </c>
      <c r="D4" s="169" t="s">
        <v>130</v>
      </c>
      <c r="E4" s="170" t="s">
        <v>62</v>
      </c>
      <c r="F4" s="139" t="s">
        <v>182</v>
      </c>
    </row>
    <row r="5" spans="1:6" ht="22.5" customHeight="1">
      <c r="A5" s="27" t="s">
        <v>63</v>
      </c>
      <c r="B5" s="27" t="s">
        <v>134</v>
      </c>
      <c r="C5" s="171" t="s">
        <v>286</v>
      </c>
      <c r="D5" s="27" t="s">
        <v>25</v>
      </c>
      <c r="E5" s="27">
        <v>3</v>
      </c>
      <c r="F5" s="288" t="s">
        <v>287</v>
      </c>
    </row>
    <row r="6" spans="1:6" ht="22.5" customHeight="1">
      <c r="A6" s="27" t="s">
        <v>63</v>
      </c>
      <c r="B6" s="27" t="s">
        <v>135</v>
      </c>
      <c r="C6" s="171" t="s">
        <v>288</v>
      </c>
      <c r="D6" s="27" t="s">
        <v>25</v>
      </c>
      <c r="E6" s="27">
        <v>3</v>
      </c>
      <c r="F6" s="167" t="s">
        <v>289</v>
      </c>
    </row>
    <row r="7" spans="1:6" ht="22.5" customHeight="1">
      <c r="A7" s="27" t="s">
        <v>290</v>
      </c>
      <c r="B7" s="27" t="s">
        <v>137</v>
      </c>
      <c r="C7" s="171" t="s">
        <v>153</v>
      </c>
      <c r="D7" s="27" t="s">
        <v>26</v>
      </c>
      <c r="E7" s="27">
        <v>2</v>
      </c>
      <c r="F7" s="167" t="s">
        <v>291</v>
      </c>
    </row>
    <row r="8" spans="1:6" ht="22.5" customHeight="1">
      <c r="A8" s="27" t="s">
        <v>163</v>
      </c>
      <c r="B8" s="27" t="s">
        <v>138</v>
      </c>
      <c r="C8" s="171" t="s">
        <v>154</v>
      </c>
      <c r="D8" s="27" t="s">
        <v>25</v>
      </c>
      <c r="E8" s="27">
        <v>3</v>
      </c>
      <c r="F8" s="167" t="s">
        <v>292</v>
      </c>
    </row>
    <row r="9" spans="1:6" ht="22.5" customHeight="1">
      <c r="A9" s="27" t="s">
        <v>163</v>
      </c>
      <c r="B9" s="27" t="s">
        <v>139</v>
      </c>
      <c r="C9" s="171" t="s">
        <v>155</v>
      </c>
      <c r="D9" s="27" t="s">
        <v>25</v>
      </c>
      <c r="E9" s="27">
        <v>3</v>
      </c>
      <c r="F9" s="167" t="s">
        <v>293</v>
      </c>
    </row>
    <row r="10" spans="1:6" ht="22.5" customHeight="1">
      <c r="A10" s="27" t="s">
        <v>163</v>
      </c>
      <c r="B10" s="27" t="s">
        <v>143</v>
      </c>
      <c r="C10" s="171" t="s">
        <v>294</v>
      </c>
      <c r="D10" s="27" t="s">
        <v>25</v>
      </c>
      <c r="E10" s="27">
        <v>3</v>
      </c>
      <c r="F10" s="167" t="s">
        <v>295</v>
      </c>
    </row>
    <row r="11" spans="1:6" ht="22.5" customHeight="1">
      <c r="A11" s="27" t="s">
        <v>163</v>
      </c>
      <c r="B11" s="27" t="s">
        <v>144</v>
      </c>
      <c r="C11" s="171" t="s">
        <v>156</v>
      </c>
      <c r="D11" s="27" t="s">
        <v>26</v>
      </c>
      <c r="E11" s="27">
        <v>2</v>
      </c>
      <c r="F11" s="167" t="s">
        <v>296</v>
      </c>
    </row>
    <row r="12" spans="1:6" ht="22.5" customHeight="1">
      <c r="A12" s="27" t="s">
        <v>163</v>
      </c>
      <c r="B12" s="27" t="s">
        <v>145</v>
      </c>
      <c r="C12" s="171"/>
      <c r="D12" s="27" t="s">
        <v>26</v>
      </c>
      <c r="E12" s="27">
        <v>2</v>
      </c>
      <c r="F12" s="167" t="s">
        <v>297</v>
      </c>
    </row>
    <row r="13" spans="1:6" ht="22.5" customHeight="1">
      <c r="A13" s="27" t="s">
        <v>163</v>
      </c>
      <c r="B13" s="27" t="s">
        <v>146</v>
      </c>
      <c r="C13" s="171" t="s">
        <v>157</v>
      </c>
      <c r="D13" s="27" t="s">
        <v>27</v>
      </c>
      <c r="E13" s="27">
        <v>1</v>
      </c>
      <c r="F13" s="167" t="s">
        <v>297</v>
      </c>
    </row>
    <row r="14" spans="1:6" ht="22.5" customHeight="1">
      <c r="A14" s="27" t="s">
        <v>131</v>
      </c>
      <c r="B14" s="27" t="s">
        <v>147</v>
      </c>
      <c r="C14" s="171" t="s">
        <v>298</v>
      </c>
      <c r="D14" s="27" t="s">
        <v>25</v>
      </c>
      <c r="E14" s="27">
        <v>3</v>
      </c>
      <c r="F14" s="167" t="s">
        <v>299</v>
      </c>
    </row>
    <row r="15" spans="1:6" ht="22.5" customHeight="1">
      <c r="A15" s="27" t="s">
        <v>131</v>
      </c>
      <c r="B15" s="27" t="s">
        <v>148</v>
      </c>
      <c r="C15" s="171" t="s">
        <v>300</v>
      </c>
      <c r="D15" s="27" t="s">
        <v>25</v>
      </c>
      <c r="E15" s="27">
        <v>3</v>
      </c>
      <c r="F15" s="167" t="s">
        <v>301</v>
      </c>
    </row>
    <row r="16" spans="1:6" ht="22.5" customHeight="1">
      <c r="A16" s="27" t="s">
        <v>164</v>
      </c>
      <c r="B16" s="27" t="s">
        <v>149</v>
      </c>
      <c r="C16" s="171" t="s">
        <v>302</v>
      </c>
      <c r="D16" s="27" t="s">
        <v>26</v>
      </c>
      <c r="E16" s="27">
        <v>2</v>
      </c>
      <c r="F16" s="167" t="s">
        <v>303</v>
      </c>
    </row>
    <row r="17" spans="1:6" ht="22.5" customHeight="1">
      <c r="A17" s="27" t="s">
        <v>164</v>
      </c>
      <c r="B17" s="27" t="s">
        <v>150</v>
      </c>
      <c r="C17" s="171" t="s">
        <v>158</v>
      </c>
      <c r="D17" s="27" t="s">
        <v>25</v>
      </c>
      <c r="E17" s="27">
        <v>3</v>
      </c>
      <c r="F17" s="167" t="s">
        <v>304</v>
      </c>
    </row>
    <row r="18" spans="1:6" ht="22.5" customHeight="1">
      <c r="A18" s="27" t="s">
        <v>164</v>
      </c>
      <c r="B18" s="27" t="s">
        <v>151</v>
      </c>
      <c r="C18" s="171" t="s">
        <v>159</v>
      </c>
      <c r="D18" s="27" t="s">
        <v>25</v>
      </c>
      <c r="E18" s="27">
        <v>3</v>
      </c>
      <c r="F18" s="167" t="s">
        <v>305</v>
      </c>
    </row>
    <row r="19" spans="1:6" ht="22.5" customHeight="1">
      <c r="A19" s="27" t="s">
        <v>164</v>
      </c>
      <c r="B19" s="27" t="s">
        <v>136</v>
      </c>
      <c r="C19" s="171" t="s">
        <v>160</v>
      </c>
      <c r="D19" s="27" t="s">
        <v>25</v>
      </c>
      <c r="E19" s="27">
        <v>3</v>
      </c>
      <c r="F19" s="167" t="s">
        <v>306</v>
      </c>
    </row>
    <row r="20" spans="1:6" ht="22.5" customHeight="1">
      <c r="A20" s="27" t="s">
        <v>164</v>
      </c>
      <c r="B20" s="27" t="s">
        <v>140</v>
      </c>
      <c r="C20" s="171" t="s">
        <v>161</v>
      </c>
      <c r="D20" s="27" t="s">
        <v>25</v>
      </c>
      <c r="E20" s="27">
        <v>3</v>
      </c>
      <c r="F20" s="167" t="s">
        <v>307</v>
      </c>
    </row>
    <row r="21" spans="1:6" ht="22.5" customHeight="1">
      <c r="A21" s="27" t="s">
        <v>164</v>
      </c>
      <c r="B21" s="27" t="s">
        <v>141</v>
      </c>
      <c r="C21" s="171" t="s">
        <v>308</v>
      </c>
      <c r="D21" s="27" t="s">
        <v>25</v>
      </c>
      <c r="E21" s="27">
        <v>3</v>
      </c>
      <c r="F21" s="167" t="s">
        <v>309</v>
      </c>
    </row>
    <row r="22" spans="1:6" ht="22.5" customHeight="1">
      <c r="A22" s="27" t="s">
        <v>164</v>
      </c>
      <c r="B22" s="27" t="s">
        <v>142</v>
      </c>
      <c r="C22" s="171" t="s">
        <v>162</v>
      </c>
      <c r="D22" s="27" t="s">
        <v>26</v>
      </c>
      <c r="E22" s="27">
        <v>2</v>
      </c>
      <c r="F22" s="167" t="s">
        <v>310</v>
      </c>
    </row>
  </sheetData>
  <mergeCells count="2">
    <mergeCell ref="A4:B4"/>
    <mergeCell ref="A3:E3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32" fitToHeight="0" orientation="portrait" r:id="rId1"/>
  <headerFooter alignWithMargins="0">
    <oddHeader>&amp;L
&amp;R&amp;F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81"/>
  <sheetViews>
    <sheetView showGridLines="0" view="pageBreakPreview" zoomScaleNormal="70" zoomScaleSheetLayoutView="100" zoomScalePageLayoutView="85" workbookViewId="0"/>
  </sheetViews>
  <sheetFormatPr defaultColWidth="8.77734375" defaultRowHeight="13.5"/>
  <cols>
    <col min="1" max="13" width="8.77734375" style="3" customWidth="1"/>
    <col min="14" max="16384" width="8.77734375" style="3"/>
  </cols>
  <sheetData>
    <row r="1" spans="1:12" ht="17.100000000000001" customHeight="1">
      <c r="A1" s="16" t="s">
        <v>64</v>
      </c>
      <c r="D1" s="47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 ht="15.95" customHeight="1" thickBot="1">
      <c r="A3" s="5" t="s">
        <v>65</v>
      </c>
    </row>
    <row r="4" spans="1:12" ht="15.95" customHeight="1" thickBot="1">
      <c r="A4" s="210" t="s">
        <v>60</v>
      </c>
      <c r="B4" s="180"/>
      <c r="C4" s="180"/>
      <c r="D4" s="181"/>
      <c r="E4" s="207" t="s">
        <v>66</v>
      </c>
      <c r="F4" s="208"/>
      <c r="G4" s="208"/>
      <c r="H4" s="208"/>
      <c r="I4" s="209"/>
      <c r="J4" s="207" t="s">
        <v>67</v>
      </c>
      <c r="K4" s="208"/>
      <c r="L4" s="209"/>
    </row>
    <row r="5" spans="1:12" ht="15.95" customHeight="1" thickBot="1">
      <c r="A5" s="211"/>
      <c r="B5" s="212"/>
      <c r="C5" s="212"/>
      <c r="D5" s="213"/>
      <c r="E5" s="72" t="s">
        <v>68</v>
      </c>
      <c r="F5" s="72" t="s">
        <v>61</v>
      </c>
      <c r="G5" s="72" t="s">
        <v>69</v>
      </c>
      <c r="H5" s="72" t="s">
        <v>70</v>
      </c>
      <c r="I5" s="72" t="s">
        <v>71</v>
      </c>
      <c r="J5" s="72" t="s">
        <v>72</v>
      </c>
      <c r="K5" s="72" t="s">
        <v>73</v>
      </c>
      <c r="L5" s="73" t="s">
        <v>74</v>
      </c>
    </row>
    <row r="6" spans="1:12">
      <c r="A6" s="216" t="str">
        <f>ChkList!A5</f>
        <v>계정 관리</v>
      </c>
      <c r="B6" s="191"/>
      <c r="C6" s="191"/>
      <c r="D6" s="188"/>
      <c r="E6" s="11">
        <f ca="1">SUMIF('취약점 진단 항목별 통계'!$A:$A,$A6&amp;"*",'취약점 진단 항목별 통계'!$F:$F)</f>
        <v>6</v>
      </c>
      <c r="F6" s="11">
        <f ca="1">E6-I6</f>
        <v>6</v>
      </c>
      <c r="G6" s="11">
        <f ca="1">SUMIF('취약점 진단 항목별 통계'!$A:$A,$A6&amp;"*",'취약점 진단 항목별 통계'!$G:$G)+SUMIF('취약점 진단 항목별 통계'!$A:$A,$A6&amp;"*",'취약점 진단 항목별 통계'!$H:$H)</f>
        <v>3</v>
      </c>
      <c r="H6" s="11">
        <f ca="1">SUMIF('취약점 진단 항목별 통계'!$A:$A,$A6&amp;"*",'취약점 진단 항목별 통계'!$I:$I)</f>
        <v>0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18</v>
      </c>
      <c r="K6" s="11">
        <f ca="1">SUMIF('취약점 진단 항목별 통계'!$A:$A,$A6&amp;"*",'취약점 진단 항목별 통계'!$L:$L)</f>
        <v>9</v>
      </c>
      <c r="L6" s="74">
        <f ca="1">IF($I6=$E6, "N/A", (K6/J6))</f>
        <v>0.5</v>
      </c>
    </row>
    <row r="7" spans="1:12">
      <c r="A7" s="216" t="str">
        <f>ChkList!A8</f>
        <v>서비스 관리</v>
      </c>
      <c r="B7" s="191"/>
      <c r="C7" s="191"/>
      <c r="D7" s="188"/>
      <c r="E7" s="11">
        <f ca="1">SUMIF('취약점 진단 항목별 통계'!$A:$A,$A7&amp;"*",'취약점 진단 항목별 통계'!$F:$F)</f>
        <v>18</v>
      </c>
      <c r="F7" s="11">
        <f ca="1">E7-I7</f>
        <v>18</v>
      </c>
      <c r="G7" s="11">
        <f ca="1">SUMIF('취약점 진단 항목별 통계'!$A:$A,$A7&amp;"*",'취약점 진단 항목별 통계'!$G:$G)+SUMIF('취약점 진단 항목별 통계'!$A:$A,$A7&amp;"*",'취약점 진단 항목별 통계'!$H:$H)</f>
        <v>9</v>
      </c>
      <c r="H7" s="11">
        <f ca="1">SUMIF('취약점 진단 항목별 통계'!$A:$A,$A7&amp;"*",'취약점 진단 항목별 통계'!$I:$I)</f>
        <v>6</v>
      </c>
      <c r="I7" s="11">
        <f ca="1">SUMIF('취약점 진단 항목별 통계'!$A:$A,$A7&amp;"*",'취약점 진단 항목별 통계'!$J:$J)</f>
        <v>0</v>
      </c>
      <c r="J7" s="11">
        <f ca="1">SUMIF('취약점 진단 항목별 통계'!$A:$A,$A7&amp;"*",'취약점 진단 항목별 통계'!$K:$K)</f>
        <v>42</v>
      </c>
      <c r="K7" s="11">
        <f ca="1">SUMIF('취약점 진단 항목별 통계'!$A:$A,$A7&amp;"*",'취약점 진단 항목별 통계'!$L:$L)</f>
        <v>18</v>
      </c>
      <c r="L7" s="74">
        <f ca="1">IF($I7=$E7, "N/A", (K7/J7))</f>
        <v>0.42857142857142855</v>
      </c>
    </row>
    <row r="8" spans="1:12">
      <c r="A8" s="216" t="str">
        <f>ChkList!A14</f>
        <v>패치 관리</v>
      </c>
      <c r="B8" s="191"/>
      <c r="C8" s="191"/>
      <c r="D8" s="188"/>
      <c r="E8" s="11">
        <f ca="1">SUMIF('취약점 진단 항목별 통계'!$A:$A,$A8&amp;"*",'취약점 진단 항목별 통계'!$F:$F)</f>
        <v>6</v>
      </c>
      <c r="F8" s="11">
        <f ca="1">E8-I8</f>
        <v>6</v>
      </c>
      <c r="G8" s="11">
        <f ca="1">SUMIF('취약점 진단 항목별 통계'!$A:$A,$A8&amp;"*",'취약점 진단 항목별 통계'!$G:$G)+SUMIF('취약점 진단 항목별 통계'!$A:$A,$A8&amp;"*",'취약점 진단 항목별 통계'!$H:$H)</f>
        <v>0</v>
      </c>
      <c r="H8" s="11">
        <f ca="1">SUMIF('취약점 진단 항목별 통계'!$A:$A,$A8&amp;"*",'취약점 진단 항목별 통계'!$I:$I)</f>
        <v>0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18</v>
      </c>
      <c r="K8" s="11">
        <f ca="1">SUMIF('취약점 진단 항목별 통계'!$A:$A,$A8&amp;"*",'취약점 진단 항목별 통계'!$L:$L)</f>
        <v>0</v>
      </c>
      <c r="L8" s="74">
        <f ca="1">IF($I8=$E8, "N/A", (K8/J8))</f>
        <v>0</v>
      </c>
    </row>
    <row r="9" spans="1:12">
      <c r="A9" s="216" t="str">
        <f>ChkList!A17</f>
        <v>보안 관리</v>
      </c>
      <c r="B9" s="191"/>
      <c r="C9" s="191"/>
      <c r="D9" s="188"/>
      <c r="E9" s="11">
        <f ca="1">SUMIF('취약점 진단 항목별 통계'!$A:$A,$A9&amp;"*",'취약점 진단 항목별 통계'!$F:$F)</f>
        <v>21</v>
      </c>
      <c r="F9" s="11">
        <f ca="1">E9-I9</f>
        <v>18</v>
      </c>
      <c r="G9" s="11">
        <f ca="1">SUMIF('취약점 진단 항목별 통계'!$A:$A,$A9&amp;"*",'취약점 진단 항목별 통계'!$G:$G)+SUMIF('취약점 진단 항목별 통계'!$A:$A,$A9&amp;"*",'취약점 진단 항목별 통계'!$H:$H)</f>
        <v>9</v>
      </c>
      <c r="H9" s="11">
        <f ca="1">SUMIF('취약점 진단 항목별 통계'!$A:$A,$A9&amp;"*",'취약점 진단 항목별 통계'!$I:$I)</f>
        <v>9</v>
      </c>
      <c r="I9" s="11">
        <f ca="1">SUMIF('취약점 진단 항목별 통계'!$A:$A,$A9&amp;"*",'취약점 진단 항목별 통계'!$J:$J)</f>
        <v>3</v>
      </c>
      <c r="J9" s="11">
        <f ca="1">SUMIF('취약점 진단 항목별 통계'!$A:$A,$A9&amp;"*",'취약점 진단 항목별 통계'!$K:$K)</f>
        <v>51</v>
      </c>
      <c r="K9" s="11">
        <f ca="1">SUMIF('취약점 진단 항목별 통계'!$A:$A,$A9&amp;"*",'취약점 진단 항목별 통계'!$L:$L)</f>
        <v>24</v>
      </c>
      <c r="L9" s="74">
        <f ca="1">IF($I9=$E9, "N/A", (K9/J9))</f>
        <v>0.47058823529411764</v>
      </c>
    </row>
    <row r="10" spans="1:12" ht="15.95" customHeight="1" thickBot="1">
      <c r="A10" s="217" t="s">
        <v>75</v>
      </c>
      <c r="B10" s="202"/>
      <c r="C10" s="202"/>
      <c r="D10" s="203"/>
      <c r="E10" s="75">
        <f t="shared" ref="E10:K10" ca="1" si="0">SUM(E6:E9)</f>
        <v>51</v>
      </c>
      <c r="F10" s="75">
        <f t="shared" ca="1" si="0"/>
        <v>48</v>
      </c>
      <c r="G10" s="75">
        <f t="shared" ca="1" si="0"/>
        <v>21</v>
      </c>
      <c r="H10" s="75">
        <f t="shared" ca="1" si="0"/>
        <v>15</v>
      </c>
      <c r="I10" s="75">
        <f t="shared" ca="1" si="0"/>
        <v>3</v>
      </c>
      <c r="J10" s="75">
        <f t="shared" ca="1" si="0"/>
        <v>129</v>
      </c>
      <c r="K10" s="75">
        <f t="shared" ca="1" si="0"/>
        <v>51</v>
      </c>
      <c r="L10" s="76">
        <f ca="1">IFERROR(K10/J10, 0)</f>
        <v>0.39534883720930231</v>
      </c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8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E15" s="12"/>
      <c r="F15" s="12"/>
      <c r="G15" s="12"/>
      <c r="H15" s="12"/>
      <c r="I15" s="12"/>
      <c r="J15" s="1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L37" s="6"/>
    </row>
    <row r="38" spans="1:12" ht="15.95" customHeight="1" thickBot="1">
      <c r="A38" s="5" t="s">
        <v>76</v>
      </c>
      <c r="L38" s="6"/>
    </row>
    <row r="39" spans="1:12" ht="15.95" customHeight="1" thickBot="1">
      <c r="A39" s="210" t="s">
        <v>77</v>
      </c>
      <c r="B39" s="180"/>
      <c r="C39" s="180"/>
      <c r="D39" s="181"/>
      <c r="E39" s="207" t="s">
        <v>66</v>
      </c>
      <c r="F39" s="208"/>
      <c r="G39" s="208"/>
      <c r="H39" s="208"/>
      <c r="I39" s="209"/>
      <c r="J39" s="207" t="s">
        <v>67</v>
      </c>
      <c r="K39" s="208"/>
      <c r="L39" s="209"/>
    </row>
    <row r="40" spans="1:12" ht="15.95" customHeight="1" thickBot="1">
      <c r="A40" s="214"/>
      <c r="B40" s="215"/>
      <c r="C40" s="212"/>
      <c r="D40" s="213"/>
      <c r="E40" s="72" t="s">
        <v>68</v>
      </c>
      <c r="F40" s="72" t="s">
        <v>61</v>
      </c>
      <c r="G40" s="72" t="s">
        <v>69</v>
      </c>
      <c r="H40" s="72" t="s">
        <v>70</v>
      </c>
      <c r="I40" s="72" t="s">
        <v>71</v>
      </c>
      <c r="J40" s="72" t="s">
        <v>72</v>
      </c>
      <c r="K40" s="72" t="s">
        <v>73</v>
      </c>
      <c r="L40" s="73" t="s">
        <v>74</v>
      </c>
    </row>
    <row r="41" spans="1:12" ht="13.5" customHeight="1">
      <c r="A41" s="199" t="str">
        <f>HYPERLINK("#'P-01'!A1", "P-01")</f>
        <v>P-01</v>
      </c>
      <c r="B41" s="200"/>
      <c r="C41" s="198" t="str">
        <f>IFERROR(VLOOKUP($A41,자산목록!$B$1:$M$833,6,FALSE),"-")</f>
        <v>Windows 10</v>
      </c>
      <c r="D41" s="188"/>
      <c r="E41" s="60">
        <f ca="1">IFERROR(INDIRECT(ADDRESS(16, 4, 1, TRUE, $A41)), 0)</f>
        <v>17</v>
      </c>
      <c r="F41" s="60">
        <f ca="1">E41-I41</f>
        <v>17</v>
      </c>
      <c r="G41" s="60">
        <f ca="1">IFERROR(INDIRECT(ADDRESS(16, 5, 1,TRUE,$A41)),0)</f>
        <v>7</v>
      </c>
      <c r="H41" s="60">
        <f ca="1">IFERROR(INDIRECT(ADDRESS(16, 6, 1,TRUE,$A41)),0)</f>
        <v>5</v>
      </c>
      <c r="I41" s="60">
        <f ca="1">IFERROR(INDIRECT(ADDRESS(17, 7, 1,TRUE,$A41)),0)</f>
        <v>0</v>
      </c>
      <c r="J41" s="60">
        <f ca="1">IFERROR(INDIRECT(ADDRESS(16, 18, 1,TRUE,$A41)),0)</f>
        <v>0</v>
      </c>
      <c r="K41" s="60">
        <f ca="1">IFERROR(INDIRECT(ADDRESS(16, 18, 1,TRUE,$A41)),0)</f>
        <v>0</v>
      </c>
      <c r="L41" s="77">
        <f ca="1">IFERROR(INDIRECT(ADDRESS(16,8, 1,TRUE,$A41)),0)</f>
        <v>0</v>
      </c>
    </row>
    <row r="42" spans="1:12" ht="13.5" customHeight="1">
      <c r="A42" s="204" t="str">
        <f>HYPERLINK("#'P-02'!A1", "P-02")</f>
        <v>P-02</v>
      </c>
      <c r="B42" s="205"/>
      <c r="C42" s="198" t="str">
        <f>IFERROR(VLOOKUP($A42,자산목록!$B$1:$M$833,6,FALSE),"-")</f>
        <v>Windows 10</v>
      </c>
      <c r="D42" s="188"/>
      <c r="E42" s="60">
        <f t="shared" ref="E42:E66" ca="1" si="1">IFERROR(INDIRECT(ADDRESS(16, 4, 1, TRUE, $A42)), 0)</f>
        <v>17</v>
      </c>
      <c r="F42" s="60">
        <f t="shared" ref="F42:F66" ca="1" si="2">E42-I42</f>
        <v>17</v>
      </c>
      <c r="G42" s="60">
        <f t="shared" ref="G42:G66" ca="1" si="3">IFERROR(INDIRECT(ADDRESS(16, 5, 1,TRUE,$A42)),0)</f>
        <v>7</v>
      </c>
      <c r="H42" s="60">
        <f t="shared" ref="H42:H66" ca="1" si="4">IFERROR(INDIRECT(ADDRESS(16, 6, 1,TRUE,$A42)),0)</f>
        <v>5</v>
      </c>
      <c r="I42" s="60">
        <f t="shared" ref="I42:I66" ca="1" si="5">IFERROR(INDIRECT(ADDRESS(17, 7, 1,TRUE,$A42)),0)</f>
        <v>0</v>
      </c>
      <c r="J42" s="60">
        <f t="shared" ref="J42:K66" ca="1" si="6">IFERROR(INDIRECT(ADDRESS(16, 18, 1,TRUE,$A42)),0)</f>
        <v>43</v>
      </c>
      <c r="K42" s="60">
        <f t="shared" ca="1" si="6"/>
        <v>43</v>
      </c>
      <c r="L42" s="77">
        <f t="shared" ref="L42:L66" ca="1" si="7">IFERROR(INDIRECT(ADDRESS(16,8, 1,TRUE,$A42)),0)</f>
        <v>0.39534883720930231</v>
      </c>
    </row>
    <row r="43" spans="1:12" ht="13.5" customHeight="1">
      <c r="A43" s="206" t="str">
        <f>HYPERLINK("#'P-03'!A1", "P-03")</f>
        <v>P-03</v>
      </c>
      <c r="B43" s="205"/>
      <c r="C43" s="198" t="str">
        <f>IFERROR(VLOOKUP($A43,자산목록!$B$1:$M$833,6,FALSE),"-")</f>
        <v>Windows 10</v>
      </c>
      <c r="D43" s="188"/>
      <c r="E43" s="60">
        <f t="shared" ca="1" si="1"/>
        <v>19</v>
      </c>
      <c r="F43" s="60">
        <f t="shared" ca="1" si="2"/>
        <v>19</v>
      </c>
      <c r="G43" s="60">
        <f t="shared" ca="1" si="3"/>
        <v>9</v>
      </c>
      <c r="H43" s="60">
        <f t="shared" ca="1" si="4"/>
        <v>5</v>
      </c>
      <c r="I43" s="60">
        <f t="shared" ca="1" si="5"/>
        <v>0</v>
      </c>
      <c r="J43" s="60">
        <f t="shared" ca="1" si="6"/>
        <v>0</v>
      </c>
      <c r="K43" s="60">
        <f t="shared" ca="1" si="6"/>
        <v>0</v>
      </c>
      <c r="L43" s="77">
        <f t="shared" ca="1" si="7"/>
        <v>0</v>
      </c>
    </row>
    <row r="44" spans="1:12" ht="13.5" customHeight="1">
      <c r="A44" s="199" t="str">
        <f>HYPERLINK("#'P-04'!A1", "P-04")</f>
        <v>P-04</v>
      </c>
      <c r="B44" s="200"/>
      <c r="C44" s="198" t="str">
        <f>IFERROR(VLOOKUP($A44,자산목록!$B$1:$M$833,6,FALSE),"-")</f>
        <v>Windows 10</v>
      </c>
      <c r="D44" s="188"/>
      <c r="E44" s="60">
        <f t="shared" ca="1" si="1"/>
        <v>19</v>
      </c>
      <c r="F44" s="60">
        <f t="shared" ca="1" si="2"/>
        <v>19</v>
      </c>
      <c r="G44" s="60">
        <f t="shared" ca="1" si="3"/>
        <v>9</v>
      </c>
      <c r="H44" s="60">
        <f t="shared" ca="1" si="4"/>
        <v>5</v>
      </c>
      <c r="I44" s="60">
        <f t="shared" ca="1" si="5"/>
        <v>0</v>
      </c>
      <c r="J44" s="60">
        <f t="shared" ca="1" si="6"/>
        <v>0</v>
      </c>
      <c r="K44" s="60">
        <f t="shared" ca="1" si="6"/>
        <v>0</v>
      </c>
      <c r="L44" s="77">
        <f t="shared" ca="1" si="7"/>
        <v>0</v>
      </c>
    </row>
    <row r="45" spans="1:12" ht="13.5" customHeight="1">
      <c r="A45" s="206" t="str">
        <f>HYPERLINK("#'P-05'!A1", "P-05")</f>
        <v>P-05</v>
      </c>
      <c r="B45" s="205"/>
      <c r="C45" s="198" t="str">
        <f>IFERROR(VLOOKUP($A45,자산목록!$B$1:$M$833,6,FALSE),"-")</f>
        <v>Windows 10</v>
      </c>
      <c r="D45" s="188"/>
      <c r="E45" s="60">
        <f t="shared" ca="1" si="1"/>
        <v>19</v>
      </c>
      <c r="F45" s="60">
        <f t="shared" ca="1" si="2"/>
        <v>19</v>
      </c>
      <c r="G45" s="60">
        <f t="shared" ca="1" si="3"/>
        <v>9</v>
      </c>
      <c r="H45" s="60">
        <f t="shared" ca="1" si="4"/>
        <v>5</v>
      </c>
      <c r="I45" s="60">
        <f t="shared" ca="1" si="5"/>
        <v>0</v>
      </c>
      <c r="J45" s="60">
        <f t="shared" ca="1" si="6"/>
        <v>0</v>
      </c>
      <c r="K45" s="60">
        <f t="shared" ca="1" si="6"/>
        <v>0</v>
      </c>
      <c r="L45" s="77">
        <f t="shared" ca="1" si="7"/>
        <v>0</v>
      </c>
    </row>
    <row r="46" spans="1:12" ht="13.5" customHeight="1">
      <c r="A46" s="206" t="str">
        <f>HYPERLINK("#'P-06'!A1", "P-06")</f>
        <v>P-06</v>
      </c>
      <c r="B46" s="205"/>
      <c r="C46" s="198" t="str">
        <f>IFERROR(VLOOKUP($A46,자산목록!$B$1:$M$833,6,FALSE),"-")</f>
        <v>Windows 10</v>
      </c>
      <c r="D46" s="188"/>
      <c r="E46" s="60">
        <f t="shared" ca="1" si="1"/>
        <v>19</v>
      </c>
      <c r="F46" s="60">
        <f t="shared" ca="1" si="2"/>
        <v>19</v>
      </c>
      <c r="G46" s="60">
        <f t="shared" ca="1" si="3"/>
        <v>9</v>
      </c>
      <c r="H46" s="60">
        <f t="shared" ca="1" si="4"/>
        <v>5</v>
      </c>
      <c r="I46" s="60">
        <f t="shared" ca="1" si="5"/>
        <v>0</v>
      </c>
      <c r="J46" s="60">
        <f t="shared" ca="1" si="6"/>
        <v>0</v>
      </c>
      <c r="K46" s="60">
        <f t="shared" ca="1" si="6"/>
        <v>0</v>
      </c>
      <c r="L46" s="77">
        <f t="shared" ca="1" si="7"/>
        <v>0</v>
      </c>
    </row>
    <row r="47" spans="1:12" ht="13.5" customHeight="1">
      <c r="A47" s="206" t="str">
        <f>HYPERLINK("#'P-07'!A1", "P-07")</f>
        <v>P-07</v>
      </c>
      <c r="B47" s="205"/>
      <c r="C47" s="198" t="str">
        <f>IFERROR(VLOOKUP($A47,자산목록!$B$1:$M$833,6,FALSE),"-")</f>
        <v>Windows 10</v>
      </c>
      <c r="D47" s="188"/>
      <c r="E47" s="60">
        <f t="shared" ca="1" si="1"/>
        <v>19</v>
      </c>
      <c r="F47" s="60">
        <f t="shared" ca="1" si="2"/>
        <v>19</v>
      </c>
      <c r="G47" s="60">
        <f t="shared" ca="1" si="3"/>
        <v>9</v>
      </c>
      <c r="H47" s="60">
        <f t="shared" ca="1" si="4"/>
        <v>5</v>
      </c>
      <c r="I47" s="60">
        <f t="shared" ca="1" si="5"/>
        <v>0</v>
      </c>
      <c r="J47" s="60">
        <f t="shared" ca="1" si="6"/>
        <v>0</v>
      </c>
      <c r="K47" s="60">
        <f t="shared" ca="1" si="6"/>
        <v>0</v>
      </c>
      <c r="L47" s="77">
        <f t="shared" ca="1" si="7"/>
        <v>0</v>
      </c>
    </row>
    <row r="48" spans="1:12" ht="13.5" customHeight="1">
      <c r="A48" s="206" t="str">
        <f>HYPERLINK("#'P-08'!A1", "P-08")</f>
        <v>P-08</v>
      </c>
      <c r="B48" s="205"/>
      <c r="C48" s="198" t="str">
        <f>IFERROR(VLOOKUP($A48,자산목록!$B$1:$M$833,6,FALSE),"-")</f>
        <v>Windows 10</v>
      </c>
      <c r="D48" s="188"/>
      <c r="E48" s="60">
        <f t="shared" ca="1" si="1"/>
        <v>19</v>
      </c>
      <c r="F48" s="60">
        <f t="shared" ca="1" si="2"/>
        <v>19</v>
      </c>
      <c r="G48" s="60">
        <f t="shared" ca="1" si="3"/>
        <v>9</v>
      </c>
      <c r="H48" s="60">
        <f t="shared" ca="1" si="4"/>
        <v>5</v>
      </c>
      <c r="I48" s="60">
        <f t="shared" ca="1" si="5"/>
        <v>0</v>
      </c>
      <c r="J48" s="60">
        <f t="shared" ca="1" si="6"/>
        <v>0</v>
      </c>
      <c r="K48" s="60">
        <f t="shared" ca="1" si="6"/>
        <v>0</v>
      </c>
      <c r="L48" s="77">
        <f t="shared" ca="1" si="7"/>
        <v>0</v>
      </c>
    </row>
    <row r="49" spans="1:12" ht="13.5" customHeight="1">
      <c r="A49" s="206" t="str">
        <f>HYPERLINK("#'P-09'!A1", "P-09")</f>
        <v>P-09</v>
      </c>
      <c r="B49" s="205"/>
      <c r="C49" s="198" t="str">
        <f>IFERROR(VLOOKUP($A49,자산목록!$B$1:$M$833,6,FALSE),"-")</f>
        <v>Windows 10</v>
      </c>
      <c r="D49" s="188"/>
      <c r="E49" s="60">
        <f t="shared" ca="1" si="1"/>
        <v>19</v>
      </c>
      <c r="F49" s="60">
        <f t="shared" ca="1" si="2"/>
        <v>19</v>
      </c>
      <c r="G49" s="60">
        <f t="shared" ca="1" si="3"/>
        <v>9</v>
      </c>
      <c r="H49" s="60">
        <f t="shared" ca="1" si="4"/>
        <v>5</v>
      </c>
      <c r="I49" s="60">
        <f t="shared" ca="1" si="5"/>
        <v>0</v>
      </c>
      <c r="J49" s="60">
        <f t="shared" ca="1" si="6"/>
        <v>0</v>
      </c>
      <c r="K49" s="60">
        <f t="shared" ca="1" si="6"/>
        <v>0</v>
      </c>
      <c r="L49" s="77">
        <f t="shared" ca="1" si="7"/>
        <v>0</v>
      </c>
    </row>
    <row r="50" spans="1:12" ht="13.5" customHeight="1">
      <c r="A50" s="206" t="str">
        <f>HYPERLINK("#'P-10'!A1", "P-10")</f>
        <v>P-10</v>
      </c>
      <c r="B50" s="205"/>
      <c r="C50" s="198" t="str">
        <f>IFERROR(VLOOKUP($A50,자산목록!$B$1:$M$833,6,FALSE),"-")</f>
        <v>Windows 10</v>
      </c>
      <c r="D50" s="188"/>
      <c r="E50" s="60">
        <f t="shared" ca="1" si="1"/>
        <v>19</v>
      </c>
      <c r="F50" s="60">
        <f t="shared" ca="1" si="2"/>
        <v>19</v>
      </c>
      <c r="G50" s="60">
        <f t="shared" ca="1" si="3"/>
        <v>9</v>
      </c>
      <c r="H50" s="60">
        <f t="shared" ca="1" si="4"/>
        <v>5</v>
      </c>
      <c r="I50" s="60">
        <f t="shared" ca="1" si="5"/>
        <v>0</v>
      </c>
      <c r="J50" s="60">
        <f t="shared" ca="1" si="6"/>
        <v>0</v>
      </c>
      <c r="K50" s="60">
        <f t="shared" ca="1" si="6"/>
        <v>0</v>
      </c>
      <c r="L50" s="77">
        <f t="shared" ca="1" si="7"/>
        <v>0</v>
      </c>
    </row>
    <row r="51" spans="1:12" ht="13.5" customHeight="1">
      <c r="A51" s="206" t="str">
        <f>HYPERLINK("#'P-11'!A1", "P-11")</f>
        <v>P-11</v>
      </c>
      <c r="B51" s="205"/>
      <c r="C51" s="198" t="str">
        <f>IFERROR(VLOOKUP($A51,자산목록!$B$1:$M$833,6,FALSE),"-")</f>
        <v>Windows 10</v>
      </c>
      <c r="D51" s="188"/>
      <c r="E51" s="60">
        <f t="shared" ca="1" si="1"/>
        <v>19</v>
      </c>
      <c r="F51" s="60">
        <f t="shared" ca="1" si="2"/>
        <v>19</v>
      </c>
      <c r="G51" s="60">
        <f t="shared" ca="1" si="3"/>
        <v>9</v>
      </c>
      <c r="H51" s="60">
        <f t="shared" ca="1" si="4"/>
        <v>5</v>
      </c>
      <c r="I51" s="60">
        <f t="shared" ca="1" si="5"/>
        <v>0</v>
      </c>
      <c r="J51" s="60">
        <f t="shared" ca="1" si="6"/>
        <v>0</v>
      </c>
      <c r="K51" s="60">
        <f t="shared" ca="1" si="6"/>
        <v>0</v>
      </c>
      <c r="L51" s="77">
        <f t="shared" ca="1" si="7"/>
        <v>0</v>
      </c>
    </row>
    <row r="52" spans="1:12" ht="13.5" customHeight="1">
      <c r="A52" s="206" t="str">
        <f>HYPERLINK("#'P-12'!A1", "P-12")</f>
        <v>P-12</v>
      </c>
      <c r="B52" s="205"/>
      <c r="C52" s="198" t="str">
        <f>IFERROR(VLOOKUP($A52,자산목록!$B$1:$M$833,6,FALSE),"-")</f>
        <v>Windows 10</v>
      </c>
      <c r="D52" s="188"/>
      <c r="E52" s="60">
        <f t="shared" ca="1" si="1"/>
        <v>19</v>
      </c>
      <c r="F52" s="60">
        <f t="shared" ca="1" si="2"/>
        <v>19</v>
      </c>
      <c r="G52" s="60">
        <f t="shared" ca="1" si="3"/>
        <v>9</v>
      </c>
      <c r="H52" s="60">
        <f t="shared" ca="1" si="4"/>
        <v>5</v>
      </c>
      <c r="I52" s="60">
        <f t="shared" ca="1" si="5"/>
        <v>0</v>
      </c>
      <c r="J52" s="60">
        <f t="shared" ca="1" si="6"/>
        <v>0</v>
      </c>
      <c r="K52" s="60">
        <f t="shared" ca="1" si="6"/>
        <v>0</v>
      </c>
      <c r="L52" s="77">
        <f t="shared" ca="1" si="7"/>
        <v>0</v>
      </c>
    </row>
    <row r="53" spans="1:12" ht="13.5" customHeight="1">
      <c r="A53" s="206" t="str">
        <f>HYPERLINK("#'P-13'!A1", "P-13")</f>
        <v>P-13</v>
      </c>
      <c r="B53" s="205"/>
      <c r="C53" s="198" t="str">
        <f>IFERROR(VLOOKUP($A53,자산목록!$B$1:$M$833,6,FALSE),"-")</f>
        <v>Windows 10</v>
      </c>
      <c r="D53" s="188"/>
      <c r="E53" s="60">
        <f t="shared" ca="1" si="1"/>
        <v>19</v>
      </c>
      <c r="F53" s="60">
        <f t="shared" ca="1" si="2"/>
        <v>19</v>
      </c>
      <c r="G53" s="60">
        <f t="shared" ca="1" si="3"/>
        <v>9</v>
      </c>
      <c r="H53" s="60">
        <f t="shared" ca="1" si="4"/>
        <v>5</v>
      </c>
      <c r="I53" s="60">
        <f t="shared" ca="1" si="5"/>
        <v>0</v>
      </c>
      <c r="J53" s="60">
        <f t="shared" ca="1" si="6"/>
        <v>0</v>
      </c>
      <c r="K53" s="60">
        <f t="shared" ca="1" si="6"/>
        <v>0</v>
      </c>
      <c r="L53" s="77">
        <f t="shared" ca="1" si="7"/>
        <v>0</v>
      </c>
    </row>
    <row r="54" spans="1:12" ht="13.5" customHeight="1">
      <c r="A54" s="206" t="str">
        <f>HYPERLINK("#'P-14'!A1", "P-14")</f>
        <v>P-14</v>
      </c>
      <c r="B54" s="205"/>
      <c r="C54" s="198" t="str">
        <f>IFERROR(VLOOKUP($A54,자산목록!$B$1:$M$833,6,FALSE),"-")</f>
        <v>Windows 10</v>
      </c>
      <c r="D54" s="188"/>
      <c r="E54" s="60">
        <f t="shared" ca="1" si="1"/>
        <v>19</v>
      </c>
      <c r="F54" s="60">
        <f t="shared" ca="1" si="2"/>
        <v>19</v>
      </c>
      <c r="G54" s="60">
        <f t="shared" ca="1" si="3"/>
        <v>9</v>
      </c>
      <c r="H54" s="60">
        <f t="shared" ca="1" si="4"/>
        <v>5</v>
      </c>
      <c r="I54" s="60">
        <f t="shared" ca="1" si="5"/>
        <v>0</v>
      </c>
      <c r="J54" s="60">
        <f t="shared" ca="1" si="6"/>
        <v>0</v>
      </c>
      <c r="K54" s="60">
        <f t="shared" ca="1" si="6"/>
        <v>0</v>
      </c>
      <c r="L54" s="77">
        <f t="shared" ca="1" si="7"/>
        <v>0</v>
      </c>
    </row>
    <row r="55" spans="1:12" ht="13.5" customHeight="1">
      <c r="A55" s="206" t="str">
        <f>HYPERLINK("#'P-15'!A1", "P-15")</f>
        <v>P-15</v>
      </c>
      <c r="B55" s="205"/>
      <c r="C55" s="198" t="str">
        <f>IFERROR(VLOOKUP($A55,자산목록!$B$1:$M$833,6,FALSE),"-")</f>
        <v>Windows 10</v>
      </c>
      <c r="D55" s="188"/>
      <c r="E55" s="60">
        <f t="shared" ca="1" si="1"/>
        <v>19</v>
      </c>
      <c r="F55" s="60">
        <f t="shared" ca="1" si="2"/>
        <v>19</v>
      </c>
      <c r="G55" s="60">
        <f t="shared" ca="1" si="3"/>
        <v>9</v>
      </c>
      <c r="H55" s="60">
        <f t="shared" ca="1" si="4"/>
        <v>5</v>
      </c>
      <c r="I55" s="60">
        <f t="shared" ca="1" si="5"/>
        <v>0</v>
      </c>
      <c r="J55" s="60">
        <f t="shared" ca="1" si="6"/>
        <v>0</v>
      </c>
      <c r="K55" s="60">
        <f t="shared" ca="1" si="6"/>
        <v>0</v>
      </c>
      <c r="L55" s="77">
        <f t="shared" ca="1" si="7"/>
        <v>0</v>
      </c>
    </row>
    <row r="56" spans="1:12" ht="13.5" customHeight="1">
      <c r="A56" s="206" t="str">
        <f>HYPERLINK("#'P-16'!A1", "P-16")</f>
        <v>P-16</v>
      </c>
      <c r="B56" s="205"/>
      <c r="C56" s="198" t="str">
        <f>IFERROR(VLOOKUP($A56,자산목록!$B$1:$M$833,6,FALSE),"-")</f>
        <v>Windows 10</v>
      </c>
      <c r="D56" s="188"/>
      <c r="E56" s="60">
        <f t="shared" ca="1" si="1"/>
        <v>19</v>
      </c>
      <c r="F56" s="60">
        <f t="shared" ca="1" si="2"/>
        <v>19</v>
      </c>
      <c r="G56" s="60">
        <f t="shared" ca="1" si="3"/>
        <v>9</v>
      </c>
      <c r="H56" s="60">
        <f t="shared" ca="1" si="4"/>
        <v>5</v>
      </c>
      <c r="I56" s="60">
        <f t="shared" ca="1" si="5"/>
        <v>0</v>
      </c>
      <c r="J56" s="60">
        <f t="shared" ca="1" si="6"/>
        <v>0</v>
      </c>
      <c r="K56" s="60">
        <f t="shared" ca="1" si="6"/>
        <v>0</v>
      </c>
      <c r="L56" s="77">
        <f t="shared" ca="1" si="7"/>
        <v>0</v>
      </c>
    </row>
    <row r="57" spans="1:12" ht="13.5" customHeight="1">
      <c r="A57" s="206" t="str">
        <f>HYPERLINK("#'P-17'!A1", "P-17")</f>
        <v>P-17</v>
      </c>
      <c r="B57" s="205"/>
      <c r="C57" s="198" t="str">
        <f>IFERROR(VLOOKUP($A57,자산목록!$B$1:$M$833,6,FALSE),"-")</f>
        <v>Windows 10</v>
      </c>
      <c r="D57" s="188"/>
      <c r="E57" s="60">
        <f t="shared" ca="1" si="1"/>
        <v>19</v>
      </c>
      <c r="F57" s="60">
        <f t="shared" ca="1" si="2"/>
        <v>19</v>
      </c>
      <c r="G57" s="60">
        <f t="shared" ca="1" si="3"/>
        <v>9</v>
      </c>
      <c r="H57" s="60">
        <f t="shared" ca="1" si="4"/>
        <v>5</v>
      </c>
      <c r="I57" s="60">
        <f t="shared" ca="1" si="5"/>
        <v>0</v>
      </c>
      <c r="J57" s="60">
        <f t="shared" ca="1" si="6"/>
        <v>0</v>
      </c>
      <c r="K57" s="60">
        <f t="shared" ca="1" si="6"/>
        <v>0</v>
      </c>
      <c r="L57" s="77">
        <f t="shared" ca="1" si="7"/>
        <v>0</v>
      </c>
    </row>
    <row r="58" spans="1:12" ht="13.5" customHeight="1">
      <c r="A58" s="206" t="str">
        <f>HYPERLINK("#'P-18'!A1", "P-18")</f>
        <v>P-18</v>
      </c>
      <c r="B58" s="205"/>
      <c r="C58" s="198" t="str">
        <f>IFERROR(VLOOKUP($A58,자산목록!$B$1:$M$833,6,FALSE),"-")</f>
        <v>Windows 10</v>
      </c>
      <c r="D58" s="188"/>
      <c r="E58" s="60">
        <f t="shared" ca="1" si="1"/>
        <v>19</v>
      </c>
      <c r="F58" s="60">
        <f t="shared" ca="1" si="2"/>
        <v>19</v>
      </c>
      <c r="G58" s="60">
        <f t="shared" ca="1" si="3"/>
        <v>9</v>
      </c>
      <c r="H58" s="60">
        <f t="shared" ca="1" si="4"/>
        <v>5</v>
      </c>
      <c r="I58" s="60">
        <f t="shared" ca="1" si="5"/>
        <v>0</v>
      </c>
      <c r="J58" s="60">
        <f t="shared" ca="1" si="6"/>
        <v>0</v>
      </c>
      <c r="K58" s="60">
        <f t="shared" ca="1" si="6"/>
        <v>0</v>
      </c>
      <c r="L58" s="77">
        <f t="shared" ca="1" si="7"/>
        <v>0</v>
      </c>
    </row>
    <row r="59" spans="1:12" ht="13.5" customHeight="1">
      <c r="A59" s="206" t="str">
        <f>HYPERLINK("#'P-19'!A1", "P-19")</f>
        <v>P-19</v>
      </c>
      <c r="B59" s="205"/>
      <c r="C59" s="198" t="str">
        <f>IFERROR(VLOOKUP($A59,자산목록!$B$1:$M$833,6,FALSE),"-")</f>
        <v>Windows 10</v>
      </c>
      <c r="D59" s="188"/>
      <c r="E59" s="60">
        <f t="shared" ca="1" si="1"/>
        <v>19</v>
      </c>
      <c r="F59" s="60">
        <f t="shared" ca="1" si="2"/>
        <v>19</v>
      </c>
      <c r="G59" s="60">
        <f t="shared" ca="1" si="3"/>
        <v>9</v>
      </c>
      <c r="H59" s="60">
        <f t="shared" ca="1" si="4"/>
        <v>5</v>
      </c>
      <c r="I59" s="60">
        <f t="shared" ca="1" si="5"/>
        <v>0</v>
      </c>
      <c r="J59" s="60">
        <f t="shared" ca="1" si="6"/>
        <v>0</v>
      </c>
      <c r="K59" s="60">
        <f t="shared" ca="1" si="6"/>
        <v>0</v>
      </c>
      <c r="L59" s="77">
        <f t="shared" ca="1" si="7"/>
        <v>0</v>
      </c>
    </row>
    <row r="60" spans="1:12" ht="13.5" customHeight="1">
      <c r="A60" s="206" t="str">
        <f>HYPERLINK("#'P-20'!A1", "P-20")</f>
        <v>P-20</v>
      </c>
      <c r="B60" s="205"/>
      <c r="C60" s="198" t="str">
        <f>IFERROR(VLOOKUP($A60,자산목록!$B$1:$M$833,6,FALSE),"-")</f>
        <v>Windows 10</v>
      </c>
      <c r="D60" s="188"/>
      <c r="E60" s="60">
        <f t="shared" ca="1" si="1"/>
        <v>19</v>
      </c>
      <c r="F60" s="60">
        <f t="shared" ca="1" si="2"/>
        <v>19</v>
      </c>
      <c r="G60" s="60">
        <f t="shared" ca="1" si="3"/>
        <v>9</v>
      </c>
      <c r="H60" s="60">
        <f t="shared" ca="1" si="4"/>
        <v>5</v>
      </c>
      <c r="I60" s="60">
        <f t="shared" ca="1" si="5"/>
        <v>0</v>
      </c>
      <c r="J60" s="60">
        <f t="shared" ca="1" si="6"/>
        <v>0</v>
      </c>
      <c r="K60" s="60">
        <f t="shared" ca="1" si="6"/>
        <v>0</v>
      </c>
      <c r="L60" s="77">
        <f t="shared" ca="1" si="7"/>
        <v>0</v>
      </c>
    </row>
    <row r="61" spans="1:12" ht="13.5" customHeight="1">
      <c r="A61" s="206" t="str">
        <f>HYPERLINK("#'P-21'!A1", "P-21")</f>
        <v>P-21</v>
      </c>
      <c r="B61" s="205"/>
      <c r="C61" s="198" t="str">
        <f>IFERROR(VLOOKUP($A61,자산목록!$B$1:$M$833,6,FALSE),"-")</f>
        <v>Windows 10</v>
      </c>
      <c r="D61" s="188"/>
      <c r="E61" s="60">
        <f t="shared" ca="1" si="1"/>
        <v>19</v>
      </c>
      <c r="F61" s="60">
        <f t="shared" ca="1" si="2"/>
        <v>19</v>
      </c>
      <c r="G61" s="60">
        <f t="shared" ca="1" si="3"/>
        <v>9</v>
      </c>
      <c r="H61" s="60">
        <f t="shared" ca="1" si="4"/>
        <v>5</v>
      </c>
      <c r="I61" s="60">
        <f t="shared" ca="1" si="5"/>
        <v>0</v>
      </c>
      <c r="J61" s="60">
        <f t="shared" ca="1" si="6"/>
        <v>0</v>
      </c>
      <c r="K61" s="60">
        <f t="shared" ca="1" si="6"/>
        <v>0</v>
      </c>
      <c r="L61" s="77">
        <f t="shared" ca="1" si="7"/>
        <v>0</v>
      </c>
    </row>
    <row r="62" spans="1:12" ht="13.5" customHeight="1">
      <c r="A62" s="206" t="str">
        <f>HYPERLINK("#'P-22'!A1", "P-22")</f>
        <v>P-22</v>
      </c>
      <c r="B62" s="205"/>
      <c r="C62" s="198" t="str">
        <f>IFERROR(VLOOKUP($A62,자산목록!$B$1:$M$833,6,FALSE),"-")</f>
        <v>Windows 10</v>
      </c>
      <c r="D62" s="188"/>
      <c r="E62" s="60">
        <f t="shared" ca="1" si="1"/>
        <v>19</v>
      </c>
      <c r="F62" s="60">
        <f t="shared" ca="1" si="2"/>
        <v>19</v>
      </c>
      <c r="G62" s="60">
        <f t="shared" ca="1" si="3"/>
        <v>9</v>
      </c>
      <c r="H62" s="60">
        <f t="shared" ca="1" si="4"/>
        <v>5</v>
      </c>
      <c r="I62" s="60">
        <f t="shared" ca="1" si="5"/>
        <v>0</v>
      </c>
      <c r="J62" s="60">
        <f t="shared" ca="1" si="6"/>
        <v>0</v>
      </c>
      <c r="K62" s="60">
        <f t="shared" ca="1" si="6"/>
        <v>0</v>
      </c>
      <c r="L62" s="77">
        <f t="shared" ca="1" si="7"/>
        <v>0</v>
      </c>
    </row>
    <row r="63" spans="1:12" ht="13.5" customHeight="1">
      <c r="A63" s="206" t="str">
        <f>HYPERLINK("#'P-23'!A1", "P-23")</f>
        <v>P-23</v>
      </c>
      <c r="B63" s="205"/>
      <c r="C63" s="198" t="str">
        <f>IFERROR(VLOOKUP($A63,자산목록!$B$1:$M$833,6,FALSE),"-")</f>
        <v>Windows 10</v>
      </c>
      <c r="D63" s="188"/>
      <c r="E63" s="60">
        <f t="shared" ca="1" si="1"/>
        <v>19</v>
      </c>
      <c r="F63" s="60">
        <f t="shared" ca="1" si="2"/>
        <v>19</v>
      </c>
      <c r="G63" s="60">
        <f t="shared" ca="1" si="3"/>
        <v>9</v>
      </c>
      <c r="H63" s="60">
        <f t="shared" ca="1" si="4"/>
        <v>5</v>
      </c>
      <c r="I63" s="60">
        <f t="shared" ca="1" si="5"/>
        <v>0</v>
      </c>
      <c r="J63" s="60">
        <f t="shared" ca="1" si="6"/>
        <v>0</v>
      </c>
      <c r="K63" s="60">
        <f t="shared" ca="1" si="6"/>
        <v>0</v>
      </c>
      <c r="L63" s="77">
        <f t="shared" ca="1" si="7"/>
        <v>0</v>
      </c>
    </row>
    <row r="64" spans="1:12" ht="13.5" customHeight="1">
      <c r="A64" s="206" t="str">
        <f>HYPERLINK("#'P-24'!A1", "P-24")</f>
        <v>P-24</v>
      </c>
      <c r="B64" s="205"/>
      <c r="C64" s="198" t="str">
        <f>IFERROR(VLOOKUP($A64,자산목록!$B$1:$M$833,6,FALSE),"-")</f>
        <v>Windows 10</v>
      </c>
      <c r="D64" s="188"/>
      <c r="E64" s="60">
        <f t="shared" ca="1" si="1"/>
        <v>19</v>
      </c>
      <c r="F64" s="60">
        <f t="shared" ca="1" si="2"/>
        <v>19</v>
      </c>
      <c r="G64" s="60">
        <f t="shared" ca="1" si="3"/>
        <v>9</v>
      </c>
      <c r="H64" s="60">
        <f t="shared" ca="1" si="4"/>
        <v>5</v>
      </c>
      <c r="I64" s="60">
        <f t="shared" ca="1" si="5"/>
        <v>0</v>
      </c>
      <c r="J64" s="60">
        <f t="shared" ca="1" si="6"/>
        <v>0</v>
      </c>
      <c r="K64" s="60">
        <f t="shared" ca="1" si="6"/>
        <v>0</v>
      </c>
      <c r="L64" s="77">
        <f t="shared" ca="1" si="7"/>
        <v>0</v>
      </c>
    </row>
    <row r="65" spans="1:12" ht="13.5" customHeight="1">
      <c r="A65" s="206" t="str">
        <f>HYPERLINK("#'P-25'!A1", "P-25")</f>
        <v>P-25</v>
      </c>
      <c r="B65" s="205"/>
      <c r="C65" s="198" t="str">
        <f>IFERROR(VLOOKUP($A65,자산목록!$B$1:$M$833,6,FALSE),"-")</f>
        <v>Windows 10</v>
      </c>
      <c r="D65" s="188"/>
      <c r="E65" s="60">
        <f t="shared" ca="1" si="1"/>
        <v>19</v>
      </c>
      <c r="F65" s="60">
        <f t="shared" ca="1" si="2"/>
        <v>19</v>
      </c>
      <c r="G65" s="60">
        <f t="shared" ca="1" si="3"/>
        <v>9</v>
      </c>
      <c r="H65" s="60">
        <f t="shared" ca="1" si="4"/>
        <v>5</v>
      </c>
      <c r="I65" s="60">
        <f t="shared" ca="1" si="5"/>
        <v>0</v>
      </c>
      <c r="J65" s="60">
        <f t="shared" ca="1" si="6"/>
        <v>0</v>
      </c>
      <c r="K65" s="60">
        <f t="shared" ca="1" si="6"/>
        <v>0</v>
      </c>
      <c r="L65" s="77">
        <f t="shared" ca="1" si="7"/>
        <v>0</v>
      </c>
    </row>
    <row r="66" spans="1:12" ht="13.5" customHeight="1">
      <c r="A66" s="206" t="str">
        <f>HYPERLINK("#'P-25'!A1", "P-25")</f>
        <v>P-25</v>
      </c>
      <c r="B66" s="205"/>
      <c r="C66" s="198" t="str">
        <f>IFERROR(VLOOKUP($A66,자산목록!$B$1:$M$833,6,FALSE),"-")</f>
        <v>Windows 10</v>
      </c>
      <c r="D66" s="188"/>
      <c r="E66" s="60">
        <f t="shared" ca="1" si="1"/>
        <v>19</v>
      </c>
      <c r="F66" s="60">
        <f t="shared" ca="1" si="2"/>
        <v>19</v>
      </c>
      <c r="G66" s="60">
        <f t="shared" ca="1" si="3"/>
        <v>9</v>
      </c>
      <c r="H66" s="60">
        <f t="shared" ca="1" si="4"/>
        <v>5</v>
      </c>
      <c r="I66" s="60">
        <f t="shared" ca="1" si="5"/>
        <v>0</v>
      </c>
      <c r="J66" s="60">
        <f t="shared" ca="1" si="6"/>
        <v>0</v>
      </c>
      <c r="K66" s="60">
        <f t="shared" ca="1" si="6"/>
        <v>0</v>
      </c>
      <c r="L66" s="77">
        <f t="shared" ca="1" si="7"/>
        <v>0</v>
      </c>
    </row>
    <row r="67" spans="1:12" ht="15.95" customHeight="1" thickBot="1">
      <c r="A67" s="201" t="s">
        <v>75</v>
      </c>
      <c r="B67" s="202"/>
      <c r="C67" s="202"/>
      <c r="D67" s="203"/>
      <c r="E67" s="79">
        <f t="shared" ref="E67:K67" ca="1" si="8">SUM(E41:E41)</f>
        <v>17</v>
      </c>
      <c r="F67" s="79">
        <f t="shared" ca="1" si="8"/>
        <v>17</v>
      </c>
      <c r="G67" s="79">
        <f t="shared" ca="1" si="8"/>
        <v>7</v>
      </c>
      <c r="H67" s="79">
        <f t="shared" ca="1" si="8"/>
        <v>5</v>
      </c>
      <c r="I67" s="79">
        <f t="shared" ca="1" si="8"/>
        <v>0</v>
      </c>
      <c r="J67" s="79">
        <f t="shared" ca="1" si="8"/>
        <v>0</v>
      </c>
      <c r="K67" s="79">
        <f t="shared" ca="1" si="8"/>
        <v>0</v>
      </c>
      <c r="L67" s="80">
        <f ca="1">IFERROR(K67/J67, 0)</f>
        <v>0</v>
      </c>
    </row>
    <row r="68" spans="1:12">
      <c r="A68" s="2"/>
    </row>
    <row r="69" spans="1:12">
      <c r="A69" s="6"/>
    </row>
    <row r="70" spans="1:12">
      <c r="A70" s="6"/>
    </row>
    <row r="71" spans="1:12">
      <c r="A71" s="6"/>
    </row>
    <row r="72" spans="1:12">
      <c r="A72" s="6"/>
    </row>
    <row r="73" spans="1:12">
      <c r="A73" s="6"/>
    </row>
    <row r="74" spans="1:12">
      <c r="A74" s="6"/>
    </row>
    <row r="75" spans="1:12">
      <c r="A75" s="6"/>
    </row>
    <row r="76" spans="1:12">
      <c r="A76" s="6"/>
    </row>
    <row r="77" spans="1:12">
      <c r="A77" s="6"/>
    </row>
    <row r="78" spans="1:12">
      <c r="A78" s="6"/>
    </row>
    <row r="79" spans="1:12">
      <c r="A79" s="6"/>
    </row>
    <row r="80" spans="1:12">
      <c r="A80" s="6"/>
    </row>
    <row r="81" spans="1:1">
      <c r="A81" s="6"/>
    </row>
  </sheetData>
  <mergeCells count="64">
    <mergeCell ref="A66:B66"/>
    <mergeCell ref="A65:B65"/>
    <mergeCell ref="C65:D65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J4:L4"/>
    <mergeCell ref="J39:L39"/>
    <mergeCell ref="E39:I39"/>
    <mergeCell ref="A4:D5"/>
    <mergeCell ref="E4:I4"/>
    <mergeCell ref="A39:D40"/>
    <mergeCell ref="A6:D6"/>
    <mergeCell ref="A7:D7"/>
    <mergeCell ref="A8:D8"/>
    <mergeCell ref="A9:D9"/>
    <mergeCell ref="A10:D10"/>
    <mergeCell ref="C42:D42"/>
    <mergeCell ref="C44:D44"/>
    <mergeCell ref="A41:B41"/>
    <mergeCell ref="C41:D41"/>
    <mergeCell ref="A67:D67"/>
    <mergeCell ref="A42:B42"/>
    <mergeCell ref="A44:B44"/>
    <mergeCell ref="A43:B43"/>
    <mergeCell ref="C43:D43"/>
    <mergeCell ref="C45:D45"/>
    <mergeCell ref="C46:D46"/>
    <mergeCell ref="C47:D47"/>
    <mergeCell ref="C48:D48"/>
    <mergeCell ref="C49:D49"/>
    <mergeCell ref="C50:D50"/>
    <mergeCell ref="C55:D55"/>
    <mergeCell ref="C51:D51"/>
    <mergeCell ref="C53:D53"/>
    <mergeCell ref="C52:D52"/>
    <mergeCell ref="C54:D54"/>
    <mergeCell ref="C66:D66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8" fitToHeight="0" orientation="portrait" r:id="rId1"/>
  <headerFooter alignWithMargins="0">
    <oddHeader>&amp;L
&amp;R&amp;F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82"/>
  <sheetViews>
    <sheetView showGridLines="0" view="pageBreakPreview" zoomScaleNormal="70" zoomScaleSheetLayoutView="100" zoomScalePageLayoutView="85" workbookViewId="0"/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26" width="8.77734375" style="3" customWidth="1"/>
    <col min="27" max="16384" width="8.77734375" style="3"/>
  </cols>
  <sheetData>
    <row r="1" spans="1:25" ht="17.100000000000001" customHeight="1">
      <c r="A1" s="16" t="s">
        <v>64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95" customHeight="1" thickBot="1">
      <c r="A3" s="5" t="s">
        <v>65</v>
      </c>
    </row>
    <row r="4" spans="1:25" ht="15.95" customHeight="1" thickBot="1">
      <c r="A4" s="210" t="s">
        <v>60</v>
      </c>
      <c r="B4" s="180"/>
      <c r="C4" s="180"/>
      <c r="D4" s="181"/>
      <c r="E4" s="229" t="s">
        <v>66</v>
      </c>
      <c r="F4" s="180"/>
      <c r="G4" s="180"/>
      <c r="H4" s="180"/>
      <c r="I4" s="222"/>
      <c r="J4" s="232" t="s">
        <v>78</v>
      </c>
      <c r="K4" s="208"/>
      <c r="L4" s="208"/>
      <c r="M4" s="208"/>
      <c r="N4" s="209"/>
      <c r="O4" s="226" t="s">
        <v>67</v>
      </c>
      <c r="P4" s="208"/>
      <c r="Q4" s="208"/>
      <c r="R4" s="208"/>
      <c r="S4" s="208"/>
      <c r="T4" s="208"/>
      <c r="U4" s="227"/>
    </row>
    <row r="5" spans="1:25" ht="30.95" customHeight="1" thickBot="1">
      <c r="A5" s="211"/>
      <c r="B5" s="212"/>
      <c r="C5" s="212"/>
      <c r="D5" s="213"/>
      <c r="E5" s="81" t="s">
        <v>68</v>
      </c>
      <c r="F5" s="82" t="s">
        <v>61</v>
      </c>
      <c r="G5" s="83" t="s">
        <v>69</v>
      </c>
      <c r="H5" s="82" t="s">
        <v>70</v>
      </c>
      <c r="I5" s="82" t="s">
        <v>71</v>
      </c>
      <c r="J5" s="84" t="s">
        <v>79</v>
      </c>
      <c r="K5" s="85" t="s">
        <v>80</v>
      </c>
      <c r="L5" s="86" t="s">
        <v>81</v>
      </c>
      <c r="M5" s="86" t="s">
        <v>71</v>
      </c>
      <c r="N5" s="86" t="s">
        <v>82</v>
      </c>
      <c r="O5" s="87" t="s">
        <v>83</v>
      </c>
      <c r="P5" s="88" t="s">
        <v>84</v>
      </c>
      <c r="Q5" s="89" t="s">
        <v>85</v>
      </c>
      <c r="R5" s="89" t="s">
        <v>86</v>
      </c>
      <c r="S5" s="87" t="s">
        <v>87</v>
      </c>
      <c r="T5" s="88" t="s">
        <v>88</v>
      </c>
      <c r="U5" s="90" t="s">
        <v>89</v>
      </c>
    </row>
    <row r="6" spans="1:25">
      <c r="A6" s="216" t="str">
        <f>ChkList!A5</f>
        <v>계정 관리</v>
      </c>
      <c r="B6" s="191"/>
      <c r="C6" s="191"/>
      <c r="D6" s="188"/>
      <c r="E6" s="11">
        <f ca="1">SUMIF('취약점 진단 항목별 통계 (이행)'!$A:$A,$A6&amp;"*",'취약점 진단 항목별 통계 (이행)'!$F:$F)</f>
        <v>6</v>
      </c>
      <c r="F6" s="11">
        <f ca="1">E6-I6</f>
        <v>6</v>
      </c>
      <c r="G6" s="11">
        <f ca="1">SUMIF('취약점 진단 항목별 통계'!$A:$A,$A6&amp;"*",'취약점 진단 항목별 통계'!$G:$G)+SUMIF('취약점 진단 항목별 통계'!$A:$A,$A6&amp;"*",'취약점 진단 항목별 통계'!$H:$H)</f>
        <v>3</v>
      </c>
      <c r="H6" s="11">
        <f ca="1">SUMIF('취약점 진단 항목별 통계'!$A:$A,$A6&amp;"*",'취약점 진단 항목별 통계'!$I:$I)</f>
        <v>0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0</v>
      </c>
      <c r="K6" s="11">
        <f ca="1">SUMIF('취약점 진단 항목별 통계 (이행)'!$A:$A,$A6&amp;"*",'취약점 진단 항목별 통계 (이행)'!$L:$L)</f>
        <v>3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29">
        <f ca="1">K6+L6</f>
        <v>3</v>
      </c>
      <c r="O6" s="11">
        <f ca="1">SUMIF('취약점 진단 항목별 통계 (이행)'!$A:$A,$A6&amp;"*",'취약점 진단 항목별 통계 (이행)'!$O:$O)</f>
        <v>18</v>
      </c>
      <c r="P6" s="11">
        <f ca="1">SUMIF('취약점 진단 항목별 통계 (이행)'!$A:$A,$A6&amp;"*",'취약점 진단 항목별 통계 (이행)'!$P:$P)</f>
        <v>18</v>
      </c>
      <c r="Q6" s="11">
        <f ca="1">SUMIF('취약점 진단 항목별 통계 (이행)'!$A:$A,$A6&amp;"*",'취약점 진단 항목별 통계 (이행)'!$Q:$Q)</f>
        <v>9</v>
      </c>
      <c r="R6" s="11">
        <f ca="1">SUMIF('취약점 진단 항목별 통계 (이행)'!$A:$A,$A6&amp;"*",'취약점 진단 항목별 통계 (이행)'!$R:$R)</f>
        <v>9</v>
      </c>
      <c r="S6" s="25" t="str">
        <f t="shared" ref="S6:S10" ca="1" si="0">IFERROR($J6/($H6-(M6-I6)),"N/A")</f>
        <v>N/A</v>
      </c>
      <c r="T6" s="25">
        <f t="shared" ref="T6:T10" ca="1" si="1">IF($I6=$E6, "N/A", (Q6/O6))</f>
        <v>0.5</v>
      </c>
      <c r="U6" s="74">
        <f t="shared" ref="U6:U10" ca="1" si="2">IF(OR($I6=$E6,$E6=$M6),"N/A", ($R6/$P6))</f>
        <v>0.5</v>
      </c>
      <c r="V6" s="2"/>
      <c r="W6" s="1"/>
    </row>
    <row r="7" spans="1:25">
      <c r="A7" s="216" t="str">
        <f>ChkList!A8</f>
        <v>서비스 관리</v>
      </c>
      <c r="B7" s="191"/>
      <c r="C7" s="191"/>
      <c r="D7" s="188"/>
      <c r="E7" s="11">
        <f ca="1">SUMIF('취약점 진단 항목별 통계 (이행)'!$A:$A,$A7&amp;"*",'취약점 진단 항목별 통계 (이행)'!$F:$F)</f>
        <v>18</v>
      </c>
      <c r="F7" s="11">
        <f ca="1">E7-I7</f>
        <v>18</v>
      </c>
      <c r="G7" s="11">
        <f ca="1">SUMIF('취약점 진단 항목별 통계'!$A:$A,$A7&amp;"*",'취약점 진단 항목별 통계'!$G:$G)+SUMIF('취약점 진단 항목별 통계'!$A:$A,$A7&amp;"*",'취약점 진단 항목별 통계'!$H:$H)</f>
        <v>9</v>
      </c>
      <c r="H7" s="11">
        <f ca="1">SUMIF('취약점 진단 항목별 통계'!$A:$A,$A7&amp;"*",'취약점 진단 항목별 통계'!$I:$I)</f>
        <v>6</v>
      </c>
      <c r="I7" s="11">
        <f ca="1">SUMIF('취약점 진단 항목별 통계'!$A:$A,$A7&amp;"*",'취약점 진단 항목별 통계'!$J:$J)</f>
        <v>0</v>
      </c>
      <c r="J7" s="11">
        <f ca="1">SUMIF('취약점 진단 항목별 통계 (이행)'!$A:$A,$A7&amp;"*",'취약점 진단 항목별 통계 (이행)'!$K:$K)</f>
        <v>6</v>
      </c>
      <c r="K7" s="11">
        <f ca="1">SUMIF('취약점 진단 항목별 통계 (이행)'!$A:$A,$A7&amp;"*",'취약점 진단 항목별 통계 (이행)'!$L:$L)</f>
        <v>3</v>
      </c>
      <c r="L7" s="11">
        <f ca="1">SUMIF('취약점 진단 항목별 통계 (이행)'!$A:$A,$A7&amp;"*",'취약점 진단 항목별 통계 (이행)'!$M:$M)</f>
        <v>0</v>
      </c>
      <c r="M7" s="11">
        <f ca="1">SUMIF('취약점 진단 항목별 통계 (이행)'!$A:$A,$A7&amp;"*",'취약점 진단 항목별 통계 (이행)'!$N:$N)</f>
        <v>0</v>
      </c>
      <c r="N7" s="29">
        <f ca="1">K7+L7</f>
        <v>3</v>
      </c>
      <c r="O7" s="11">
        <f ca="1">SUMIF('취약점 진단 항목별 통계 (이행)'!$A:$A,$A7&amp;"*",'취약점 진단 항목별 통계 (이행)'!$O:$O)</f>
        <v>42</v>
      </c>
      <c r="P7" s="11">
        <f ca="1">SUMIF('취약점 진단 항목별 통계 (이행)'!$A:$A,$A7&amp;"*",'취약점 진단 항목별 통계 (이행)'!$P:$P)</f>
        <v>42</v>
      </c>
      <c r="Q7" s="11">
        <f ca="1">SUMIF('취약점 진단 항목별 통계 (이행)'!$A:$A,$A7&amp;"*",'취약점 진단 항목별 통계 (이행)'!$Q:$Q)</f>
        <v>18</v>
      </c>
      <c r="R7" s="11">
        <f ca="1">SUMIF('취약점 진단 항목별 통계 (이행)'!$A:$A,$A7&amp;"*",'취약점 진단 항목별 통계 (이행)'!$R:$R)</f>
        <v>36</v>
      </c>
      <c r="S7" s="25">
        <f t="shared" ca="1" si="0"/>
        <v>1</v>
      </c>
      <c r="T7" s="25">
        <f t="shared" ca="1" si="1"/>
        <v>0.42857142857142855</v>
      </c>
      <c r="U7" s="74">
        <f t="shared" ca="1" si="2"/>
        <v>0.8571428571428571</v>
      </c>
      <c r="V7" s="2"/>
      <c r="W7" s="1"/>
    </row>
    <row r="8" spans="1:25">
      <c r="A8" s="216" t="str">
        <f>ChkList!A14</f>
        <v>패치 관리</v>
      </c>
      <c r="B8" s="191"/>
      <c r="C8" s="191"/>
      <c r="D8" s="188"/>
      <c r="E8" s="11">
        <f ca="1">SUMIF('취약점 진단 항목별 통계 (이행)'!$A:$A,$A8&amp;"*",'취약점 진단 항목별 통계 (이행)'!$F:$F)</f>
        <v>6</v>
      </c>
      <c r="F8" s="11">
        <f ca="1">E8-I8</f>
        <v>6</v>
      </c>
      <c r="G8" s="11">
        <f ca="1">SUMIF('취약점 진단 항목별 통계'!$A:$A,$A8&amp;"*",'취약점 진단 항목별 통계'!$G:$G)+SUMIF('취약점 진단 항목별 통계'!$A:$A,$A8&amp;"*",'취약점 진단 항목별 통계'!$H:$H)</f>
        <v>0</v>
      </c>
      <c r="H8" s="11">
        <f ca="1">SUMIF('취약점 진단 항목별 통계'!$A:$A,$A8&amp;"*",'취약점 진단 항목별 통계'!$I:$I)</f>
        <v>0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0</v>
      </c>
      <c r="K8" s="11">
        <f ca="1">SUMIF('취약점 진단 항목별 통계 (이행)'!$A:$A,$A8&amp;"*",'취약점 진단 항목별 통계 (이행)'!$L:$L)</f>
        <v>6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0</v>
      </c>
      <c r="N8" s="29">
        <f ca="1">K8+L8</f>
        <v>6</v>
      </c>
      <c r="O8" s="11">
        <f ca="1">SUMIF('취약점 진단 항목별 통계 (이행)'!$A:$A,$A8&amp;"*",'취약점 진단 항목별 통계 (이행)'!$O:$O)</f>
        <v>18</v>
      </c>
      <c r="P8" s="11">
        <f ca="1">SUMIF('취약점 진단 항목별 통계 (이행)'!$A:$A,$A8&amp;"*",'취약점 진단 항목별 통계 (이행)'!$P:$P)</f>
        <v>18</v>
      </c>
      <c r="Q8" s="11">
        <f ca="1">SUMIF('취약점 진단 항목별 통계 (이행)'!$A:$A,$A8&amp;"*",'취약점 진단 항목별 통계 (이행)'!$Q:$Q)</f>
        <v>0</v>
      </c>
      <c r="R8" s="11">
        <f ca="1">SUMIF('취약점 진단 항목별 통계 (이행)'!$A:$A,$A8&amp;"*",'취약점 진단 항목별 통계 (이행)'!$R:$R)</f>
        <v>0</v>
      </c>
      <c r="S8" s="25" t="str">
        <f t="shared" ca="1" si="0"/>
        <v>N/A</v>
      </c>
      <c r="T8" s="25">
        <f t="shared" ca="1" si="1"/>
        <v>0</v>
      </c>
      <c r="U8" s="74">
        <f t="shared" ca="1" si="2"/>
        <v>0</v>
      </c>
      <c r="V8" s="6"/>
      <c r="W8" s="6"/>
    </row>
    <row r="9" spans="1:25">
      <c r="A9" s="216" t="str">
        <f>ChkList!A17</f>
        <v>보안 관리</v>
      </c>
      <c r="B9" s="191"/>
      <c r="C9" s="191"/>
      <c r="D9" s="188"/>
      <c r="E9" s="11">
        <f ca="1">SUMIF('취약점 진단 항목별 통계 (이행)'!$A:$A,$A9&amp;"*",'취약점 진단 항목별 통계 (이행)'!$F:$F)</f>
        <v>21</v>
      </c>
      <c r="F9" s="11">
        <f ca="1">E9-I9</f>
        <v>18</v>
      </c>
      <c r="G9" s="11">
        <f ca="1">SUMIF('취약점 진단 항목별 통계'!$A:$A,$A9&amp;"*",'취약점 진단 항목별 통계'!$G:$G)+SUMIF('취약점 진단 항목별 통계'!$A:$A,$A9&amp;"*",'취약점 진단 항목별 통계'!$H:$H)</f>
        <v>9</v>
      </c>
      <c r="H9" s="11">
        <f ca="1">SUMIF('취약점 진단 항목별 통계'!$A:$A,$A9&amp;"*",'취약점 진단 항목별 통계'!$I:$I)</f>
        <v>9</v>
      </c>
      <c r="I9" s="11">
        <f ca="1">SUMIF('취약점 진단 항목별 통계'!$A:$A,$A9&amp;"*",'취약점 진단 항목별 통계'!$J:$J)</f>
        <v>3</v>
      </c>
      <c r="J9" s="11">
        <f ca="1">SUMIF('취약점 진단 항목별 통계 (이행)'!$A:$A,$A9&amp;"*",'취약점 진단 항목별 통계 (이행)'!$K:$K)</f>
        <v>9</v>
      </c>
      <c r="K9" s="11">
        <f ca="1">SUMIF('취약점 진단 항목별 통계 (이행)'!$A:$A,$A9&amp;"*",'취약점 진단 항목별 통계 (이행)'!$L:$L)</f>
        <v>0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1</v>
      </c>
      <c r="N9" s="29">
        <f ca="1">K9+L9</f>
        <v>0</v>
      </c>
      <c r="O9" s="11">
        <f ca="1">SUMIF('취약점 진단 항목별 통계 (이행)'!$A:$A,$A9&amp;"*",'취약점 진단 항목별 통계 (이행)'!$O:$O)</f>
        <v>51</v>
      </c>
      <c r="P9" s="11">
        <f ca="1">SUMIF('취약점 진단 항목별 통계 (이행)'!$A:$A,$A9&amp;"*",'취약점 진단 항목별 통계 (이행)'!$P:$P)</f>
        <v>55</v>
      </c>
      <c r="Q9" s="11">
        <f ca="1">SUMIF('취약점 진단 항목별 통계 (이행)'!$A:$A,$A9&amp;"*",'취약점 진단 항목별 통계 (이행)'!$Q:$Q)</f>
        <v>24</v>
      </c>
      <c r="R9" s="11">
        <f ca="1">SUMIF('취약점 진단 항목별 통계 (이행)'!$A:$A,$A9&amp;"*",'취약점 진단 항목별 통계 (이행)'!$R:$R)</f>
        <v>51</v>
      </c>
      <c r="S9" s="25">
        <f t="shared" ca="1" si="0"/>
        <v>0.81818181818181823</v>
      </c>
      <c r="T9" s="25">
        <f t="shared" ca="1" si="1"/>
        <v>0.47058823529411764</v>
      </c>
      <c r="U9" s="74">
        <f t="shared" ca="1" si="2"/>
        <v>0.92727272727272725</v>
      </c>
      <c r="V9" s="6"/>
      <c r="W9" s="6"/>
    </row>
    <row r="10" spans="1:25" ht="15.95" customHeight="1" thickBot="1">
      <c r="A10" s="217" t="s">
        <v>75</v>
      </c>
      <c r="B10" s="202"/>
      <c r="C10" s="202"/>
      <c r="D10" s="203"/>
      <c r="E10" s="91">
        <f t="shared" ref="E10:R10" ca="1" si="3">SUM(E6:E9)</f>
        <v>51</v>
      </c>
      <c r="F10" s="91">
        <f t="shared" ca="1" si="3"/>
        <v>48</v>
      </c>
      <c r="G10" s="91">
        <f t="shared" ca="1" si="3"/>
        <v>21</v>
      </c>
      <c r="H10" s="91">
        <f t="shared" ca="1" si="3"/>
        <v>15</v>
      </c>
      <c r="I10" s="91">
        <f t="shared" ca="1" si="3"/>
        <v>3</v>
      </c>
      <c r="J10" s="91">
        <f t="shared" ca="1" si="3"/>
        <v>15</v>
      </c>
      <c r="K10" s="91">
        <f t="shared" ca="1" si="3"/>
        <v>12</v>
      </c>
      <c r="L10" s="91">
        <f t="shared" ca="1" si="3"/>
        <v>0</v>
      </c>
      <c r="M10" s="91">
        <f t="shared" ca="1" si="3"/>
        <v>1</v>
      </c>
      <c r="N10" s="91">
        <f t="shared" ca="1" si="3"/>
        <v>12</v>
      </c>
      <c r="O10" s="91">
        <f t="shared" ca="1" si="3"/>
        <v>129</v>
      </c>
      <c r="P10" s="91">
        <f t="shared" ca="1" si="3"/>
        <v>133</v>
      </c>
      <c r="Q10" s="91">
        <f t="shared" ca="1" si="3"/>
        <v>51</v>
      </c>
      <c r="R10" s="91">
        <f t="shared" ca="1" si="3"/>
        <v>96</v>
      </c>
      <c r="S10" s="92">
        <f t="shared" ca="1" si="0"/>
        <v>0.88235294117647056</v>
      </c>
      <c r="T10" s="92">
        <f t="shared" ca="1" si="1"/>
        <v>0.39534883720930231</v>
      </c>
      <c r="U10" s="76">
        <f t="shared" ca="1" si="2"/>
        <v>0.72180451127819545</v>
      </c>
      <c r="V10" s="6"/>
      <c r="W10" s="6"/>
    </row>
    <row r="11" spans="1: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8"/>
      <c r="S11" s="8"/>
      <c r="T11" s="8"/>
      <c r="U11" s="8"/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R37" s="6"/>
      <c r="S37" s="6"/>
      <c r="T37" s="6"/>
      <c r="U37" s="6"/>
      <c r="V37" s="6"/>
      <c r="W37" s="6"/>
    </row>
    <row r="38" spans="1:23" ht="15.95" customHeight="1" thickBot="1">
      <c r="A38" s="5" t="s">
        <v>76</v>
      </c>
      <c r="R38" s="6"/>
      <c r="S38" s="6"/>
      <c r="T38" s="6"/>
      <c r="U38" s="6"/>
      <c r="V38" s="6"/>
      <c r="W38" s="6"/>
    </row>
    <row r="39" spans="1:23" ht="15.95" customHeight="1" thickBot="1">
      <c r="A39" s="221" t="s">
        <v>77</v>
      </c>
      <c r="B39" s="180"/>
      <c r="C39" s="180"/>
      <c r="D39" s="222"/>
      <c r="E39" s="230" t="s">
        <v>66</v>
      </c>
      <c r="F39" s="208"/>
      <c r="G39" s="208"/>
      <c r="H39" s="208"/>
      <c r="I39" s="231"/>
      <c r="J39" s="233" t="s">
        <v>78</v>
      </c>
      <c r="K39" s="180"/>
      <c r="L39" s="180"/>
      <c r="M39" s="180"/>
      <c r="N39" s="180"/>
      <c r="O39" s="228" t="s">
        <v>67</v>
      </c>
      <c r="P39" s="180"/>
      <c r="Q39" s="180"/>
      <c r="R39" s="180"/>
      <c r="S39" s="180"/>
      <c r="T39" s="180"/>
      <c r="U39" s="222"/>
      <c r="V39" s="6"/>
      <c r="W39" s="6"/>
    </row>
    <row r="40" spans="1:23" ht="27.95" customHeight="1">
      <c r="A40" s="223"/>
      <c r="B40" s="224"/>
      <c r="C40" s="224"/>
      <c r="D40" s="225"/>
      <c r="E40" s="93" t="s">
        <v>68</v>
      </c>
      <c r="F40" s="94" t="s">
        <v>61</v>
      </c>
      <c r="G40" s="95" t="s">
        <v>69</v>
      </c>
      <c r="H40" s="96" t="s">
        <v>70</v>
      </c>
      <c r="I40" s="97" t="s">
        <v>71</v>
      </c>
      <c r="J40" s="96" t="s">
        <v>79</v>
      </c>
      <c r="K40" s="97" t="s">
        <v>80</v>
      </c>
      <c r="L40" s="96" t="s">
        <v>81</v>
      </c>
      <c r="M40" s="96" t="s">
        <v>71</v>
      </c>
      <c r="N40" s="96" t="s">
        <v>82</v>
      </c>
      <c r="O40" s="96" t="s">
        <v>83</v>
      </c>
      <c r="P40" s="96" t="s">
        <v>84</v>
      </c>
      <c r="Q40" s="96" t="s">
        <v>85</v>
      </c>
      <c r="R40" s="96" t="s">
        <v>86</v>
      </c>
      <c r="S40" s="97" t="s">
        <v>87</v>
      </c>
      <c r="T40" s="96" t="s">
        <v>88</v>
      </c>
      <c r="U40" s="98" t="s">
        <v>89</v>
      </c>
      <c r="V40" s="6"/>
      <c r="W40" s="6"/>
    </row>
    <row r="41" spans="1:23" ht="13.5" customHeight="1">
      <c r="A41" s="220" t="str">
        <f>자산목록!B5</f>
        <v>P-01</v>
      </c>
      <c r="B41" s="219"/>
      <c r="C41" s="218" t="str">
        <f>IFERROR(VLOOKUP($A41,자산목록!$B$1:$M$834,6,FALSE),"-")</f>
        <v>Windows 10</v>
      </c>
      <c r="D41" s="219"/>
      <c r="E41" s="43">
        <f ca="1">IFERROR(INDIRECT(ADDRESS(16, 4, 1,TRUE,$A41)),0)</f>
        <v>17</v>
      </c>
      <c r="F41" s="44">
        <f ca="1">E41-I41</f>
        <v>16</v>
      </c>
      <c r="G41" s="43">
        <f ca="1">IFERROR(INDIRECT(ADDRESS(16,5, 1,TRUE,$A41)),0)</f>
        <v>7</v>
      </c>
      <c r="H41" s="43">
        <f ca="1">IFERROR(INDIRECT(ADDRESS(16,6, 1,TRUE,$A41)),0)</f>
        <v>5</v>
      </c>
      <c r="I41" s="43">
        <f ca="1">IFERROR(INDIRECT(ADDRESS(16,7, 1,TRUE,$A41)),0)</f>
        <v>1</v>
      </c>
      <c r="J41" s="43">
        <f ca="1">IFERROR(INDIRECT(ADDRESS(17,10, 1,TRUE,$A41)),0)</f>
        <v>0</v>
      </c>
      <c r="K41" s="55">
        <f ca="1">IFERROR(INDIRECT(ADDRESS(17,11, 1,TRUE,$A41)),0)</f>
        <v>0</v>
      </c>
      <c r="L41" s="43">
        <f ca="1">IFERROR(INDIRECT(ADDRESS(17,12, 1,TRUE,$A41)),0)</f>
        <v>0</v>
      </c>
      <c r="M41" s="43">
        <f ca="1">IFERROR(INDIRECT(ADDRESS(17,13, 1,TRUE,$A41)),0)</f>
        <v>0</v>
      </c>
      <c r="N41" s="43">
        <f ca="1">K41+L41</f>
        <v>0</v>
      </c>
      <c r="O41" s="43">
        <f ca="1">IFERROR(INDIRECT(ADDRESS(16,18, 1,TRUE,$A41)),0)</f>
        <v>0</v>
      </c>
      <c r="P41" s="43">
        <f ca="1">IFERROR(INDIRECT(ADDRESS(17,21, 1,TRUE,$A41)),0)</f>
        <v>0</v>
      </c>
      <c r="Q41" s="43">
        <f ca="1">IFERROR(INDIRECT(ADDRESS(16,19, 1,TRUE,$A41)),0)</f>
        <v>14</v>
      </c>
      <c r="R41" s="55">
        <f ca="1">IFERROR(INDIRECT(ADDRESS(17,20, 1,TRUE,$A41)),0)</f>
        <v>0</v>
      </c>
      <c r="S41" s="57">
        <f ca="1">IFERROR(INDIRECT(ADDRESS(17,14, 1,TRUE,$A41)),0)</f>
        <v>0</v>
      </c>
      <c r="T41" s="57">
        <f ca="1">IFERROR(INDIRECT(ADDRESS(16,8, 1,TRUE,$A41)),0)</f>
        <v>0</v>
      </c>
      <c r="U41" s="99">
        <f ca="1">IFERROR(INDIRECT(ADDRESS(17,15, 1,TRUE,$A41)),0)</f>
        <v>0</v>
      </c>
      <c r="V41" s="7"/>
    </row>
    <row r="42" spans="1:23" ht="13.5" customHeight="1">
      <c r="A42" s="220" t="str">
        <f>자산목록!B6</f>
        <v>P-02</v>
      </c>
      <c r="B42" s="219"/>
      <c r="C42" s="218" t="str">
        <f>IFERROR(VLOOKUP($A42,자산목록!$B$1:$M$834,6,FALSE),"-")</f>
        <v>Windows 10</v>
      </c>
      <c r="D42" s="219"/>
      <c r="E42" s="43">
        <f t="shared" ref="E42" ca="1" si="4">IFERROR(INDIRECT(ADDRESS(16, 4, 1,TRUE,$A42)),0)</f>
        <v>17</v>
      </c>
      <c r="F42" s="44">
        <f t="shared" ref="F42" ca="1" si="5">E42-I42</f>
        <v>16</v>
      </c>
      <c r="G42" s="43">
        <f t="shared" ref="G42" ca="1" si="6">IFERROR(INDIRECT(ADDRESS(16,5, 1,TRUE,$A42)),0)</f>
        <v>7</v>
      </c>
      <c r="H42" s="43">
        <f t="shared" ref="H42" ca="1" si="7">IFERROR(INDIRECT(ADDRESS(16,6, 1,TRUE,$A42)),0)</f>
        <v>5</v>
      </c>
      <c r="I42" s="43">
        <f t="shared" ref="I42" ca="1" si="8">IFERROR(INDIRECT(ADDRESS(16,7, 1,TRUE,$A42)),0)</f>
        <v>1</v>
      </c>
      <c r="J42" s="43">
        <f ca="1">IFERROR(INDIRECT(ADDRESS(17,10, 1,TRUE,$A42)),0)</f>
        <v>0</v>
      </c>
      <c r="K42" s="55">
        <f ca="1">IFERROR(INDIRECT(ADDRESS(17,11, 1,TRUE,$A42)),0)</f>
        <v>0</v>
      </c>
      <c r="L42" s="43">
        <f ca="1">IFERROR(INDIRECT(ADDRESS(17,12, 1,TRUE,$A42)),0)</f>
        <v>0</v>
      </c>
      <c r="M42" s="43">
        <f ca="1">IFERROR(INDIRECT(ADDRESS(17,13, 1,TRUE,$A42)),0)</f>
        <v>0</v>
      </c>
      <c r="N42" s="43">
        <f ca="1">K42+L42</f>
        <v>0</v>
      </c>
      <c r="O42" s="43">
        <f t="shared" ref="O42" ca="1" si="9">IFERROR(INDIRECT(ADDRESS(16,18, 1,TRUE,$A42)),0)</f>
        <v>43</v>
      </c>
      <c r="P42" s="43">
        <f ca="1">IFERROR(INDIRECT(ADDRESS(17,21, 1,TRUE,$A42)),0)</f>
        <v>0</v>
      </c>
      <c r="Q42" s="43">
        <f t="shared" ref="Q42" ca="1" si="10">IFERROR(INDIRECT(ADDRESS(16,19, 1,TRUE,$A42)),0)</f>
        <v>17</v>
      </c>
      <c r="R42" s="55">
        <f ca="1">IFERROR(INDIRECT(ADDRESS(17,20, 1,TRUE,$A42)),0)</f>
        <v>0</v>
      </c>
      <c r="S42" s="57">
        <f ca="1">IFERROR(INDIRECT(ADDRESS(17,14, 1,TRUE,$A42)),0)</f>
        <v>0</v>
      </c>
      <c r="T42" s="57">
        <f t="shared" ref="T42" ca="1" si="11">IFERROR(INDIRECT(ADDRESS(16,8, 1,TRUE,$A42)),0)</f>
        <v>0.39534883720930231</v>
      </c>
      <c r="U42" s="99">
        <f ca="1">IFERROR(INDIRECT(ADDRESS(17,15, 1,TRUE,$A42)),0)</f>
        <v>0</v>
      </c>
      <c r="V42" s="7"/>
    </row>
    <row r="43" spans="1:23" ht="13.5" customHeight="1">
      <c r="A43" s="220" t="str">
        <f>자산목록!B7</f>
        <v>P-03</v>
      </c>
      <c r="B43" s="219"/>
      <c r="C43" s="218" t="str">
        <f>IFERROR(VLOOKUP($A43,자산목록!$B$1:$M$834,6,FALSE),"-")</f>
        <v>Windows 10</v>
      </c>
      <c r="D43" s="219"/>
      <c r="E43" s="43">
        <f ca="1">IFERROR(INDIRECT(ADDRESS(16, 4, 1,TRUE,$A43)),0)</f>
        <v>19</v>
      </c>
      <c r="F43" s="44">
        <f ca="1">E43-I43</f>
        <v>18</v>
      </c>
      <c r="G43" s="43">
        <f ca="1">IFERROR(INDIRECT(ADDRESS(16,5, 1,TRUE,$A43)),0)</f>
        <v>9</v>
      </c>
      <c r="H43" s="43">
        <f ca="1">IFERROR(INDIRECT(ADDRESS(16,6, 1,TRUE,$A43)),0)</f>
        <v>5</v>
      </c>
      <c r="I43" s="43">
        <f ca="1">IFERROR(INDIRECT(ADDRESS(16,7, 1,TRUE,$A43)),0)</f>
        <v>1</v>
      </c>
      <c r="J43" s="43">
        <f ca="1">IFERROR(INDIRECT(ADDRESS(17,10, 1,TRUE,$A43)),0)</f>
        <v>0</v>
      </c>
      <c r="K43" s="55">
        <f ca="1">IFERROR(INDIRECT(ADDRESS(17,11, 1,TRUE,$A43)),0)</f>
        <v>0</v>
      </c>
      <c r="L43" s="43">
        <f ca="1">IFERROR(INDIRECT(ADDRESS(17,12, 1,TRUE,$A43)),0)</f>
        <v>0</v>
      </c>
      <c r="M43" s="43">
        <f ca="1">IFERROR(INDIRECT(ADDRESS(17,13, 1,TRUE,$A43)),0)</f>
        <v>0</v>
      </c>
      <c r="N43" s="43">
        <f ca="1">K43+L43</f>
        <v>0</v>
      </c>
      <c r="O43" s="43">
        <f ca="1">IFERROR(INDIRECT(ADDRESS(16,18, 1,TRUE,$A43)),0)</f>
        <v>0</v>
      </c>
      <c r="P43" s="43">
        <f ca="1">IFERROR(INDIRECT(ADDRESS(17,21, 1,TRUE,$A43)),0)</f>
        <v>0</v>
      </c>
      <c r="Q43" s="43">
        <f ca="1">IFERROR(INDIRECT(ADDRESS(16,19, 1,TRUE,$A43)),0)</f>
        <v>19</v>
      </c>
      <c r="R43" s="55">
        <f ca="1">IFERROR(INDIRECT(ADDRESS(17,20, 1,TRUE,$A43)),0)</f>
        <v>0</v>
      </c>
      <c r="S43" s="57">
        <f ca="1">IFERROR(INDIRECT(ADDRESS(17,14, 1,TRUE,$A43)),0)</f>
        <v>0</v>
      </c>
      <c r="T43" s="57">
        <f ca="1">IFERROR(INDIRECT(ADDRESS(16,8, 1,TRUE,$A43)),0)</f>
        <v>0</v>
      </c>
      <c r="U43" s="99">
        <f ca="1">IFERROR(INDIRECT(ADDRESS(17,15, 1,TRUE,$A43)),0)</f>
        <v>0</v>
      </c>
      <c r="V43" s="7"/>
    </row>
    <row r="44" spans="1:23" ht="13.5" customHeight="1">
      <c r="A44" s="220" t="str">
        <f>자산목록!B8</f>
        <v>P-04</v>
      </c>
      <c r="B44" s="219"/>
      <c r="C44" s="218" t="str">
        <f>IFERROR(VLOOKUP($A44,자산목록!$B$1:$M$834,6,FALSE),"-")</f>
        <v>Windows 10</v>
      </c>
      <c r="D44" s="219"/>
      <c r="E44" s="43">
        <f t="shared" ref="E44:E66" ca="1" si="12">IFERROR(INDIRECT(ADDRESS(16, 4, 1,TRUE,$A44)),0)</f>
        <v>19</v>
      </c>
      <c r="F44" s="44">
        <f t="shared" ref="F44:F66" ca="1" si="13">E44-I44</f>
        <v>18</v>
      </c>
      <c r="G44" s="43">
        <f t="shared" ref="G44:G66" ca="1" si="14">IFERROR(INDIRECT(ADDRESS(16,5, 1,TRUE,$A44)),0)</f>
        <v>9</v>
      </c>
      <c r="H44" s="43">
        <f t="shared" ref="H44:H66" ca="1" si="15">IFERROR(INDIRECT(ADDRESS(16,6, 1,TRUE,$A44)),0)</f>
        <v>5</v>
      </c>
      <c r="I44" s="43">
        <f t="shared" ref="I44:I66" ca="1" si="16">IFERROR(INDIRECT(ADDRESS(16,7, 1,TRUE,$A44)),0)</f>
        <v>1</v>
      </c>
      <c r="J44" s="43">
        <f t="shared" ref="J44:J66" ca="1" si="17">IFERROR(INDIRECT(ADDRESS(17,10, 1,TRUE,$A44)),0)</f>
        <v>0</v>
      </c>
      <c r="K44" s="55">
        <f t="shared" ref="K44:K66" ca="1" si="18">IFERROR(INDIRECT(ADDRESS(17,11, 1,TRUE,$A44)),0)</f>
        <v>0</v>
      </c>
      <c r="L44" s="43">
        <f t="shared" ref="L44:L66" ca="1" si="19">IFERROR(INDIRECT(ADDRESS(17,12, 1,TRUE,$A44)),0)</f>
        <v>0</v>
      </c>
      <c r="M44" s="43">
        <f t="shared" ref="M44:M66" ca="1" si="20">IFERROR(INDIRECT(ADDRESS(17,13, 1,TRUE,$A44)),0)</f>
        <v>0</v>
      </c>
      <c r="N44" s="43">
        <f t="shared" ref="N44:N66" ca="1" si="21">K44+L44</f>
        <v>0</v>
      </c>
      <c r="O44" s="43">
        <f t="shared" ref="O44:O66" ca="1" si="22">IFERROR(INDIRECT(ADDRESS(16,18, 1,TRUE,$A44)),0)</f>
        <v>0</v>
      </c>
      <c r="P44" s="43">
        <f t="shared" ref="P44:P66" ca="1" si="23">IFERROR(INDIRECT(ADDRESS(17,21, 1,TRUE,$A44)),0)</f>
        <v>0</v>
      </c>
      <c r="Q44" s="43">
        <f t="shared" ref="Q44:Q66" ca="1" si="24">IFERROR(INDIRECT(ADDRESS(16,19, 1,TRUE,$A44)),0)</f>
        <v>19</v>
      </c>
      <c r="R44" s="55">
        <f t="shared" ref="R44:R66" ca="1" si="25">IFERROR(INDIRECT(ADDRESS(17,20, 1,TRUE,$A44)),0)</f>
        <v>0</v>
      </c>
      <c r="S44" s="57">
        <f t="shared" ref="S44:S66" ca="1" si="26">IFERROR(INDIRECT(ADDRESS(17,14, 1,TRUE,$A44)),0)</f>
        <v>0</v>
      </c>
      <c r="T44" s="57">
        <f t="shared" ref="T44:T66" ca="1" si="27">IFERROR(INDIRECT(ADDRESS(16,8, 1,TRUE,$A44)),0)</f>
        <v>0</v>
      </c>
      <c r="U44" s="99">
        <f t="shared" ref="U44:U66" ca="1" si="28">IFERROR(INDIRECT(ADDRESS(17,15, 1,TRUE,$A44)),0)</f>
        <v>0</v>
      </c>
      <c r="V44" s="7"/>
    </row>
    <row r="45" spans="1:23" ht="13.5" customHeight="1">
      <c r="A45" s="220" t="str">
        <f>자산목록!B9</f>
        <v>P-05</v>
      </c>
      <c r="B45" s="219"/>
      <c r="C45" s="218" t="str">
        <f>IFERROR(VLOOKUP($A45,자산목록!$B$1:$M$834,6,FALSE),"-")</f>
        <v>Windows 10</v>
      </c>
      <c r="D45" s="219"/>
      <c r="E45" s="43">
        <f t="shared" ca="1" si="12"/>
        <v>19</v>
      </c>
      <c r="F45" s="44">
        <f t="shared" ca="1" si="13"/>
        <v>18</v>
      </c>
      <c r="G45" s="43">
        <f t="shared" ca="1" si="14"/>
        <v>9</v>
      </c>
      <c r="H45" s="43">
        <f t="shared" ca="1" si="15"/>
        <v>5</v>
      </c>
      <c r="I45" s="43">
        <f t="shared" ca="1" si="16"/>
        <v>1</v>
      </c>
      <c r="J45" s="43">
        <f t="shared" ca="1" si="17"/>
        <v>0</v>
      </c>
      <c r="K45" s="55">
        <f t="shared" ca="1" si="18"/>
        <v>0</v>
      </c>
      <c r="L45" s="43">
        <f t="shared" ca="1" si="19"/>
        <v>0</v>
      </c>
      <c r="M45" s="43">
        <f t="shared" ca="1" si="20"/>
        <v>0</v>
      </c>
      <c r="N45" s="43">
        <f t="shared" ca="1" si="21"/>
        <v>0</v>
      </c>
      <c r="O45" s="43">
        <f t="shared" ca="1" si="22"/>
        <v>0</v>
      </c>
      <c r="P45" s="43">
        <f t="shared" ca="1" si="23"/>
        <v>0</v>
      </c>
      <c r="Q45" s="43">
        <f t="shared" ca="1" si="24"/>
        <v>19</v>
      </c>
      <c r="R45" s="55">
        <f t="shared" ca="1" si="25"/>
        <v>0</v>
      </c>
      <c r="S45" s="57">
        <f t="shared" ca="1" si="26"/>
        <v>0</v>
      </c>
      <c r="T45" s="57">
        <f t="shared" ca="1" si="27"/>
        <v>0</v>
      </c>
      <c r="U45" s="99">
        <f t="shared" ca="1" si="28"/>
        <v>0</v>
      </c>
      <c r="V45" s="7"/>
    </row>
    <row r="46" spans="1:23" ht="13.5" customHeight="1">
      <c r="A46" s="220" t="str">
        <f>자산목록!B10</f>
        <v>P-06</v>
      </c>
      <c r="B46" s="219"/>
      <c r="C46" s="218" t="str">
        <f>IFERROR(VLOOKUP($A46,자산목록!$B$1:$M$834,6,FALSE),"-")</f>
        <v>Windows 10</v>
      </c>
      <c r="D46" s="219"/>
      <c r="E46" s="43">
        <f t="shared" ca="1" si="12"/>
        <v>19</v>
      </c>
      <c r="F46" s="44">
        <f t="shared" ca="1" si="13"/>
        <v>18</v>
      </c>
      <c r="G46" s="43">
        <f t="shared" ca="1" si="14"/>
        <v>9</v>
      </c>
      <c r="H46" s="43">
        <f t="shared" ca="1" si="15"/>
        <v>5</v>
      </c>
      <c r="I46" s="43">
        <f t="shared" ca="1" si="16"/>
        <v>1</v>
      </c>
      <c r="J46" s="43">
        <f t="shared" ca="1" si="17"/>
        <v>0</v>
      </c>
      <c r="K46" s="55">
        <f t="shared" ca="1" si="18"/>
        <v>0</v>
      </c>
      <c r="L46" s="43">
        <f t="shared" ca="1" si="19"/>
        <v>0</v>
      </c>
      <c r="M46" s="43">
        <f t="shared" ca="1" si="20"/>
        <v>0</v>
      </c>
      <c r="N46" s="43">
        <f t="shared" ca="1" si="21"/>
        <v>0</v>
      </c>
      <c r="O46" s="43">
        <f t="shared" ca="1" si="22"/>
        <v>0</v>
      </c>
      <c r="P46" s="43">
        <f t="shared" ca="1" si="23"/>
        <v>0</v>
      </c>
      <c r="Q46" s="43">
        <f t="shared" ca="1" si="24"/>
        <v>19</v>
      </c>
      <c r="R46" s="55">
        <f t="shared" ca="1" si="25"/>
        <v>0</v>
      </c>
      <c r="S46" s="57">
        <f t="shared" ca="1" si="26"/>
        <v>0</v>
      </c>
      <c r="T46" s="57">
        <f t="shared" ca="1" si="27"/>
        <v>0</v>
      </c>
      <c r="U46" s="99">
        <f t="shared" ca="1" si="28"/>
        <v>0</v>
      </c>
      <c r="V46" s="7"/>
    </row>
    <row r="47" spans="1:23" ht="13.5" customHeight="1">
      <c r="A47" s="220" t="str">
        <f>자산목록!B11</f>
        <v>P-07</v>
      </c>
      <c r="B47" s="219"/>
      <c r="C47" s="218" t="str">
        <f>IFERROR(VLOOKUP($A47,자산목록!$B$1:$M$834,6,FALSE),"-")</f>
        <v>Windows 10</v>
      </c>
      <c r="D47" s="219"/>
      <c r="E47" s="43">
        <f t="shared" ca="1" si="12"/>
        <v>19</v>
      </c>
      <c r="F47" s="44">
        <f t="shared" ca="1" si="13"/>
        <v>18</v>
      </c>
      <c r="G47" s="43">
        <f t="shared" ca="1" si="14"/>
        <v>9</v>
      </c>
      <c r="H47" s="43">
        <f t="shared" ca="1" si="15"/>
        <v>5</v>
      </c>
      <c r="I47" s="43">
        <f t="shared" ca="1" si="16"/>
        <v>1</v>
      </c>
      <c r="J47" s="43">
        <f t="shared" ca="1" si="17"/>
        <v>0</v>
      </c>
      <c r="K47" s="55">
        <f t="shared" ca="1" si="18"/>
        <v>0</v>
      </c>
      <c r="L47" s="43">
        <f t="shared" ca="1" si="19"/>
        <v>0</v>
      </c>
      <c r="M47" s="43">
        <f t="shared" ca="1" si="20"/>
        <v>0</v>
      </c>
      <c r="N47" s="43">
        <f t="shared" ca="1" si="21"/>
        <v>0</v>
      </c>
      <c r="O47" s="43">
        <f t="shared" ca="1" si="22"/>
        <v>0</v>
      </c>
      <c r="P47" s="43">
        <f t="shared" ca="1" si="23"/>
        <v>0</v>
      </c>
      <c r="Q47" s="43">
        <f t="shared" ca="1" si="24"/>
        <v>19</v>
      </c>
      <c r="R47" s="55">
        <f t="shared" ca="1" si="25"/>
        <v>0</v>
      </c>
      <c r="S47" s="57">
        <f t="shared" ca="1" si="26"/>
        <v>0</v>
      </c>
      <c r="T47" s="57">
        <f t="shared" ca="1" si="27"/>
        <v>0</v>
      </c>
      <c r="U47" s="99">
        <f t="shared" ca="1" si="28"/>
        <v>0</v>
      </c>
      <c r="V47" s="7"/>
    </row>
    <row r="48" spans="1:23" ht="13.5" customHeight="1">
      <c r="A48" s="220" t="str">
        <f>자산목록!B12</f>
        <v>P-08</v>
      </c>
      <c r="B48" s="219"/>
      <c r="C48" s="218" t="str">
        <f>IFERROR(VLOOKUP($A48,자산목록!$B$1:$M$834,6,FALSE),"-")</f>
        <v>Windows 10</v>
      </c>
      <c r="D48" s="219"/>
      <c r="E48" s="43">
        <f t="shared" ca="1" si="12"/>
        <v>19</v>
      </c>
      <c r="F48" s="44">
        <f t="shared" ca="1" si="13"/>
        <v>18</v>
      </c>
      <c r="G48" s="43">
        <f t="shared" ca="1" si="14"/>
        <v>9</v>
      </c>
      <c r="H48" s="43">
        <f t="shared" ca="1" si="15"/>
        <v>5</v>
      </c>
      <c r="I48" s="43">
        <f t="shared" ca="1" si="16"/>
        <v>1</v>
      </c>
      <c r="J48" s="43">
        <f t="shared" ca="1" si="17"/>
        <v>0</v>
      </c>
      <c r="K48" s="55">
        <f t="shared" ca="1" si="18"/>
        <v>0</v>
      </c>
      <c r="L48" s="43">
        <f t="shared" ca="1" si="19"/>
        <v>0</v>
      </c>
      <c r="M48" s="43">
        <f t="shared" ca="1" si="20"/>
        <v>0</v>
      </c>
      <c r="N48" s="43">
        <f t="shared" ca="1" si="21"/>
        <v>0</v>
      </c>
      <c r="O48" s="43">
        <f t="shared" ca="1" si="22"/>
        <v>0</v>
      </c>
      <c r="P48" s="43">
        <f t="shared" ca="1" si="23"/>
        <v>0</v>
      </c>
      <c r="Q48" s="43">
        <f t="shared" ca="1" si="24"/>
        <v>19</v>
      </c>
      <c r="R48" s="55">
        <f t="shared" ca="1" si="25"/>
        <v>0</v>
      </c>
      <c r="S48" s="57">
        <f t="shared" ca="1" si="26"/>
        <v>0</v>
      </c>
      <c r="T48" s="57">
        <f t="shared" ca="1" si="27"/>
        <v>0</v>
      </c>
      <c r="U48" s="99">
        <f t="shared" ca="1" si="28"/>
        <v>0</v>
      </c>
      <c r="V48" s="7"/>
    </row>
    <row r="49" spans="1:22" s="173" customFormat="1" ht="13.5" customHeight="1">
      <c r="A49" s="220" t="str">
        <f>자산목록!B13</f>
        <v>P-09</v>
      </c>
      <c r="B49" s="219"/>
      <c r="C49" s="218" t="str">
        <f>IFERROR(VLOOKUP($A49,자산목록!$B$1:$M$834,6,FALSE),"-")</f>
        <v>Windows 10</v>
      </c>
      <c r="D49" s="219"/>
      <c r="E49" s="43">
        <f t="shared" ca="1" si="12"/>
        <v>19</v>
      </c>
      <c r="F49" s="44">
        <f t="shared" ca="1" si="13"/>
        <v>18</v>
      </c>
      <c r="G49" s="43">
        <f t="shared" ca="1" si="14"/>
        <v>9</v>
      </c>
      <c r="H49" s="43">
        <f t="shared" ca="1" si="15"/>
        <v>5</v>
      </c>
      <c r="I49" s="43">
        <f t="shared" ca="1" si="16"/>
        <v>1</v>
      </c>
      <c r="J49" s="43">
        <f t="shared" ca="1" si="17"/>
        <v>0</v>
      </c>
      <c r="K49" s="55">
        <f t="shared" ca="1" si="18"/>
        <v>0</v>
      </c>
      <c r="L49" s="43">
        <f t="shared" ca="1" si="19"/>
        <v>0</v>
      </c>
      <c r="M49" s="43">
        <f t="shared" ca="1" si="20"/>
        <v>0</v>
      </c>
      <c r="N49" s="43">
        <f t="shared" ca="1" si="21"/>
        <v>0</v>
      </c>
      <c r="O49" s="43">
        <f t="shared" ca="1" si="22"/>
        <v>0</v>
      </c>
      <c r="P49" s="43">
        <f t="shared" ca="1" si="23"/>
        <v>0</v>
      </c>
      <c r="Q49" s="43">
        <f t="shared" ca="1" si="24"/>
        <v>19</v>
      </c>
      <c r="R49" s="55">
        <f t="shared" ca="1" si="25"/>
        <v>0</v>
      </c>
      <c r="S49" s="57">
        <f t="shared" ca="1" si="26"/>
        <v>0</v>
      </c>
      <c r="T49" s="57">
        <f t="shared" ca="1" si="27"/>
        <v>0</v>
      </c>
      <c r="U49" s="99">
        <f t="shared" ca="1" si="28"/>
        <v>0</v>
      </c>
      <c r="V49" s="172"/>
    </row>
    <row r="50" spans="1:22" s="173" customFormat="1" ht="13.5" customHeight="1">
      <c r="A50" s="220" t="str">
        <f>자산목록!B14</f>
        <v>P-10</v>
      </c>
      <c r="B50" s="219"/>
      <c r="C50" s="218" t="str">
        <f>IFERROR(VLOOKUP($A50,자산목록!$B$1:$M$834,6,FALSE),"-")</f>
        <v>Windows 10</v>
      </c>
      <c r="D50" s="219"/>
      <c r="E50" s="43">
        <f t="shared" ca="1" si="12"/>
        <v>19</v>
      </c>
      <c r="F50" s="44">
        <f t="shared" ca="1" si="13"/>
        <v>18</v>
      </c>
      <c r="G50" s="43">
        <f t="shared" ca="1" si="14"/>
        <v>9</v>
      </c>
      <c r="H50" s="43">
        <f t="shared" ca="1" si="15"/>
        <v>5</v>
      </c>
      <c r="I50" s="43">
        <f t="shared" ca="1" si="16"/>
        <v>1</v>
      </c>
      <c r="J50" s="43">
        <f t="shared" ca="1" si="17"/>
        <v>0</v>
      </c>
      <c r="K50" s="55">
        <f t="shared" ca="1" si="18"/>
        <v>0</v>
      </c>
      <c r="L50" s="43">
        <f t="shared" ca="1" si="19"/>
        <v>0</v>
      </c>
      <c r="M50" s="43">
        <f t="shared" ca="1" si="20"/>
        <v>0</v>
      </c>
      <c r="N50" s="43">
        <f t="shared" ca="1" si="21"/>
        <v>0</v>
      </c>
      <c r="O50" s="43">
        <f t="shared" ca="1" si="22"/>
        <v>0</v>
      </c>
      <c r="P50" s="43">
        <f t="shared" ca="1" si="23"/>
        <v>0</v>
      </c>
      <c r="Q50" s="43">
        <f t="shared" ca="1" si="24"/>
        <v>19</v>
      </c>
      <c r="R50" s="55">
        <f t="shared" ca="1" si="25"/>
        <v>0</v>
      </c>
      <c r="S50" s="57">
        <f t="shared" ca="1" si="26"/>
        <v>0</v>
      </c>
      <c r="T50" s="57">
        <f t="shared" ca="1" si="27"/>
        <v>0</v>
      </c>
      <c r="U50" s="99">
        <f t="shared" ca="1" si="28"/>
        <v>0</v>
      </c>
      <c r="V50" s="172"/>
    </row>
    <row r="51" spans="1:22" ht="13.5" customHeight="1">
      <c r="A51" s="220" t="str">
        <f>자산목록!B15</f>
        <v>P-11</v>
      </c>
      <c r="B51" s="219"/>
      <c r="C51" s="218" t="str">
        <f>IFERROR(VLOOKUP($A51,자산목록!$B$1:$M$834,6,FALSE),"-")</f>
        <v>Windows 10</v>
      </c>
      <c r="D51" s="219"/>
      <c r="E51" s="43">
        <f t="shared" ca="1" si="12"/>
        <v>19</v>
      </c>
      <c r="F51" s="44">
        <f t="shared" ca="1" si="13"/>
        <v>18</v>
      </c>
      <c r="G51" s="43">
        <f t="shared" ca="1" si="14"/>
        <v>9</v>
      </c>
      <c r="H51" s="43">
        <f t="shared" ca="1" si="15"/>
        <v>5</v>
      </c>
      <c r="I51" s="43">
        <f t="shared" ca="1" si="16"/>
        <v>1</v>
      </c>
      <c r="J51" s="43">
        <f t="shared" ca="1" si="17"/>
        <v>0</v>
      </c>
      <c r="K51" s="55">
        <f t="shared" ca="1" si="18"/>
        <v>0</v>
      </c>
      <c r="L51" s="43">
        <f t="shared" ca="1" si="19"/>
        <v>0</v>
      </c>
      <c r="M51" s="43">
        <f t="shared" ca="1" si="20"/>
        <v>0</v>
      </c>
      <c r="N51" s="43">
        <f t="shared" ca="1" si="21"/>
        <v>0</v>
      </c>
      <c r="O51" s="43">
        <f t="shared" ca="1" si="22"/>
        <v>0</v>
      </c>
      <c r="P51" s="43">
        <f t="shared" ca="1" si="23"/>
        <v>0</v>
      </c>
      <c r="Q51" s="43">
        <f t="shared" ca="1" si="24"/>
        <v>19</v>
      </c>
      <c r="R51" s="55">
        <f t="shared" ca="1" si="25"/>
        <v>0</v>
      </c>
      <c r="S51" s="57">
        <f t="shared" ca="1" si="26"/>
        <v>0</v>
      </c>
      <c r="T51" s="57">
        <f t="shared" ca="1" si="27"/>
        <v>0</v>
      </c>
      <c r="U51" s="99">
        <f t="shared" ca="1" si="28"/>
        <v>0</v>
      </c>
      <c r="V51" s="7"/>
    </row>
    <row r="52" spans="1:22" ht="13.5" customHeight="1">
      <c r="A52" s="220" t="str">
        <f>자산목록!B16</f>
        <v>P-12</v>
      </c>
      <c r="B52" s="219"/>
      <c r="C52" s="218" t="str">
        <f>IFERROR(VLOOKUP($A52,자산목록!$B$1:$M$834,6,FALSE),"-")</f>
        <v>Windows 10</v>
      </c>
      <c r="D52" s="219"/>
      <c r="E52" s="43">
        <f t="shared" ca="1" si="12"/>
        <v>19</v>
      </c>
      <c r="F52" s="44">
        <f t="shared" ca="1" si="13"/>
        <v>18</v>
      </c>
      <c r="G52" s="43">
        <f t="shared" ca="1" si="14"/>
        <v>9</v>
      </c>
      <c r="H52" s="43">
        <f t="shared" ca="1" si="15"/>
        <v>5</v>
      </c>
      <c r="I52" s="43">
        <f t="shared" ca="1" si="16"/>
        <v>1</v>
      </c>
      <c r="J52" s="43">
        <f t="shared" ca="1" si="17"/>
        <v>0</v>
      </c>
      <c r="K52" s="55">
        <f t="shared" ca="1" si="18"/>
        <v>0</v>
      </c>
      <c r="L52" s="43">
        <f t="shared" ca="1" si="19"/>
        <v>0</v>
      </c>
      <c r="M52" s="43">
        <f t="shared" ca="1" si="20"/>
        <v>0</v>
      </c>
      <c r="N52" s="43">
        <f t="shared" ca="1" si="21"/>
        <v>0</v>
      </c>
      <c r="O52" s="43">
        <f t="shared" ca="1" si="22"/>
        <v>0</v>
      </c>
      <c r="P52" s="43">
        <f t="shared" ca="1" si="23"/>
        <v>0</v>
      </c>
      <c r="Q52" s="43">
        <f t="shared" ca="1" si="24"/>
        <v>19</v>
      </c>
      <c r="R52" s="55">
        <f t="shared" ca="1" si="25"/>
        <v>0</v>
      </c>
      <c r="S52" s="57">
        <f t="shared" ca="1" si="26"/>
        <v>0</v>
      </c>
      <c r="T52" s="57">
        <f t="shared" ca="1" si="27"/>
        <v>0</v>
      </c>
      <c r="U52" s="99">
        <f t="shared" ca="1" si="28"/>
        <v>0</v>
      </c>
      <c r="V52" s="7"/>
    </row>
    <row r="53" spans="1:22" ht="13.5" customHeight="1">
      <c r="A53" s="220" t="str">
        <f>자산목록!B17</f>
        <v>P-13</v>
      </c>
      <c r="B53" s="219"/>
      <c r="C53" s="218" t="str">
        <f>IFERROR(VLOOKUP($A53,자산목록!$B$1:$M$834,6,FALSE),"-")</f>
        <v>Windows 10</v>
      </c>
      <c r="D53" s="219"/>
      <c r="E53" s="43">
        <f t="shared" ca="1" si="12"/>
        <v>19</v>
      </c>
      <c r="F53" s="44">
        <f t="shared" ca="1" si="13"/>
        <v>18</v>
      </c>
      <c r="G53" s="43">
        <f t="shared" ca="1" si="14"/>
        <v>9</v>
      </c>
      <c r="H53" s="43">
        <f t="shared" ca="1" si="15"/>
        <v>5</v>
      </c>
      <c r="I53" s="43">
        <f t="shared" ca="1" si="16"/>
        <v>1</v>
      </c>
      <c r="J53" s="43">
        <f t="shared" ca="1" si="17"/>
        <v>0</v>
      </c>
      <c r="K53" s="55">
        <f t="shared" ca="1" si="18"/>
        <v>0</v>
      </c>
      <c r="L53" s="43">
        <f t="shared" ca="1" si="19"/>
        <v>0</v>
      </c>
      <c r="M53" s="43">
        <f t="shared" ca="1" si="20"/>
        <v>0</v>
      </c>
      <c r="N53" s="43">
        <f t="shared" ca="1" si="21"/>
        <v>0</v>
      </c>
      <c r="O53" s="43">
        <f t="shared" ca="1" si="22"/>
        <v>0</v>
      </c>
      <c r="P53" s="43">
        <f t="shared" ca="1" si="23"/>
        <v>0</v>
      </c>
      <c r="Q53" s="43">
        <f t="shared" ca="1" si="24"/>
        <v>19</v>
      </c>
      <c r="R53" s="55">
        <f t="shared" ca="1" si="25"/>
        <v>0</v>
      </c>
      <c r="S53" s="57">
        <f t="shared" ca="1" si="26"/>
        <v>0</v>
      </c>
      <c r="T53" s="57">
        <f t="shared" ca="1" si="27"/>
        <v>0</v>
      </c>
      <c r="U53" s="99">
        <f t="shared" ca="1" si="28"/>
        <v>0</v>
      </c>
      <c r="V53" s="7"/>
    </row>
    <row r="54" spans="1:22" ht="13.5" customHeight="1">
      <c r="A54" s="220" t="str">
        <f>자산목록!B18</f>
        <v>P-14</v>
      </c>
      <c r="B54" s="219"/>
      <c r="C54" s="218" t="str">
        <f>IFERROR(VLOOKUP($A54,자산목록!$B$1:$M$834,6,FALSE),"-")</f>
        <v>Windows 10</v>
      </c>
      <c r="D54" s="219"/>
      <c r="E54" s="43">
        <f t="shared" ca="1" si="12"/>
        <v>19</v>
      </c>
      <c r="F54" s="44">
        <f t="shared" ca="1" si="13"/>
        <v>18</v>
      </c>
      <c r="G54" s="43">
        <f t="shared" ca="1" si="14"/>
        <v>9</v>
      </c>
      <c r="H54" s="43">
        <f t="shared" ca="1" si="15"/>
        <v>5</v>
      </c>
      <c r="I54" s="43">
        <f t="shared" ca="1" si="16"/>
        <v>1</v>
      </c>
      <c r="J54" s="43">
        <f t="shared" ca="1" si="17"/>
        <v>0</v>
      </c>
      <c r="K54" s="55">
        <f t="shared" ca="1" si="18"/>
        <v>0</v>
      </c>
      <c r="L54" s="43">
        <f t="shared" ca="1" si="19"/>
        <v>0</v>
      </c>
      <c r="M54" s="43">
        <f t="shared" ca="1" si="20"/>
        <v>0</v>
      </c>
      <c r="N54" s="43">
        <f t="shared" ca="1" si="21"/>
        <v>0</v>
      </c>
      <c r="O54" s="43">
        <f t="shared" ca="1" si="22"/>
        <v>0</v>
      </c>
      <c r="P54" s="43">
        <f t="shared" ca="1" si="23"/>
        <v>0</v>
      </c>
      <c r="Q54" s="43">
        <f t="shared" ca="1" si="24"/>
        <v>19</v>
      </c>
      <c r="R54" s="55">
        <f t="shared" ca="1" si="25"/>
        <v>0</v>
      </c>
      <c r="S54" s="57">
        <f t="shared" ca="1" si="26"/>
        <v>0</v>
      </c>
      <c r="T54" s="57">
        <f t="shared" ca="1" si="27"/>
        <v>0</v>
      </c>
      <c r="U54" s="99">
        <f t="shared" ca="1" si="28"/>
        <v>0</v>
      </c>
      <c r="V54" s="7"/>
    </row>
    <row r="55" spans="1:22" ht="13.5" customHeight="1">
      <c r="A55" s="220" t="str">
        <f>자산목록!B19</f>
        <v>P-15</v>
      </c>
      <c r="B55" s="219"/>
      <c r="C55" s="218" t="str">
        <f>IFERROR(VLOOKUP($A55,자산목록!$B$1:$M$834,6,FALSE),"-")</f>
        <v>Windows 10</v>
      </c>
      <c r="D55" s="219"/>
      <c r="E55" s="43">
        <f t="shared" ca="1" si="12"/>
        <v>19</v>
      </c>
      <c r="F55" s="44">
        <f t="shared" ca="1" si="13"/>
        <v>18</v>
      </c>
      <c r="G55" s="43">
        <f t="shared" ca="1" si="14"/>
        <v>9</v>
      </c>
      <c r="H55" s="43">
        <f t="shared" ca="1" si="15"/>
        <v>5</v>
      </c>
      <c r="I55" s="43">
        <f t="shared" ca="1" si="16"/>
        <v>1</v>
      </c>
      <c r="J55" s="43">
        <f t="shared" ca="1" si="17"/>
        <v>0</v>
      </c>
      <c r="K55" s="55">
        <f t="shared" ca="1" si="18"/>
        <v>0</v>
      </c>
      <c r="L55" s="43">
        <f t="shared" ca="1" si="19"/>
        <v>0</v>
      </c>
      <c r="M55" s="43">
        <f t="shared" ca="1" si="20"/>
        <v>0</v>
      </c>
      <c r="N55" s="43">
        <f t="shared" ca="1" si="21"/>
        <v>0</v>
      </c>
      <c r="O55" s="43">
        <f t="shared" ca="1" si="22"/>
        <v>0</v>
      </c>
      <c r="P55" s="43">
        <f t="shared" ca="1" si="23"/>
        <v>0</v>
      </c>
      <c r="Q55" s="43">
        <f t="shared" ca="1" si="24"/>
        <v>19</v>
      </c>
      <c r="R55" s="55">
        <f t="shared" ca="1" si="25"/>
        <v>0</v>
      </c>
      <c r="S55" s="57">
        <f t="shared" ca="1" si="26"/>
        <v>0</v>
      </c>
      <c r="T55" s="57">
        <f t="shared" ca="1" si="27"/>
        <v>0</v>
      </c>
      <c r="U55" s="99">
        <f t="shared" ca="1" si="28"/>
        <v>0</v>
      </c>
      <c r="V55" s="7"/>
    </row>
    <row r="56" spans="1:22" ht="13.5" customHeight="1">
      <c r="A56" s="220" t="str">
        <f>자산목록!B20</f>
        <v>P-16</v>
      </c>
      <c r="B56" s="219"/>
      <c r="C56" s="218" t="str">
        <f>IFERROR(VLOOKUP($A56,자산목록!$B$1:$M$834,6,FALSE),"-")</f>
        <v>Windows 10</v>
      </c>
      <c r="D56" s="219"/>
      <c r="E56" s="43">
        <f t="shared" ca="1" si="12"/>
        <v>19</v>
      </c>
      <c r="F56" s="44">
        <f t="shared" ca="1" si="13"/>
        <v>18</v>
      </c>
      <c r="G56" s="43">
        <f t="shared" ca="1" si="14"/>
        <v>9</v>
      </c>
      <c r="H56" s="43">
        <f t="shared" ca="1" si="15"/>
        <v>5</v>
      </c>
      <c r="I56" s="43">
        <f t="shared" ca="1" si="16"/>
        <v>1</v>
      </c>
      <c r="J56" s="43">
        <f t="shared" ca="1" si="17"/>
        <v>0</v>
      </c>
      <c r="K56" s="55">
        <f t="shared" ca="1" si="18"/>
        <v>0</v>
      </c>
      <c r="L56" s="43">
        <f t="shared" ca="1" si="19"/>
        <v>0</v>
      </c>
      <c r="M56" s="43">
        <f t="shared" ca="1" si="20"/>
        <v>0</v>
      </c>
      <c r="N56" s="43">
        <f t="shared" ca="1" si="21"/>
        <v>0</v>
      </c>
      <c r="O56" s="43">
        <f t="shared" ca="1" si="22"/>
        <v>0</v>
      </c>
      <c r="P56" s="43">
        <f t="shared" ca="1" si="23"/>
        <v>0</v>
      </c>
      <c r="Q56" s="43">
        <f t="shared" ca="1" si="24"/>
        <v>19</v>
      </c>
      <c r="R56" s="55">
        <f t="shared" ca="1" si="25"/>
        <v>0</v>
      </c>
      <c r="S56" s="57">
        <f t="shared" ca="1" si="26"/>
        <v>0</v>
      </c>
      <c r="T56" s="57">
        <f t="shared" ca="1" si="27"/>
        <v>0</v>
      </c>
      <c r="U56" s="99">
        <f t="shared" ca="1" si="28"/>
        <v>0</v>
      </c>
      <c r="V56" s="7"/>
    </row>
    <row r="57" spans="1:22" ht="13.5" customHeight="1">
      <c r="A57" s="220" t="str">
        <f>자산목록!B21</f>
        <v>P-17</v>
      </c>
      <c r="B57" s="219"/>
      <c r="C57" s="218" t="str">
        <f>IFERROR(VLOOKUP($A57,자산목록!$B$1:$M$834,6,FALSE),"-")</f>
        <v>Windows 10</v>
      </c>
      <c r="D57" s="219"/>
      <c r="E57" s="43">
        <f t="shared" ca="1" si="12"/>
        <v>19</v>
      </c>
      <c r="F57" s="44">
        <f t="shared" ca="1" si="13"/>
        <v>18</v>
      </c>
      <c r="G57" s="43">
        <f t="shared" ca="1" si="14"/>
        <v>9</v>
      </c>
      <c r="H57" s="43">
        <f t="shared" ca="1" si="15"/>
        <v>5</v>
      </c>
      <c r="I57" s="43">
        <f t="shared" ca="1" si="16"/>
        <v>1</v>
      </c>
      <c r="J57" s="43">
        <f t="shared" ca="1" si="17"/>
        <v>0</v>
      </c>
      <c r="K57" s="55">
        <f t="shared" ca="1" si="18"/>
        <v>0</v>
      </c>
      <c r="L57" s="43">
        <f t="shared" ca="1" si="19"/>
        <v>0</v>
      </c>
      <c r="M57" s="43">
        <f t="shared" ca="1" si="20"/>
        <v>0</v>
      </c>
      <c r="N57" s="43">
        <f t="shared" ca="1" si="21"/>
        <v>0</v>
      </c>
      <c r="O57" s="43">
        <f t="shared" ca="1" si="22"/>
        <v>0</v>
      </c>
      <c r="P57" s="43">
        <f t="shared" ca="1" si="23"/>
        <v>0</v>
      </c>
      <c r="Q57" s="43">
        <f t="shared" ca="1" si="24"/>
        <v>19</v>
      </c>
      <c r="R57" s="55">
        <f t="shared" ca="1" si="25"/>
        <v>0</v>
      </c>
      <c r="S57" s="57">
        <f t="shared" ca="1" si="26"/>
        <v>0</v>
      </c>
      <c r="T57" s="57">
        <f t="shared" ca="1" si="27"/>
        <v>0</v>
      </c>
      <c r="U57" s="99">
        <f t="shared" ca="1" si="28"/>
        <v>0</v>
      </c>
      <c r="V57" s="7"/>
    </row>
    <row r="58" spans="1:22" ht="13.5" customHeight="1">
      <c r="A58" s="220" t="str">
        <f>자산목록!B22</f>
        <v>P-18</v>
      </c>
      <c r="B58" s="219"/>
      <c r="C58" s="218" t="str">
        <f>IFERROR(VLOOKUP($A58,자산목록!$B$1:$M$834,6,FALSE),"-")</f>
        <v>Windows 10</v>
      </c>
      <c r="D58" s="219"/>
      <c r="E58" s="43">
        <f t="shared" ca="1" si="12"/>
        <v>19</v>
      </c>
      <c r="F58" s="44">
        <f t="shared" ca="1" si="13"/>
        <v>18</v>
      </c>
      <c r="G58" s="43">
        <f t="shared" ca="1" si="14"/>
        <v>9</v>
      </c>
      <c r="H58" s="43">
        <f t="shared" ca="1" si="15"/>
        <v>5</v>
      </c>
      <c r="I58" s="43">
        <f t="shared" ca="1" si="16"/>
        <v>1</v>
      </c>
      <c r="J58" s="43">
        <f t="shared" ca="1" si="17"/>
        <v>0</v>
      </c>
      <c r="K58" s="55">
        <f t="shared" ca="1" si="18"/>
        <v>0</v>
      </c>
      <c r="L58" s="43">
        <f t="shared" ca="1" si="19"/>
        <v>0</v>
      </c>
      <c r="M58" s="43">
        <f t="shared" ca="1" si="20"/>
        <v>0</v>
      </c>
      <c r="N58" s="43">
        <f t="shared" ca="1" si="21"/>
        <v>0</v>
      </c>
      <c r="O58" s="43">
        <f t="shared" ca="1" si="22"/>
        <v>0</v>
      </c>
      <c r="P58" s="43">
        <f t="shared" ca="1" si="23"/>
        <v>0</v>
      </c>
      <c r="Q58" s="43">
        <f t="shared" ca="1" si="24"/>
        <v>19</v>
      </c>
      <c r="R58" s="55">
        <f t="shared" ca="1" si="25"/>
        <v>0</v>
      </c>
      <c r="S58" s="57">
        <f t="shared" ca="1" si="26"/>
        <v>0</v>
      </c>
      <c r="T58" s="57">
        <f t="shared" ca="1" si="27"/>
        <v>0</v>
      </c>
      <c r="U58" s="99">
        <f t="shared" ca="1" si="28"/>
        <v>0</v>
      </c>
      <c r="V58" s="7"/>
    </row>
    <row r="59" spans="1:22" ht="13.5" customHeight="1">
      <c r="A59" s="220" t="str">
        <f>자산목록!B23</f>
        <v>P-19</v>
      </c>
      <c r="B59" s="219"/>
      <c r="C59" s="218" t="str">
        <f>IFERROR(VLOOKUP($A59,자산목록!$B$1:$M$834,6,FALSE),"-")</f>
        <v>Windows 10</v>
      </c>
      <c r="D59" s="219"/>
      <c r="E59" s="43">
        <f t="shared" ca="1" si="12"/>
        <v>19</v>
      </c>
      <c r="F59" s="44">
        <f t="shared" ca="1" si="13"/>
        <v>18</v>
      </c>
      <c r="G59" s="43">
        <f t="shared" ca="1" si="14"/>
        <v>9</v>
      </c>
      <c r="H59" s="43">
        <f t="shared" ca="1" si="15"/>
        <v>5</v>
      </c>
      <c r="I59" s="43">
        <f t="shared" ca="1" si="16"/>
        <v>1</v>
      </c>
      <c r="J59" s="43">
        <f t="shared" ca="1" si="17"/>
        <v>0</v>
      </c>
      <c r="K59" s="55">
        <f t="shared" ca="1" si="18"/>
        <v>0</v>
      </c>
      <c r="L59" s="43">
        <f t="shared" ca="1" si="19"/>
        <v>0</v>
      </c>
      <c r="M59" s="43">
        <f t="shared" ca="1" si="20"/>
        <v>0</v>
      </c>
      <c r="N59" s="43">
        <f t="shared" ca="1" si="21"/>
        <v>0</v>
      </c>
      <c r="O59" s="43">
        <f t="shared" ca="1" si="22"/>
        <v>0</v>
      </c>
      <c r="P59" s="43">
        <f t="shared" ca="1" si="23"/>
        <v>0</v>
      </c>
      <c r="Q59" s="43">
        <f t="shared" ca="1" si="24"/>
        <v>19</v>
      </c>
      <c r="R59" s="55">
        <f t="shared" ca="1" si="25"/>
        <v>0</v>
      </c>
      <c r="S59" s="57">
        <f t="shared" ca="1" si="26"/>
        <v>0</v>
      </c>
      <c r="T59" s="57">
        <f t="shared" ca="1" si="27"/>
        <v>0</v>
      </c>
      <c r="U59" s="99">
        <f t="shared" ca="1" si="28"/>
        <v>0</v>
      </c>
      <c r="V59" s="7"/>
    </row>
    <row r="60" spans="1:22" ht="13.5" customHeight="1">
      <c r="A60" s="220" t="str">
        <f>자산목록!B24</f>
        <v>P-20</v>
      </c>
      <c r="B60" s="219"/>
      <c r="C60" s="218" t="str">
        <f>IFERROR(VLOOKUP($A60,자산목록!$B$1:$M$834,6,FALSE),"-")</f>
        <v>Windows 10</v>
      </c>
      <c r="D60" s="219"/>
      <c r="E60" s="43">
        <f t="shared" ca="1" si="12"/>
        <v>19</v>
      </c>
      <c r="F60" s="44">
        <f t="shared" ca="1" si="13"/>
        <v>18</v>
      </c>
      <c r="G60" s="43">
        <f t="shared" ca="1" si="14"/>
        <v>9</v>
      </c>
      <c r="H60" s="43">
        <f t="shared" ca="1" si="15"/>
        <v>5</v>
      </c>
      <c r="I60" s="43">
        <f t="shared" ca="1" si="16"/>
        <v>1</v>
      </c>
      <c r="J60" s="43">
        <f t="shared" ca="1" si="17"/>
        <v>0</v>
      </c>
      <c r="K60" s="55">
        <f t="shared" ca="1" si="18"/>
        <v>0</v>
      </c>
      <c r="L60" s="43">
        <f t="shared" ca="1" si="19"/>
        <v>0</v>
      </c>
      <c r="M60" s="43">
        <f t="shared" ca="1" si="20"/>
        <v>0</v>
      </c>
      <c r="N60" s="43">
        <f t="shared" ca="1" si="21"/>
        <v>0</v>
      </c>
      <c r="O60" s="43">
        <f t="shared" ca="1" si="22"/>
        <v>0</v>
      </c>
      <c r="P60" s="43">
        <f t="shared" ca="1" si="23"/>
        <v>0</v>
      </c>
      <c r="Q60" s="43">
        <f t="shared" ca="1" si="24"/>
        <v>19</v>
      </c>
      <c r="R60" s="55">
        <f t="shared" ca="1" si="25"/>
        <v>0</v>
      </c>
      <c r="S60" s="57">
        <f t="shared" ca="1" si="26"/>
        <v>0</v>
      </c>
      <c r="T60" s="57">
        <f t="shared" ca="1" si="27"/>
        <v>0</v>
      </c>
      <c r="U60" s="99">
        <f t="shared" ca="1" si="28"/>
        <v>0</v>
      </c>
      <c r="V60" s="7"/>
    </row>
    <row r="61" spans="1:22" ht="13.5" customHeight="1">
      <c r="A61" s="220" t="str">
        <f>자산목록!B25</f>
        <v>P-21</v>
      </c>
      <c r="B61" s="219"/>
      <c r="C61" s="218" t="str">
        <f>IFERROR(VLOOKUP($A61,자산목록!$B$1:$M$834,6,FALSE),"-")</f>
        <v>Windows 10</v>
      </c>
      <c r="D61" s="219"/>
      <c r="E61" s="43">
        <f t="shared" ca="1" si="12"/>
        <v>19</v>
      </c>
      <c r="F61" s="44">
        <f t="shared" ca="1" si="13"/>
        <v>18</v>
      </c>
      <c r="G61" s="43">
        <f t="shared" ca="1" si="14"/>
        <v>9</v>
      </c>
      <c r="H61" s="43">
        <f t="shared" ca="1" si="15"/>
        <v>5</v>
      </c>
      <c r="I61" s="43">
        <f t="shared" ca="1" si="16"/>
        <v>1</v>
      </c>
      <c r="J61" s="43">
        <f t="shared" ca="1" si="17"/>
        <v>0</v>
      </c>
      <c r="K61" s="55">
        <f t="shared" ca="1" si="18"/>
        <v>0</v>
      </c>
      <c r="L61" s="43">
        <f t="shared" ca="1" si="19"/>
        <v>0</v>
      </c>
      <c r="M61" s="43">
        <f t="shared" ca="1" si="20"/>
        <v>0</v>
      </c>
      <c r="N61" s="43">
        <f t="shared" ca="1" si="21"/>
        <v>0</v>
      </c>
      <c r="O61" s="43">
        <f t="shared" ca="1" si="22"/>
        <v>0</v>
      </c>
      <c r="P61" s="43">
        <f t="shared" ca="1" si="23"/>
        <v>0</v>
      </c>
      <c r="Q61" s="43">
        <f t="shared" ca="1" si="24"/>
        <v>19</v>
      </c>
      <c r="R61" s="55">
        <f t="shared" ca="1" si="25"/>
        <v>0</v>
      </c>
      <c r="S61" s="57">
        <f t="shared" ca="1" si="26"/>
        <v>0</v>
      </c>
      <c r="T61" s="57">
        <f t="shared" ca="1" si="27"/>
        <v>0</v>
      </c>
      <c r="U61" s="99">
        <f t="shared" ca="1" si="28"/>
        <v>0</v>
      </c>
      <c r="V61" s="7"/>
    </row>
    <row r="62" spans="1:22" ht="13.5" customHeight="1">
      <c r="A62" s="220" t="str">
        <f>자산목록!B26</f>
        <v>P-22</v>
      </c>
      <c r="B62" s="219"/>
      <c r="C62" s="218" t="str">
        <f>IFERROR(VLOOKUP($A62,자산목록!$B$1:$M$834,6,FALSE),"-")</f>
        <v>Windows 10</v>
      </c>
      <c r="D62" s="219"/>
      <c r="E62" s="43">
        <f t="shared" ca="1" si="12"/>
        <v>19</v>
      </c>
      <c r="F62" s="44">
        <f t="shared" ca="1" si="13"/>
        <v>18</v>
      </c>
      <c r="G62" s="43">
        <f t="shared" ca="1" si="14"/>
        <v>9</v>
      </c>
      <c r="H62" s="43">
        <f t="shared" ca="1" si="15"/>
        <v>5</v>
      </c>
      <c r="I62" s="43">
        <f t="shared" ca="1" si="16"/>
        <v>1</v>
      </c>
      <c r="J62" s="43">
        <f t="shared" ca="1" si="17"/>
        <v>0</v>
      </c>
      <c r="K62" s="55">
        <f t="shared" ca="1" si="18"/>
        <v>0</v>
      </c>
      <c r="L62" s="43">
        <f t="shared" ca="1" si="19"/>
        <v>0</v>
      </c>
      <c r="M62" s="43">
        <f t="shared" ca="1" si="20"/>
        <v>0</v>
      </c>
      <c r="N62" s="43">
        <f t="shared" ca="1" si="21"/>
        <v>0</v>
      </c>
      <c r="O62" s="43">
        <f t="shared" ca="1" si="22"/>
        <v>0</v>
      </c>
      <c r="P62" s="43">
        <f t="shared" ca="1" si="23"/>
        <v>0</v>
      </c>
      <c r="Q62" s="43">
        <f t="shared" ca="1" si="24"/>
        <v>19</v>
      </c>
      <c r="R62" s="55">
        <f t="shared" ca="1" si="25"/>
        <v>0</v>
      </c>
      <c r="S62" s="57">
        <f t="shared" ca="1" si="26"/>
        <v>0</v>
      </c>
      <c r="T62" s="57">
        <f t="shared" ca="1" si="27"/>
        <v>0</v>
      </c>
      <c r="U62" s="99">
        <f t="shared" ca="1" si="28"/>
        <v>0</v>
      </c>
      <c r="V62" s="7"/>
    </row>
    <row r="63" spans="1:22" ht="13.5" customHeight="1">
      <c r="A63" s="220" t="str">
        <f>자산목록!B27</f>
        <v>P-23</v>
      </c>
      <c r="B63" s="219"/>
      <c r="C63" s="218" t="str">
        <f>IFERROR(VLOOKUP($A63,자산목록!$B$1:$M$834,6,FALSE),"-")</f>
        <v>Windows 10</v>
      </c>
      <c r="D63" s="219"/>
      <c r="E63" s="43">
        <f t="shared" ca="1" si="12"/>
        <v>19</v>
      </c>
      <c r="F63" s="44">
        <f t="shared" ca="1" si="13"/>
        <v>18</v>
      </c>
      <c r="G63" s="43">
        <f t="shared" ca="1" si="14"/>
        <v>9</v>
      </c>
      <c r="H63" s="43">
        <f t="shared" ca="1" si="15"/>
        <v>5</v>
      </c>
      <c r="I63" s="43">
        <f t="shared" ca="1" si="16"/>
        <v>1</v>
      </c>
      <c r="J63" s="43">
        <f t="shared" ca="1" si="17"/>
        <v>0</v>
      </c>
      <c r="K63" s="55">
        <f t="shared" ca="1" si="18"/>
        <v>0</v>
      </c>
      <c r="L63" s="43">
        <f t="shared" ca="1" si="19"/>
        <v>0</v>
      </c>
      <c r="M63" s="43">
        <f t="shared" ca="1" si="20"/>
        <v>0</v>
      </c>
      <c r="N63" s="43">
        <f t="shared" ca="1" si="21"/>
        <v>0</v>
      </c>
      <c r="O63" s="43">
        <f t="shared" ca="1" si="22"/>
        <v>0</v>
      </c>
      <c r="P63" s="43">
        <f t="shared" ca="1" si="23"/>
        <v>0</v>
      </c>
      <c r="Q63" s="43">
        <f t="shared" ca="1" si="24"/>
        <v>19</v>
      </c>
      <c r="R63" s="55">
        <f t="shared" ca="1" si="25"/>
        <v>0</v>
      </c>
      <c r="S63" s="57">
        <f t="shared" ca="1" si="26"/>
        <v>0</v>
      </c>
      <c r="T63" s="57">
        <f t="shared" ca="1" si="27"/>
        <v>0</v>
      </c>
      <c r="U63" s="99">
        <f t="shared" ca="1" si="28"/>
        <v>0</v>
      </c>
      <c r="V63" s="7"/>
    </row>
    <row r="64" spans="1:22" ht="13.5" customHeight="1">
      <c r="A64" s="220" t="str">
        <f>자산목록!B28</f>
        <v>P-24</v>
      </c>
      <c r="B64" s="219"/>
      <c r="C64" s="218" t="str">
        <f>IFERROR(VLOOKUP($A64,자산목록!$B$1:$M$834,6,FALSE),"-")</f>
        <v>Windows 10</v>
      </c>
      <c r="D64" s="219"/>
      <c r="E64" s="43">
        <f t="shared" ca="1" si="12"/>
        <v>19</v>
      </c>
      <c r="F64" s="44">
        <f t="shared" ca="1" si="13"/>
        <v>18</v>
      </c>
      <c r="G64" s="43">
        <f t="shared" ca="1" si="14"/>
        <v>9</v>
      </c>
      <c r="H64" s="43">
        <f t="shared" ca="1" si="15"/>
        <v>5</v>
      </c>
      <c r="I64" s="43">
        <f t="shared" ca="1" si="16"/>
        <v>1</v>
      </c>
      <c r="J64" s="43">
        <f t="shared" ca="1" si="17"/>
        <v>0</v>
      </c>
      <c r="K64" s="55">
        <f t="shared" ca="1" si="18"/>
        <v>0</v>
      </c>
      <c r="L64" s="43">
        <f t="shared" ca="1" si="19"/>
        <v>0</v>
      </c>
      <c r="M64" s="43">
        <f t="shared" ca="1" si="20"/>
        <v>0</v>
      </c>
      <c r="N64" s="43">
        <f t="shared" ca="1" si="21"/>
        <v>0</v>
      </c>
      <c r="O64" s="43">
        <f t="shared" ca="1" si="22"/>
        <v>0</v>
      </c>
      <c r="P64" s="43">
        <f t="shared" ca="1" si="23"/>
        <v>0</v>
      </c>
      <c r="Q64" s="43">
        <f t="shared" ca="1" si="24"/>
        <v>19</v>
      </c>
      <c r="R64" s="55">
        <f t="shared" ca="1" si="25"/>
        <v>0</v>
      </c>
      <c r="S64" s="57">
        <f t="shared" ca="1" si="26"/>
        <v>0</v>
      </c>
      <c r="T64" s="57">
        <f t="shared" ca="1" si="27"/>
        <v>0</v>
      </c>
      <c r="U64" s="99">
        <f t="shared" ca="1" si="28"/>
        <v>0</v>
      </c>
      <c r="V64" s="7"/>
    </row>
    <row r="65" spans="1:22" ht="13.5" customHeight="1">
      <c r="A65" s="220" t="str">
        <f>자산목록!B29</f>
        <v>P-25</v>
      </c>
      <c r="B65" s="219"/>
      <c r="C65" s="218" t="str">
        <f>IFERROR(VLOOKUP($A65,자산목록!$B$1:$M$834,6,FALSE),"-")</f>
        <v>Windows 10</v>
      </c>
      <c r="D65" s="219"/>
      <c r="E65" s="43">
        <f t="shared" ca="1" si="12"/>
        <v>19</v>
      </c>
      <c r="F65" s="44">
        <f t="shared" ca="1" si="13"/>
        <v>18</v>
      </c>
      <c r="G65" s="43">
        <f t="shared" ca="1" si="14"/>
        <v>9</v>
      </c>
      <c r="H65" s="43">
        <f t="shared" ca="1" si="15"/>
        <v>5</v>
      </c>
      <c r="I65" s="43">
        <f t="shared" ca="1" si="16"/>
        <v>1</v>
      </c>
      <c r="J65" s="43">
        <f t="shared" ca="1" si="17"/>
        <v>0</v>
      </c>
      <c r="K65" s="55">
        <f t="shared" ca="1" si="18"/>
        <v>0</v>
      </c>
      <c r="L65" s="43">
        <f t="shared" ca="1" si="19"/>
        <v>0</v>
      </c>
      <c r="M65" s="43">
        <f t="shared" ca="1" si="20"/>
        <v>0</v>
      </c>
      <c r="N65" s="43">
        <f t="shared" ca="1" si="21"/>
        <v>0</v>
      </c>
      <c r="O65" s="43">
        <f t="shared" ca="1" si="22"/>
        <v>0</v>
      </c>
      <c r="P65" s="43">
        <f t="shared" ca="1" si="23"/>
        <v>0</v>
      </c>
      <c r="Q65" s="43">
        <f t="shared" ca="1" si="24"/>
        <v>19</v>
      </c>
      <c r="R65" s="55">
        <f t="shared" ca="1" si="25"/>
        <v>0</v>
      </c>
      <c r="S65" s="57">
        <f t="shared" ca="1" si="26"/>
        <v>0</v>
      </c>
      <c r="T65" s="57">
        <f t="shared" ca="1" si="27"/>
        <v>0</v>
      </c>
      <c r="U65" s="99">
        <f t="shared" ca="1" si="28"/>
        <v>0</v>
      </c>
      <c r="V65" s="7"/>
    </row>
    <row r="66" spans="1:22" ht="13.5" customHeight="1">
      <c r="A66" s="220" t="str">
        <f>자산목록!B30</f>
        <v>P-26</v>
      </c>
      <c r="B66" s="219"/>
      <c r="C66" s="218" t="str">
        <f>IFERROR(VLOOKUP($A66,자산목록!$B$1:$M$834,6,FALSE),"-")</f>
        <v>Windows 10</v>
      </c>
      <c r="D66" s="219"/>
      <c r="E66" s="43">
        <f t="shared" ca="1" si="12"/>
        <v>19</v>
      </c>
      <c r="F66" s="44">
        <f t="shared" ca="1" si="13"/>
        <v>18</v>
      </c>
      <c r="G66" s="43">
        <f t="shared" ca="1" si="14"/>
        <v>9</v>
      </c>
      <c r="H66" s="43">
        <f t="shared" ca="1" si="15"/>
        <v>5</v>
      </c>
      <c r="I66" s="43">
        <f t="shared" ca="1" si="16"/>
        <v>1</v>
      </c>
      <c r="J66" s="43">
        <f t="shared" ca="1" si="17"/>
        <v>0</v>
      </c>
      <c r="K66" s="55">
        <f t="shared" ca="1" si="18"/>
        <v>0</v>
      </c>
      <c r="L66" s="43">
        <f t="shared" ca="1" si="19"/>
        <v>0</v>
      </c>
      <c r="M66" s="43">
        <f t="shared" ca="1" si="20"/>
        <v>0</v>
      </c>
      <c r="N66" s="43">
        <f t="shared" ca="1" si="21"/>
        <v>0</v>
      </c>
      <c r="O66" s="43">
        <f t="shared" ca="1" si="22"/>
        <v>0</v>
      </c>
      <c r="P66" s="43">
        <f t="shared" ca="1" si="23"/>
        <v>0</v>
      </c>
      <c r="Q66" s="43">
        <f t="shared" ca="1" si="24"/>
        <v>19</v>
      </c>
      <c r="R66" s="55">
        <f t="shared" ca="1" si="25"/>
        <v>0</v>
      </c>
      <c r="S66" s="57">
        <f t="shared" ca="1" si="26"/>
        <v>0</v>
      </c>
      <c r="T66" s="57">
        <f t="shared" ca="1" si="27"/>
        <v>0</v>
      </c>
      <c r="U66" s="99">
        <f t="shared" ca="1" si="28"/>
        <v>0</v>
      </c>
      <c r="V66" s="7"/>
    </row>
    <row r="67" spans="1:22" ht="15.95" customHeight="1" thickBot="1">
      <c r="A67" s="201" t="s">
        <v>75</v>
      </c>
      <c r="B67" s="202"/>
      <c r="C67" s="202"/>
      <c r="D67" s="203"/>
      <c r="E67" s="79">
        <f t="shared" ref="E67:R67" ca="1" si="29">SUM(E41:E66)</f>
        <v>490</v>
      </c>
      <c r="F67" s="79">
        <f t="shared" ca="1" si="29"/>
        <v>464</v>
      </c>
      <c r="G67" s="79">
        <f t="shared" ca="1" si="29"/>
        <v>230</v>
      </c>
      <c r="H67" s="79">
        <f t="shared" ca="1" si="29"/>
        <v>130</v>
      </c>
      <c r="I67" s="79">
        <f t="shared" ca="1" si="29"/>
        <v>26</v>
      </c>
      <c r="J67" s="79">
        <f t="shared" ca="1" si="29"/>
        <v>0</v>
      </c>
      <c r="K67" s="79">
        <f t="shared" ca="1" si="29"/>
        <v>0</v>
      </c>
      <c r="L67" s="79">
        <f t="shared" ca="1" si="29"/>
        <v>0</v>
      </c>
      <c r="M67" s="79">
        <f t="shared" ca="1" si="29"/>
        <v>0</v>
      </c>
      <c r="N67" s="79">
        <f t="shared" ca="1" si="29"/>
        <v>0</v>
      </c>
      <c r="O67" s="79">
        <f t="shared" ca="1" si="29"/>
        <v>43</v>
      </c>
      <c r="P67" s="79">
        <f t="shared" ca="1" si="29"/>
        <v>0</v>
      </c>
      <c r="Q67" s="79">
        <f t="shared" ca="1" si="29"/>
        <v>487</v>
      </c>
      <c r="R67" s="79">
        <f t="shared" ca="1" si="29"/>
        <v>0</v>
      </c>
      <c r="S67" s="100">
        <f ca="1">IFERROR($J67/($H67-(M67-I67)),"N/A")</f>
        <v>0</v>
      </c>
      <c r="T67" s="100">
        <f ca="1">IF($I67=$E67, "N/A", (Q67/O67))</f>
        <v>11.325581395348838</v>
      </c>
      <c r="U67" s="101" t="e">
        <f ca="1">IF(OR($I67=$E67,$E67=$M67),"N/A", ($R67/$P67))</f>
        <v>#DIV/0!</v>
      </c>
      <c r="V67" s="7"/>
    </row>
    <row r="68" spans="1:22">
      <c r="A68" s="2"/>
    </row>
    <row r="69" spans="1:22">
      <c r="A69" s="2"/>
    </row>
    <row r="70" spans="1:22">
      <c r="A70" s="6"/>
    </row>
    <row r="71" spans="1:22">
      <c r="A71" s="6"/>
    </row>
    <row r="72" spans="1:22">
      <c r="A72" s="6"/>
    </row>
    <row r="73" spans="1:22">
      <c r="A73" s="6"/>
    </row>
    <row r="74" spans="1:22">
      <c r="A74" s="6"/>
    </row>
    <row r="75" spans="1:22">
      <c r="A75" s="6"/>
    </row>
    <row r="76" spans="1:22">
      <c r="A76" s="6"/>
    </row>
    <row r="77" spans="1:22">
      <c r="A77" s="6"/>
    </row>
    <row r="78" spans="1:22">
      <c r="A78" s="6"/>
    </row>
    <row r="79" spans="1:22">
      <c r="A79" s="6"/>
    </row>
    <row r="80" spans="1:22">
      <c r="A80" s="6"/>
    </row>
    <row r="81" spans="1:1">
      <c r="A81" s="6"/>
    </row>
    <row r="82" spans="1:1">
      <c r="A82" s="6"/>
    </row>
  </sheetData>
  <mergeCells count="66">
    <mergeCell ref="O4:U4"/>
    <mergeCell ref="O39:U39"/>
    <mergeCell ref="A4:D5"/>
    <mergeCell ref="E4:I4"/>
    <mergeCell ref="E39:I39"/>
    <mergeCell ref="J4:N4"/>
    <mergeCell ref="J39:N39"/>
    <mergeCell ref="A6:D6"/>
    <mergeCell ref="A7:D7"/>
    <mergeCell ref="A8:D8"/>
    <mergeCell ref="A9:D9"/>
    <mergeCell ref="A10:D10"/>
    <mergeCell ref="A67:D67"/>
    <mergeCell ref="A39:D40"/>
    <mergeCell ref="A41:B41"/>
    <mergeCell ref="C41:D41"/>
    <mergeCell ref="A42:B42"/>
    <mergeCell ref="C42:D42"/>
    <mergeCell ref="A43:B43"/>
    <mergeCell ref="C43:D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63:D63"/>
    <mergeCell ref="C64:D64"/>
    <mergeCell ref="C65:D65"/>
    <mergeCell ref="C66:D66"/>
    <mergeCell ref="C58:D58"/>
    <mergeCell ref="C59:D59"/>
    <mergeCell ref="C60:D60"/>
    <mergeCell ref="C61:D61"/>
    <mergeCell ref="C62:D62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2" fitToHeight="0" orientation="portrait" r:id="rId1"/>
  <headerFooter alignWithMargins="0">
    <oddHeader>&amp;L
&amp;R&amp;F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O23"/>
  <sheetViews>
    <sheetView showGridLines="0" view="pageBreakPreview" zoomScaleNormal="100" zoomScaleSheetLayoutView="10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49.33203125" style="21" customWidth="1"/>
    <col min="4" max="4" width="5" style="20" bestFit="1" customWidth="1"/>
    <col min="5" max="5" width="7.44140625" style="20" customWidth="1"/>
    <col min="6" max="7" width="4.6640625" style="21" customWidth="1"/>
    <col min="8" max="8" width="6.109375" style="20" bestFit="1" customWidth="1"/>
    <col min="9" max="12" width="4.6640625" style="20" customWidth="1"/>
    <col min="13" max="15" width="12.44140625" style="38" bestFit="1" customWidth="1"/>
    <col min="16" max="16384" width="8.77734375" style="17"/>
  </cols>
  <sheetData>
    <row r="1" spans="1:15" s="19" customFormat="1" ht="17.100000000000001" customHeight="1">
      <c r="A1" s="16" t="s">
        <v>183</v>
      </c>
      <c r="C1" s="18"/>
      <c r="D1" s="14"/>
      <c r="E1" s="14"/>
      <c r="F1" s="18"/>
      <c r="G1" s="18"/>
      <c r="J1" s="23"/>
      <c r="L1" s="14"/>
      <c r="M1" s="37"/>
      <c r="N1" s="37"/>
      <c r="O1" s="37"/>
    </row>
    <row r="2" spans="1:15" s="19" customFormat="1" ht="14.1" customHeight="1" thickBot="1">
      <c r="A2" s="14"/>
      <c r="C2" s="18"/>
      <c r="D2" s="14"/>
      <c r="E2" s="14"/>
      <c r="F2" s="18"/>
      <c r="G2" s="18"/>
      <c r="H2" s="14"/>
      <c r="I2" s="14"/>
      <c r="J2" s="14"/>
      <c r="L2" s="14"/>
      <c r="M2" s="37"/>
      <c r="N2" s="37"/>
      <c r="O2" s="37"/>
    </row>
    <row r="3" spans="1:15" s="20" customFormat="1" ht="16.350000000000001" customHeight="1" thickBot="1">
      <c r="A3" s="239" t="str">
        <f>ChkList!A4</f>
        <v>분류</v>
      </c>
      <c r="B3" s="222"/>
      <c r="C3" s="242" t="str">
        <f>ChkList!C4</f>
        <v>진단항목</v>
      </c>
      <c r="D3" s="235" t="str">
        <f>ChkList!D4</f>
        <v>중요도</v>
      </c>
      <c r="E3" s="236"/>
      <c r="F3" s="241" t="s">
        <v>91</v>
      </c>
      <c r="G3" s="208"/>
      <c r="H3" s="208"/>
      <c r="I3" s="208"/>
      <c r="J3" s="208"/>
      <c r="K3" s="234" t="s">
        <v>92</v>
      </c>
      <c r="L3" s="180"/>
      <c r="M3" s="162" t="s">
        <v>93</v>
      </c>
      <c r="N3" s="162" t="s">
        <v>93</v>
      </c>
      <c r="O3" s="162" t="s">
        <v>93</v>
      </c>
    </row>
    <row r="4" spans="1:15" s="20" customFormat="1">
      <c r="A4" s="214"/>
      <c r="B4" s="240"/>
      <c r="C4" s="243"/>
      <c r="D4" s="237"/>
      <c r="E4" s="238"/>
      <c r="F4" s="145" t="s">
        <v>94</v>
      </c>
      <c r="G4" s="146" t="s">
        <v>69</v>
      </c>
      <c r="H4" s="147" t="s">
        <v>95</v>
      </c>
      <c r="I4" s="148" t="s">
        <v>70</v>
      </c>
      <c r="J4" s="148" t="s">
        <v>35</v>
      </c>
      <c r="K4" s="148" t="s">
        <v>94</v>
      </c>
      <c r="L4" s="164" t="s">
        <v>96</v>
      </c>
      <c r="M4" s="163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P-01</v>
      </c>
      <c r="N4" s="163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P-02</v>
      </c>
      <c r="O4" s="163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P-03</v>
      </c>
    </row>
    <row r="5" spans="1:15" ht="14.1" customHeight="1">
      <c r="A5" s="27" t="str">
        <f>ChkList!A5</f>
        <v>계정 관리</v>
      </c>
      <c r="B5" s="27" t="str">
        <f>ChkList!B5</f>
        <v>PC-01</v>
      </c>
      <c r="C5" s="27" t="str">
        <f>ChkList!C5</f>
        <v>비밀번호의 주기적 변경</v>
      </c>
      <c r="D5" s="27" t="str">
        <f>ChkList!D5</f>
        <v>H</v>
      </c>
      <c r="E5" s="27">
        <f>ChkList!E5</f>
        <v>3</v>
      </c>
      <c r="F5" s="22">
        <f ca="1">COUNTA($M5:INDIRECT(ADDRESS(ROW(),MATCH("",$4:$4,-1),1,1)))</f>
        <v>3</v>
      </c>
      <c r="G5" s="22">
        <f ca="1">COUNTIF($M5:INDIRECT(ADDRESS(ROW(),MATCH("",$4:$4,-1),1,1)),"조치완료(Y)")+COUNTIF($M5:INDIRECT(ADDRESS(ROW(),MATCH("",$4:$4,-1),1,1)),"Y")</f>
        <v>3</v>
      </c>
      <c r="H5" s="22">
        <f ca="1">COUNTIF($M5:INDIRECT(ADDRESS(ROW(),MATCH("",$4:$4,-1),1,1)),"Y(즉시조치)")+COUNTIF($M5:INDIRECT(ADDRESS(ROW(),MATCH("",$4:$4,-1),1,1)),"조치완료(즉시조치)")</f>
        <v>0</v>
      </c>
      <c r="I5" s="22">
        <f ca="1">COUNTIF($M5:INDIRECT(ADDRESS(ROW(),MATCH("",$4:$4,-1),1,1)),"N")</f>
        <v>0</v>
      </c>
      <c r="J5" s="22">
        <f ca="1">COUNTIF($M5:INDIRECT(ADDRESS(ROW(),MATCH("",$4:$4,-1),1,1)),"N/A")+COUNTIF($M5:INDIRECT(ADDRESS(ROW(),MATCH("",$4:$4,-1),1,1)),"조치완료(N/A)")</f>
        <v>0</v>
      </c>
      <c r="K5" s="22">
        <f ca="1">VLOOKUP($D5,'parm(hidden)'!$B$8:$C$10,2,FALSE)*($F5-$J5)</f>
        <v>9</v>
      </c>
      <c r="L5" s="35">
        <f ca="1">VLOOKUP($D5,'parm(hidden)'!$B$8:$C$10,2,FALSE)*($G5+$H5)</f>
        <v>9</v>
      </c>
      <c r="M5" s="166" t="str">
        <f ca="1">HYPERLINK("#'" &amp; M$4 &amp; "'!" &amp; ADDRESS(ROW()+15, 8), INDIRECT("'" &amp; M$4 &amp; "'!" &amp; ADDRESS(ROW()+15, 8)))</f>
        <v>Y</v>
      </c>
      <c r="N5" s="166" t="str">
        <f t="shared" ref="N5:O5" ca="1" si="0">HYPERLINK("#'" &amp; N$4 &amp; "'!" &amp; ADDRESS(ROW()+15, 8), INDIRECT("'" &amp; N$4 &amp; "'!" &amp; ADDRESS(ROW()+15, 8)))</f>
        <v>Y</v>
      </c>
      <c r="O5" s="166" t="str">
        <f t="shared" ca="1" si="0"/>
        <v>Y</v>
      </c>
    </row>
    <row r="6" spans="1:15" ht="14.1" customHeight="1">
      <c r="A6" s="27" t="str">
        <f>ChkList!A6</f>
        <v>계정 관리</v>
      </c>
      <c r="B6" s="27" t="str">
        <f>ChkList!B6</f>
        <v>PC-02</v>
      </c>
      <c r="C6" s="27" t="str">
        <f>ChkList!C6</f>
        <v>비밀번호 관리정책 설정</v>
      </c>
      <c r="D6" s="27" t="str">
        <f>ChkList!D6</f>
        <v>H</v>
      </c>
      <c r="E6" s="27">
        <f>ChkList!E6</f>
        <v>3</v>
      </c>
      <c r="F6" s="22">
        <f ca="1">COUNTA($M6:INDIRECT(ADDRESS(ROW(),MATCH("",$4:$4,-1),1,1)))</f>
        <v>3</v>
      </c>
      <c r="G6" s="22">
        <f ca="1">COUNTIF($M6:INDIRECT(ADDRESS(ROW(),MATCH("",$4:$4,-1),1,1)),"조치완료(Y)")+COUNTIF($M6:INDIRECT(ADDRESS(ROW(),MATCH("",$4:$4,-1),1,1)),"Y")</f>
        <v>0</v>
      </c>
      <c r="H6" s="22">
        <f ca="1">COUNTIF($M6:INDIRECT(ADDRESS(ROW(),MATCH("",$4:$4,-1),1,1)),"Y(즉시조치)")+COUNTIF($M6:INDIRECT(ADDRESS(ROW(),MATCH("",$4:$4,-1),1,1)),"조치완료(즉시조치)")</f>
        <v>0</v>
      </c>
      <c r="I6" s="22">
        <f ca="1">COUNTIF($M6:INDIRECT(ADDRESS(ROW(),MATCH("",$4:$4,-1),1,1)),"N")</f>
        <v>0</v>
      </c>
      <c r="J6" s="22">
        <f ca="1">COUNTIF($M6:INDIRECT(ADDRESS(ROW(),MATCH("",$4:$4,-1),1,1)),"N/A")+COUNTIF($M6:INDIRECT(ADDRESS(ROW(),MATCH("",$4:$4,-1),1,1)),"조치완료(N/A)")</f>
        <v>0</v>
      </c>
      <c r="K6" s="22">
        <f ca="1">VLOOKUP($D6,'parm(hidden)'!$B$8:$C$10,2,FALSE)*($F6-$J6)</f>
        <v>9</v>
      </c>
      <c r="L6" s="35">
        <f ca="1">VLOOKUP($D6,'parm(hidden)'!$B$8:$C$10,2,FALSE)*($G6+$H6)</f>
        <v>0</v>
      </c>
      <c r="M6" s="166" t="str">
        <f t="shared" ref="M6:O22" ca="1" si="1">HYPERLINK("#'" &amp; M$4 &amp; "'!" &amp; ADDRESS(ROW()+15, 8), INDIRECT("'" &amp; M$4 &amp; "'!" &amp; ADDRESS(ROW()+15, 8)))</f>
        <v>인터뷰</v>
      </c>
      <c r="N6" s="166" t="str">
        <f t="shared" ca="1" si="1"/>
        <v>인터뷰</v>
      </c>
      <c r="O6" s="166" t="str">
        <f t="shared" ca="1" si="1"/>
        <v>인터뷰</v>
      </c>
    </row>
    <row r="7" spans="1:15" ht="14.1" customHeight="1">
      <c r="A7" s="27" t="str">
        <f>ChkList!A7</f>
        <v>계정관리</v>
      </c>
      <c r="B7" s="27" t="str">
        <f>ChkList!B7</f>
        <v>PC-03</v>
      </c>
      <c r="C7" s="27" t="str">
        <f>ChkList!C7</f>
        <v>복구 콘솔에서 자동 로그온을 금지하도록 설정</v>
      </c>
      <c r="D7" s="27" t="str">
        <f>ChkList!D7</f>
        <v>M</v>
      </c>
      <c r="E7" s="27">
        <f>ChkList!E7</f>
        <v>2</v>
      </c>
      <c r="F7" s="22">
        <f ca="1">COUNTA($M7:INDIRECT(ADDRESS(ROW(),MATCH("",$4:$4,-1),1,1)))</f>
        <v>3</v>
      </c>
      <c r="G7" s="22">
        <f ca="1">COUNTIF($M7:INDIRECT(ADDRESS(ROW(),MATCH("",$4:$4,-1),1,1)),"조치완료(Y)")+COUNTIF($M7:INDIRECT(ADDRESS(ROW(),MATCH("",$4:$4,-1),1,1)),"Y")</f>
        <v>3</v>
      </c>
      <c r="H7" s="22">
        <f ca="1">COUNTIF($M7:INDIRECT(ADDRESS(ROW(),MATCH("",$4:$4,-1),1,1)),"Y(즉시조치)")+COUNTIF($M7:INDIRECT(ADDRESS(ROW(),MATCH("",$4:$4,-1),1,1)),"조치완료(즉시조치)")</f>
        <v>0</v>
      </c>
      <c r="I7" s="22">
        <f ca="1">COUNTIF($M7:INDIRECT(ADDRESS(ROW(),MATCH("",$4:$4,-1),1,1)),"N")</f>
        <v>0</v>
      </c>
      <c r="J7" s="22">
        <f ca="1">COUNTIF($M7:INDIRECT(ADDRESS(ROW(),MATCH("",$4:$4,-1),1,1)),"N/A")+COUNTIF($M7:INDIRECT(ADDRESS(ROW(),MATCH("",$4:$4,-1),1,1)),"조치완료(N/A)")</f>
        <v>0</v>
      </c>
      <c r="K7" s="22">
        <f ca="1">VLOOKUP($D7,'parm(hidden)'!$B$8:$C$10,2,FALSE)*($F7-$J7)</f>
        <v>6</v>
      </c>
      <c r="L7" s="35">
        <f ca="1">VLOOKUP($D7,'parm(hidden)'!$B$8:$C$10,2,FALSE)*($G7+$H7)</f>
        <v>6</v>
      </c>
      <c r="M7" s="166" t="str">
        <f t="shared" ca="1" si="1"/>
        <v>Y</v>
      </c>
      <c r="N7" s="166" t="str">
        <f t="shared" ca="1" si="1"/>
        <v>Y</v>
      </c>
      <c r="O7" s="166" t="str">
        <f t="shared" ca="1" si="1"/>
        <v>Y</v>
      </c>
    </row>
    <row r="8" spans="1:15" ht="14.1" customHeight="1">
      <c r="A8" s="27" t="str">
        <f>ChkList!A8</f>
        <v>서비스 관리</v>
      </c>
      <c r="B8" s="27" t="str">
        <f>ChkList!B8</f>
        <v>PC-04</v>
      </c>
      <c r="C8" s="27" t="str">
        <f>ChkList!C8</f>
        <v>공유 폴더 제거</v>
      </c>
      <c r="D8" s="27" t="str">
        <f>ChkList!D8</f>
        <v>H</v>
      </c>
      <c r="E8" s="27">
        <f>ChkList!E8</f>
        <v>3</v>
      </c>
      <c r="F8" s="22">
        <f ca="1">COUNTA($M8:INDIRECT(ADDRESS(ROW(),MATCH("",$4:$4,-1),1,1)))</f>
        <v>3</v>
      </c>
      <c r="G8" s="22">
        <f ca="1">COUNTIF($M8:INDIRECT(ADDRESS(ROW(),MATCH("",$4:$4,-1),1,1)),"조치완료(Y)")+COUNTIF($M8:INDIRECT(ADDRESS(ROW(),MATCH("",$4:$4,-1),1,1)),"Y")</f>
        <v>0</v>
      </c>
      <c r="H8" s="22">
        <f ca="1">COUNTIF($M8:INDIRECT(ADDRESS(ROW(),MATCH("",$4:$4,-1),1,1)),"Y(즉시조치)")+COUNTIF($M8:INDIRECT(ADDRESS(ROW(),MATCH("",$4:$4,-1),1,1)),"조치완료(즉시조치)")</f>
        <v>0</v>
      </c>
      <c r="I8" s="22">
        <f ca="1">COUNTIF($M8:INDIRECT(ADDRESS(ROW(),MATCH("",$4:$4,-1),1,1)),"N")</f>
        <v>3</v>
      </c>
      <c r="J8" s="22">
        <f ca="1">COUNTIF($M8:INDIRECT(ADDRESS(ROW(),MATCH("",$4:$4,-1),1,1)),"N/A")+COUNTIF($M8:INDIRECT(ADDRESS(ROW(),MATCH("",$4:$4,-1),1,1)),"조치완료(N/A)")</f>
        <v>0</v>
      </c>
      <c r="K8" s="22">
        <f ca="1">VLOOKUP($D8,'parm(hidden)'!$B$8:$C$10,2,FALSE)*($F8-$J8)</f>
        <v>9</v>
      </c>
      <c r="L8" s="35">
        <f ca="1">VLOOKUP($D8,'parm(hidden)'!$B$8:$C$10,2,FALSE)*($G8+$H8)</f>
        <v>0</v>
      </c>
      <c r="M8" s="166" t="str">
        <f t="shared" ca="1" si="1"/>
        <v>N</v>
      </c>
      <c r="N8" s="166" t="str">
        <f t="shared" ca="1" si="1"/>
        <v>N</v>
      </c>
      <c r="O8" s="166" t="str">
        <f t="shared" ca="1" si="1"/>
        <v>N</v>
      </c>
    </row>
    <row r="9" spans="1:15" ht="14.1" customHeight="1">
      <c r="A9" s="27" t="str">
        <f>ChkList!A9</f>
        <v>서비스 관리</v>
      </c>
      <c r="B9" s="27" t="str">
        <f>ChkList!B9</f>
        <v>PC-05</v>
      </c>
      <c r="C9" s="27" t="str">
        <f>ChkList!C9</f>
        <v>항목의 불필요한 서비스 제거</v>
      </c>
      <c r="D9" s="27" t="str">
        <f>ChkList!D9</f>
        <v>H</v>
      </c>
      <c r="E9" s="27">
        <f>ChkList!E9</f>
        <v>3</v>
      </c>
      <c r="F9" s="22">
        <f ca="1">COUNTA($M9:INDIRECT(ADDRESS(ROW(),MATCH("",$4:$4,-1),1,1)))</f>
        <v>3</v>
      </c>
      <c r="G9" s="22">
        <f ca="1">COUNTIF($M9:INDIRECT(ADDRESS(ROW(),MATCH("",$4:$4,-1),1,1)),"조치완료(Y)")+COUNTIF($M9:INDIRECT(ADDRESS(ROW(),MATCH("",$4:$4,-1),1,1)),"Y")</f>
        <v>0</v>
      </c>
      <c r="H9" s="22">
        <f ca="1">COUNTIF($M9:INDIRECT(ADDRESS(ROW(),MATCH("",$4:$4,-1),1,1)),"Y(즉시조치)")+COUNTIF($M9:INDIRECT(ADDRESS(ROW(),MATCH("",$4:$4,-1),1,1)),"조치완료(즉시조치)")</f>
        <v>0</v>
      </c>
      <c r="I9" s="22">
        <f ca="1">COUNTIF($M9:INDIRECT(ADDRESS(ROW(),MATCH("",$4:$4,-1),1,1)),"N")</f>
        <v>3</v>
      </c>
      <c r="J9" s="22">
        <f ca="1">COUNTIF($M9:INDIRECT(ADDRESS(ROW(),MATCH("",$4:$4,-1),1,1)),"N/A")+COUNTIF($M9:INDIRECT(ADDRESS(ROW(),MATCH("",$4:$4,-1),1,1)),"조치완료(N/A)")</f>
        <v>0</v>
      </c>
      <c r="K9" s="22">
        <f ca="1">VLOOKUP($D9,'parm(hidden)'!$B$8:$C$10,2,FALSE)*($F9-$J9)</f>
        <v>9</v>
      </c>
      <c r="L9" s="35">
        <f ca="1">VLOOKUP($D9,'parm(hidden)'!$B$8:$C$10,2,FALSE)*($G9+$H9)</f>
        <v>0</v>
      </c>
      <c r="M9" s="166" t="str">
        <f t="shared" ca="1" si="1"/>
        <v>N</v>
      </c>
      <c r="N9" s="166" t="str">
        <f t="shared" ca="1" si="1"/>
        <v>N</v>
      </c>
      <c r="O9" s="166" t="str">
        <f t="shared" ca="1" si="1"/>
        <v>N</v>
      </c>
    </row>
    <row r="10" spans="1:15" ht="14.1" customHeight="1">
      <c r="A10" s="27" t="str">
        <f>ChkList!A10</f>
        <v>서비스 관리</v>
      </c>
      <c r="B10" s="27" t="str">
        <f>ChkList!B10</f>
        <v>PC-06</v>
      </c>
      <c r="C10" s="27" t="str">
        <f>ChkList!C10</f>
        <v>비인가 상용 메신저 사용 금지</v>
      </c>
      <c r="D10" s="27" t="str">
        <f>ChkList!D10</f>
        <v>H</v>
      </c>
      <c r="E10" s="27">
        <f>ChkList!E10</f>
        <v>3</v>
      </c>
      <c r="F10" s="22">
        <f ca="1">COUNTA($M10:INDIRECT(ADDRESS(ROW(),MATCH("",$4:$4,-1),1,1)))</f>
        <v>3</v>
      </c>
      <c r="G10" s="22">
        <f ca="1">COUNTIF($M10:INDIRECT(ADDRESS(ROW(),MATCH("",$4:$4,-1),1,1)),"조치완료(Y)")+COUNTIF($M10:INDIRECT(ADDRESS(ROW(),MATCH("",$4:$4,-1),1,1)),"Y")</f>
        <v>3</v>
      </c>
      <c r="H10" s="22">
        <f ca="1">COUNTIF($M10:INDIRECT(ADDRESS(ROW(),MATCH("",$4:$4,-1),1,1)),"Y(즉시조치)")+COUNTIF($M10:INDIRECT(ADDRESS(ROW(),MATCH("",$4:$4,-1),1,1)),"조치완료(즉시조치)")</f>
        <v>0</v>
      </c>
      <c r="I10" s="22">
        <f ca="1">COUNTIF($M10:INDIRECT(ADDRESS(ROW(),MATCH("",$4:$4,-1),1,1)),"N")</f>
        <v>0</v>
      </c>
      <c r="J10" s="22">
        <f ca="1">COUNTIF($M10:INDIRECT(ADDRESS(ROW(),MATCH("",$4:$4,-1),1,1)),"N/A")+COUNTIF($M10:INDIRECT(ADDRESS(ROW(),MATCH("",$4:$4,-1),1,1)),"조치완료(N/A)")</f>
        <v>0</v>
      </c>
      <c r="K10" s="22">
        <f ca="1">VLOOKUP($D10,'parm(hidden)'!$B$8:$C$10,2,FALSE)*($F10-$J10)</f>
        <v>9</v>
      </c>
      <c r="L10" s="35">
        <f ca="1">VLOOKUP($D10,'parm(hidden)'!$B$8:$C$10,2,FALSE)*($G10+$H10)</f>
        <v>9</v>
      </c>
      <c r="M10" s="166" t="str">
        <f t="shared" ca="1" si="1"/>
        <v>Y</v>
      </c>
      <c r="N10" s="166" t="str">
        <f t="shared" ca="1" si="1"/>
        <v>Y</v>
      </c>
      <c r="O10" s="166" t="str">
        <f t="shared" ca="1" si="1"/>
        <v>Y</v>
      </c>
    </row>
    <row r="11" spans="1:15" ht="14.1" customHeight="1">
      <c r="A11" s="27" t="str">
        <f>ChkList!A11</f>
        <v>서비스 관리</v>
      </c>
      <c r="B11" s="27" t="str">
        <f>ChkList!B11</f>
        <v>PC-07</v>
      </c>
      <c r="C11" s="27" t="str">
        <f>ChkList!C11</f>
        <v>파일 시스템이 NTFS 포맷으로 설정</v>
      </c>
      <c r="D11" s="27" t="str">
        <f>ChkList!D11</f>
        <v>M</v>
      </c>
      <c r="E11" s="27">
        <f>ChkList!E11</f>
        <v>2</v>
      </c>
      <c r="F11" s="22">
        <f ca="1">COUNTA($M11:INDIRECT(ADDRESS(ROW(),MATCH("",$4:$4,-1),1,1)))</f>
        <v>3</v>
      </c>
      <c r="G11" s="22">
        <f ca="1">COUNTIF($M11:INDIRECT(ADDRESS(ROW(),MATCH("",$4:$4,-1),1,1)),"조치완료(Y)")+COUNTIF($M11:INDIRECT(ADDRESS(ROW(),MATCH("",$4:$4,-1),1,1)),"Y")</f>
        <v>0</v>
      </c>
      <c r="H11" s="22">
        <f ca="1">COUNTIF($M11:INDIRECT(ADDRESS(ROW(),MATCH("",$4:$4,-1),1,1)),"Y(즉시조치)")+COUNTIF($M11:INDIRECT(ADDRESS(ROW(),MATCH("",$4:$4,-1),1,1)),"조치완료(즉시조치)")</f>
        <v>0</v>
      </c>
      <c r="I11" s="22">
        <f ca="1">COUNTIF($M11:INDIRECT(ADDRESS(ROW(),MATCH("",$4:$4,-1),1,1)),"N")</f>
        <v>0</v>
      </c>
      <c r="J11" s="22">
        <f ca="1">COUNTIF($M11:INDIRECT(ADDRESS(ROW(),MATCH("",$4:$4,-1),1,1)),"N/A")+COUNTIF($M11:INDIRECT(ADDRESS(ROW(),MATCH("",$4:$4,-1),1,1)),"조치완료(N/A)")</f>
        <v>0</v>
      </c>
      <c r="K11" s="22">
        <f ca="1">VLOOKUP($D11,'parm(hidden)'!$B$8:$C$10,2,FALSE)*($F11-$J11)</f>
        <v>6</v>
      </c>
      <c r="L11" s="35">
        <f ca="1">VLOOKUP($D11,'parm(hidden)'!$B$8:$C$10,2,FALSE)*($G11+$H11)</f>
        <v>0</v>
      </c>
      <c r="M11" s="166" t="str">
        <f t="shared" ca="1" si="1"/>
        <v>인터뷰</v>
      </c>
      <c r="N11" s="166" t="str">
        <f t="shared" ca="1" si="1"/>
        <v>인터뷰</v>
      </c>
      <c r="O11" s="166" t="str">
        <f t="shared" ca="1" si="1"/>
        <v>인터뷰</v>
      </c>
    </row>
    <row r="12" spans="1:15" ht="14.1" customHeight="1">
      <c r="A12" s="27" t="str">
        <f>ChkList!A12</f>
        <v>서비스 관리</v>
      </c>
      <c r="B12" s="27" t="str">
        <f>ChkList!B12</f>
        <v>PC-08</v>
      </c>
      <c r="C12" s="27">
        <f>ChkList!C12</f>
        <v>0</v>
      </c>
      <c r="D12" s="27" t="str">
        <f>ChkList!D12</f>
        <v>M</v>
      </c>
      <c r="E12" s="27">
        <f>ChkList!E12</f>
        <v>2</v>
      </c>
      <c r="F12" s="22">
        <f ca="1">COUNTA($M12:INDIRECT(ADDRESS(ROW(),MATCH("",$4:$4,-1),1,1)))</f>
        <v>3</v>
      </c>
      <c r="G12" s="22">
        <f ca="1">COUNTIF($M12:INDIRECT(ADDRESS(ROW(),MATCH("",$4:$4,-1),1,1)),"조치완료(Y)")+COUNTIF($M12:INDIRECT(ADDRESS(ROW(),MATCH("",$4:$4,-1),1,1)),"Y")</f>
        <v>3</v>
      </c>
      <c r="H12" s="22">
        <f ca="1">COUNTIF($M12:INDIRECT(ADDRESS(ROW(),MATCH("",$4:$4,-1),1,1)),"Y(즉시조치)")+COUNTIF($M12:INDIRECT(ADDRESS(ROW(),MATCH("",$4:$4,-1),1,1)),"조치완료(즉시조치)")</f>
        <v>0</v>
      </c>
      <c r="I12" s="22">
        <f ca="1">COUNTIF($M12:INDIRECT(ADDRESS(ROW(),MATCH("",$4:$4,-1),1,1)),"N")</f>
        <v>0</v>
      </c>
      <c r="J12" s="22">
        <f ca="1">COUNTIF($M12:INDIRECT(ADDRESS(ROW(),MATCH("",$4:$4,-1),1,1)),"N/A")+COUNTIF($M12:INDIRECT(ADDRESS(ROW(),MATCH("",$4:$4,-1),1,1)),"조치완료(N/A)")</f>
        <v>0</v>
      </c>
      <c r="K12" s="22">
        <f ca="1">VLOOKUP($D12,'parm(hidden)'!$B$8:$C$10,2,FALSE)*($F12-$J12)</f>
        <v>6</v>
      </c>
      <c r="L12" s="35">
        <f ca="1">VLOOKUP($D12,'parm(hidden)'!$B$8:$C$10,2,FALSE)*($G12+$H12)</f>
        <v>6</v>
      </c>
      <c r="M12" s="166" t="str">
        <f t="shared" ca="1" si="1"/>
        <v>Y</v>
      </c>
      <c r="N12" s="166" t="str">
        <f t="shared" ca="1" si="1"/>
        <v>Y</v>
      </c>
      <c r="O12" s="166" t="str">
        <f t="shared" ca="1" si="1"/>
        <v>Y</v>
      </c>
    </row>
    <row r="13" spans="1:15" ht="14.1" customHeight="1">
      <c r="A13" s="27" t="str">
        <f>ChkList!A13</f>
        <v>서비스 관리</v>
      </c>
      <c r="B13" s="27" t="str">
        <f>ChkList!B13</f>
        <v>PC-09</v>
      </c>
      <c r="C13" s="27" t="str">
        <f>ChkList!C13</f>
        <v>브라우저 종료 시 임시 인터넷 파일 폴더의 내용을 삭제하도록 설정</v>
      </c>
      <c r="D13" s="27" t="str">
        <f>ChkList!D13</f>
        <v>L</v>
      </c>
      <c r="E13" s="27">
        <f>ChkList!E13</f>
        <v>1</v>
      </c>
      <c r="F13" s="22">
        <f ca="1">COUNTA($M13:INDIRECT(ADDRESS(ROW(),MATCH("",$4:$4,-1),1,1)))</f>
        <v>3</v>
      </c>
      <c r="G13" s="22">
        <f ca="1">COUNTIF($M13:INDIRECT(ADDRESS(ROW(),MATCH("",$4:$4,-1),1,1)),"조치완료(Y)")+COUNTIF($M13:INDIRECT(ADDRESS(ROW(),MATCH("",$4:$4,-1),1,1)),"Y")</f>
        <v>3</v>
      </c>
      <c r="H13" s="22">
        <f ca="1">COUNTIF($M13:INDIRECT(ADDRESS(ROW(),MATCH("",$4:$4,-1),1,1)),"Y(즉시조치)")+COUNTIF($M13:INDIRECT(ADDRESS(ROW(),MATCH("",$4:$4,-1),1,1)),"조치완료(즉시조치)")</f>
        <v>0</v>
      </c>
      <c r="I13" s="22">
        <f ca="1">COUNTIF($M13:INDIRECT(ADDRESS(ROW(),MATCH("",$4:$4,-1),1,1)),"N")</f>
        <v>0</v>
      </c>
      <c r="J13" s="22">
        <f ca="1">COUNTIF($M13:INDIRECT(ADDRESS(ROW(),MATCH("",$4:$4,-1),1,1)),"N/A")+COUNTIF($M13:INDIRECT(ADDRESS(ROW(),MATCH("",$4:$4,-1),1,1)),"조치완료(N/A)")</f>
        <v>0</v>
      </c>
      <c r="K13" s="22">
        <f ca="1">VLOOKUP($D13,'parm(hidden)'!$B$8:$C$10,2,FALSE)*($F13-$J13)</f>
        <v>3</v>
      </c>
      <c r="L13" s="35">
        <f ca="1">VLOOKUP($D13,'parm(hidden)'!$B$8:$C$10,2,FALSE)*($G13+$H13)</f>
        <v>3</v>
      </c>
      <c r="M13" s="166" t="str">
        <f t="shared" ca="1" si="1"/>
        <v>Y</v>
      </c>
      <c r="N13" s="166" t="str">
        <f t="shared" ca="1" si="1"/>
        <v>Y</v>
      </c>
      <c r="O13" s="166" t="str">
        <f t="shared" ca="1" si="1"/>
        <v>Y</v>
      </c>
    </row>
    <row r="14" spans="1:15" ht="14.1" customHeight="1">
      <c r="A14" s="27" t="str">
        <f>ChkList!A14</f>
        <v>패치 관리</v>
      </c>
      <c r="B14" s="27" t="str">
        <f>ChkList!B14</f>
        <v>PC-10</v>
      </c>
      <c r="C14" s="27" t="str">
        <f>ChkList!C14</f>
        <v>주기적 보안 패치 및 벤더 권고사항 적용</v>
      </c>
      <c r="D14" s="27" t="str">
        <f>ChkList!D14</f>
        <v>H</v>
      </c>
      <c r="E14" s="27">
        <f>ChkList!E14</f>
        <v>3</v>
      </c>
      <c r="F14" s="22">
        <f ca="1">COUNTA($M14:INDIRECT(ADDRESS(ROW(),MATCH("",$4:$4,-1),1,1)))</f>
        <v>3</v>
      </c>
      <c r="G14" s="22">
        <f ca="1">COUNTIF($M14:INDIRECT(ADDRESS(ROW(),MATCH("",$4:$4,-1),1,1)),"조치완료(Y)")+COUNTIF($M14:INDIRECT(ADDRESS(ROW(),MATCH("",$4:$4,-1),1,1)),"Y")</f>
        <v>0</v>
      </c>
      <c r="H14" s="22">
        <f ca="1">COUNTIF($M14:INDIRECT(ADDRESS(ROW(),MATCH("",$4:$4,-1),1,1)),"Y(즉시조치)")+COUNTIF($M14:INDIRECT(ADDRESS(ROW(),MATCH("",$4:$4,-1),1,1)),"조치완료(즉시조치)")</f>
        <v>0</v>
      </c>
      <c r="I14" s="22">
        <f ca="1">COUNTIF($M14:INDIRECT(ADDRESS(ROW(),MATCH("",$4:$4,-1),1,1)),"N")</f>
        <v>0</v>
      </c>
      <c r="J14" s="22">
        <f ca="1">COUNTIF($M14:INDIRECT(ADDRESS(ROW(),MATCH("",$4:$4,-1),1,1)),"N/A")+COUNTIF($M14:INDIRECT(ADDRESS(ROW(),MATCH("",$4:$4,-1),1,1)),"조치완료(N/A)")</f>
        <v>0</v>
      </c>
      <c r="K14" s="22">
        <f ca="1">VLOOKUP($D14,'parm(hidden)'!$B$8:$C$10,2,FALSE)*($F14-$J14)</f>
        <v>9</v>
      </c>
      <c r="L14" s="35">
        <f ca="1">VLOOKUP($D14,'parm(hidden)'!$B$8:$C$10,2,FALSE)*($G14+$H14)</f>
        <v>0</v>
      </c>
      <c r="M14" s="166" t="str">
        <f t="shared" ca="1" si="1"/>
        <v>인터뷰</v>
      </c>
      <c r="N14" s="166" t="str">
        <f t="shared" ca="1" si="1"/>
        <v>인터뷰</v>
      </c>
      <c r="O14" s="166" t="str">
        <f t="shared" ca="1" si="1"/>
        <v>인터뷰</v>
      </c>
    </row>
    <row r="15" spans="1:15" ht="14.1" customHeight="1">
      <c r="A15" s="27" t="str">
        <f>ChkList!A15</f>
        <v>패치 관리</v>
      </c>
      <c r="B15" s="27" t="str">
        <f>ChkList!B15</f>
        <v>PC-11</v>
      </c>
      <c r="C15" s="27" t="str">
        <f>ChkList!C15</f>
        <v>지원이 종료되지 않은 Windows OS Build 적용</v>
      </c>
      <c r="D15" s="27" t="str">
        <f>ChkList!D15</f>
        <v>H</v>
      </c>
      <c r="E15" s="27">
        <f>ChkList!E15</f>
        <v>3</v>
      </c>
      <c r="F15" s="22">
        <f ca="1">COUNTA($M15:INDIRECT(ADDRESS(ROW(),MATCH("",$4:$4,-1),1,1)))</f>
        <v>3</v>
      </c>
      <c r="G15" s="22">
        <f ca="1">COUNTIF($M15:INDIRECT(ADDRESS(ROW(),MATCH("",$4:$4,-1),1,1)),"조치완료(Y)")+COUNTIF($M15:INDIRECT(ADDRESS(ROW(),MATCH("",$4:$4,-1),1,1)),"Y")</f>
        <v>0</v>
      </c>
      <c r="H15" s="22">
        <f ca="1">COUNTIF($M15:INDIRECT(ADDRESS(ROW(),MATCH("",$4:$4,-1),1,1)),"Y(즉시조치)")+COUNTIF($M15:INDIRECT(ADDRESS(ROW(),MATCH("",$4:$4,-1),1,1)),"조치완료(즉시조치)")</f>
        <v>0</v>
      </c>
      <c r="I15" s="22">
        <f ca="1">COUNTIF($M15:INDIRECT(ADDRESS(ROW(),MATCH("",$4:$4,-1),1,1)),"N")</f>
        <v>0</v>
      </c>
      <c r="J15" s="22">
        <f ca="1">COUNTIF($M15:INDIRECT(ADDRESS(ROW(),MATCH("",$4:$4,-1),1,1)),"N/A")+COUNTIF($M15:INDIRECT(ADDRESS(ROW(),MATCH("",$4:$4,-1),1,1)),"조치완료(N/A)")</f>
        <v>0</v>
      </c>
      <c r="K15" s="22">
        <f ca="1">VLOOKUP($D15,'parm(hidden)'!$B$8:$C$10,2,FALSE)*($F15-$J15)</f>
        <v>9</v>
      </c>
      <c r="L15" s="35">
        <f ca="1">VLOOKUP($D15,'parm(hidden)'!$B$8:$C$10,2,FALSE)*($G15+$H15)</f>
        <v>0</v>
      </c>
      <c r="M15" s="166" t="str">
        <f t="shared" ca="1" si="1"/>
        <v>인터뷰</v>
      </c>
      <c r="N15" s="166" t="str">
        <f t="shared" ca="1" si="1"/>
        <v>인터뷰</v>
      </c>
      <c r="O15" s="166" t="str">
        <f t="shared" ca="1" si="1"/>
        <v>인터뷰</v>
      </c>
    </row>
    <row r="16" spans="1:15" ht="14.1" customHeight="1">
      <c r="A16" s="27" t="str">
        <f>ChkList!A16</f>
        <v>보안 관리</v>
      </c>
      <c r="B16" s="27" t="str">
        <f>ChkList!B16</f>
        <v>PC-12</v>
      </c>
      <c r="C16" s="27" t="str">
        <f>ChkList!C16</f>
        <v>Windows 자동 로그인 점검</v>
      </c>
      <c r="D16" s="27" t="str">
        <f>ChkList!D16</f>
        <v>M</v>
      </c>
      <c r="E16" s="27">
        <f>ChkList!E16</f>
        <v>2</v>
      </c>
      <c r="F16" s="22">
        <f ca="1">COUNTA($M16:INDIRECT(ADDRESS(ROW(),MATCH("",$4:$4,-1),1,1)))</f>
        <v>3</v>
      </c>
      <c r="G16" s="22">
        <f ca="1">COUNTIF($M16:INDIRECT(ADDRESS(ROW(),MATCH("",$4:$4,-1),1,1)),"조치완료(Y)")+COUNTIF($M16:INDIRECT(ADDRESS(ROW(),MATCH("",$4:$4,-1),1,1)),"Y")</f>
        <v>0</v>
      </c>
      <c r="H16" s="22">
        <f ca="1">COUNTIF($M16:INDIRECT(ADDRESS(ROW(),MATCH("",$4:$4,-1),1,1)),"Y(즉시조치)")+COUNTIF($M16:INDIRECT(ADDRESS(ROW(),MATCH("",$4:$4,-1),1,1)),"조치완료(즉시조치)")</f>
        <v>0</v>
      </c>
      <c r="I16" s="22">
        <f ca="1">COUNTIF($M16:INDIRECT(ADDRESS(ROW(),MATCH("",$4:$4,-1),1,1)),"N")</f>
        <v>0</v>
      </c>
      <c r="J16" s="22">
        <f ca="1">COUNTIF($M16:INDIRECT(ADDRESS(ROW(),MATCH("",$4:$4,-1),1,1)),"N/A")+COUNTIF($M16:INDIRECT(ADDRESS(ROW(),MATCH("",$4:$4,-1),1,1)),"조치완료(N/A)")</f>
        <v>3</v>
      </c>
      <c r="K16" s="22">
        <f ca="1">VLOOKUP($D16,'parm(hidden)'!$B$8:$C$10,2,FALSE)*($F16-$J16)</f>
        <v>0</v>
      </c>
      <c r="L16" s="35">
        <f ca="1">VLOOKUP($D16,'parm(hidden)'!$B$8:$C$10,2,FALSE)*($G16+$H16)</f>
        <v>0</v>
      </c>
      <c r="M16" s="166" t="str">
        <f t="shared" ca="1" si="1"/>
        <v>N/A</v>
      </c>
      <c r="N16" s="166" t="str">
        <f t="shared" ca="1" si="1"/>
        <v>N/A</v>
      </c>
      <c r="O16" s="166" t="str">
        <f t="shared" ca="1" si="1"/>
        <v>N/A</v>
      </c>
    </row>
    <row r="17" spans="1:15" ht="14.1" customHeight="1">
      <c r="A17" s="27" t="str">
        <f>ChkList!A17</f>
        <v>보안 관리</v>
      </c>
      <c r="B17" s="27" t="str">
        <f>ChkList!B17</f>
        <v>PC-13</v>
      </c>
      <c r="C17" s="27" t="str">
        <f>ChkList!C17</f>
        <v>바이러스 백신 프로그램 설치 및 주기적 업데이트</v>
      </c>
      <c r="D17" s="27" t="str">
        <f>ChkList!D17</f>
        <v>H</v>
      </c>
      <c r="E17" s="27">
        <f>ChkList!E17</f>
        <v>3</v>
      </c>
      <c r="F17" s="22">
        <f ca="1">COUNTA($M17:INDIRECT(ADDRESS(ROW(),MATCH("",$4:$4,-1),1,1)))</f>
        <v>3</v>
      </c>
      <c r="G17" s="22">
        <f ca="1">COUNTIF($M17:INDIRECT(ADDRESS(ROW(),MATCH("",$4:$4,-1),1,1)),"조치완료(Y)")+COUNTIF($M17:INDIRECT(ADDRESS(ROW(),MATCH("",$4:$4,-1),1,1)),"Y")</f>
        <v>0</v>
      </c>
      <c r="H17" s="22">
        <f ca="1">COUNTIF($M17:INDIRECT(ADDRESS(ROW(),MATCH("",$4:$4,-1),1,1)),"Y(즉시조치)")+COUNTIF($M17:INDIRECT(ADDRESS(ROW(),MATCH("",$4:$4,-1),1,1)),"조치완료(즉시조치)")</f>
        <v>0</v>
      </c>
      <c r="I17" s="22">
        <f ca="1">COUNTIF($M17:INDIRECT(ADDRESS(ROW(),MATCH("",$4:$4,-1),1,1)),"N")</f>
        <v>3</v>
      </c>
      <c r="J17" s="22">
        <f ca="1">COUNTIF($M17:INDIRECT(ADDRESS(ROW(),MATCH("",$4:$4,-1),1,1)),"N/A")+COUNTIF($M17:INDIRECT(ADDRESS(ROW(),MATCH("",$4:$4,-1),1,1)),"조치완료(N/A)")</f>
        <v>0</v>
      </c>
      <c r="K17" s="22">
        <f ca="1">VLOOKUP($D17,'parm(hidden)'!$B$8:$C$10,2,FALSE)*($F17-$J17)</f>
        <v>9</v>
      </c>
      <c r="L17" s="35">
        <f ca="1">VLOOKUP($D17,'parm(hidden)'!$B$8:$C$10,2,FALSE)*($G17+$H17)</f>
        <v>0</v>
      </c>
      <c r="M17" s="166" t="str">
        <f t="shared" ca="1" si="1"/>
        <v>N</v>
      </c>
      <c r="N17" s="166" t="str">
        <f t="shared" ca="1" si="1"/>
        <v>N</v>
      </c>
      <c r="O17" s="166" t="str">
        <f t="shared" ca="1" si="1"/>
        <v>N</v>
      </c>
    </row>
    <row r="18" spans="1:15" ht="14.1" customHeight="1">
      <c r="A18" s="27" t="str">
        <f>ChkList!A18</f>
        <v>보안 관리</v>
      </c>
      <c r="B18" s="27" t="str">
        <f>ChkList!B18</f>
        <v>PC-14</v>
      </c>
      <c r="C18" s="27" t="str">
        <f>ChkList!C18</f>
        <v>바이러스 백신 프로그램에서 제공하는 실시간 감시 기능 활성화</v>
      </c>
      <c r="D18" s="27" t="str">
        <f>ChkList!D18</f>
        <v>H</v>
      </c>
      <c r="E18" s="27">
        <f>ChkList!E18</f>
        <v>3</v>
      </c>
      <c r="F18" s="22">
        <f ca="1">COUNTA($M18:INDIRECT(ADDRESS(ROW(),MATCH("",$4:$4,-1),1,1)))</f>
        <v>3</v>
      </c>
      <c r="G18" s="22">
        <f ca="1">COUNTIF($M18:INDIRECT(ADDRESS(ROW(),MATCH("",$4:$4,-1),1,1)),"조치완료(Y)")+COUNTIF($M18:INDIRECT(ADDRESS(ROW(),MATCH("",$4:$4,-1),1,1)),"Y")</f>
        <v>0</v>
      </c>
      <c r="H18" s="22">
        <f ca="1">COUNTIF($M18:INDIRECT(ADDRESS(ROW(),MATCH("",$4:$4,-1),1,1)),"Y(즉시조치)")+COUNTIF($M18:INDIRECT(ADDRESS(ROW(),MATCH("",$4:$4,-1),1,1)),"조치완료(즉시조치)")</f>
        <v>0</v>
      </c>
      <c r="I18" s="22">
        <f ca="1">COUNTIF($M18:INDIRECT(ADDRESS(ROW(),MATCH("",$4:$4,-1),1,1)),"N")</f>
        <v>3</v>
      </c>
      <c r="J18" s="22">
        <f ca="1">COUNTIF($M18:INDIRECT(ADDRESS(ROW(),MATCH("",$4:$4,-1),1,1)),"N/A")+COUNTIF($M18:INDIRECT(ADDRESS(ROW(),MATCH("",$4:$4,-1),1,1)),"조치완료(N/A)")</f>
        <v>0</v>
      </c>
      <c r="K18" s="22">
        <f ca="1">VLOOKUP($D18,'parm(hidden)'!$B$8:$C$10,2,FALSE)*($F18-$J18)</f>
        <v>9</v>
      </c>
      <c r="L18" s="35">
        <f ca="1">VLOOKUP($D18,'parm(hidden)'!$B$8:$C$10,2,FALSE)*($G18+$H18)</f>
        <v>0</v>
      </c>
      <c r="M18" s="166" t="str">
        <f t="shared" ca="1" si="1"/>
        <v>N</v>
      </c>
      <c r="N18" s="166" t="str">
        <f t="shared" ca="1" si="1"/>
        <v>N</v>
      </c>
      <c r="O18" s="166" t="str">
        <f t="shared" ca="1" si="1"/>
        <v>N</v>
      </c>
    </row>
    <row r="19" spans="1:15" ht="14.1" customHeight="1">
      <c r="A19" s="27" t="str">
        <f>ChkList!A19</f>
        <v>보안 관리</v>
      </c>
      <c r="B19" s="27" t="str">
        <f>ChkList!B19</f>
        <v>PC-15</v>
      </c>
      <c r="C19" s="27" t="str">
        <f>ChkList!C19</f>
        <v>OS에서 제공하는 침입차단 기능 활성화</v>
      </c>
      <c r="D19" s="27" t="str">
        <f>ChkList!D19</f>
        <v>H</v>
      </c>
      <c r="E19" s="27">
        <f>ChkList!E19</f>
        <v>3</v>
      </c>
      <c r="F19" s="22">
        <f ca="1">COUNTA($M19:INDIRECT(ADDRESS(ROW(),MATCH("",$4:$4,-1),1,1)))</f>
        <v>3</v>
      </c>
      <c r="G19" s="22">
        <f ca="1">COUNTIF($M19:INDIRECT(ADDRESS(ROW(),MATCH("",$4:$4,-1),1,1)),"조치완료(Y)")+COUNTIF($M19:INDIRECT(ADDRESS(ROW(),MATCH("",$4:$4,-1),1,1)),"Y")</f>
        <v>3</v>
      </c>
      <c r="H19" s="22">
        <f ca="1">COUNTIF($M19:INDIRECT(ADDRESS(ROW(),MATCH("",$4:$4,-1),1,1)),"Y(즉시조치)")+COUNTIF($M19:INDIRECT(ADDRESS(ROW(),MATCH("",$4:$4,-1),1,1)),"조치완료(즉시조치)")</f>
        <v>0</v>
      </c>
      <c r="I19" s="22">
        <f ca="1">COUNTIF($M19:INDIRECT(ADDRESS(ROW(),MATCH("",$4:$4,-1),1,1)),"N")</f>
        <v>0</v>
      </c>
      <c r="J19" s="22">
        <f ca="1">COUNTIF($M19:INDIRECT(ADDRESS(ROW(),MATCH("",$4:$4,-1),1,1)),"N/A")+COUNTIF($M19:INDIRECT(ADDRESS(ROW(),MATCH("",$4:$4,-1),1,1)),"조치완료(N/A)")</f>
        <v>0</v>
      </c>
      <c r="K19" s="22">
        <f ca="1">VLOOKUP($D19,'parm(hidden)'!$B$8:$C$10,2,FALSE)*($F19-$J19)</f>
        <v>9</v>
      </c>
      <c r="L19" s="35">
        <f ca="1">VLOOKUP($D19,'parm(hidden)'!$B$8:$C$10,2,FALSE)*($G19+$H19)</f>
        <v>9</v>
      </c>
      <c r="M19" s="166" t="str">
        <f t="shared" ca="1" si="1"/>
        <v>Y</v>
      </c>
      <c r="N19" s="166" t="str">
        <f t="shared" ca="1" si="1"/>
        <v>Y</v>
      </c>
      <c r="O19" s="166" t="str">
        <f t="shared" ca="1" si="1"/>
        <v>Y</v>
      </c>
    </row>
    <row r="20" spans="1:15" ht="14.1" customHeight="1">
      <c r="A20" s="27" t="str">
        <f>ChkList!A20</f>
        <v>보안 관리</v>
      </c>
      <c r="B20" s="27" t="str">
        <f>ChkList!B20</f>
        <v>PC-16</v>
      </c>
      <c r="C20" s="27" t="str">
        <f>ChkList!C20</f>
        <v>화면보호기 대기 시간 설정 및 재시작 시 암호 보호 설정</v>
      </c>
      <c r="D20" s="27" t="str">
        <f>ChkList!D20</f>
        <v>H</v>
      </c>
      <c r="E20" s="27">
        <f>ChkList!E20</f>
        <v>3</v>
      </c>
      <c r="F20" s="22">
        <f ca="1">COUNTA($M20:INDIRECT(ADDRESS(ROW(),MATCH("",$4:$4,-1),1,1)))</f>
        <v>3</v>
      </c>
      <c r="G20" s="22">
        <f ca="1">COUNTIF($M20:INDIRECT(ADDRESS(ROW(),MATCH("",$4:$4,-1),1,1)),"조치완료(Y)")+COUNTIF($M20:INDIRECT(ADDRESS(ROW(),MATCH("",$4:$4,-1),1,1)),"Y")</f>
        <v>0</v>
      </c>
      <c r="H20" s="22">
        <f ca="1">COUNTIF($M20:INDIRECT(ADDRESS(ROW(),MATCH("",$4:$4,-1),1,1)),"Y(즉시조치)")+COUNTIF($M20:INDIRECT(ADDRESS(ROW(),MATCH("",$4:$4,-1),1,1)),"조치완료(즉시조치)")</f>
        <v>0</v>
      </c>
      <c r="I20" s="22">
        <f ca="1">COUNTIF($M20:INDIRECT(ADDRESS(ROW(),MATCH("",$4:$4,-1),1,1)),"N")</f>
        <v>3</v>
      </c>
      <c r="J20" s="22">
        <f ca="1">COUNTIF($M20:INDIRECT(ADDRESS(ROW(),MATCH("",$4:$4,-1),1,1)),"N/A")+COUNTIF($M20:INDIRECT(ADDRESS(ROW(),MATCH("",$4:$4,-1),1,1)),"조치완료(N/A)")</f>
        <v>0</v>
      </c>
      <c r="K20" s="22">
        <f ca="1">VLOOKUP($D20,'parm(hidden)'!$B$8:$C$10,2,FALSE)*($F20-$J20)</f>
        <v>9</v>
      </c>
      <c r="L20" s="35">
        <f ca="1">VLOOKUP($D20,'parm(hidden)'!$B$8:$C$10,2,FALSE)*($G20+$H20)</f>
        <v>0</v>
      </c>
      <c r="M20" s="166" t="str">
        <f t="shared" ca="1" si="1"/>
        <v>N</v>
      </c>
      <c r="N20" s="166" t="str">
        <f t="shared" ca="1" si="1"/>
        <v>N</v>
      </c>
      <c r="O20" s="166" t="str">
        <f t="shared" ca="1" si="1"/>
        <v>N</v>
      </c>
    </row>
    <row r="21" spans="1:15" ht="14.1" customHeight="1">
      <c r="A21" s="27" t="str">
        <f>ChkList!A21</f>
        <v>보안 관리</v>
      </c>
      <c r="B21" s="27" t="str">
        <f>ChkList!B21</f>
        <v>PC-17</v>
      </c>
      <c r="C21" s="27" t="str">
        <f>ChkList!C21</f>
        <v>CD, DVD, USB 메모리 등과 같은 미디어의 자동 실행 방지 등 이동식 미디어에 대한 보안대책 수립</v>
      </c>
      <c r="D21" s="27" t="str">
        <f>ChkList!D21</f>
        <v>H</v>
      </c>
      <c r="E21" s="27">
        <f>ChkList!E21</f>
        <v>3</v>
      </c>
      <c r="F21" s="22">
        <f ca="1">COUNTA($M21:INDIRECT(ADDRESS(ROW(),MATCH("",$4:$4,-1),1,1)))</f>
        <v>3</v>
      </c>
      <c r="G21" s="22">
        <f ca="1">COUNTIF($M21:INDIRECT(ADDRESS(ROW(),MATCH("",$4:$4,-1),1,1)),"조치완료(Y)")+COUNTIF($M21:INDIRECT(ADDRESS(ROW(),MATCH("",$4:$4,-1),1,1)),"Y")</f>
        <v>3</v>
      </c>
      <c r="H21" s="22">
        <f ca="1">COUNTIF($M21:INDIRECT(ADDRESS(ROW(),MATCH("",$4:$4,-1),1,1)),"Y(즉시조치)")+COUNTIF($M21:INDIRECT(ADDRESS(ROW(),MATCH("",$4:$4,-1),1,1)),"조치완료(즉시조치)")</f>
        <v>0</v>
      </c>
      <c r="I21" s="22">
        <f ca="1">COUNTIF($M21:INDIRECT(ADDRESS(ROW(),MATCH("",$4:$4,-1),1,1)),"N")</f>
        <v>0</v>
      </c>
      <c r="J21" s="22">
        <f ca="1">COUNTIF($M21:INDIRECT(ADDRESS(ROW(),MATCH("",$4:$4,-1),1,1)),"N/A")+COUNTIF($M21:INDIRECT(ADDRESS(ROW(),MATCH("",$4:$4,-1),1,1)),"조치완료(N/A)")</f>
        <v>0</v>
      </c>
      <c r="K21" s="22">
        <f ca="1">VLOOKUP($D21,'parm(hidden)'!$B$8:$C$10,2,FALSE)*($F21-$J21)</f>
        <v>9</v>
      </c>
      <c r="L21" s="35">
        <f ca="1">VLOOKUP($D21,'parm(hidden)'!$B$8:$C$10,2,FALSE)*($G21+$H21)</f>
        <v>9</v>
      </c>
      <c r="M21" s="166" t="str">
        <f t="shared" ca="1" si="1"/>
        <v>Y</v>
      </c>
      <c r="N21" s="166" t="str">
        <f t="shared" ca="1" si="1"/>
        <v>Y</v>
      </c>
      <c r="O21" s="166" t="str">
        <f t="shared" ca="1" si="1"/>
        <v>Y</v>
      </c>
    </row>
    <row r="22" spans="1:15" ht="14.1" customHeight="1">
      <c r="A22" s="27" t="str">
        <f>ChkList!A22</f>
        <v>보안 관리</v>
      </c>
      <c r="B22" s="27" t="str">
        <f>ChkList!B22</f>
        <v>PC-18</v>
      </c>
      <c r="C22" s="27" t="str">
        <f>ChkList!C22</f>
        <v>원격 지원을 금지하도록 정책이 설정</v>
      </c>
      <c r="D22" s="27" t="str">
        <f>ChkList!D22</f>
        <v>M</v>
      </c>
      <c r="E22" s="27">
        <f>ChkList!E22</f>
        <v>2</v>
      </c>
      <c r="F22" s="22">
        <f ca="1">COUNTA($M22:INDIRECT(ADDRESS(ROW(),MATCH("",$4:$4,-1),1,1)))</f>
        <v>3</v>
      </c>
      <c r="G22" s="22">
        <f ca="1">COUNTIF($M22:INDIRECT(ADDRESS(ROW(),MATCH("",$4:$4,-1),1,1)),"조치완료(Y)")+COUNTIF($M22:INDIRECT(ADDRESS(ROW(),MATCH("",$4:$4,-1),1,1)),"Y")</f>
        <v>3</v>
      </c>
      <c r="H22" s="22">
        <f ca="1">COUNTIF($M22:INDIRECT(ADDRESS(ROW(),MATCH("",$4:$4,-1),1,1)),"Y(즉시조치)")+COUNTIF($M22:INDIRECT(ADDRESS(ROW(),MATCH("",$4:$4,-1),1,1)),"조치완료(즉시조치)")</f>
        <v>0</v>
      </c>
      <c r="I22" s="22">
        <f ca="1">COUNTIF($M22:INDIRECT(ADDRESS(ROW(),MATCH("",$4:$4,-1),1,1)),"N")</f>
        <v>0</v>
      </c>
      <c r="J22" s="22">
        <f ca="1">COUNTIF($M22:INDIRECT(ADDRESS(ROW(),MATCH("",$4:$4,-1),1,1)),"N/A")+COUNTIF($M22:INDIRECT(ADDRESS(ROW(),MATCH("",$4:$4,-1),1,1)),"조치완료(N/A)")</f>
        <v>0</v>
      </c>
      <c r="K22" s="22">
        <f ca="1">VLOOKUP($D22,'parm(hidden)'!$B$8:$C$10,2,FALSE)*($F22-$J22)</f>
        <v>6</v>
      </c>
      <c r="L22" s="35">
        <f ca="1">VLOOKUP($D22,'parm(hidden)'!$B$8:$C$10,2,FALSE)*($G22+$H22)</f>
        <v>6</v>
      </c>
      <c r="M22" s="166" t="str">
        <f t="shared" ca="1" si="1"/>
        <v>Y</v>
      </c>
      <c r="N22" s="166" t="str">
        <f t="shared" ca="1" si="1"/>
        <v>Y</v>
      </c>
      <c r="O22" s="166" t="str">
        <f t="shared" ca="1" si="1"/>
        <v>Y</v>
      </c>
    </row>
    <row r="23" spans="1:15" ht="14.1" customHeight="1">
      <c r="A23" s="149"/>
      <c r="B23" s="150"/>
      <c r="C23" s="151"/>
      <c r="D23" s="152"/>
      <c r="E23" s="152"/>
      <c r="F23" s="152">
        <f ca="1">SUM(F5:F22)</f>
        <v>54</v>
      </c>
      <c r="G23" s="152">
        <f ca="1">SUM(G5:G22)</f>
        <v>24</v>
      </c>
      <c r="H23" s="152">
        <f ca="1">SUM(H5:H22)</f>
        <v>0</v>
      </c>
      <c r="I23" s="152">
        <f ca="1">SUM(I5:I22)</f>
        <v>15</v>
      </c>
      <c r="J23" s="152">
        <f ca="1">SUM(J5:J22)</f>
        <v>3</v>
      </c>
      <c r="K23" s="152">
        <f ca="1">SUM(K5:K22)</f>
        <v>135</v>
      </c>
      <c r="L23" s="165">
        <f ca="1">SUM(L5:L22)</f>
        <v>57</v>
      </c>
      <c r="M23" s="153">
        <f ca="1">COUNTIFS(M$5:M$22,"&lt;&gt;",M$5:M$22,"&lt;&gt;0")</f>
        <v>18</v>
      </c>
      <c r="N23" s="153">
        <f ca="1">COUNTIFS(N$5:N$22,"&lt;&gt;",N$5:N$22,"&lt;&gt;0")</f>
        <v>18</v>
      </c>
      <c r="O23" s="153">
        <f ca="1">COUNTIFS(O$5:O$22,"&lt;&gt;",O$5:O$22,"&lt;&gt;0")</f>
        <v>18</v>
      </c>
    </row>
  </sheetData>
  <mergeCells count="5">
    <mergeCell ref="K3:L3"/>
    <mergeCell ref="D3:E4"/>
    <mergeCell ref="A3:B4"/>
    <mergeCell ref="F3:J3"/>
    <mergeCell ref="C3:C4"/>
  </mergeCells>
  <phoneticPr fontId="3" type="noConversion"/>
  <conditionalFormatting sqref="M3:O3">
    <cfRule type="cellIs" dxfId="587" priority="1" operator="equal">
      <formula>"Y"</formula>
    </cfRule>
    <cfRule type="cellIs" dxfId="586" priority="2" stopIfTrue="1" operator="equal">
      <formula>"인터뷰"</formula>
    </cfRule>
  </conditionalFormatting>
  <conditionalFormatting sqref="M5:O22">
    <cfRule type="cellIs" dxfId="585" priority="29" operator="equal">
      <formula>"N"</formula>
    </cfRule>
    <cfRule type="cellIs" dxfId="584" priority="30" operator="equal">
      <formula>"기존 취약점"</formula>
    </cfRule>
    <cfRule type="cellIs" dxfId="583" priority="31" stopIfTrue="1" operator="equal">
      <formula>"인터뷰"</formula>
    </cfRule>
    <cfRule type="cellIs" dxfId="582" priority="32" stopIfTrue="1" operator="equal">
      <formula>"N/A"</formula>
    </cfRule>
    <cfRule type="cellIs" dxfId="581" priority="33" stopIfTrue="1" operator="equal">
      <formula>"신규 취약점"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23"/>
  <sheetViews>
    <sheetView showGridLines="0" view="pageBreakPreview" zoomScaleNormal="100" zoomScaleSheetLayoutView="100" workbookViewId="0">
      <pane xSplit="4" ySplit="4" topLeftCell="E5" activePane="bottomRight" state="frozen"/>
      <selection pane="topRight"/>
      <selection pane="bottomLeft"/>
      <selection pane="bottomRight" activeCell="A2" sqref="A2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27.109375" style="21" bestFit="1" customWidth="1"/>
    <col min="4" max="4" width="5" style="21" bestFit="1" customWidth="1"/>
    <col min="5" max="5" width="7.44140625" style="21" customWidth="1"/>
    <col min="6" max="7" width="4.6640625" style="21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21" width="9.77734375" style="38" customWidth="1"/>
    <col min="22" max="22" width="8.77734375" style="17" customWidth="1"/>
    <col min="23" max="16384" width="8.77734375" style="17"/>
  </cols>
  <sheetData>
    <row r="1" spans="1:21" s="19" customFormat="1" ht="17.100000000000001" customHeight="1">
      <c r="A1" s="16" t="s">
        <v>90</v>
      </c>
      <c r="F1" s="18"/>
      <c r="G1" s="18"/>
      <c r="J1" s="23"/>
      <c r="K1" s="23"/>
      <c r="L1" s="23"/>
      <c r="M1" s="23"/>
      <c r="N1" s="23"/>
      <c r="Q1" s="14"/>
      <c r="R1" s="14"/>
      <c r="S1" s="37"/>
      <c r="T1" s="37"/>
      <c r="U1" s="37"/>
    </row>
    <row r="2" spans="1:21" s="19" customFormat="1" ht="14.1" customHeight="1" thickBo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37"/>
      <c r="T2" s="37"/>
      <c r="U2" s="37"/>
    </row>
    <row r="3" spans="1:21" s="20" customFormat="1" ht="16.350000000000001" customHeight="1" thickBot="1">
      <c r="A3" s="239" t="str">
        <f>ChkList!A4</f>
        <v>분류</v>
      </c>
      <c r="B3" s="222"/>
      <c r="C3" s="244" t="str">
        <f>ChkList!C4</f>
        <v>진단항목</v>
      </c>
      <c r="D3" s="246" t="str">
        <f>ChkList!D4</f>
        <v>중요도</v>
      </c>
      <c r="E3" s="180"/>
      <c r="F3" s="241" t="s">
        <v>91</v>
      </c>
      <c r="G3" s="208"/>
      <c r="H3" s="208"/>
      <c r="I3" s="208"/>
      <c r="J3" s="208"/>
      <c r="K3" s="241" t="s">
        <v>97</v>
      </c>
      <c r="L3" s="208"/>
      <c r="M3" s="208"/>
      <c r="N3" s="208"/>
      <c r="O3" s="241" t="s">
        <v>92</v>
      </c>
      <c r="P3" s="208"/>
      <c r="Q3" s="208"/>
      <c r="R3" s="208"/>
      <c r="S3" s="106" t="s">
        <v>93</v>
      </c>
      <c r="T3" s="116" t="s">
        <v>93</v>
      </c>
      <c r="U3" s="117" t="s">
        <v>93</v>
      </c>
    </row>
    <row r="4" spans="1:21" s="20" customFormat="1" ht="15.6" customHeight="1">
      <c r="A4" s="223"/>
      <c r="B4" s="225"/>
      <c r="C4" s="245"/>
      <c r="D4" s="247"/>
      <c r="E4" s="224"/>
      <c r="F4" s="102" t="s">
        <v>94</v>
      </c>
      <c r="G4" s="105" t="s">
        <v>69</v>
      </c>
      <c r="H4" s="104" t="s">
        <v>95</v>
      </c>
      <c r="I4" s="105" t="s">
        <v>70</v>
      </c>
      <c r="J4" s="105" t="s">
        <v>35</v>
      </c>
      <c r="K4" s="104" t="s">
        <v>79</v>
      </c>
      <c r="L4" s="114" t="s">
        <v>80</v>
      </c>
      <c r="M4" s="105" t="s">
        <v>81</v>
      </c>
      <c r="N4" s="105" t="s">
        <v>35</v>
      </c>
      <c r="O4" s="103" t="s">
        <v>98</v>
      </c>
      <c r="P4" s="105" t="s">
        <v>99</v>
      </c>
      <c r="Q4" s="105" t="s">
        <v>100</v>
      </c>
      <c r="R4" s="105" t="s">
        <v>101</v>
      </c>
      <c r="S4" s="115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P-01</v>
      </c>
      <c r="T4" s="115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P-02</v>
      </c>
      <c r="U4" s="107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P-03</v>
      </c>
    </row>
    <row r="5" spans="1:21" ht="14.1" customHeight="1">
      <c r="A5" s="108" t="str">
        <f>ChkList!A5</f>
        <v>계정 관리</v>
      </c>
      <c r="B5" s="108" t="str">
        <f>ChkList!B5</f>
        <v>PC-01</v>
      </c>
      <c r="C5" s="108" t="str">
        <f>ChkList!C5</f>
        <v>비밀번호의 주기적 변경</v>
      </c>
      <c r="D5" s="30" t="str">
        <f>ChkList!$D5</f>
        <v>H</v>
      </c>
      <c r="E5" s="30">
        <f>ChkList!$E5</f>
        <v>3</v>
      </c>
      <c r="F5" s="22">
        <f ca="1">COUNTA($S5:INDIRECT(ADDRESS(ROW(),MATCH("",$4:$4,-1),1,1)))</f>
        <v>3</v>
      </c>
      <c r="G5" s="22">
        <f ca="1">'취약점 진단 항목별 통계'!G5</f>
        <v>3</v>
      </c>
      <c r="H5" s="22">
        <f ca="1">'취약점 진단 항목별 통계'!H5</f>
        <v>0</v>
      </c>
      <c r="I5" s="22">
        <f ca="1">'취약점 진단 항목별 통계'!I5</f>
        <v>0</v>
      </c>
      <c r="J5" s="22">
        <f ca="1">'취약점 진단 항목별 통계'!J5</f>
        <v>0</v>
      </c>
      <c r="K5" s="22">
        <f ca="1">COUNTIF($S5:INDIRECT(ADDRESS(ROW(),MATCH("",$4:$4,-1),1,1)),"조치")</f>
        <v>0</v>
      </c>
      <c r="L5" s="22">
        <f ca="1">COUNTIF($S5:INDIRECT(ADDRESS(ROW(),MATCH("",$4:$4,-1),1,1)),"미조치")</f>
        <v>0</v>
      </c>
      <c r="M5" s="22">
        <f ca="1">COUNTIF($S5:INDIRECT(ADDRESS(ROW(),MATCH("",$4:$4,-1),1,1)),"위험수용")</f>
        <v>0</v>
      </c>
      <c r="N5" s="22">
        <f ca="1">COUNTIF($S5:INDIRECT(ADDRESS(ROW(),MATCH("",$4:$4,-1),1,1)),"N/A")</f>
        <v>0</v>
      </c>
      <c r="O5" s="22">
        <f ca="1">VLOOKUP($D5,'parm(hidden)'!$B$8:$C$10,2,FALSE)*($F5-$J5)</f>
        <v>9</v>
      </c>
      <c r="P5" s="22">
        <f ca="1">VLOOKUP($D5,'parm(hidden)'!$B$8:$C$10,2,FALSE)*($F5-$N5)</f>
        <v>9</v>
      </c>
      <c r="Q5" s="35">
        <f ca="1">VLOOKUP($D5,'parm(hidden)'!$B$8:$C$10,2,FALSE)*($G5+$H5)</f>
        <v>9</v>
      </c>
      <c r="R5" s="22">
        <f ca="1">VLOOKUP($D5,'parm(hidden)'!$B$8:$C$10,2,FALSE)*($G5+$H5+$K5)</f>
        <v>9</v>
      </c>
      <c r="S5" s="166" t="str">
        <f ca="1">HYPERLINK("[" &amp; MID(CELL("filename"),SEARCH("[",CELL("filename"))+1, SEARCH("]",CELL("filename"))-SEARCH("[",CELL("filename"))-1) &amp; "]" &amp; ADDRESS(ROW()+15,11,1,TRUE,S$4),INDIRECT(ADDRESS(ROW()+15,11,1,TRUE,S$4)))</f>
        <v>Y</v>
      </c>
      <c r="T5" s="166" t="str">
        <f t="shared" ref="T5:U20" ca="1" si="0">HYPERLINK("[" &amp; MID(CELL("filename"),SEARCH("[",CELL("filename"))+1, SEARCH("]",CELL("filename"))-SEARCH("[",CELL("filename"))-1) &amp; "]" &amp; ADDRESS(ROW()+15,11,1,TRUE,T$4),INDIRECT(ADDRESS(ROW()+15,11,1,TRUE,T$4)))</f>
        <v>Y</v>
      </c>
      <c r="U5" s="166" t="str">
        <f t="shared" ca="1" si="0"/>
        <v>Y</v>
      </c>
    </row>
    <row r="6" spans="1:21" ht="14.1" customHeight="1">
      <c r="A6" s="108" t="str">
        <f>ChkList!A6</f>
        <v>계정 관리</v>
      </c>
      <c r="B6" s="108" t="str">
        <f>ChkList!B6</f>
        <v>PC-02</v>
      </c>
      <c r="C6" s="108" t="str">
        <f>ChkList!C6</f>
        <v>비밀번호 관리정책 설정</v>
      </c>
      <c r="D6" s="30" t="str">
        <f>ChkList!$D6</f>
        <v>H</v>
      </c>
      <c r="E6" s="30">
        <f>ChkList!$E6</f>
        <v>3</v>
      </c>
      <c r="F6" s="22">
        <f ca="1">COUNTA($S6:INDIRECT(ADDRESS(ROW(),MATCH("",$4:$4,-1),1,1)))</f>
        <v>3</v>
      </c>
      <c r="G6" s="22">
        <f ca="1">'취약점 진단 항목별 통계'!G6</f>
        <v>0</v>
      </c>
      <c r="H6" s="22">
        <f ca="1">'취약점 진단 항목별 통계'!H6</f>
        <v>0</v>
      </c>
      <c r="I6" s="22">
        <f ca="1">'취약점 진단 항목별 통계'!I6</f>
        <v>0</v>
      </c>
      <c r="J6" s="22">
        <f ca="1">'취약점 진단 항목별 통계'!J6</f>
        <v>0</v>
      </c>
      <c r="K6" s="22">
        <f ca="1">COUNTIF($S6:INDIRECT(ADDRESS(ROW(),MATCH("",$4:$4,-1),1,1)),"조치")</f>
        <v>0</v>
      </c>
      <c r="L6" s="22">
        <f ca="1">COUNTIF($S6:INDIRECT(ADDRESS(ROW(),MATCH("",$4:$4,-1),1,1)),"미조치")</f>
        <v>3</v>
      </c>
      <c r="M6" s="22">
        <f ca="1">COUNTIF($S6:INDIRECT(ADDRESS(ROW(),MATCH("",$4:$4,-1),1,1)),"위험수용")</f>
        <v>0</v>
      </c>
      <c r="N6" s="22">
        <f ca="1">COUNTIF($S6:INDIRECT(ADDRESS(ROW(),MATCH("",$4:$4,-1),1,1)),"N/A")</f>
        <v>0</v>
      </c>
      <c r="O6" s="22">
        <f ca="1">VLOOKUP($D6,'parm(hidden)'!$B$8:$C$10,2,FALSE)*($F6-$J6)</f>
        <v>9</v>
      </c>
      <c r="P6" s="22">
        <f ca="1">VLOOKUP($D6,'parm(hidden)'!$B$8:$C$10,2,FALSE)*($F6-$N6)</f>
        <v>9</v>
      </c>
      <c r="Q6" s="35">
        <f ca="1">VLOOKUP($D6,'parm(hidden)'!$B$8:$C$10,2,FALSE)*($G6+$H6)</f>
        <v>0</v>
      </c>
      <c r="R6" s="22">
        <f ca="1">VLOOKUP($D6,'parm(hidden)'!$B$8:$C$10,2,FALSE)*($G6+$H6+$K6)</f>
        <v>0</v>
      </c>
      <c r="S6" s="166" t="str">
        <f t="shared" ref="S6:U22" ca="1" si="1">HYPERLINK("[" &amp; MID(CELL("filename"),SEARCH("[",CELL("filename"))+1, SEARCH("]",CELL("filename"))-SEARCH("[",CELL("filename"))-1) &amp; "]" &amp; ADDRESS(ROW()+15,11,1,TRUE,S$4),INDIRECT(ADDRESS(ROW()+15,11,1,TRUE,S$4)))</f>
        <v>미조치</v>
      </c>
      <c r="T6" s="166" t="str">
        <f t="shared" ca="1" si="0"/>
        <v>미조치</v>
      </c>
      <c r="U6" s="166" t="str">
        <f t="shared" ca="1" si="0"/>
        <v>미조치</v>
      </c>
    </row>
    <row r="7" spans="1:21" ht="14.1" customHeight="1">
      <c r="A7" s="108" t="str">
        <f>ChkList!A7</f>
        <v>계정관리</v>
      </c>
      <c r="B7" s="108" t="str">
        <f>ChkList!B7</f>
        <v>PC-03</v>
      </c>
      <c r="C7" s="108" t="str">
        <f>ChkList!C7</f>
        <v>복구 콘솔에서 자동 로그온을 금지하도록 설정</v>
      </c>
      <c r="D7" s="30" t="str">
        <f>ChkList!$D7</f>
        <v>M</v>
      </c>
      <c r="E7" s="30">
        <f>ChkList!$E7</f>
        <v>2</v>
      </c>
      <c r="F7" s="22">
        <f ca="1">COUNTA($S7:INDIRECT(ADDRESS(ROW(),MATCH("",$4:$4,-1),1,1)))</f>
        <v>3</v>
      </c>
      <c r="G7" s="22">
        <f ca="1">'취약점 진단 항목별 통계'!G7</f>
        <v>3</v>
      </c>
      <c r="H7" s="22">
        <f ca="1">'취약점 진단 항목별 통계'!H7</f>
        <v>0</v>
      </c>
      <c r="I7" s="22">
        <f ca="1">'취약점 진단 항목별 통계'!I7</f>
        <v>0</v>
      </c>
      <c r="J7" s="22">
        <f ca="1">'취약점 진단 항목별 통계'!J7</f>
        <v>0</v>
      </c>
      <c r="K7" s="22">
        <f ca="1">COUNTIF($S7:INDIRECT(ADDRESS(ROW(),MATCH("",$4:$4,-1),1,1)),"조치")</f>
        <v>0</v>
      </c>
      <c r="L7" s="22">
        <f ca="1">COUNTIF($S7:INDIRECT(ADDRESS(ROW(),MATCH("",$4:$4,-1),1,1)),"미조치")</f>
        <v>0</v>
      </c>
      <c r="M7" s="22">
        <f ca="1">COUNTIF($S7:INDIRECT(ADDRESS(ROW(),MATCH("",$4:$4,-1),1,1)),"위험수용")</f>
        <v>0</v>
      </c>
      <c r="N7" s="22">
        <f ca="1">COUNTIF($S7:INDIRECT(ADDRESS(ROW(),MATCH("",$4:$4,-1),1,1)),"N/A")</f>
        <v>0</v>
      </c>
      <c r="O7" s="22">
        <f ca="1">VLOOKUP($D7,'parm(hidden)'!$B$8:$C$10,2,FALSE)*($F7-$J7)</f>
        <v>6</v>
      </c>
      <c r="P7" s="22">
        <f ca="1">VLOOKUP($D7,'parm(hidden)'!$B$8:$C$10,2,FALSE)*($F7-$N7)</f>
        <v>6</v>
      </c>
      <c r="Q7" s="35">
        <f ca="1">VLOOKUP($D7,'parm(hidden)'!$B$8:$C$10,2,FALSE)*($G7+$H7)</f>
        <v>6</v>
      </c>
      <c r="R7" s="22">
        <f ca="1">VLOOKUP($D7,'parm(hidden)'!$B$8:$C$10,2,FALSE)*($G7+$H7+$K7)</f>
        <v>6</v>
      </c>
      <c r="S7" s="166" t="str">
        <f t="shared" ca="1" si="1"/>
        <v>Y</v>
      </c>
      <c r="T7" s="166" t="str">
        <f t="shared" ca="1" si="0"/>
        <v>Y</v>
      </c>
      <c r="U7" s="166" t="str">
        <f t="shared" ca="1" si="0"/>
        <v>Y</v>
      </c>
    </row>
    <row r="8" spans="1:21" ht="14.1" customHeight="1">
      <c r="A8" s="108" t="str">
        <f>ChkList!A8</f>
        <v>서비스 관리</v>
      </c>
      <c r="B8" s="108" t="str">
        <f>ChkList!B8</f>
        <v>PC-04</v>
      </c>
      <c r="C8" s="108" t="str">
        <f>ChkList!C8</f>
        <v>공유 폴더 제거</v>
      </c>
      <c r="D8" s="30" t="str">
        <f>ChkList!$D8</f>
        <v>H</v>
      </c>
      <c r="E8" s="30">
        <f>ChkList!$E8</f>
        <v>3</v>
      </c>
      <c r="F8" s="22">
        <f ca="1">COUNTA($S8:INDIRECT(ADDRESS(ROW(),MATCH("",$4:$4,-1),1,1)))</f>
        <v>3</v>
      </c>
      <c r="G8" s="22">
        <f ca="1">'취약점 진단 항목별 통계'!G8</f>
        <v>0</v>
      </c>
      <c r="H8" s="22">
        <f ca="1">'취약점 진단 항목별 통계'!H8</f>
        <v>0</v>
      </c>
      <c r="I8" s="22">
        <f ca="1">'취약점 진단 항목별 통계'!I8</f>
        <v>3</v>
      </c>
      <c r="J8" s="22">
        <f ca="1">'취약점 진단 항목별 통계'!J8</f>
        <v>0</v>
      </c>
      <c r="K8" s="22">
        <f ca="1">COUNTIF($S8:INDIRECT(ADDRESS(ROW(),MATCH("",$4:$4,-1),1,1)),"조치")</f>
        <v>3</v>
      </c>
      <c r="L8" s="22">
        <f ca="1">COUNTIF($S8:INDIRECT(ADDRESS(ROW(),MATCH("",$4:$4,-1),1,1)),"미조치")</f>
        <v>0</v>
      </c>
      <c r="M8" s="22">
        <f ca="1">COUNTIF($S8:INDIRECT(ADDRESS(ROW(),MATCH("",$4:$4,-1),1,1)),"위험수용")</f>
        <v>0</v>
      </c>
      <c r="N8" s="22">
        <f ca="1">COUNTIF($S8:INDIRECT(ADDRESS(ROW(),MATCH("",$4:$4,-1),1,1)),"N/A")</f>
        <v>0</v>
      </c>
      <c r="O8" s="22">
        <f ca="1">VLOOKUP($D8,'parm(hidden)'!$B$8:$C$10,2,FALSE)*($F8-$J8)</f>
        <v>9</v>
      </c>
      <c r="P8" s="22">
        <f ca="1">VLOOKUP($D8,'parm(hidden)'!$B$8:$C$10,2,FALSE)*($F8-$N8)</f>
        <v>9</v>
      </c>
      <c r="Q8" s="35">
        <f ca="1">VLOOKUP($D8,'parm(hidden)'!$B$8:$C$10,2,FALSE)*($G8+$H8)</f>
        <v>0</v>
      </c>
      <c r="R8" s="22">
        <f ca="1">VLOOKUP($D8,'parm(hidden)'!$B$8:$C$10,2,FALSE)*($G8+$H8+$K8)</f>
        <v>9</v>
      </c>
      <c r="S8" s="166" t="str">
        <f t="shared" ca="1" si="1"/>
        <v>조치</v>
      </c>
      <c r="T8" s="166" t="str">
        <f t="shared" ca="1" si="0"/>
        <v>조치</v>
      </c>
      <c r="U8" s="166" t="str">
        <f t="shared" ca="1" si="0"/>
        <v>조치</v>
      </c>
    </row>
    <row r="9" spans="1:21" ht="14.1" customHeight="1">
      <c r="A9" s="108" t="str">
        <f>ChkList!A9</f>
        <v>서비스 관리</v>
      </c>
      <c r="B9" s="108" t="str">
        <f>ChkList!B9</f>
        <v>PC-05</v>
      </c>
      <c r="C9" s="108" t="str">
        <f>ChkList!C9</f>
        <v>항목의 불필요한 서비스 제거</v>
      </c>
      <c r="D9" s="30" t="str">
        <f>ChkList!$D9</f>
        <v>H</v>
      </c>
      <c r="E9" s="30">
        <f>ChkList!$E9</f>
        <v>3</v>
      </c>
      <c r="F9" s="22">
        <f ca="1">COUNTA($S9:INDIRECT(ADDRESS(ROW(),MATCH("",$4:$4,-1),1,1)))</f>
        <v>3</v>
      </c>
      <c r="G9" s="22">
        <f ca="1">'취약점 진단 항목별 통계'!G9</f>
        <v>0</v>
      </c>
      <c r="H9" s="22">
        <f ca="1">'취약점 진단 항목별 통계'!H9</f>
        <v>0</v>
      </c>
      <c r="I9" s="22">
        <f ca="1">'취약점 진단 항목별 통계'!I9</f>
        <v>3</v>
      </c>
      <c r="J9" s="22">
        <f ca="1">'취약점 진단 항목별 통계'!J9</f>
        <v>0</v>
      </c>
      <c r="K9" s="22">
        <f ca="1">COUNTIF($S9:INDIRECT(ADDRESS(ROW(),MATCH("",$4:$4,-1),1,1)),"조치")</f>
        <v>3</v>
      </c>
      <c r="L9" s="22">
        <f ca="1">COUNTIF($S9:INDIRECT(ADDRESS(ROW(),MATCH("",$4:$4,-1),1,1)),"미조치")</f>
        <v>0</v>
      </c>
      <c r="M9" s="22">
        <f ca="1">COUNTIF($S9:INDIRECT(ADDRESS(ROW(),MATCH("",$4:$4,-1),1,1)),"위험수용")</f>
        <v>0</v>
      </c>
      <c r="N9" s="22">
        <f ca="1">COUNTIF($S9:INDIRECT(ADDRESS(ROW(),MATCH("",$4:$4,-1),1,1)),"N/A")</f>
        <v>0</v>
      </c>
      <c r="O9" s="22">
        <f ca="1">VLOOKUP($D9,'parm(hidden)'!$B$8:$C$10,2,FALSE)*($F9-$J9)</f>
        <v>9</v>
      </c>
      <c r="P9" s="22">
        <f ca="1">VLOOKUP($D9,'parm(hidden)'!$B$8:$C$10,2,FALSE)*($F9-$N9)</f>
        <v>9</v>
      </c>
      <c r="Q9" s="35">
        <f ca="1">VLOOKUP($D9,'parm(hidden)'!$B$8:$C$10,2,FALSE)*($G9+$H9)</f>
        <v>0</v>
      </c>
      <c r="R9" s="22">
        <f ca="1">VLOOKUP($D9,'parm(hidden)'!$B$8:$C$10,2,FALSE)*($G9+$H9+$K9)</f>
        <v>9</v>
      </c>
      <c r="S9" s="166" t="str">
        <f t="shared" ca="1" si="1"/>
        <v>조치</v>
      </c>
      <c r="T9" s="166" t="str">
        <f t="shared" ca="1" si="0"/>
        <v>조치</v>
      </c>
      <c r="U9" s="166" t="str">
        <f t="shared" ca="1" si="0"/>
        <v>조치</v>
      </c>
    </row>
    <row r="10" spans="1:21" ht="14.1" customHeight="1">
      <c r="A10" s="108" t="str">
        <f>ChkList!A10</f>
        <v>서비스 관리</v>
      </c>
      <c r="B10" s="108" t="str">
        <f>ChkList!B10</f>
        <v>PC-06</v>
      </c>
      <c r="C10" s="108" t="str">
        <f>ChkList!C10</f>
        <v>비인가 상용 메신저 사용 금지</v>
      </c>
      <c r="D10" s="30" t="str">
        <f>ChkList!$D10</f>
        <v>H</v>
      </c>
      <c r="E10" s="30">
        <f>ChkList!$E10</f>
        <v>3</v>
      </c>
      <c r="F10" s="22">
        <f ca="1">COUNTA($S10:INDIRECT(ADDRESS(ROW(),MATCH("",$4:$4,-1),1,1)))</f>
        <v>3</v>
      </c>
      <c r="G10" s="22">
        <f ca="1">'취약점 진단 항목별 통계'!G10</f>
        <v>3</v>
      </c>
      <c r="H10" s="22">
        <f ca="1">'취약점 진단 항목별 통계'!H10</f>
        <v>0</v>
      </c>
      <c r="I10" s="22">
        <f ca="1">'취약점 진단 항목별 통계'!I10</f>
        <v>0</v>
      </c>
      <c r="J10" s="22">
        <f ca="1">'취약점 진단 항목별 통계'!J10</f>
        <v>0</v>
      </c>
      <c r="K10" s="22">
        <f ca="1">COUNTIF($S10:INDIRECT(ADDRESS(ROW(),MATCH("",$4:$4,-1),1,1)),"조치")</f>
        <v>0</v>
      </c>
      <c r="L10" s="22">
        <f ca="1">COUNTIF($S10:INDIRECT(ADDRESS(ROW(),MATCH("",$4:$4,-1),1,1)),"미조치")</f>
        <v>0</v>
      </c>
      <c r="M10" s="22">
        <f ca="1">COUNTIF($S10:INDIRECT(ADDRESS(ROW(),MATCH("",$4:$4,-1),1,1)),"위험수용")</f>
        <v>0</v>
      </c>
      <c r="N10" s="22">
        <f ca="1">COUNTIF($S10:INDIRECT(ADDRESS(ROW(),MATCH("",$4:$4,-1),1,1)),"N/A")</f>
        <v>0</v>
      </c>
      <c r="O10" s="22">
        <f ca="1">VLOOKUP($D10,'parm(hidden)'!$B$8:$C$10,2,FALSE)*($F10-$J10)</f>
        <v>9</v>
      </c>
      <c r="P10" s="22">
        <f ca="1">VLOOKUP($D10,'parm(hidden)'!$B$8:$C$10,2,FALSE)*($F10-$N10)</f>
        <v>9</v>
      </c>
      <c r="Q10" s="35">
        <f ca="1">VLOOKUP($D10,'parm(hidden)'!$B$8:$C$10,2,FALSE)*($G10+$H10)</f>
        <v>9</v>
      </c>
      <c r="R10" s="22">
        <f ca="1">VLOOKUP($D10,'parm(hidden)'!$B$8:$C$10,2,FALSE)*($G10+$H10+$K10)</f>
        <v>9</v>
      </c>
      <c r="S10" s="166" t="str">
        <f t="shared" ca="1" si="1"/>
        <v>Y</v>
      </c>
      <c r="T10" s="166" t="str">
        <f t="shared" ca="1" si="0"/>
        <v>Y</v>
      </c>
      <c r="U10" s="166" t="str">
        <f t="shared" ca="1" si="0"/>
        <v>Y</v>
      </c>
    </row>
    <row r="11" spans="1:21" ht="14.1" customHeight="1">
      <c r="A11" s="108" t="str">
        <f>ChkList!A11</f>
        <v>서비스 관리</v>
      </c>
      <c r="B11" s="108" t="str">
        <f>ChkList!B11</f>
        <v>PC-07</v>
      </c>
      <c r="C11" s="108" t="str">
        <f>ChkList!C11</f>
        <v>파일 시스템이 NTFS 포맷으로 설정</v>
      </c>
      <c r="D11" s="30" t="str">
        <f>ChkList!$D11</f>
        <v>M</v>
      </c>
      <c r="E11" s="30">
        <f>ChkList!$E11</f>
        <v>2</v>
      </c>
      <c r="F11" s="22">
        <f ca="1">COUNTA($S11:INDIRECT(ADDRESS(ROW(),MATCH("",$4:$4,-1),1,1)))</f>
        <v>3</v>
      </c>
      <c r="G11" s="22">
        <f ca="1">'취약점 진단 항목별 통계'!G11</f>
        <v>0</v>
      </c>
      <c r="H11" s="22">
        <f ca="1">'취약점 진단 항목별 통계'!H11</f>
        <v>0</v>
      </c>
      <c r="I11" s="22">
        <f ca="1">'취약점 진단 항목별 통계'!I11</f>
        <v>0</v>
      </c>
      <c r="J11" s="22">
        <f ca="1">'취약점 진단 항목별 통계'!J11</f>
        <v>0</v>
      </c>
      <c r="K11" s="22">
        <f ca="1">COUNTIF($S11:INDIRECT(ADDRESS(ROW(),MATCH("",$4:$4,-1),1,1)),"조치")</f>
        <v>0</v>
      </c>
      <c r="L11" s="22">
        <f ca="1">COUNTIF($S11:INDIRECT(ADDRESS(ROW(),MATCH("",$4:$4,-1),1,1)),"미조치")</f>
        <v>3</v>
      </c>
      <c r="M11" s="22">
        <f ca="1">COUNTIF($S11:INDIRECT(ADDRESS(ROW(),MATCH("",$4:$4,-1),1,1)),"위험수용")</f>
        <v>0</v>
      </c>
      <c r="N11" s="22">
        <f ca="1">COUNTIF($S11:INDIRECT(ADDRESS(ROW(),MATCH("",$4:$4,-1),1,1)),"N/A")</f>
        <v>0</v>
      </c>
      <c r="O11" s="22">
        <f ca="1">VLOOKUP($D11,'parm(hidden)'!$B$8:$C$10,2,FALSE)*($F11-$J11)</f>
        <v>6</v>
      </c>
      <c r="P11" s="22">
        <f ca="1">VLOOKUP($D11,'parm(hidden)'!$B$8:$C$10,2,FALSE)*($F11-$N11)</f>
        <v>6</v>
      </c>
      <c r="Q11" s="35">
        <f ca="1">VLOOKUP($D11,'parm(hidden)'!$B$8:$C$10,2,FALSE)*($G11+$H11)</f>
        <v>0</v>
      </c>
      <c r="R11" s="22">
        <f ca="1">VLOOKUP($D11,'parm(hidden)'!$B$8:$C$10,2,FALSE)*($G11+$H11+$K11)</f>
        <v>0</v>
      </c>
      <c r="S11" s="166" t="str">
        <f t="shared" ca="1" si="1"/>
        <v>미조치</v>
      </c>
      <c r="T11" s="166" t="str">
        <f t="shared" ca="1" si="0"/>
        <v>미조치</v>
      </c>
      <c r="U11" s="166" t="str">
        <f t="shared" ca="1" si="0"/>
        <v>미조치</v>
      </c>
    </row>
    <row r="12" spans="1:21" ht="14.1" customHeight="1">
      <c r="A12" s="108" t="str">
        <f>ChkList!A12</f>
        <v>서비스 관리</v>
      </c>
      <c r="B12" s="108" t="str">
        <f>ChkList!B12</f>
        <v>PC-08</v>
      </c>
      <c r="C12" s="108">
        <f>ChkList!C12</f>
        <v>0</v>
      </c>
      <c r="D12" s="30" t="str">
        <f>ChkList!$D12</f>
        <v>M</v>
      </c>
      <c r="E12" s="30">
        <f>ChkList!$E12</f>
        <v>2</v>
      </c>
      <c r="F12" s="22">
        <f ca="1">COUNTA($S12:INDIRECT(ADDRESS(ROW(),MATCH("",$4:$4,-1),1,1)))</f>
        <v>3</v>
      </c>
      <c r="G12" s="22">
        <f ca="1">'취약점 진단 항목별 통계'!G12</f>
        <v>3</v>
      </c>
      <c r="H12" s="22">
        <f ca="1">'취약점 진단 항목별 통계'!H12</f>
        <v>0</v>
      </c>
      <c r="I12" s="22">
        <f ca="1">'취약점 진단 항목별 통계'!I12</f>
        <v>0</v>
      </c>
      <c r="J12" s="22">
        <f ca="1">'취약점 진단 항목별 통계'!J12</f>
        <v>0</v>
      </c>
      <c r="K12" s="22">
        <f ca="1">COUNTIF($S12:INDIRECT(ADDRESS(ROW(),MATCH("",$4:$4,-1),1,1)),"조치")</f>
        <v>0</v>
      </c>
      <c r="L12" s="22">
        <f ca="1">COUNTIF($S12:INDIRECT(ADDRESS(ROW(),MATCH("",$4:$4,-1),1,1)),"미조치")</f>
        <v>0</v>
      </c>
      <c r="M12" s="22">
        <f ca="1">COUNTIF($S12:INDIRECT(ADDRESS(ROW(),MATCH("",$4:$4,-1),1,1)),"위험수용")</f>
        <v>0</v>
      </c>
      <c r="N12" s="22">
        <f ca="1">COUNTIF($S12:INDIRECT(ADDRESS(ROW(),MATCH("",$4:$4,-1),1,1)),"N/A")</f>
        <v>0</v>
      </c>
      <c r="O12" s="22">
        <f ca="1">VLOOKUP($D12,'parm(hidden)'!$B$8:$C$10,2,FALSE)*($F12-$J12)</f>
        <v>6</v>
      </c>
      <c r="P12" s="22">
        <f ca="1">VLOOKUP($D12,'parm(hidden)'!$B$8:$C$10,2,FALSE)*($F12-$N12)</f>
        <v>6</v>
      </c>
      <c r="Q12" s="35">
        <f ca="1">VLOOKUP($D12,'parm(hidden)'!$B$8:$C$10,2,FALSE)*($G12+$H12)</f>
        <v>6</v>
      </c>
      <c r="R12" s="22">
        <f ca="1">VLOOKUP($D12,'parm(hidden)'!$B$8:$C$10,2,FALSE)*($G12+$H12+$K12)</f>
        <v>6</v>
      </c>
      <c r="S12" s="166" t="str">
        <f t="shared" ca="1" si="1"/>
        <v>Y</v>
      </c>
      <c r="T12" s="166" t="str">
        <f t="shared" ca="1" si="0"/>
        <v>Y</v>
      </c>
      <c r="U12" s="166" t="str">
        <f t="shared" ca="1" si="0"/>
        <v>Y</v>
      </c>
    </row>
    <row r="13" spans="1:21" ht="14.1" customHeight="1">
      <c r="A13" s="108" t="str">
        <f>ChkList!A13</f>
        <v>서비스 관리</v>
      </c>
      <c r="B13" s="108" t="str">
        <f>ChkList!B13</f>
        <v>PC-09</v>
      </c>
      <c r="C13" s="108" t="str">
        <f>ChkList!C13</f>
        <v>브라우저 종료 시 임시 인터넷 파일 폴더의 내용을 삭제하도록 설정</v>
      </c>
      <c r="D13" s="30" t="str">
        <f>ChkList!$D13</f>
        <v>L</v>
      </c>
      <c r="E13" s="30">
        <f>ChkList!$E13</f>
        <v>1</v>
      </c>
      <c r="F13" s="22">
        <f ca="1">COUNTA($S13:INDIRECT(ADDRESS(ROW(),MATCH("",$4:$4,-1),1,1)))</f>
        <v>3</v>
      </c>
      <c r="G13" s="22">
        <f ca="1">'취약점 진단 항목별 통계'!G13</f>
        <v>3</v>
      </c>
      <c r="H13" s="22">
        <f ca="1">'취약점 진단 항목별 통계'!H13</f>
        <v>0</v>
      </c>
      <c r="I13" s="22">
        <f ca="1">'취약점 진단 항목별 통계'!I13</f>
        <v>0</v>
      </c>
      <c r="J13" s="22">
        <f ca="1">'취약점 진단 항목별 통계'!J13</f>
        <v>0</v>
      </c>
      <c r="K13" s="22">
        <f ca="1">COUNTIF($S13:INDIRECT(ADDRESS(ROW(),MATCH("",$4:$4,-1),1,1)),"조치")</f>
        <v>0</v>
      </c>
      <c r="L13" s="22">
        <f ca="1">COUNTIF($S13:INDIRECT(ADDRESS(ROW(),MATCH("",$4:$4,-1),1,1)),"미조치")</f>
        <v>0</v>
      </c>
      <c r="M13" s="22">
        <f ca="1">COUNTIF($S13:INDIRECT(ADDRESS(ROW(),MATCH("",$4:$4,-1),1,1)),"위험수용")</f>
        <v>0</v>
      </c>
      <c r="N13" s="22">
        <f ca="1">COUNTIF($S13:INDIRECT(ADDRESS(ROW(),MATCH("",$4:$4,-1),1,1)),"N/A")</f>
        <v>0</v>
      </c>
      <c r="O13" s="22">
        <f ca="1">VLOOKUP($D13,'parm(hidden)'!$B$8:$C$10,2,FALSE)*($F13-$J13)</f>
        <v>3</v>
      </c>
      <c r="P13" s="22">
        <f ca="1">VLOOKUP($D13,'parm(hidden)'!$B$8:$C$10,2,FALSE)*($F13-$N13)</f>
        <v>3</v>
      </c>
      <c r="Q13" s="35">
        <f ca="1">VLOOKUP($D13,'parm(hidden)'!$B$8:$C$10,2,FALSE)*($G13+$H13)</f>
        <v>3</v>
      </c>
      <c r="R13" s="22">
        <f ca="1">VLOOKUP($D13,'parm(hidden)'!$B$8:$C$10,2,FALSE)*($G13+$H13+$K13)</f>
        <v>3</v>
      </c>
      <c r="S13" s="166" t="str">
        <f t="shared" ca="1" si="1"/>
        <v>Y</v>
      </c>
      <c r="T13" s="166" t="str">
        <f t="shared" ca="1" si="0"/>
        <v>Y</v>
      </c>
      <c r="U13" s="166" t="str">
        <f t="shared" ca="1" si="0"/>
        <v>Y</v>
      </c>
    </row>
    <row r="14" spans="1:21" ht="14.1" customHeight="1">
      <c r="A14" s="108" t="str">
        <f>ChkList!A14</f>
        <v>패치 관리</v>
      </c>
      <c r="B14" s="108" t="str">
        <f>ChkList!B14</f>
        <v>PC-10</v>
      </c>
      <c r="C14" s="108" t="str">
        <f>ChkList!C14</f>
        <v>주기적 보안 패치 및 벤더 권고사항 적용</v>
      </c>
      <c r="D14" s="30" t="str">
        <f>ChkList!$D14</f>
        <v>H</v>
      </c>
      <c r="E14" s="30">
        <f>ChkList!$E14</f>
        <v>3</v>
      </c>
      <c r="F14" s="22">
        <f ca="1">COUNTA($S14:INDIRECT(ADDRESS(ROW(),MATCH("",$4:$4,-1),1,1)))</f>
        <v>3</v>
      </c>
      <c r="G14" s="22">
        <f ca="1">'취약점 진단 항목별 통계'!G14</f>
        <v>0</v>
      </c>
      <c r="H14" s="22">
        <f ca="1">'취약점 진단 항목별 통계'!H14</f>
        <v>0</v>
      </c>
      <c r="I14" s="22">
        <f ca="1">'취약점 진단 항목별 통계'!I14</f>
        <v>0</v>
      </c>
      <c r="J14" s="22">
        <f ca="1">'취약점 진단 항목별 통계'!J14</f>
        <v>0</v>
      </c>
      <c r="K14" s="22">
        <f ca="1">COUNTIF($S14:INDIRECT(ADDRESS(ROW(),MATCH("",$4:$4,-1),1,1)),"조치")</f>
        <v>0</v>
      </c>
      <c r="L14" s="22">
        <f ca="1">COUNTIF($S14:INDIRECT(ADDRESS(ROW(),MATCH("",$4:$4,-1),1,1)),"미조치")</f>
        <v>3</v>
      </c>
      <c r="M14" s="22">
        <f ca="1">COUNTIF($S14:INDIRECT(ADDRESS(ROW(),MATCH("",$4:$4,-1),1,1)),"위험수용")</f>
        <v>0</v>
      </c>
      <c r="N14" s="22">
        <f ca="1">COUNTIF($S14:INDIRECT(ADDRESS(ROW(),MATCH("",$4:$4,-1),1,1)),"N/A")</f>
        <v>0</v>
      </c>
      <c r="O14" s="22">
        <f ca="1">VLOOKUP($D14,'parm(hidden)'!$B$8:$C$10,2,FALSE)*($F14-$J14)</f>
        <v>9</v>
      </c>
      <c r="P14" s="22">
        <f ca="1">VLOOKUP($D14,'parm(hidden)'!$B$8:$C$10,2,FALSE)*($F14-$N14)</f>
        <v>9</v>
      </c>
      <c r="Q14" s="35">
        <f ca="1">VLOOKUP($D14,'parm(hidden)'!$B$8:$C$10,2,FALSE)*($G14+$H14)</f>
        <v>0</v>
      </c>
      <c r="R14" s="22">
        <f ca="1">VLOOKUP($D14,'parm(hidden)'!$B$8:$C$10,2,FALSE)*($G14+$H14+$K14)</f>
        <v>0</v>
      </c>
      <c r="S14" s="166" t="str">
        <f t="shared" ca="1" si="1"/>
        <v>미조치</v>
      </c>
      <c r="T14" s="166" t="str">
        <f t="shared" ca="1" si="0"/>
        <v>미조치</v>
      </c>
      <c r="U14" s="166" t="str">
        <f t="shared" ca="1" si="0"/>
        <v>미조치</v>
      </c>
    </row>
    <row r="15" spans="1:21" ht="14.1" customHeight="1">
      <c r="A15" s="108" t="str">
        <f>ChkList!A15</f>
        <v>패치 관리</v>
      </c>
      <c r="B15" s="108" t="str">
        <f>ChkList!B15</f>
        <v>PC-11</v>
      </c>
      <c r="C15" s="108" t="str">
        <f>ChkList!C15</f>
        <v>지원이 종료되지 않은 Windows OS Build 적용</v>
      </c>
      <c r="D15" s="30" t="str">
        <f>ChkList!$D15</f>
        <v>H</v>
      </c>
      <c r="E15" s="30">
        <f>ChkList!$E15</f>
        <v>3</v>
      </c>
      <c r="F15" s="22">
        <f ca="1">COUNTA($S15:INDIRECT(ADDRESS(ROW(),MATCH("",$4:$4,-1),1,1)))</f>
        <v>3</v>
      </c>
      <c r="G15" s="22">
        <f ca="1">'취약점 진단 항목별 통계'!G15</f>
        <v>0</v>
      </c>
      <c r="H15" s="22">
        <f ca="1">'취약점 진단 항목별 통계'!H15</f>
        <v>0</v>
      </c>
      <c r="I15" s="22">
        <f ca="1">'취약점 진단 항목별 통계'!I15</f>
        <v>0</v>
      </c>
      <c r="J15" s="22">
        <f ca="1">'취약점 진단 항목별 통계'!J15</f>
        <v>0</v>
      </c>
      <c r="K15" s="22">
        <f ca="1">COUNTIF($S15:INDIRECT(ADDRESS(ROW(),MATCH("",$4:$4,-1),1,1)),"조치")</f>
        <v>0</v>
      </c>
      <c r="L15" s="22">
        <f ca="1">COUNTIF($S15:INDIRECT(ADDRESS(ROW(),MATCH("",$4:$4,-1),1,1)),"미조치")</f>
        <v>3</v>
      </c>
      <c r="M15" s="22">
        <f ca="1">COUNTIF($S15:INDIRECT(ADDRESS(ROW(),MATCH("",$4:$4,-1),1,1)),"위험수용")</f>
        <v>0</v>
      </c>
      <c r="N15" s="22">
        <f ca="1">COUNTIF($S15:INDIRECT(ADDRESS(ROW(),MATCH("",$4:$4,-1),1,1)),"N/A")</f>
        <v>0</v>
      </c>
      <c r="O15" s="22">
        <f ca="1">VLOOKUP($D15,'parm(hidden)'!$B$8:$C$10,2,FALSE)*($F15-$J15)</f>
        <v>9</v>
      </c>
      <c r="P15" s="22">
        <f ca="1">VLOOKUP($D15,'parm(hidden)'!$B$8:$C$10,2,FALSE)*($F15-$N15)</f>
        <v>9</v>
      </c>
      <c r="Q15" s="35">
        <f ca="1">VLOOKUP($D15,'parm(hidden)'!$B$8:$C$10,2,FALSE)*($G15+$H15)</f>
        <v>0</v>
      </c>
      <c r="R15" s="22">
        <f ca="1">VLOOKUP($D15,'parm(hidden)'!$B$8:$C$10,2,FALSE)*($G15+$H15+$K15)</f>
        <v>0</v>
      </c>
      <c r="S15" s="166" t="str">
        <f t="shared" ca="1" si="1"/>
        <v>미조치</v>
      </c>
      <c r="T15" s="166" t="str">
        <f t="shared" ca="1" si="0"/>
        <v>미조치</v>
      </c>
      <c r="U15" s="166" t="str">
        <f t="shared" ca="1" si="0"/>
        <v>미조치</v>
      </c>
    </row>
    <row r="16" spans="1:21" ht="14.1" customHeight="1">
      <c r="A16" s="108" t="str">
        <f>ChkList!A16</f>
        <v>보안 관리</v>
      </c>
      <c r="B16" s="108" t="str">
        <f>ChkList!B16</f>
        <v>PC-12</v>
      </c>
      <c r="C16" s="108" t="str">
        <f>ChkList!C16</f>
        <v>Windows 자동 로그인 점검</v>
      </c>
      <c r="D16" s="30" t="str">
        <f>ChkList!$D16</f>
        <v>M</v>
      </c>
      <c r="E16" s="30">
        <f>ChkList!$E16</f>
        <v>2</v>
      </c>
      <c r="F16" s="22">
        <f ca="1">COUNTA($S16:INDIRECT(ADDRESS(ROW(),MATCH("",$4:$4,-1),1,1)))</f>
        <v>3</v>
      </c>
      <c r="G16" s="22">
        <f ca="1">'취약점 진단 항목별 통계'!G16</f>
        <v>0</v>
      </c>
      <c r="H16" s="22">
        <f ca="1">'취약점 진단 항목별 통계'!H16</f>
        <v>0</v>
      </c>
      <c r="I16" s="22">
        <f ca="1">'취약점 진단 항목별 통계'!I16</f>
        <v>0</v>
      </c>
      <c r="J16" s="22">
        <f ca="1">'취약점 진단 항목별 통계'!J16</f>
        <v>3</v>
      </c>
      <c r="K16" s="22">
        <f ca="1">COUNTIF($S16:INDIRECT(ADDRESS(ROW(),MATCH("",$4:$4,-1),1,1)),"조치")</f>
        <v>0</v>
      </c>
      <c r="L16" s="22">
        <f ca="1">COUNTIF($S16:INDIRECT(ADDRESS(ROW(),MATCH("",$4:$4,-1),1,1)),"미조치")</f>
        <v>0</v>
      </c>
      <c r="M16" s="22">
        <f ca="1">COUNTIF($S16:INDIRECT(ADDRESS(ROW(),MATCH("",$4:$4,-1),1,1)),"위험수용")</f>
        <v>0</v>
      </c>
      <c r="N16" s="22">
        <f ca="1">COUNTIF($S16:INDIRECT(ADDRESS(ROW(),MATCH("",$4:$4,-1),1,1)),"N/A")</f>
        <v>1</v>
      </c>
      <c r="O16" s="22">
        <f ca="1">VLOOKUP($D16,'parm(hidden)'!$B$8:$C$10,2,FALSE)*($F16-$J16)</f>
        <v>0</v>
      </c>
      <c r="P16" s="22">
        <f ca="1">VLOOKUP($D16,'parm(hidden)'!$B$8:$C$10,2,FALSE)*($F16-$N16)</f>
        <v>4</v>
      </c>
      <c r="Q16" s="35">
        <f ca="1">VLOOKUP($D16,'parm(hidden)'!$B$8:$C$10,2,FALSE)*($G16+$H16)</f>
        <v>0</v>
      </c>
      <c r="R16" s="22">
        <f ca="1">VLOOKUP($D16,'parm(hidden)'!$B$8:$C$10,2,FALSE)*($G16+$H16+$K16)</f>
        <v>0</v>
      </c>
      <c r="S16" s="166" t="str">
        <f t="shared" ca="1" si="1"/>
        <v>N/A</v>
      </c>
      <c r="T16" s="166" t="str">
        <f t="shared" ca="1" si="0"/>
        <v/>
      </c>
      <c r="U16" s="166" t="str">
        <f t="shared" ca="1" si="0"/>
        <v/>
      </c>
    </row>
    <row r="17" spans="1:21" ht="14.1" customHeight="1">
      <c r="A17" s="108" t="str">
        <f>ChkList!A17</f>
        <v>보안 관리</v>
      </c>
      <c r="B17" s="108" t="str">
        <f>ChkList!B17</f>
        <v>PC-13</v>
      </c>
      <c r="C17" s="108" t="str">
        <f>ChkList!C17</f>
        <v>바이러스 백신 프로그램 설치 및 주기적 업데이트</v>
      </c>
      <c r="D17" s="30" t="str">
        <f>ChkList!$D17</f>
        <v>H</v>
      </c>
      <c r="E17" s="30">
        <f>ChkList!$E17</f>
        <v>3</v>
      </c>
      <c r="F17" s="22">
        <f ca="1">COUNTA($S17:INDIRECT(ADDRESS(ROW(),MATCH("",$4:$4,-1),1,1)))</f>
        <v>3</v>
      </c>
      <c r="G17" s="22">
        <f ca="1">'취약점 진단 항목별 통계'!G17</f>
        <v>0</v>
      </c>
      <c r="H17" s="22">
        <f ca="1">'취약점 진단 항목별 통계'!H17</f>
        <v>0</v>
      </c>
      <c r="I17" s="22">
        <f ca="1">'취약점 진단 항목별 통계'!I17</f>
        <v>3</v>
      </c>
      <c r="J17" s="22">
        <f ca="1">'취약점 진단 항목별 통계'!J17</f>
        <v>0</v>
      </c>
      <c r="K17" s="22">
        <f ca="1">COUNTIF($S17:INDIRECT(ADDRESS(ROW(),MATCH("",$4:$4,-1),1,1)),"조치")</f>
        <v>3</v>
      </c>
      <c r="L17" s="22">
        <f ca="1">COUNTIF($S17:INDIRECT(ADDRESS(ROW(),MATCH("",$4:$4,-1),1,1)),"미조치")</f>
        <v>0</v>
      </c>
      <c r="M17" s="22">
        <f ca="1">COUNTIF($S17:INDIRECT(ADDRESS(ROW(),MATCH("",$4:$4,-1),1,1)),"위험수용")</f>
        <v>0</v>
      </c>
      <c r="N17" s="22">
        <f ca="1">COUNTIF($S17:INDIRECT(ADDRESS(ROW(),MATCH("",$4:$4,-1),1,1)),"N/A")</f>
        <v>0</v>
      </c>
      <c r="O17" s="22">
        <f ca="1">VLOOKUP($D17,'parm(hidden)'!$B$8:$C$10,2,FALSE)*($F17-$J17)</f>
        <v>9</v>
      </c>
      <c r="P17" s="22">
        <f ca="1">VLOOKUP($D17,'parm(hidden)'!$B$8:$C$10,2,FALSE)*($F17-$N17)</f>
        <v>9</v>
      </c>
      <c r="Q17" s="35">
        <f ca="1">VLOOKUP($D17,'parm(hidden)'!$B$8:$C$10,2,FALSE)*($G17+$H17)</f>
        <v>0</v>
      </c>
      <c r="R17" s="22">
        <f ca="1">VLOOKUP($D17,'parm(hidden)'!$B$8:$C$10,2,FALSE)*($G17+$H17+$K17)</f>
        <v>9</v>
      </c>
      <c r="S17" s="166" t="str">
        <f t="shared" ca="1" si="1"/>
        <v>조치</v>
      </c>
      <c r="T17" s="166" t="str">
        <f t="shared" ca="1" si="0"/>
        <v>조치</v>
      </c>
      <c r="U17" s="166" t="str">
        <f t="shared" ca="1" si="0"/>
        <v>조치</v>
      </c>
    </row>
    <row r="18" spans="1:21" ht="14.1" customHeight="1">
      <c r="A18" s="108" t="str">
        <f>ChkList!A18</f>
        <v>보안 관리</v>
      </c>
      <c r="B18" s="108" t="str">
        <f>ChkList!B18</f>
        <v>PC-14</v>
      </c>
      <c r="C18" s="108" t="str">
        <f>ChkList!C18</f>
        <v>바이러스 백신 프로그램에서 제공하는 실시간 감시 기능 활성화</v>
      </c>
      <c r="D18" s="30" t="str">
        <f>ChkList!$D18</f>
        <v>H</v>
      </c>
      <c r="E18" s="30">
        <f>ChkList!$E18</f>
        <v>3</v>
      </c>
      <c r="F18" s="22">
        <f ca="1">COUNTA($S18:INDIRECT(ADDRESS(ROW(),MATCH("",$4:$4,-1),1,1)))</f>
        <v>3</v>
      </c>
      <c r="G18" s="22">
        <f ca="1">'취약점 진단 항목별 통계'!G18</f>
        <v>0</v>
      </c>
      <c r="H18" s="22">
        <f ca="1">'취약점 진단 항목별 통계'!H18</f>
        <v>0</v>
      </c>
      <c r="I18" s="22">
        <f ca="1">'취약점 진단 항목별 통계'!I18</f>
        <v>3</v>
      </c>
      <c r="J18" s="22">
        <f ca="1">'취약점 진단 항목별 통계'!J18</f>
        <v>0</v>
      </c>
      <c r="K18" s="22">
        <f ca="1">COUNTIF($S18:INDIRECT(ADDRESS(ROW(),MATCH("",$4:$4,-1),1,1)),"조치")</f>
        <v>3</v>
      </c>
      <c r="L18" s="22">
        <f ca="1">COUNTIF($S18:INDIRECT(ADDRESS(ROW(),MATCH("",$4:$4,-1),1,1)),"미조치")</f>
        <v>0</v>
      </c>
      <c r="M18" s="22">
        <f ca="1">COUNTIF($S18:INDIRECT(ADDRESS(ROW(),MATCH("",$4:$4,-1),1,1)),"위험수용")</f>
        <v>0</v>
      </c>
      <c r="N18" s="22">
        <f ca="1">COUNTIF($S18:INDIRECT(ADDRESS(ROW(),MATCH("",$4:$4,-1),1,1)),"N/A")</f>
        <v>0</v>
      </c>
      <c r="O18" s="22">
        <f ca="1">VLOOKUP($D18,'parm(hidden)'!$B$8:$C$10,2,FALSE)*($F18-$J18)</f>
        <v>9</v>
      </c>
      <c r="P18" s="22">
        <f ca="1">VLOOKUP($D18,'parm(hidden)'!$B$8:$C$10,2,FALSE)*($F18-$N18)</f>
        <v>9</v>
      </c>
      <c r="Q18" s="35">
        <f ca="1">VLOOKUP($D18,'parm(hidden)'!$B$8:$C$10,2,FALSE)*($G18+$H18)</f>
        <v>0</v>
      </c>
      <c r="R18" s="22">
        <f ca="1">VLOOKUP($D18,'parm(hidden)'!$B$8:$C$10,2,FALSE)*($G18+$H18+$K18)</f>
        <v>9</v>
      </c>
      <c r="S18" s="166" t="str">
        <f t="shared" ca="1" si="1"/>
        <v>조치</v>
      </c>
      <c r="T18" s="166" t="str">
        <f t="shared" ca="1" si="0"/>
        <v>조치</v>
      </c>
      <c r="U18" s="166" t="str">
        <f t="shared" ca="1" si="0"/>
        <v>조치</v>
      </c>
    </row>
    <row r="19" spans="1:21" ht="14.1" customHeight="1">
      <c r="A19" s="108" t="str">
        <f>ChkList!A19</f>
        <v>보안 관리</v>
      </c>
      <c r="B19" s="108" t="str">
        <f>ChkList!B19</f>
        <v>PC-15</v>
      </c>
      <c r="C19" s="108" t="str">
        <f>ChkList!C19</f>
        <v>OS에서 제공하는 침입차단 기능 활성화</v>
      </c>
      <c r="D19" s="30" t="str">
        <f>ChkList!$D19</f>
        <v>H</v>
      </c>
      <c r="E19" s="30">
        <f>ChkList!$E19</f>
        <v>3</v>
      </c>
      <c r="F19" s="22">
        <f ca="1">COUNTA($S19:INDIRECT(ADDRESS(ROW(),MATCH("",$4:$4,-1),1,1)))</f>
        <v>3</v>
      </c>
      <c r="G19" s="22">
        <f ca="1">'취약점 진단 항목별 통계'!G19</f>
        <v>3</v>
      </c>
      <c r="H19" s="22">
        <f ca="1">'취약점 진단 항목별 통계'!H19</f>
        <v>0</v>
      </c>
      <c r="I19" s="22">
        <f ca="1">'취약점 진단 항목별 통계'!I19</f>
        <v>0</v>
      </c>
      <c r="J19" s="22">
        <f ca="1">'취약점 진단 항목별 통계'!J19</f>
        <v>0</v>
      </c>
      <c r="K19" s="22">
        <f ca="1">COUNTIF($S19:INDIRECT(ADDRESS(ROW(),MATCH("",$4:$4,-1),1,1)),"조치")</f>
        <v>0</v>
      </c>
      <c r="L19" s="22">
        <f ca="1">COUNTIF($S19:INDIRECT(ADDRESS(ROW(),MATCH("",$4:$4,-1),1,1)),"미조치")</f>
        <v>0</v>
      </c>
      <c r="M19" s="22">
        <f ca="1">COUNTIF($S19:INDIRECT(ADDRESS(ROW(),MATCH("",$4:$4,-1),1,1)),"위험수용")</f>
        <v>0</v>
      </c>
      <c r="N19" s="22">
        <f ca="1">COUNTIF($S19:INDIRECT(ADDRESS(ROW(),MATCH("",$4:$4,-1),1,1)),"N/A")</f>
        <v>0</v>
      </c>
      <c r="O19" s="22">
        <f ca="1">VLOOKUP($D19,'parm(hidden)'!$B$8:$C$10,2,FALSE)*($F19-$J19)</f>
        <v>9</v>
      </c>
      <c r="P19" s="22">
        <f ca="1">VLOOKUP($D19,'parm(hidden)'!$B$8:$C$10,2,FALSE)*($F19-$N19)</f>
        <v>9</v>
      </c>
      <c r="Q19" s="35">
        <f ca="1">VLOOKUP($D19,'parm(hidden)'!$B$8:$C$10,2,FALSE)*($G19+$H19)</f>
        <v>9</v>
      </c>
      <c r="R19" s="22">
        <f ca="1">VLOOKUP($D19,'parm(hidden)'!$B$8:$C$10,2,FALSE)*($G19+$H19+$K19)</f>
        <v>9</v>
      </c>
      <c r="S19" s="166" t="str">
        <f t="shared" ca="1" si="1"/>
        <v>Y</v>
      </c>
      <c r="T19" s="166" t="str">
        <f t="shared" ca="1" si="0"/>
        <v>Y</v>
      </c>
      <c r="U19" s="166" t="str">
        <f t="shared" ca="1" si="0"/>
        <v>Y</v>
      </c>
    </row>
    <row r="20" spans="1:21" ht="14.1" customHeight="1">
      <c r="A20" s="108" t="str">
        <f>ChkList!A20</f>
        <v>보안 관리</v>
      </c>
      <c r="B20" s="108" t="str">
        <f>ChkList!B20</f>
        <v>PC-16</v>
      </c>
      <c r="C20" s="108" t="str">
        <f>ChkList!C20</f>
        <v>화면보호기 대기 시간 설정 및 재시작 시 암호 보호 설정</v>
      </c>
      <c r="D20" s="30" t="str">
        <f>ChkList!$D20</f>
        <v>H</v>
      </c>
      <c r="E20" s="30">
        <f>ChkList!$E20</f>
        <v>3</v>
      </c>
      <c r="F20" s="22">
        <f ca="1">COUNTA($S20:INDIRECT(ADDRESS(ROW(),MATCH("",$4:$4,-1),1,1)))</f>
        <v>3</v>
      </c>
      <c r="G20" s="22">
        <f ca="1">'취약점 진단 항목별 통계'!G20</f>
        <v>0</v>
      </c>
      <c r="H20" s="22">
        <f ca="1">'취약점 진단 항목별 통계'!H20</f>
        <v>0</v>
      </c>
      <c r="I20" s="22">
        <f ca="1">'취약점 진단 항목별 통계'!I20</f>
        <v>3</v>
      </c>
      <c r="J20" s="22">
        <f ca="1">'취약점 진단 항목별 통계'!J20</f>
        <v>0</v>
      </c>
      <c r="K20" s="22">
        <f ca="1">COUNTIF($S20:INDIRECT(ADDRESS(ROW(),MATCH("",$4:$4,-1),1,1)),"조치")</f>
        <v>3</v>
      </c>
      <c r="L20" s="22">
        <f ca="1">COUNTIF($S20:INDIRECT(ADDRESS(ROW(),MATCH("",$4:$4,-1),1,1)),"미조치")</f>
        <v>0</v>
      </c>
      <c r="M20" s="22">
        <f ca="1">COUNTIF($S20:INDIRECT(ADDRESS(ROW(),MATCH("",$4:$4,-1),1,1)),"위험수용")</f>
        <v>0</v>
      </c>
      <c r="N20" s="22">
        <f ca="1">COUNTIF($S20:INDIRECT(ADDRESS(ROW(),MATCH("",$4:$4,-1),1,1)),"N/A")</f>
        <v>0</v>
      </c>
      <c r="O20" s="22">
        <f ca="1">VLOOKUP($D20,'parm(hidden)'!$B$8:$C$10,2,FALSE)*($F20-$J20)</f>
        <v>9</v>
      </c>
      <c r="P20" s="22">
        <f ca="1">VLOOKUP($D20,'parm(hidden)'!$B$8:$C$10,2,FALSE)*($F20-$N20)</f>
        <v>9</v>
      </c>
      <c r="Q20" s="35">
        <f ca="1">VLOOKUP($D20,'parm(hidden)'!$B$8:$C$10,2,FALSE)*($G20+$H20)</f>
        <v>0</v>
      </c>
      <c r="R20" s="22">
        <f ca="1">VLOOKUP($D20,'parm(hidden)'!$B$8:$C$10,2,FALSE)*($G20+$H20+$K20)</f>
        <v>9</v>
      </c>
      <c r="S20" s="166" t="str">
        <f t="shared" ca="1" si="1"/>
        <v>조치</v>
      </c>
      <c r="T20" s="166" t="str">
        <f t="shared" ca="1" si="0"/>
        <v>조치</v>
      </c>
      <c r="U20" s="166" t="str">
        <f t="shared" ca="1" si="0"/>
        <v>조치</v>
      </c>
    </row>
    <row r="21" spans="1:21" ht="14.1" customHeight="1">
      <c r="A21" s="108" t="str">
        <f>ChkList!A21</f>
        <v>보안 관리</v>
      </c>
      <c r="B21" s="108" t="str">
        <f>ChkList!B21</f>
        <v>PC-17</v>
      </c>
      <c r="C21" s="108" t="str">
        <f>ChkList!C21</f>
        <v>CD, DVD, USB 메모리 등과 같은 미디어의 자동 실행 방지 등 이동식 미디어에 대한 보안대책 수립</v>
      </c>
      <c r="D21" s="30" t="str">
        <f>ChkList!$D21</f>
        <v>H</v>
      </c>
      <c r="E21" s="30">
        <f>ChkList!$E21</f>
        <v>3</v>
      </c>
      <c r="F21" s="22">
        <f ca="1">COUNTA($S21:INDIRECT(ADDRESS(ROW(),MATCH("",$4:$4,-1),1,1)))</f>
        <v>3</v>
      </c>
      <c r="G21" s="22">
        <f ca="1">'취약점 진단 항목별 통계'!G21</f>
        <v>3</v>
      </c>
      <c r="H21" s="22">
        <f ca="1">'취약점 진단 항목별 통계'!H21</f>
        <v>0</v>
      </c>
      <c r="I21" s="22">
        <f ca="1">'취약점 진단 항목별 통계'!I21</f>
        <v>0</v>
      </c>
      <c r="J21" s="22">
        <f ca="1">'취약점 진단 항목별 통계'!J21</f>
        <v>0</v>
      </c>
      <c r="K21" s="22">
        <f ca="1">COUNTIF($S21:INDIRECT(ADDRESS(ROW(),MATCH("",$4:$4,-1),1,1)),"조치")</f>
        <v>0</v>
      </c>
      <c r="L21" s="22">
        <f ca="1">COUNTIF($S21:INDIRECT(ADDRESS(ROW(),MATCH("",$4:$4,-1),1,1)),"미조치")</f>
        <v>0</v>
      </c>
      <c r="M21" s="22">
        <f ca="1">COUNTIF($S21:INDIRECT(ADDRESS(ROW(),MATCH("",$4:$4,-1),1,1)),"위험수용")</f>
        <v>0</v>
      </c>
      <c r="N21" s="22">
        <f ca="1">COUNTIF($S21:INDIRECT(ADDRESS(ROW(),MATCH("",$4:$4,-1),1,1)),"N/A")</f>
        <v>0</v>
      </c>
      <c r="O21" s="22">
        <f ca="1">VLOOKUP($D21,'parm(hidden)'!$B$8:$C$10,2,FALSE)*($F21-$J21)</f>
        <v>9</v>
      </c>
      <c r="P21" s="22">
        <f ca="1">VLOOKUP($D21,'parm(hidden)'!$B$8:$C$10,2,FALSE)*($F21-$N21)</f>
        <v>9</v>
      </c>
      <c r="Q21" s="35">
        <f ca="1">VLOOKUP($D21,'parm(hidden)'!$B$8:$C$10,2,FALSE)*($G21+$H21)</f>
        <v>9</v>
      </c>
      <c r="R21" s="22">
        <f ca="1">VLOOKUP($D21,'parm(hidden)'!$B$8:$C$10,2,FALSE)*($G21+$H21+$K21)</f>
        <v>9</v>
      </c>
      <c r="S21" s="166" t="str">
        <f t="shared" ca="1" si="1"/>
        <v>Y</v>
      </c>
      <c r="T21" s="166" t="str">
        <f t="shared" ca="1" si="1"/>
        <v>Y</v>
      </c>
      <c r="U21" s="166" t="str">
        <f t="shared" ca="1" si="1"/>
        <v>Y</v>
      </c>
    </row>
    <row r="22" spans="1:21" ht="14.1" customHeight="1">
      <c r="A22" s="108" t="str">
        <f>ChkList!A22</f>
        <v>보안 관리</v>
      </c>
      <c r="B22" s="108" t="str">
        <f>ChkList!B22</f>
        <v>PC-18</v>
      </c>
      <c r="C22" s="108" t="str">
        <f>ChkList!C22</f>
        <v>원격 지원을 금지하도록 정책이 설정</v>
      </c>
      <c r="D22" s="30" t="str">
        <f>ChkList!$D22</f>
        <v>M</v>
      </c>
      <c r="E22" s="30">
        <f>ChkList!$E22</f>
        <v>2</v>
      </c>
      <c r="F22" s="22">
        <f ca="1">COUNTA($S22:INDIRECT(ADDRESS(ROW(),MATCH("",$4:$4,-1),1,1)))</f>
        <v>3</v>
      </c>
      <c r="G22" s="22">
        <f ca="1">'취약점 진단 항목별 통계'!G22</f>
        <v>3</v>
      </c>
      <c r="H22" s="22">
        <f ca="1">'취약점 진단 항목별 통계'!H22</f>
        <v>0</v>
      </c>
      <c r="I22" s="22">
        <f ca="1">'취약점 진단 항목별 통계'!I22</f>
        <v>0</v>
      </c>
      <c r="J22" s="22">
        <f ca="1">'취약점 진단 항목별 통계'!J22</f>
        <v>0</v>
      </c>
      <c r="K22" s="22">
        <f ca="1">COUNTIF($S22:INDIRECT(ADDRESS(ROW(),MATCH("",$4:$4,-1),1,1)),"조치")</f>
        <v>0</v>
      </c>
      <c r="L22" s="22">
        <f ca="1">COUNTIF($S22:INDIRECT(ADDRESS(ROW(),MATCH("",$4:$4,-1),1,1)),"미조치")</f>
        <v>0</v>
      </c>
      <c r="M22" s="22">
        <f ca="1">COUNTIF($S22:INDIRECT(ADDRESS(ROW(),MATCH("",$4:$4,-1),1,1)),"위험수용")</f>
        <v>0</v>
      </c>
      <c r="N22" s="22">
        <f ca="1">COUNTIF($S22:INDIRECT(ADDRESS(ROW(),MATCH("",$4:$4,-1),1,1)),"N/A")</f>
        <v>0</v>
      </c>
      <c r="O22" s="22">
        <f ca="1">VLOOKUP($D22,'parm(hidden)'!$B$8:$C$10,2,FALSE)*($F22-$J22)</f>
        <v>6</v>
      </c>
      <c r="P22" s="22">
        <f ca="1">VLOOKUP($D22,'parm(hidden)'!$B$8:$C$10,2,FALSE)*($F22-$N22)</f>
        <v>6</v>
      </c>
      <c r="Q22" s="35">
        <f ca="1">VLOOKUP($D22,'parm(hidden)'!$B$8:$C$10,2,FALSE)*($G22+$H22)</f>
        <v>6</v>
      </c>
      <c r="R22" s="22">
        <f ca="1">VLOOKUP($D22,'parm(hidden)'!$B$8:$C$10,2,FALSE)*($G22+$H22+$K22)</f>
        <v>6</v>
      </c>
      <c r="S22" s="166" t="str">
        <f t="shared" ca="1" si="1"/>
        <v>Y</v>
      </c>
      <c r="T22" s="166" t="str">
        <f t="shared" ca="1" si="1"/>
        <v>Y</v>
      </c>
      <c r="U22" s="166" t="str">
        <f t="shared" ca="1" si="1"/>
        <v>Y</v>
      </c>
    </row>
    <row r="23" spans="1:21" ht="14.1" customHeight="1" thickBot="1">
      <c r="A23" s="78"/>
      <c r="B23" s="109"/>
      <c r="C23" s="110"/>
      <c r="D23" s="110"/>
      <c r="E23" s="110"/>
      <c r="F23" s="111">
        <f ca="1">SUM(F5:F22)</f>
        <v>54</v>
      </c>
      <c r="G23" s="111">
        <f ca="1">SUM(G5:G22)</f>
        <v>24</v>
      </c>
      <c r="H23" s="111">
        <f ca="1">SUM(H5:H22)</f>
        <v>0</v>
      </c>
      <c r="I23" s="111">
        <f ca="1">SUM(I5:I22)</f>
        <v>15</v>
      </c>
      <c r="J23" s="111">
        <f ca="1">SUM(J5:J22)</f>
        <v>3</v>
      </c>
      <c r="K23" s="111">
        <f ca="1">SUM(K5:K22)</f>
        <v>15</v>
      </c>
      <c r="L23" s="111">
        <f ca="1">SUM(L5:L22)</f>
        <v>12</v>
      </c>
      <c r="M23" s="111">
        <f ca="1">SUM(M5:M22)</f>
        <v>0</v>
      </c>
      <c r="N23" s="111">
        <f ca="1">SUM(N5:N22)</f>
        <v>1</v>
      </c>
      <c r="O23" s="111">
        <f ca="1">SUM(O5:O22)</f>
        <v>135</v>
      </c>
      <c r="P23" s="111">
        <f ca="1">SUM(P5:P22)</f>
        <v>139</v>
      </c>
      <c r="Q23" s="111">
        <f ca="1">SUM(Q5:Q22)</f>
        <v>57</v>
      </c>
      <c r="R23" s="111">
        <f ca="1">SUM(R5:R22)</f>
        <v>102</v>
      </c>
      <c r="S23" s="112">
        <f ca="1">COUNTIFS(S$5:S$22,"&lt;&gt;",S$5:S$22,"&lt;&gt;0")</f>
        <v>18</v>
      </c>
      <c r="T23" s="112">
        <f ca="1">COUNTIFS(T$5:T$22,"&lt;&gt;",T$5:T$22,"&lt;&gt;0")</f>
        <v>18</v>
      </c>
      <c r="U23" s="113">
        <f ca="1">COUNTIFS(U$5:U$22,"&lt;&gt;",U$5:U$22,"&lt;&gt;0")</f>
        <v>18</v>
      </c>
    </row>
  </sheetData>
  <mergeCells count="6">
    <mergeCell ref="O3:R3"/>
    <mergeCell ref="F3:J3"/>
    <mergeCell ref="A3:B4"/>
    <mergeCell ref="C3:C4"/>
    <mergeCell ref="D3:E4"/>
    <mergeCell ref="K3:N3"/>
  </mergeCells>
  <phoneticPr fontId="3" type="noConversion"/>
  <conditionalFormatting sqref="S1:U3">
    <cfRule type="cellIs" dxfId="580" priority="1" operator="equal">
      <formula>"Y"</formula>
    </cfRule>
    <cfRule type="cellIs" dxfId="579" priority="2" stopIfTrue="1" operator="equal">
      <formula>"인터뷰"</formula>
    </cfRule>
  </conditionalFormatting>
  <conditionalFormatting sqref="S5:U22">
    <cfRule type="containsText" dxfId="578" priority="45" operator="containsText" text="위험수용">
      <formula>NOT(ISERROR(SEARCH("위험수용",S5)))</formula>
    </cfRule>
    <cfRule type="containsText" dxfId="577" priority="46" operator="containsText" text="미조치">
      <formula>NOT(ISERROR(SEARCH("미조치",S5)))</formula>
    </cfRule>
    <cfRule type="cellIs" dxfId="576" priority="47" stopIfTrue="1" operator="equal">
      <formula>"인터뷰"</formula>
    </cfRule>
    <cfRule type="cellIs" dxfId="575" priority="48" stopIfTrue="1" operator="equal">
      <formula>"N/A"</formula>
    </cfRule>
    <cfRule type="cellIs" dxfId="574" priority="49" stopIfTrue="1" operator="equal">
      <formula>"N"</formula>
    </cfRule>
  </conditionalFormatting>
  <conditionalFormatting sqref="S23:U1048576">
    <cfRule type="cellIs" dxfId="573" priority="50" operator="equal">
      <formula>"Y"</formula>
    </cfRule>
    <cfRule type="cellIs" dxfId="572" priority="51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7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P-01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P-01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10.0.16.1/24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COUNTIF($A$20:$A$944, $A12)</f>
        <v>2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1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 t="e">
        <f t="shared" ref="H12:H16" ca="1" si="0">IF($G12=$D12, "N/A", (S12/R12))</f>
        <v>#REF!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 t="e">
        <f ca="1">IF(OR($G12=$D12,$D12=$M12),"N/A", ($T12/$U12))</f>
        <v>#REF!</v>
      </c>
      <c r="R12" s="39" t="e">
        <f>SUMIF($A$20:$A$944, $A12, $R$20:$R$944)</f>
        <v>#REF!</v>
      </c>
      <c r="S12" s="39">
        <f>SUMIF($A$20:$A$944, $A12, $S$20:$S$944)</f>
        <v>0</v>
      </c>
      <c r="T12" s="39" t="e">
        <f>SUMIF($A$20:$A$944, $A12, $R$20:$R$944)</f>
        <v>#REF!</v>
      </c>
      <c r="U12" s="39" t="e">
        <f>SUMIF($A$20:$A$944, $A12, $R$20:$R$944)</f>
        <v>#REF!</v>
      </c>
      <c r="V12" s="266">
        <f>B12</f>
        <v>0</v>
      </c>
      <c r="W12" s="188"/>
      <c r="X12" s="59" t="e">
        <f ca="1">H12</f>
        <v>#REF!</v>
      </c>
      <c r="Y12" s="59" t="e">
        <f t="shared" ref="Y12:Y16" ca="1" si="1">O12</f>
        <v>#REF!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SUMIF($A$20:$A$944, $A13, $R$20:$R$944)</f>
        <v>14</v>
      </c>
      <c r="S13" s="39">
        <f>SUMIF($A$20:$A$944, $A13, $S$20:$S$944)</f>
        <v>6</v>
      </c>
      <c r="T13" s="39">
        <f>SUMIF($A$20:$A$944, $A13, $R$20:$R$944)</f>
        <v>14</v>
      </c>
      <c r="U13" s="39">
        <f>SUMIF($A$20:$A$944, $A13, $R$20:$R$944)</f>
        <v>14</v>
      </c>
      <c r="V13" s="266">
        <f>B13</f>
        <v>0</v>
      </c>
      <c r="W13" s="188"/>
      <c r="X13" s="59">
        <f t="shared" ref="X13:X16" ca="1" si="2">H13</f>
        <v>0.42857142857142855</v>
      </c>
      <c r="Y13" s="59">
        <f t="shared" ca="1" si="1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2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0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 t="str">
        <f ca="1">IFERROR($J14/($F14-(M14-G14)),"N/A")</f>
        <v>N/A</v>
      </c>
      <c r="O14" s="128" t="e">
        <f ca="1">IF(OR($G16=$D16, $D16=$M16), 1, $T16/$U16)</f>
        <v>#REF!</v>
      </c>
      <c r="R14" s="39">
        <f>SUMIF($A$20:$A$944, $A14, $R$20:$R$944)</f>
        <v>6</v>
      </c>
      <c r="S14" s="39">
        <f>SUMIF($A$20:$A$944, $A14, $S$20:$S$944)</f>
        <v>0</v>
      </c>
      <c r="T14" s="39">
        <f>SUMIF($A$20:$A$944, $A14, $R$20:$R$944)</f>
        <v>6</v>
      </c>
      <c r="U14" s="39">
        <f>SUMIF($A$20:$A$944, $A14, $R$20:$R$944)</f>
        <v>6</v>
      </c>
      <c r="V14" s="266">
        <f>B14</f>
        <v>0</v>
      </c>
      <c r="W14" s="188"/>
      <c r="X14" s="59">
        <f t="shared" ca="1" si="2"/>
        <v>0</v>
      </c>
      <c r="Y14" s="59" t="e">
        <f t="shared" ca="1" si="1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3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1</v>
      </c>
      <c r="H15" s="61">
        <f t="shared" ca="1" si="0"/>
        <v>0.47058823529411764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1</v>
      </c>
      <c r="N15" s="53">
        <f ca="1">IFERROR($J15/($F15-(M15-G15)),"N/A")</f>
        <v>1</v>
      </c>
      <c r="O15" s="128">
        <f ca="1">IF(OR($G15=$D15,$D15=$M15),"N/A", ($T15/$U15))</f>
        <v>1</v>
      </c>
      <c r="R15" s="39">
        <f>SUMIF($A$20:$A$944, $A15, $R$20:$R$944)</f>
        <v>17</v>
      </c>
      <c r="S15" s="39">
        <f>SUMIF($A$20:$A$944, $A15, $S$20:$S$944)</f>
        <v>8</v>
      </c>
      <c r="T15" s="39">
        <f>SUMIF($A$20:$A$944, $A15, $R$20:$R$944)</f>
        <v>17</v>
      </c>
      <c r="U15" s="39">
        <f>SUMIF($A$20:$A$944, $A15, $R$20:$R$944)</f>
        <v>17</v>
      </c>
      <c r="V15" s="266">
        <f>B15</f>
        <v>0</v>
      </c>
      <c r="W15" s="188"/>
      <c r="X15" s="59">
        <f t="shared" ca="1" si="2"/>
        <v>0.47058823529411764</v>
      </c>
      <c r="Y15" s="59">
        <f t="shared" ca="1" si="1"/>
        <v>1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17</v>
      </c>
      <c r="E16" s="130">
        <f ca="1">SUM(E12:E15)</f>
        <v>7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1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14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2"/>
        <v>#REF!</v>
      </c>
      <c r="Y16" s="62" t="str">
        <f t="shared" ca="1" si="1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187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>
      <c r="A20" s="11" t="str">
        <f>ChkList!A5</f>
        <v>계정 관리</v>
      </c>
      <c r="B20" s="174" t="str">
        <f>ChkList!B5</f>
        <v>PC-01</v>
      </c>
      <c r="C20" s="289" t="str">
        <f>ChkList!C5</f>
        <v>비밀번호의 주기적 변경</v>
      </c>
      <c r="D20" s="290"/>
      <c r="E20" s="291"/>
      <c r="F20" s="174" t="str">
        <f>ChkList!D5</f>
        <v>H</v>
      </c>
      <c r="G20" s="174">
        <f>ChkList!E5</f>
        <v>3</v>
      </c>
      <c r="H20" s="160" t="s">
        <v>32</v>
      </c>
      <c r="I20" s="161" t="s">
        <v>219</v>
      </c>
      <c r="J20" s="11" t="s">
        <v>32</v>
      </c>
      <c r="K20" s="11" t="str">
        <f t="shared" ref="K20:K37" si="3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 t="e">
        <f>IF($H20="N/A",0,VLOOKUP(#REF!,'parm(hidden)'!$B$8:$C$10,2,FALSE))*1</f>
        <v>#REF!</v>
      </c>
      <c r="S20" s="154">
        <f>IFERROR(VLOOKUP(#REF!,'parm(hidden)'!$B$8:$C$10,2,FALSE)*VLOOKUP($H20,'parm(hidden)'!$B$15:$C$19,2,FALSE),0)</f>
        <v>0</v>
      </c>
      <c r="T20" s="154">
        <f>IFERROR(VLOOKUP(#REF!,'parm(hidden)'!$B$8:$C$10,2,FALSE)*VLOOKUP($K20,$V$21:$W$26,2,FALSE),0)</f>
        <v>0</v>
      </c>
      <c r="U20" s="11" t="e">
        <f>IF($J20="N/A",0,VLOOKUP(#REF!,'parm(hidden)'!$B$8:$C$10,2,FALSE))*1</f>
        <v>#REF!</v>
      </c>
      <c r="V20" s="54" t="s">
        <v>129</v>
      </c>
      <c r="W20" s="40" t="s">
        <v>24</v>
      </c>
      <c r="Y20" s="10"/>
    </row>
    <row r="21" spans="1:25" ht="12" customHeight="1">
      <c r="A21" s="174" t="str">
        <f>ChkList!A6</f>
        <v>계정 관리</v>
      </c>
      <c r="B21" s="174" t="str">
        <f>ChkList!B6</f>
        <v>PC-02</v>
      </c>
      <c r="C21" s="289" t="str">
        <f>ChkList!C6</f>
        <v>비밀번호 관리정책 설정</v>
      </c>
      <c r="D21" s="290"/>
      <c r="E21" s="291"/>
      <c r="F21" s="174" t="str">
        <f>ChkList!D6</f>
        <v>H</v>
      </c>
      <c r="G21" s="174">
        <f>ChkList!E6</f>
        <v>3</v>
      </c>
      <c r="H21" s="160" t="s">
        <v>220</v>
      </c>
      <c r="I21" s="161" t="s">
        <v>221</v>
      </c>
      <c r="J21" s="11" t="str">
        <f t="shared" ref="J21:J23" si="4">IF(OR(ISBLANK($L21), $L21=" - 이행진단 시 평가 - "), "", IF(OR($H21="Y",$H21="N/A",$H21="Y(즉시조치)"),$H21,IF(IFERROR(FIND("양호함",$L21),0),"Y",IF(IFERROR(FIND("해당사항",$L21),0),"N/A",IF(IFERROR(FIND("해당 사항",$L21),0),"N/A","N")))))</f>
        <v>Y</v>
      </c>
      <c r="K21" s="11" t="str">
        <f t="shared" si="3"/>
        <v>미조치</v>
      </c>
      <c r="L21" s="249" t="s">
        <v>269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 customHeight="1">
      <c r="A22" s="174" t="str">
        <f>ChkList!A7</f>
        <v>계정관리</v>
      </c>
      <c r="B22" s="174" t="str">
        <f>ChkList!B7</f>
        <v>PC-03</v>
      </c>
      <c r="C22" s="289" t="str">
        <f>ChkList!C7</f>
        <v>복구 콘솔에서 자동 로그온을 금지하도록 설정</v>
      </c>
      <c r="D22" s="290"/>
      <c r="E22" s="291"/>
      <c r="F22" s="174" t="str">
        <f>ChkList!D7</f>
        <v>M</v>
      </c>
      <c r="G22" s="17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>IF($J22="", "", IF(OR($H22="Y", $H22="N/A",$H22="Y(즉시조치)"), $H22, IF(AND($H22="N", $J22="Y"), "조치", IF(AND($H22="N",$J22="N/A"), "N/A", IF(IFERROR(FIND("위험수용", $L22), 0), "위험수용", "미조치")))))</f>
        <v>Y</v>
      </c>
      <c r="L22" s="249" t="s">
        <v>267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>
      <c r="A23" s="174" t="str">
        <f>ChkList!A8</f>
        <v>서비스 관리</v>
      </c>
      <c r="B23" s="174" t="str">
        <f>ChkList!B8</f>
        <v>PC-04</v>
      </c>
      <c r="C23" s="289" t="str">
        <f>ChkList!C8</f>
        <v>공유 폴더 제거</v>
      </c>
      <c r="D23" s="290"/>
      <c r="E23" s="291"/>
      <c r="F23" s="174" t="str">
        <f>ChkList!D8</f>
        <v>H</v>
      </c>
      <c r="G23" s="17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3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74" t="str">
        <f>ChkList!A9</f>
        <v>서비스 관리</v>
      </c>
      <c r="B24" s="174" t="str">
        <f>ChkList!B9</f>
        <v>PC-05</v>
      </c>
      <c r="C24" s="289" t="str">
        <f>ChkList!C9</f>
        <v>항목의 불필요한 서비스 제거</v>
      </c>
      <c r="D24" s="290"/>
      <c r="E24" s="291"/>
      <c r="F24" s="174" t="str">
        <f>ChkList!D9</f>
        <v>H</v>
      </c>
      <c r="G24" s="174">
        <f>ChkList!E9</f>
        <v>3</v>
      </c>
      <c r="H24" s="160" t="s">
        <v>33</v>
      </c>
      <c r="I24" s="161" t="s">
        <v>223</v>
      </c>
      <c r="J24" s="11" t="s">
        <v>32</v>
      </c>
      <c r="K24" s="11" t="str">
        <f t="shared" si="3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 customHeight="1">
      <c r="A25" s="174" t="str">
        <f>ChkList!A10</f>
        <v>서비스 관리</v>
      </c>
      <c r="B25" s="174" t="str">
        <f>ChkList!B10</f>
        <v>PC-06</v>
      </c>
      <c r="C25" s="289" t="str">
        <f>ChkList!C10</f>
        <v>비인가 상용 메신저 사용 금지</v>
      </c>
      <c r="D25" s="290"/>
      <c r="E25" s="291"/>
      <c r="F25" s="174" t="str">
        <f>ChkList!D10</f>
        <v>H</v>
      </c>
      <c r="G25" s="174">
        <f>ChkList!E10</f>
        <v>3</v>
      </c>
      <c r="H25" s="160" t="s">
        <v>32</v>
      </c>
      <c r="I25" s="161" t="s">
        <v>271</v>
      </c>
      <c r="J25" s="11" t="s">
        <v>32</v>
      </c>
      <c r="K25" s="11" t="str">
        <f t="shared" si="3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74" t="str">
        <f>ChkList!A11</f>
        <v>서비스 관리</v>
      </c>
      <c r="B26" s="174" t="str">
        <f>ChkList!B11</f>
        <v>PC-07</v>
      </c>
      <c r="C26" s="289" t="str">
        <f>ChkList!C11</f>
        <v>파일 시스템이 NTFS 포맷으로 설정</v>
      </c>
      <c r="D26" s="290"/>
      <c r="E26" s="291"/>
      <c r="F26" s="174" t="str">
        <f>ChkList!D11</f>
        <v>M</v>
      </c>
      <c r="G26" s="174">
        <f>ChkList!E11</f>
        <v>2</v>
      </c>
      <c r="H26" s="160" t="s">
        <v>220</v>
      </c>
      <c r="I26" s="161" t="s">
        <v>227</v>
      </c>
      <c r="J26" s="11" t="s">
        <v>32</v>
      </c>
      <c r="K26" s="11" t="str">
        <f t="shared" si="3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 customHeight="1">
      <c r="A27" s="174" t="str">
        <f>ChkList!A12</f>
        <v>서비스 관리</v>
      </c>
      <c r="B27" s="174" t="str">
        <f>ChkList!B12</f>
        <v>PC-08</v>
      </c>
      <c r="C27" s="289">
        <f>ChkList!C12</f>
        <v>0</v>
      </c>
      <c r="D27" s="290"/>
      <c r="E27" s="291"/>
      <c r="F27" s="174" t="str">
        <f>ChkList!D12</f>
        <v>M</v>
      </c>
      <c r="G27" s="174">
        <f>ChkList!E12</f>
        <v>2</v>
      </c>
      <c r="H27" s="160" t="s">
        <v>32</v>
      </c>
      <c r="I27" s="161" t="s">
        <v>275</v>
      </c>
      <c r="J27" s="11" t="s">
        <v>32</v>
      </c>
      <c r="K27" s="11" t="str">
        <f t="shared" si="3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 customHeight="1">
      <c r="A28" s="174" t="str">
        <f>ChkList!A13</f>
        <v>서비스 관리</v>
      </c>
      <c r="B28" s="174" t="str">
        <f>ChkList!B13</f>
        <v>PC-09</v>
      </c>
      <c r="C28" s="289" t="str">
        <f>ChkList!C13</f>
        <v>브라우저 종료 시 임시 인터넷 파일 폴더의 내용을 삭제하도록 설정</v>
      </c>
      <c r="D28" s="290"/>
      <c r="E28" s="291"/>
      <c r="F28" s="174" t="str">
        <f>ChkList!D13</f>
        <v>L</v>
      </c>
      <c r="G28" s="174">
        <f>ChkList!E13</f>
        <v>1</v>
      </c>
      <c r="H28" s="160" t="s">
        <v>32</v>
      </c>
      <c r="I28" s="161" t="s">
        <v>229</v>
      </c>
      <c r="J28" s="11" t="s">
        <v>32</v>
      </c>
      <c r="K28" s="11" t="str">
        <f t="shared" si="3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 ht="12" customHeight="1">
      <c r="A29" s="174" t="str">
        <f>ChkList!A14</f>
        <v>패치 관리</v>
      </c>
      <c r="B29" s="174" t="str">
        <f>ChkList!B14</f>
        <v>PC-10</v>
      </c>
      <c r="C29" s="289" t="str">
        <f>ChkList!C14</f>
        <v>주기적 보안 패치 및 벤더 권고사항 적용</v>
      </c>
      <c r="D29" s="290"/>
      <c r="E29" s="291"/>
      <c r="F29" s="174" t="str">
        <f>ChkList!D14</f>
        <v>H</v>
      </c>
      <c r="G29" s="174">
        <f>ChkList!E14</f>
        <v>3</v>
      </c>
      <c r="H29" s="160" t="s">
        <v>220</v>
      </c>
      <c r="I29" s="161"/>
      <c r="J29" s="11" t="s">
        <v>32</v>
      </c>
      <c r="K29" s="11" t="str">
        <f t="shared" si="3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74" t="str">
        <f>ChkList!A15</f>
        <v>패치 관리</v>
      </c>
      <c r="B30" s="174" t="str">
        <f>ChkList!B15</f>
        <v>PC-11</v>
      </c>
      <c r="C30" s="289" t="str">
        <f>ChkList!C15</f>
        <v>지원이 종료되지 않은 Windows OS Build 적용</v>
      </c>
      <c r="D30" s="290"/>
      <c r="E30" s="291"/>
      <c r="F30" s="174" t="str">
        <f>ChkList!D15</f>
        <v>H</v>
      </c>
      <c r="G30" s="174">
        <f>ChkList!E15</f>
        <v>3</v>
      </c>
      <c r="H30" s="160" t="s">
        <v>220</v>
      </c>
      <c r="I30" s="161" t="s">
        <v>236</v>
      </c>
      <c r="J30" s="11" t="s">
        <v>32</v>
      </c>
      <c r="K30" s="11" t="str">
        <f t="shared" si="3"/>
        <v>미조치</v>
      </c>
      <c r="L30" s="249" t="s">
        <v>274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 ht="12" customHeight="1">
      <c r="A31" s="174" t="str">
        <f>ChkList!A16</f>
        <v>보안 관리</v>
      </c>
      <c r="B31" s="174" t="str">
        <f>ChkList!B16</f>
        <v>PC-12</v>
      </c>
      <c r="C31" s="289" t="str">
        <f>ChkList!C16</f>
        <v>Windows 자동 로그인 점검</v>
      </c>
      <c r="D31" s="290"/>
      <c r="E31" s="291"/>
      <c r="F31" s="174" t="str">
        <f>ChkList!D16</f>
        <v>M</v>
      </c>
      <c r="G31" s="174">
        <f>ChkList!E16</f>
        <v>2</v>
      </c>
      <c r="H31" s="160" t="s">
        <v>35</v>
      </c>
      <c r="I31" s="161"/>
      <c r="J31" s="11" t="s">
        <v>32</v>
      </c>
      <c r="K31" s="11" t="str">
        <f t="shared" si="3"/>
        <v>N/A</v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74" t="str">
        <f>ChkList!A17</f>
        <v>보안 관리</v>
      </c>
      <c r="B32" s="174" t="str">
        <f>ChkList!B17</f>
        <v>PC-13</v>
      </c>
      <c r="C32" s="289" t="str">
        <f>ChkList!C17</f>
        <v>바이러스 백신 프로그램 설치 및 주기적 업데이트</v>
      </c>
      <c r="D32" s="290"/>
      <c r="E32" s="291"/>
      <c r="F32" s="174" t="str">
        <f>ChkList!D17</f>
        <v>H</v>
      </c>
      <c r="G32" s="174">
        <f>ChkList!E17</f>
        <v>3</v>
      </c>
      <c r="H32" s="160" t="s">
        <v>33</v>
      </c>
      <c r="I32" s="161" t="s">
        <v>230</v>
      </c>
      <c r="J32" s="11" t="s">
        <v>32</v>
      </c>
      <c r="K32" s="11" t="str">
        <f t="shared" si="3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 customHeight="1">
      <c r="A33" s="174" t="str">
        <f>ChkList!A18</f>
        <v>보안 관리</v>
      </c>
      <c r="B33" s="174" t="str">
        <f>ChkList!B18</f>
        <v>PC-14</v>
      </c>
      <c r="C33" s="289" t="str">
        <f>ChkList!C18</f>
        <v>바이러스 백신 프로그램에서 제공하는 실시간 감시 기능 활성화</v>
      </c>
      <c r="D33" s="290"/>
      <c r="E33" s="291"/>
      <c r="F33" s="174" t="str">
        <f>ChkList!D18</f>
        <v>H</v>
      </c>
      <c r="G33" s="174">
        <f>ChkList!E18</f>
        <v>3</v>
      </c>
      <c r="H33" s="160" t="s">
        <v>33</v>
      </c>
      <c r="I33" s="161" t="s">
        <v>231</v>
      </c>
      <c r="J33" s="11" t="s">
        <v>32</v>
      </c>
      <c r="K33" s="11" t="str">
        <f t="shared" si="3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74" t="str">
        <f>ChkList!A19</f>
        <v>보안 관리</v>
      </c>
      <c r="B34" s="174" t="str">
        <f>ChkList!B19</f>
        <v>PC-15</v>
      </c>
      <c r="C34" s="289" t="str">
        <f>ChkList!C19</f>
        <v>OS에서 제공하는 침입차단 기능 활성화</v>
      </c>
      <c r="D34" s="290"/>
      <c r="E34" s="291"/>
      <c r="F34" s="174" t="str">
        <f>ChkList!D19</f>
        <v>H</v>
      </c>
      <c r="G34" s="174">
        <f>ChkList!E19</f>
        <v>3</v>
      </c>
      <c r="H34" s="160" t="s">
        <v>232</v>
      </c>
      <c r="I34" s="161" t="s">
        <v>233</v>
      </c>
      <c r="J34" s="11" t="s">
        <v>32</v>
      </c>
      <c r="K34" s="11" t="str">
        <f t="shared" si="3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74" t="str">
        <f>ChkList!A20</f>
        <v>보안 관리</v>
      </c>
      <c r="B35" s="174" t="str">
        <f>ChkList!B20</f>
        <v>PC-16</v>
      </c>
      <c r="C35" s="289" t="str">
        <f>ChkList!C20</f>
        <v>화면보호기 대기 시간 설정 및 재시작 시 암호 보호 설정</v>
      </c>
      <c r="D35" s="290"/>
      <c r="E35" s="291"/>
      <c r="F35" s="174" t="str">
        <f>ChkList!D20</f>
        <v>H</v>
      </c>
      <c r="G35" s="174">
        <f>ChkList!E20</f>
        <v>3</v>
      </c>
      <c r="H35" s="160" t="s">
        <v>33</v>
      </c>
      <c r="I35" s="161" t="s">
        <v>234</v>
      </c>
      <c r="J35" s="11" t="s">
        <v>32</v>
      </c>
      <c r="K35" s="11" t="str">
        <f t="shared" si="3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 customHeight="1">
      <c r="A36" s="174" t="str">
        <f>ChkList!A21</f>
        <v>보안 관리</v>
      </c>
      <c r="B36" s="174" t="str">
        <f>ChkList!B21</f>
        <v>PC-17</v>
      </c>
      <c r="C36" s="289" t="str">
        <f>ChkList!C21</f>
        <v>CD, DVD, USB 메모리 등과 같은 미디어의 자동 실행 방지 등 이동식 미디어에 대한 보안대책 수립</v>
      </c>
      <c r="D36" s="290"/>
      <c r="E36" s="291"/>
      <c r="F36" s="174" t="str">
        <f>ChkList!D21</f>
        <v>H</v>
      </c>
      <c r="G36" s="174">
        <f>ChkList!E21</f>
        <v>3</v>
      </c>
      <c r="H36" s="160" t="s">
        <v>32</v>
      </c>
      <c r="I36" s="161" t="s">
        <v>235</v>
      </c>
      <c r="J36" s="11" t="s">
        <v>32</v>
      </c>
      <c r="K36" s="11" t="str">
        <f t="shared" si="3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74" t="str">
        <f>ChkList!A22</f>
        <v>보안 관리</v>
      </c>
      <c r="B37" s="174" t="str">
        <f>ChkList!B22</f>
        <v>PC-18</v>
      </c>
      <c r="C37" s="289" t="str">
        <f>ChkList!C22</f>
        <v>원격 지원을 금지하도록 정책이 설정</v>
      </c>
      <c r="D37" s="290"/>
      <c r="E37" s="291"/>
      <c r="F37" s="174" t="str">
        <f>ChkList!D22</f>
        <v>M</v>
      </c>
      <c r="G37" s="174">
        <f>ChkList!E22</f>
        <v>2</v>
      </c>
      <c r="H37" s="160" t="s">
        <v>32</v>
      </c>
      <c r="I37" s="161" t="s">
        <v>281</v>
      </c>
      <c r="J37" s="11" t="s">
        <v>32</v>
      </c>
      <c r="K37" s="11" t="str">
        <f t="shared" si="3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</sheetData>
  <mergeCells count="70">
    <mergeCell ref="I10:I11"/>
    <mergeCell ref="J10:O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V10:Y10"/>
    <mergeCell ref="V11:W11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R10:U10"/>
    <mergeCell ref="A10:C11"/>
    <mergeCell ref="D10:H10"/>
    <mergeCell ref="A19:B19"/>
    <mergeCell ref="C19:E19"/>
    <mergeCell ref="F19:G19"/>
    <mergeCell ref="L19:P19"/>
    <mergeCell ref="V19:W19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32:E32"/>
    <mergeCell ref="L32:P3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</mergeCells>
  <phoneticPr fontId="3" type="noConversion"/>
  <conditionalFormatting sqref="H20:H37">
    <cfRule type="cellIs" priority="1" operator="equal">
      <formula>"양호"</formula>
    </cfRule>
    <cfRule type="cellIs" dxfId="571" priority="2" operator="equal">
      <formula>"취약"</formula>
    </cfRule>
  </conditionalFormatting>
  <conditionalFormatting sqref="J20:K37">
    <cfRule type="cellIs" dxfId="570" priority="26" stopIfTrue="1" operator="equal">
      <formula>"인터뷰"</formula>
    </cfRule>
    <cfRule type="cellIs" dxfId="569" priority="27" stopIfTrue="1" operator="equal">
      <formula>"R/A"</formula>
    </cfRule>
    <cfRule type="cellIs" dxfId="568" priority="28" stopIfTrue="1" operator="equal">
      <formula>"N/A"</formula>
    </cfRule>
    <cfRule type="cellIs" dxfId="567" priority="29" stopIfTrue="1" operator="equal">
      <formula>"N"</formula>
    </cfRule>
    <cfRule type="expression" dxfId="566" priority="30">
      <formula>OR(IF(J20=0,1,0),IF(J20="-",1,0))</formula>
    </cfRule>
  </conditionalFormatting>
  <conditionalFormatting sqref="K20:K37">
    <cfRule type="cellIs" dxfId="565" priority="23" operator="equal">
      <formula>"위험수용"</formula>
    </cfRule>
    <cfRule type="cellIs" dxfId="564" priority="24" operator="equal">
      <formula>"미조치"</formula>
    </cfRule>
    <cfRule type="cellIs" dxfId="563" priority="25" operator="equal">
      <formula>"조치"</formula>
    </cfRule>
  </conditionalFormatting>
  <conditionalFormatting sqref="L20:L37">
    <cfRule type="cellIs" dxfId="562" priority="13" stopIfTrue="1" operator="equal">
      <formula>"인터뷰"</formula>
    </cfRule>
    <cfRule type="cellIs" dxfId="561" priority="14" stopIfTrue="1" operator="equal">
      <formula>"R/A"</formula>
    </cfRule>
    <cfRule type="cellIs" dxfId="560" priority="15" stopIfTrue="1" operator="equal">
      <formula>"N/A"</formula>
    </cfRule>
    <cfRule type="cellIs" dxfId="559" priority="16" stopIfTrue="1" operator="equal">
      <formula>"N"</formula>
    </cfRule>
    <cfRule type="expression" dxfId="558" priority="17">
      <formula>OR(IF(L20=0,1,0),IF(L20="-",1,0))</formula>
    </cfRule>
  </conditionalFormatting>
  <conditionalFormatting sqref="Y20:Y37">
    <cfRule type="cellIs" dxfId="557" priority="36" operator="equal">
      <formula>"신규 취약점(즉시조치)"</formula>
    </cfRule>
    <cfRule type="cellIs" dxfId="556" priority="37" operator="equal">
      <formula>"기존 취약점(즉시조치)"</formula>
    </cfRule>
    <cfRule type="cellIs" dxfId="555" priority="38" operator="equal">
      <formula>"기존 취약점"</formula>
    </cfRule>
    <cfRule type="cellIs" dxfId="554" priority="39" operator="equal">
      <formula>"신규 취약점"</formula>
    </cfRule>
    <cfRule type="cellIs" dxfId="553" priority="40" operator="equal">
      <formula>"확인필요"</formula>
    </cfRule>
    <cfRule type="cellIs" dxfId="552" priority="41" operator="equal">
      <formula>"확인필요"</formula>
    </cfRule>
    <cfRule type="cellIs" dxfId="551" priority="42" operator="equal">
      <formula>"신규취약점"</formula>
    </cfRule>
    <cfRule type="cellIs" dxfId="550" priority="43" operator="equal">
      <formula>"조치완료"</formula>
    </cfRule>
  </conditionalFormatting>
  <dataValidations count="4">
    <dataValidation errorStyle="warning" allowBlank="1" showInputMessage="1" showErrorMessage="1" sqref="K20:K37"/>
    <dataValidation type="list" errorStyle="warning" showInputMessage="1" showErrorMessage="1" errorTitle="오류!" error="Y, N, N/A 중에 선택" sqref="J20:J37">
      <formula1>"Y,N,N/A,인터뷰,Y(즉시조치)"</formula1>
    </dataValidation>
    <dataValidation type="list" errorStyle="warning" allowBlank="1" showInputMessage="1" showErrorMessage="1" errorTitle="오류!" error="Y, N, N/A 중에 선택" sqref="H20:H37">
      <formula1>"Y,N,N/A,인터뷰,Y(즉시조치)"</formula1>
    </dataValidation>
    <dataValidation allowBlank="1" showInputMessage="1" showErrorMessage="1" errorTitle="오류!" error="Y, N, N/A 중에 선택" sqref="L20:L37 I20:I3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P-02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P-02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10.0.16.2/24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2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1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6</v>
      </c>
      <c r="S12" s="39">
        <f>SUMIF($A$20:$A$945, $A12, $S$20:$S$945)</f>
        <v>3</v>
      </c>
      <c r="T12" s="39">
        <f t="shared" ref="T12:U15" si="1">SUMIF($A$20:$A$945, $A12, $R$20:$R$945)</f>
        <v>6</v>
      </c>
      <c r="U12" s="39">
        <f t="shared" si="1"/>
        <v>6</v>
      </c>
      <c r="V12" s="266">
        <f>B12</f>
        <v>0</v>
      </c>
      <c r="W12" s="188"/>
      <c r="X12" s="59">
        <f ca="1">H12</f>
        <v>0.5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2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0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 t="str">
        <f ca="1">IFERROR($J14/($F14-(M14-G14)),"N/A")</f>
        <v>N/A</v>
      </c>
      <c r="O14" s="128">
        <f ca="1">IF(OR($G16=$D16, $D16=$M16), 1, $T16/$U16)</f>
        <v>1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>
        <f t="shared" ca="1" si="2"/>
        <v>1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3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1</v>
      </c>
      <c r="H15" s="61">
        <f t="shared" ca="1" si="0"/>
        <v>0.47058823529411764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0.75</v>
      </c>
      <c r="O15" s="128">
        <f ca="1">IF(OR($G15=$D15,$D15=$M15),"N/A", ($T15/$U15))</f>
        <v>1</v>
      </c>
      <c r="R15" s="39">
        <f>SUMIF($A$20:$A$945, $A15, $R$20:$R$945)</f>
        <v>17</v>
      </c>
      <c r="S15" s="39">
        <f>SUMIF($A$20:$A$945, $A15, $S$20:$S$945)</f>
        <v>8</v>
      </c>
      <c r="T15" s="39">
        <f t="shared" si="1"/>
        <v>17</v>
      </c>
      <c r="U15" s="39">
        <f t="shared" si="1"/>
        <v>17</v>
      </c>
      <c r="V15" s="266">
        <f>B15</f>
        <v>0</v>
      </c>
      <c r="W15" s="188"/>
      <c r="X15" s="59">
        <f t="shared" ca="1" si="3"/>
        <v>0.47058823529411764</v>
      </c>
      <c r="Y15" s="59">
        <f t="shared" ca="1" si="2"/>
        <v>1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17</v>
      </c>
      <c r="E16" s="130">
        <f ca="1">SUM(E12:E15)</f>
        <v>7</v>
      </c>
      <c r="F16" s="130">
        <f ca="1">SUM(F12:F15)</f>
        <v>5</v>
      </c>
      <c r="G16" s="131">
        <f ca="1">SUM(G12:G15)</f>
        <v>1</v>
      </c>
      <c r="H16" s="132">
        <f t="shared" ca="1" si="0"/>
        <v>0.39534883720930231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>
        <f ca="1">IF($O16="N/A","N/A",IFERROR($J16/($F16-(M16-G16)),"N/A"))</f>
        <v>0.83333333333333337</v>
      </c>
      <c r="O16" s="134">
        <f ca="1">IF($G16=$D16, "N/A", IFERROR((T16/U16),"N/A"))</f>
        <v>1</v>
      </c>
      <c r="R16" s="41">
        <f>SUM(R12:R15)</f>
        <v>43</v>
      </c>
      <c r="S16" s="42">
        <f>SUM(S12:S15)</f>
        <v>17</v>
      </c>
      <c r="T16" s="42">
        <f>SUM(T12:T15)</f>
        <v>43</v>
      </c>
      <c r="U16" s="41">
        <f>SUM(U12:U15)</f>
        <v>43</v>
      </c>
      <c r="V16" s="270" t="s">
        <v>121</v>
      </c>
      <c r="W16" s="225"/>
      <c r="X16" s="62">
        <f t="shared" ca="1" si="3"/>
        <v>0.39534883720930231</v>
      </c>
      <c r="Y16" s="62">
        <f t="shared" ca="1" si="2"/>
        <v>1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74" t="str">
        <f>ChkList!A5</f>
        <v>계정 관리</v>
      </c>
      <c r="B20" s="174" t="str">
        <f>ChkList!B5</f>
        <v>PC-01</v>
      </c>
      <c r="C20" s="289" t="str">
        <f>ChkList!C5</f>
        <v>비밀번호의 주기적 변경</v>
      </c>
      <c r="D20" s="290"/>
      <c r="E20" s="291"/>
      <c r="F20" s="174" t="str">
        <f>ChkList!D5</f>
        <v>H</v>
      </c>
      <c r="G20" s="17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74" t="str">
        <f>ChkList!A6</f>
        <v>계정 관리</v>
      </c>
      <c r="B21" s="174" t="str">
        <f>ChkList!B6</f>
        <v>PC-02</v>
      </c>
      <c r="C21" s="248" t="s">
        <v>166</v>
      </c>
      <c r="D21" s="248"/>
      <c r="E21" s="248"/>
      <c r="F21" s="174" t="str">
        <f>ChkList!D6</f>
        <v>H</v>
      </c>
      <c r="G21" s="17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74" t="str">
        <f>ChkList!A7</f>
        <v>계정관리</v>
      </c>
      <c r="B22" s="174" t="str">
        <f>ChkList!B7</f>
        <v>PC-03</v>
      </c>
      <c r="C22" s="248" t="s">
        <v>167</v>
      </c>
      <c r="D22" s="248"/>
      <c r="E22" s="248"/>
      <c r="F22" s="174" t="str">
        <f>ChkList!D7</f>
        <v>M</v>
      </c>
      <c r="G22" s="17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74" t="str">
        <f>ChkList!A8</f>
        <v>서비스 관리</v>
      </c>
      <c r="B23" s="174" t="str">
        <f>ChkList!B8</f>
        <v>PC-04</v>
      </c>
      <c r="C23" s="248" t="s">
        <v>168</v>
      </c>
      <c r="D23" s="248"/>
      <c r="E23" s="248"/>
      <c r="F23" s="174" t="str">
        <f>ChkList!D8</f>
        <v>H</v>
      </c>
      <c r="G23" s="17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74" t="str">
        <f>ChkList!A9</f>
        <v>서비스 관리</v>
      </c>
      <c r="B24" s="174" t="str">
        <f>ChkList!B9</f>
        <v>PC-05</v>
      </c>
      <c r="C24" s="248" t="s">
        <v>169</v>
      </c>
      <c r="D24" s="248"/>
      <c r="E24" s="248"/>
      <c r="F24" s="174" t="str">
        <f>ChkList!D9</f>
        <v>H</v>
      </c>
      <c r="G24" s="17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74" t="str">
        <f>ChkList!A10</f>
        <v>서비스 관리</v>
      </c>
      <c r="B25" s="174" t="str">
        <f>ChkList!B10</f>
        <v>PC-06</v>
      </c>
      <c r="C25" s="248" t="s">
        <v>191</v>
      </c>
      <c r="D25" s="248"/>
      <c r="E25" s="248"/>
      <c r="F25" s="174" t="str">
        <f>ChkList!D10</f>
        <v>H</v>
      </c>
      <c r="G25" s="17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74" t="str">
        <f>ChkList!A11</f>
        <v>서비스 관리</v>
      </c>
      <c r="B26" s="174" t="str">
        <f>ChkList!B11</f>
        <v>PC-07</v>
      </c>
      <c r="C26" s="248" t="s">
        <v>170</v>
      </c>
      <c r="D26" s="248"/>
      <c r="E26" s="248"/>
      <c r="F26" s="174" t="str">
        <f>ChkList!D11</f>
        <v>M</v>
      </c>
      <c r="G26" s="17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74" t="str">
        <f>ChkList!A12</f>
        <v>서비스 관리</v>
      </c>
      <c r="B27" s="174" t="str">
        <f>ChkList!B12</f>
        <v>PC-08</v>
      </c>
      <c r="C27" s="248" t="s">
        <v>171</v>
      </c>
      <c r="D27" s="248"/>
      <c r="E27" s="248"/>
      <c r="F27" s="174" t="str">
        <f>ChkList!D12</f>
        <v>M</v>
      </c>
      <c r="G27" s="17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74" t="str">
        <f>ChkList!A13</f>
        <v>서비스 관리</v>
      </c>
      <c r="B28" s="174" t="str">
        <f>ChkList!B13</f>
        <v>PC-09</v>
      </c>
      <c r="C28" s="248" t="s">
        <v>172</v>
      </c>
      <c r="D28" s="248"/>
      <c r="E28" s="248"/>
      <c r="F28" s="174" t="str">
        <f>ChkList!D13</f>
        <v>L</v>
      </c>
      <c r="G28" s="17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74" t="str">
        <f>ChkList!A14</f>
        <v>패치 관리</v>
      </c>
      <c r="B29" s="174" t="str">
        <f>ChkList!B14</f>
        <v>PC-10</v>
      </c>
      <c r="C29" s="248" t="s">
        <v>173</v>
      </c>
      <c r="D29" s="248"/>
      <c r="E29" s="248"/>
      <c r="F29" s="174" t="str">
        <f>ChkList!D14</f>
        <v>H</v>
      </c>
      <c r="G29" s="17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74" t="str">
        <f>ChkList!A15</f>
        <v>패치 관리</v>
      </c>
      <c r="B30" s="174" t="str">
        <f>ChkList!B15</f>
        <v>PC-11</v>
      </c>
      <c r="C30" s="248" t="s">
        <v>174</v>
      </c>
      <c r="D30" s="248"/>
      <c r="E30" s="248"/>
      <c r="F30" s="174" t="str">
        <f>ChkList!D15</f>
        <v>H</v>
      </c>
      <c r="G30" s="17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74" t="str">
        <f>ChkList!A16</f>
        <v>보안 관리</v>
      </c>
      <c r="B31" s="174" t="str">
        <f>ChkList!B16</f>
        <v>PC-12</v>
      </c>
      <c r="C31" s="248" t="s">
        <v>175</v>
      </c>
      <c r="D31" s="248"/>
      <c r="E31" s="248"/>
      <c r="F31" s="174" t="str">
        <f>ChkList!D16</f>
        <v>M</v>
      </c>
      <c r="G31" s="17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74" t="str">
        <f>ChkList!A17</f>
        <v>보안 관리</v>
      </c>
      <c r="B32" s="174" t="str">
        <f>ChkList!B17</f>
        <v>PC-13</v>
      </c>
      <c r="C32" s="248" t="s">
        <v>176</v>
      </c>
      <c r="D32" s="248"/>
      <c r="E32" s="248"/>
      <c r="F32" s="174" t="str">
        <f>ChkList!D17</f>
        <v>H</v>
      </c>
      <c r="G32" s="17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74" t="str">
        <f>ChkList!A18</f>
        <v>보안 관리</v>
      </c>
      <c r="B33" s="174" t="str">
        <f>ChkList!B18</f>
        <v>PC-14</v>
      </c>
      <c r="C33" s="248" t="s">
        <v>177</v>
      </c>
      <c r="D33" s="248"/>
      <c r="E33" s="248"/>
      <c r="F33" s="174" t="str">
        <f>ChkList!D18</f>
        <v>H</v>
      </c>
      <c r="G33" s="17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74" t="str">
        <f>ChkList!A19</f>
        <v>보안 관리</v>
      </c>
      <c r="B34" s="174" t="str">
        <f>ChkList!B19</f>
        <v>PC-15</v>
      </c>
      <c r="C34" s="248" t="s">
        <v>178</v>
      </c>
      <c r="D34" s="248"/>
      <c r="E34" s="248"/>
      <c r="F34" s="174" t="str">
        <f>ChkList!D19</f>
        <v>H</v>
      </c>
      <c r="G34" s="17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74" t="str">
        <f>ChkList!A20</f>
        <v>보안 관리</v>
      </c>
      <c r="B35" s="174" t="str">
        <f>ChkList!B20</f>
        <v>PC-16</v>
      </c>
      <c r="C35" s="248" t="s">
        <v>179</v>
      </c>
      <c r="D35" s="248"/>
      <c r="E35" s="248"/>
      <c r="F35" s="174" t="str">
        <f>ChkList!D20</f>
        <v>H</v>
      </c>
      <c r="G35" s="17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74" t="str">
        <f>ChkList!A21</f>
        <v>보안 관리</v>
      </c>
      <c r="B36" s="174" t="str">
        <f>ChkList!B21</f>
        <v>PC-17</v>
      </c>
      <c r="C36" s="248" t="s">
        <v>192</v>
      </c>
      <c r="D36" s="248"/>
      <c r="E36" s="248"/>
      <c r="F36" s="174" t="str">
        <f>ChkList!D21</f>
        <v>H</v>
      </c>
      <c r="G36" s="17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74" t="str">
        <f>ChkList!A22</f>
        <v>보안 관리</v>
      </c>
      <c r="B37" s="174" t="str">
        <f>ChkList!B22</f>
        <v>PC-18</v>
      </c>
      <c r="C37" s="248" t="s">
        <v>180</v>
      </c>
      <c r="D37" s="248"/>
      <c r="E37" s="248"/>
      <c r="F37" s="174" t="str">
        <f>ChkList!D22</f>
        <v>M</v>
      </c>
      <c r="G37" s="17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74">
        <f>ChkList!A23</f>
        <v>0</v>
      </c>
      <c r="B38" s="174">
        <f>ChkList!B23</f>
        <v>0</v>
      </c>
      <c r="C38" s="248" t="s">
        <v>181</v>
      </c>
      <c r="D38" s="248"/>
      <c r="E38" s="248"/>
      <c r="F38" s="174">
        <f>ChkList!D23</f>
        <v>0</v>
      </c>
      <c r="G38" s="174">
        <f>ChkList!E23</f>
        <v>0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#N/A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#N/A</v>
      </c>
      <c r="Y38" s="10"/>
    </row>
  </sheetData>
  <mergeCells count="72"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A10:C11"/>
    <mergeCell ref="D10:H10"/>
    <mergeCell ref="I10:I11"/>
    <mergeCell ref="J10:O10"/>
    <mergeCell ref="V10:Y10"/>
    <mergeCell ref="V11:W11"/>
    <mergeCell ref="R10:U10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9:B19"/>
    <mergeCell ref="C19:E19"/>
    <mergeCell ref="F19:G19"/>
    <mergeCell ref="L19:P19"/>
    <mergeCell ref="V19:W19"/>
    <mergeCell ref="C20:E20"/>
    <mergeCell ref="L20:P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33:E33"/>
    <mergeCell ref="L33:P33"/>
    <mergeCell ref="C34:E34"/>
    <mergeCell ref="L34:P34"/>
    <mergeCell ref="C38:E38"/>
    <mergeCell ref="L38:P38"/>
    <mergeCell ref="C35:E35"/>
    <mergeCell ref="L35:P35"/>
    <mergeCell ref="C36:E36"/>
    <mergeCell ref="L36:P36"/>
    <mergeCell ref="C37:E37"/>
    <mergeCell ref="L37:P37"/>
  </mergeCells>
  <phoneticPr fontId="3" type="noConversion"/>
  <conditionalFormatting sqref="H20:H38">
    <cfRule type="cellIs" priority="6" operator="equal">
      <formula>"양호"</formula>
    </cfRule>
    <cfRule type="cellIs" dxfId="549" priority="7" operator="equal">
      <formula>"취약"</formula>
    </cfRule>
  </conditionalFormatting>
  <conditionalFormatting sqref="J20:K38">
    <cfRule type="cellIs" dxfId="548" priority="11" stopIfTrue="1" operator="equal">
      <formula>"인터뷰"</formula>
    </cfRule>
    <cfRule type="cellIs" dxfId="547" priority="12" stopIfTrue="1" operator="equal">
      <formula>"R/A"</formula>
    </cfRule>
    <cfRule type="cellIs" dxfId="546" priority="13" stopIfTrue="1" operator="equal">
      <formula>"N/A"</formula>
    </cfRule>
    <cfRule type="cellIs" dxfId="545" priority="14" stopIfTrue="1" operator="equal">
      <formula>"N"</formula>
    </cfRule>
    <cfRule type="expression" dxfId="544" priority="15">
      <formula>OR(IF(J20=0,1,0),IF(J20="-",1,0))</formula>
    </cfRule>
  </conditionalFormatting>
  <conditionalFormatting sqref="K20:K38">
    <cfRule type="cellIs" dxfId="543" priority="8" operator="equal">
      <formula>"위험수용"</formula>
    </cfRule>
    <cfRule type="cellIs" dxfId="542" priority="9" operator="equal">
      <formula>"미조치"</formula>
    </cfRule>
    <cfRule type="cellIs" dxfId="541" priority="10" operator="equal">
      <formula>"조치"</formula>
    </cfRule>
  </conditionalFormatting>
  <conditionalFormatting sqref="L20:L38">
    <cfRule type="cellIs" dxfId="540" priority="1" stopIfTrue="1" operator="equal">
      <formula>"인터뷰"</formula>
    </cfRule>
    <cfRule type="cellIs" dxfId="539" priority="2" stopIfTrue="1" operator="equal">
      <formula>"R/A"</formula>
    </cfRule>
    <cfRule type="cellIs" dxfId="538" priority="3" stopIfTrue="1" operator="equal">
      <formula>"N/A"</formula>
    </cfRule>
    <cfRule type="cellIs" dxfId="537" priority="4" stopIfTrue="1" operator="equal">
      <formula>"N"</formula>
    </cfRule>
    <cfRule type="expression" dxfId="536" priority="5">
      <formula>OR(IF(L20=0,1,0),IF(L20="-",1,0))</formula>
    </cfRule>
  </conditionalFormatting>
  <conditionalFormatting sqref="Y20:Y38">
    <cfRule type="cellIs" dxfId="535" priority="39" operator="equal">
      <formula>"신규 취약점(즉시조치)"</formula>
    </cfRule>
    <cfRule type="cellIs" dxfId="534" priority="40" operator="equal">
      <formula>"기존 취약점(즉시조치)"</formula>
    </cfRule>
    <cfRule type="cellIs" dxfId="533" priority="41" operator="equal">
      <formula>"기존 취약점"</formula>
    </cfRule>
    <cfRule type="cellIs" dxfId="532" priority="42" operator="equal">
      <formula>"신규 취약점"</formula>
    </cfRule>
    <cfRule type="cellIs" dxfId="531" priority="43" operator="equal">
      <formula>"확인필요"</formula>
    </cfRule>
    <cfRule type="cellIs" dxfId="530" priority="44" operator="equal">
      <formula>"확인필요"</formula>
    </cfRule>
    <cfRule type="cellIs" dxfId="529" priority="45" operator="equal">
      <formula>"신규취약점"</formula>
    </cfRule>
    <cfRule type="cellIs" dxfId="528" priority="46" operator="equal">
      <formula>"조치완료"</formula>
    </cfRule>
  </conditionalFormatting>
  <dataValidations count="4">
    <dataValidation allowBlank="1" showInputMessage="1" showErrorMessage="1" errorTitle="오류!" error="Y, N, N/A 중에 선택" sqref="I20:I38 L20:L38"/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type="list" errorStyle="warning" showInputMessage="1" showErrorMessage="1" errorTitle="오류!" error="Y, N, N/A 중에 선택" sqref="J20:J38">
      <formula1>"Y,N,N/A,인터뷰,Y(즉시조치)"</formula1>
    </dataValidation>
    <dataValidation errorStyle="warning" allowBlank="1" showInputMessage="1" showErrorMessage="1" sqref="K20:K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P-03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P-03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10.0.17.1/24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A10:C11"/>
    <mergeCell ref="D10:H10"/>
    <mergeCell ref="I10:I11"/>
    <mergeCell ref="J10:O10"/>
    <mergeCell ref="V10:Y10"/>
    <mergeCell ref="V11:W11"/>
    <mergeCell ref="R10:U10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9:B19"/>
    <mergeCell ref="C19:E19"/>
    <mergeCell ref="F19:G19"/>
    <mergeCell ref="L19:P19"/>
    <mergeCell ref="V19:W19"/>
    <mergeCell ref="C20:E20"/>
    <mergeCell ref="L20:P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33:E33"/>
    <mergeCell ref="L33:P33"/>
    <mergeCell ref="C34:E34"/>
    <mergeCell ref="L34:P34"/>
    <mergeCell ref="C38:E38"/>
    <mergeCell ref="L38:P38"/>
    <mergeCell ref="C35:E35"/>
    <mergeCell ref="L35:P35"/>
    <mergeCell ref="C36:E36"/>
    <mergeCell ref="L36:P36"/>
    <mergeCell ref="C37:E37"/>
    <mergeCell ref="L37:P37"/>
  </mergeCells>
  <phoneticPr fontId="3" type="noConversion"/>
  <conditionalFormatting sqref="H20:H38">
    <cfRule type="cellIs" priority="6" operator="equal">
      <formula>"양호"</formula>
    </cfRule>
    <cfRule type="cellIs" dxfId="527" priority="7" operator="equal">
      <formula>"취약"</formula>
    </cfRule>
  </conditionalFormatting>
  <conditionalFormatting sqref="J20:K38">
    <cfRule type="cellIs" dxfId="526" priority="11" stopIfTrue="1" operator="equal">
      <formula>"인터뷰"</formula>
    </cfRule>
    <cfRule type="cellIs" dxfId="525" priority="12" stopIfTrue="1" operator="equal">
      <formula>"R/A"</formula>
    </cfRule>
    <cfRule type="cellIs" dxfId="524" priority="13" stopIfTrue="1" operator="equal">
      <formula>"N/A"</formula>
    </cfRule>
    <cfRule type="cellIs" dxfId="523" priority="14" stopIfTrue="1" operator="equal">
      <formula>"N"</formula>
    </cfRule>
    <cfRule type="expression" dxfId="522" priority="15">
      <formula>OR(IF(J20=0,1,0),IF(J20="-",1,0))</formula>
    </cfRule>
  </conditionalFormatting>
  <conditionalFormatting sqref="K20:K38">
    <cfRule type="cellIs" dxfId="521" priority="8" operator="equal">
      <formula>"위험수용"</formula>
    </cfRule>
    <cfRule type="cellIs" dxfId="520" priority="9" operator="equal">
      <formula>"미조치"</formula>
    </cfRule>
    <cfRule type="cellIs" dxfId="519" priority="10" operator="equal">
      <formula>"조치"</formula>
    </cfRule>
  </conditionalFormatting>
  <conditionalFormatting sqref="L20:L38">
    <cfRule type="cellIs" dxfId="518" priority="1" stopIfTrue="1" operator="equal">
      <formula>"인터뷰"</formula>
    </cfRule>
    <cfRule type="cellIs" dxfId="517" priority="2" stopIfTrue="1" operator="equal">
      <formula>"R/A"</formula>
    </cfRule>
    <cfRule type="cellIs" dxfId="516" priority="3" stopIfTrue="1" operator="equal">
      <formula>"N/A"</formula>
    </cfRule>
    <cfRule type="cellIs" dxfId="515" priority="4" stopIfTrue="1" operator="equal">
      <formula>"N"</formula>
    </cfRule>
    <cfRule type="expression" dxfId="514" priority="5">
      <formula>OR(IF(L20=0,1,0),IF(L20="-",1,0))</formula>
    </cfRule>
  </conditionalFormatting>
  <conditionalFormatting sqref="Y20:Y38">
    <cfRule type="cellIs" dxfId="513" priority="16" operator="equal">
      <formula>"신규 취약점(즉시조치)"</formula>
    </cfRule>
    <cfRule type="cellIs" dxfId="512" priority="17" operator="equal">
      <formula>"기존 취약점(즉시조치)"</formula>
    </cfRule>
    <cfRule type="cellIs" dxfId="511" priority="18" operator="equal">
      <formula>"기존 취약점"</formula>
    </cfRule>
    <cfRule type="cellIs" dxfId="510" priority="19" operator="equal">
      <formula>"신규 취약점"</formula>
    </cfRule>
    <cfRule type="cellIs" dxfId="509" priority="20" operator="equal">
      <formula>"확인필요"</formula>
    </cfRule>
    <cfRule type="cellIs" dxfId="508" priority="21" operator="equal">
      <formula>"확인필요"</formula>
    </cfRule>
    <cfRule type="cellIs" dxfId="507" priority="22" operator="equal">
      <formula>"신규취약점"</formula>
    </cfRule>
    <cfRule type="cellIs" dxfId="506" priority="23" operator="equal">
      <formula>"조치완료"</formula>
    </cfRule>
  </conditionalFormatting>
  <dataValidations count="4">
    <dataValidation errorStyle="warning" allowBlank="1" showInputMessage="1" showErrorMessage="1" sqref="K20:K38"/>
    <dataValidation type="list" errorStyle="warning" showInputMessage="1" showErrorMessage="1" errorTitle="오류!" error="Y, N, N/A 중에 선택" sqref="J20:J38">
      <formula1>"Y,N,N/A,인터뷰,Y(즉시조치)"</formula1>
    </dataValidation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allowBlank="1" showInputMessage="1" showErrorMessage="1" errorTitle="오류!" error="Y, N, N/A 중에 선택" sqref="I20:I38 L20:L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P-04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P-04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10.0.17.2/24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505" priority="7" operator="equal">
      <formula>"취약"</formula>
    </cfRule>
  </conditionalFormatting>
  <conditionalFormatting sqref="J20:K38">
    <cfRule type="cellIs" dxfId="504" priority="11" stopIfTrue="1" operator="equal">
      <formula>"인터뷰"</formula>
    </cfRule>
    <cfRule type="cellIs" dxfId="503" priority="12" stopIfTrue="1" operator="equal">
      <formula>"R/A"</formula>
    </cfRule>
    <cfRule type="cellIs" dxfId="502" priority="13" stopIfTrue="1" operator="equal">
      <formula>"N/A"</formula>
    </cfRule>
    <cfRule type="cellIs" dxfId="501" priority="14" stopIfTrue="1" operator="equal">
      <formula>"N"</formula>
    </cfRule>
    <cfRule type="expression" dxfId="500" priority="15">
      <formula>OR(IF(J20=0,1,0),IF(J20="-",1,0))</formula>
    </cfRule>
  </conditionalFormatting>
  <conditionalFormatting sqref="K20:K38">
    <cfRule type="cellIs" dxfId="499" priority="8" operator="equal">
      <formula>"위험수용"</formula>
    </cfRule>
    <cfRule type="cellIs" dxfId="498" priority="9" operator="equal">
      <formula>"미조치"</formula>
    </cfRule>
    <cfRule type="cellIs" dxfId="497" priority="10" operator="equal">
      <formula>"조치"</formula>
    </cfRule>
  </conditionalFormatting>
  <conditionalFormatting sqref="L20:L38">
    <cfRule type="cellIs" dxfId="496" priority="1" stopIfTrue="1" operator="equal">
      <formula>"인터뷰"</formula>
    </cfRule>
    <cfRule type="cellIs" dxfId="495" priority="2" stopIfTrue="1" operator="equal">
      <formula>"R/A"</formula>
    </cfRule>
    <cfRule type="cellIs" dxfId="494" priority="3" stopIfTrue="1" operator="equal">
      <formula>"N/A"</formula>
    </cfRule>
    <cfRule type="cellIs" dxfId="493" priority="4" stopIfTrue="1" operator="equal">
      <formula>"N"</formula>
    </cfRule>
    <cfRule type="expression" dxfId="492" priority="5">
      <formula>OR(IF(L20=0,1,0),IF(L20="-",1,0))</formula>
    </cfRule>
  </conditionalFormatting>
  <conditionalFormatting sqref="Y20:Y38">
    <cfRule type="cellIs" dxfId="491" priority="16" operator="equal">
      <formula>"신규 취약점(즉시조치)"</formula>
    </cfRule>
    <cfRule type="cellIs" dxfId="490" priority="17" operator="equal">
      <formula>"기존 취약점(즉시조치)"</formula>
    </cfRule>
    <cfRule type="cellIs" dxfId="489" priority="18" operator="equal">
      <formula>"기존 취약점"</formula>
    </cfRule>
    <cfRule type="cellIs" dxfId="488" priority="19" operator="equal">
      <formula>"신규 취약점"</formula>
    </cfRule>
    <cfRule type="cellIs" dxfId="487" priority="20" operator="equal">
      <formula>"확인필요"</formula>
    </cfRule>
    <cfRule type="cellIs" dxfId="486" priority="21" operator="equal">
      <formula>"확인필요"</formula>
    </cfRule>
    <cfRule type="cellIs" dxfId="485" priority="22" operator="equal">
      <formula>"신규취약점"</formula>
    </cfRule>
    <cfRule type="cellIs" dxfId="484" priority="23" operator="equal">
      <formula>"조치완료"</formula>
    </cfRule>
  </conditionalFormatting>
  <dataValidations count="4">
    <dataValidation allowBlank="1" showInputMessage="1" showErrorMessage="1" errorTitle="오류!" error="Y, N, N/A 중에 선택" sqref="I20:I38 L20:L38"/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type="list" errorStyle="warning" showInputMessage="1" showErrorMessage="1" errorTitle="오류!" error="Y, N, N/A 중에 선택" sqref="J20:J38">
      <formula1>"Y,N,N/A,인터뷰,Y(즉시조치)"</formula1>
    </dataValidation>
    <dataValidation errorStyle="warning" allowBlank="1" showInputMessage="1" showErrorMessage="1" sqref="K20:K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P-05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P-05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10.0.18.1/24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483" priority="7" operator="equal">
      <formula>"취약"</formula>
    </cfRule>
  </conditionalFormatting>
  <conditionalFormatting sqref="J20:K38">
    <cfRule type="cellIs" dxfId="482" priority="11" stopIfTrue="1" operator="equal">
      <formula>"인터뷰"</formula>
    </cfRule>
    <cfRule type="cellIs" dxfId="481" priority="12" stopIfTrue="1" operator="equal">
      <formula>"R/A"</formula>
    </cfRule>
    <cfRule type="cellIs" dxfId="480" priority="13" stopIfTrue="1" operator="equal">
      <formula>"N/A"</formula>
    </cfRule>
    <cfRule type="cellIs" dxfId="479" priority="14" stopIfTrue="1" operator="equal">
      <formula>"N"</formula>
    </cfRule>
    <cfRule type="expression" dxfId="478" priority="15">
      <formula>OR(IF(J20=0,1,0),IF(J20="-",1,0))</formula>
    </cfRule>
  </conditionalFormatting>
  <conditionalFormatting sqref="K20:K38">
    <cfRule type="cellIs" dxfId="477" priority="8" operator="equal">
      <formula>"위험수용"</formula>
    </cfRule>
    <cfRule type="cellIs" dxfId="476" priority="9" operator="equal">
      <formula>"미조치"</formula>
    </cfRule>
    <cfRule type="cellIs" dxfId="475" priority="10" operator="equal">
      <formula>"조치"</formula>
    </cfRule>
  </conditionalFormatting>
  <conditionalFormatting sqref="L20:L38">
    <cfRule type="cellIs" dxfId="474" priority="1" stopIfTrue="1" operator="equal">
      <formula>"인터뷰"</formula>
    </cfRule>
    <cfRule type="cellIs" dxfId="473" priority="2" stopIfTrue="1" operator="equal">
      <formula>"R/A"</formula>
    </cfRule>
    <cfRule type="cellIs" dxfId="472" priority="3" stopIfTrue="1" operator="equal">
      <formula>"N/A"</formula>
    </cfRule>
    <cfRule type="cellIs" dxfId="471" priority="4" stopIfTrue="1" operator="equal">
      <formula>"N"</formula>
    </cfRule>
    <cfRule type="expression" dxfId="470" priority="5">
      <formula>OR(IF(L20=0,1,0),IF(L20="-",1,0))</formula>
    </cfRule>
  </conditionalFormatting>
  <conditionalFormatting sqref="Y20:Y38">
    <cfRule type="cellIs" dxfId="469" priority="16" operator="equal">
      <formula>"신규 취약점(즉시조치)"</formula>
    </cfRule>
    <cfRule type="cellIs" dxfId="468" priority="17" operator="equal">
      <formula>"기존 취약점(즉시조치)"</formula>
    </cfRule>
    <cfRule type="cellIs" dxfId="467" priority="18" operator="equal">
      <formula>"기존 취약점"</formula>
    </cfRule>
    <cfRule type="cellIs" dxfId="466" priority="19" operator="equal">
      <formula>"신규 취약점"</formula>
    </cfRule>
    <cfRule type="cellIs" dxfId="465" priority="20" operator="equal">
      <formula>"확인필요"</formula>
    </cfRule>
    <cfRule type="cellIs" dxfId="464" priority="21" operator="equal">
      <formula>"확인필요"</formula>
    </cfRule>
    <cfRule type="cellIs" dxfId="463" priority="22" operator="equal">
      <formula>"신규취약점"</formula>
    </cfRule>
    <cfRule type="cellIs" dxfId="462" priority="23" operator="equal">
      <formula>"조치완료"</formula>
    </cfRule>
  </conditionalFormatting>
  <dataValidations count="4">
    <dataValidation errorStyle="warning" allowBlank="1" showInputMessage="1" showErrorMessage="1" sqref="K20:K38"/>
    <dataValidation type="list" errorStyle="warning" showInputMessage="1" showErrorMessage="1" errorTitle="오류!" error="Y, N, N/A 중에 선택" sqref="J20:J38">
      <formula1>"Y,N,N/A,인터뷰,Y(즉시조치)"</formula1>
    </dataValidation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allowBlank="1" showInputMessage="1" showErrorMessage="1" errorTitle="오류!" error="Y, N, N/A 중에 선택" sqref="I20:I38 L20:L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P-06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P-06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10.0.18.2/24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461" priority="7" operator="equal">
      <formula>"취약"</formula>
    </cfRule>
  </conditionalFormatting>
  <conditionalFormatting sqref="J20:K38">
    <cfRule type="cellIs" dxfId="460" priority="11" stopIfTrue="1" operator="equal">
      <formula>"인터뷰"</formula>
    </cfRule>
    <cfRule type="cellIs" dxfId="459" priority="12" stopIfTrue="1" operator="equal">
      <formula>"R/A"</formula>
    </cfRule>
    <cfRule type="cellIs" dxfId="458" priority="13" stopIfTrue="1" operator="equal">
      <formula>"N/A"</formula>
    </cfRule>
    <cfRule type="cellIs" dxfId="457" priority="14" stopIfTrue="1" operator="equal">
      <formula>"N"</formula>
    </cfRule>
    <cfRule type="expression" dxfId="456" priority="15">
      <formula>OR(IF(J20=0,1,0),IF(J20="-",1,0))</formula>
    </cfRule>
  </conditionalFormatting>
  <conditionalFormatting sqref="K20:K38">
    <cfRule type="cellIs" dxfId="455" priority="8" operator="equal">
      <formula>"위험수용"</formula>
    </cfRule>
    <cfRule type="cellIs" dxfId="454" priority="9" operator="equal">
      <formula>"미조치"</formula>
    </cfRule>
    <cfRule type="cellIs" dxfId="453" priority="10" operator="equal">
      <formula>"조치"</formula>
    </cfRule>
  </conditionalFormatting>
  <conditionalFormatting sqref="L20:L38">
    <cfRule type="cellIs" dxfId="452" priority="1" stopIfTrue="1" operator="equal">
      <formula>"인터뷰"</formula>
    </cfRule>
    <cfRule type="cellIs" dxfId="451" priority="2" stopIfTrue="1" operator="equal">
      <formula>"R/A"</formula>
    </cfRule>
    <cfRule type="cellIs" dxfId="450" priority="3" stopIfTrue="1" operator="equal">
      <formula>"N/A"</formula>
    </cfRule>
    <cfRule type="cellIs" dxfId="449" priority="4" stopIfTrue="1" operator="equal">
      <formula>"N"</formula>
    </cfRule>
    <cfRule type="expression" dxfId="448" priority="5">
      <formula>OR(IF(L20=0,1,0),IF(L20="-",1,0))</formula>
    </cfRule>
  </conditionalFormatting>
  <conditionalFormatting sqref="Y20:Y38">
    <cfRule type="cellIs" dxfId="447" priority="16" operator="equal">
      <formula>"신규 취약점(즉시조치)"</formula>
    </cfRule>
    <cfRule type="cellIs" dxfId="446" priority="17" operator="equal">
      <formula>"기존 취약점(즉시조치)"</formula>
    </cfRule>
    <cfRule type="cellIs" dxfId="445" priority="18" operator="equal">
      <formula>"기존 취약점"</formula>
    </cfRule>
    <cfRule type="cellIs" dxfId="444" priority="19" operator="equal">
      <formula>"신규 취약점"</formula>
    </cfRule>
    <cfRule type="cellIs" dxfId="443" priority="20" operator="equal">
      <formula>"확인필요"</formula>
    </cfRule>
    <cfRule type="cellIs" dxfId="442" priority="21" operator="equal">
      <formula>"확인필요"</formula>
    </cfRule>
    <cfRule type="cellIs" dxfId="441" priority="22" operator="equal">
      <formula>"신규취약점"</formula>
    </cfRule>
    <cfRule type="cellIs" dxfId="440" priority="23" operator="equal">
      <formula>"조치완료"</formula>
    </cfRule>
  </conditionalFormatting>
  <dataValidations count="4">
    <dataValidation allowBlank="1" showInputMessage="1" showErrorMessage="1" errorTitle="오류!" error="Y, N, N/A 중에 선택" sqref="I20:I38 L20:L38"/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type="list" errorStyle="warning" showInputMessage="1" showErrorMessage="1" errorTitle="오류!" error="Y, N, N/A 중에 선택" sqref="J20:J38">
      <formula1>"Y,N,N/A,인터뷰,Y(즉시조치)"</formula1>
    </dataValidation>
    <dataValidation errorStyle="warning" allowBlank="1" showInputMessage="1" showErrorMessage="1" sqref="K20:K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P-07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P-07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10.0.19.1/24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439" priority="7" operator="equal">
      <formula>"취약"</formula>
    </cfRule>
  </conditionalFormatting>
  <conditionalFormatting sqref="J20:K38">
    <cfRule type="cellIs" dxfId="438" priority="11" stopIfTrue="1" operator="equal">
      <formula>"인터뷰"</formula>
    </cfRule>
    <cfRule type="cellIs" dxfId="437" priority="12" stopIfTrue="1" operator="equal">
      <formula>"R/A"</formula>
    </cfRule>
    <cfRule type="cellIs" dxfId="436" priority="13" stopIfTrue="1" operator="equal">
      <formula>"N/A"</formula>
    </cfRule>
    <cfRule type="cellIs" dxfId="435" priority="14" stopIfTrue="1" operator="equal">
      <formula>"N"</formula>
    </cfRule>
    <cfRule type="expression" dxfId="434" priority="15">
      <formula>OR(IF(J20=0,1,0),IF(J20="-",1,0))</formula>
    </cfRule>
  </conditionalFormatting>
  <conditionalFormatting sqref="K20:K38">
    <cfRule type="cellIs" dxfId="433" priority="8" operator="equal">
      <formula>"위험수용"</formula>
    </cfRule>
    <cfRule type="cellIs" dxfId="432" priority="9" operator="equal">
      <formula>"미조치"</formula>
    </cfRule>
    <cfRule type="cellIs" dxfId="431" priority="10" operator="equal">
      <formula>"조치"</formula>
    </cfRule>
  </conditionalFormatting>
  <conditionalFormatting sqref="L20:L38">
    <cfRule type="cellIs" dxfId="430" priority="1" stopIfTrue="1" operator="equal">
      <formula>"인터뷰"</formula>
    </cfRule>
    <cfRule type="cellIs" dxfId="429" priority="2" stopIfTrue="1" operator="equal">
      <formula>"R/A"</formula>
    </cfRule>
    <cfRule type="cellIs" dxfId="428" priority="3" stopIfTrue="1" operator="equal">
      <formula>"N/A"</formula>
    </cfRule>
    <cfRule type="cellIs" dxfId="427" priority="4" stopIfTrue="1" operator="equal">
      <formula>"N"</formula>
    </cfRule>
    <cfRule type="expression" dxfId="426" priority="5">
      <formula>OR(IF(L20=0,1,0),IF(L20="-",1,0))</formula>
    </cfRule>
  </conditionalFormatting>
  <conditionalFormatting sqref="Y20:Y38">
    <cfRule type="cellIs" dxfId="425" priority="16" operator="equal">
      <formula>"신규 취약점(즉시조치)"</formula>
    </cfRule>
    <cfRule type="cellIs" dxfId="424" priority="17" operator="equal">
      <formula>"기존 취약점(즉시조치)"</formula>
    </cfRule>
    <cfRule type="cellIs" dxfId="423" priority="18" operator="equal">
      <formula>"기존 취약점"</formula>
    </cfRule>
    <cfRule type="cellIs" dxfId="422" priority="19" operator="equal">
      <formula>"신규 취약점"</formula>
    </cfRule>
    <cfRule type="cellIs" dxfId="421" priority="20" operator="equal">
      <formula>"확인필요"</formula>
    </cfRule>
    <cfRule type="cellIs" dxfId="420" priority="21" operator="equal">
      <formula>"확인필요"</formula>
    </cfRule>
    <cfRule type="cellIs" dxfId="419" priority="22" operator="equal">
      <formula>"신규취약점"</formula>
    </cfRule>
    <cfRule type="cellIs" dxfId="418" priority="23" operator="equal">
      <formula>"조치완료"</formula>
    </cfRule>
  </conditionalFormatting>
  <dataValidations count="4">
    <dataValidation errorStyle="warning" allowBlank="1" showInputMessage="1" showErrorMessage="1" sqref="K20:K38"/>
    <dataValidation type="list" errorStyle="warning" showInputMessage="1" showErrorMessage="1" errorTitle="오류!" error="Y, N, N/A 중에 선택" sqref="J20:J38">
      <formula1>"Y,N,N/A,인터뷰,Y(즉시조치)"</formula1>
    </dataValidation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allowBlank="1" showInputMessage="1" showErrorMessage="1" errorTitle="오류!" error="Y, N, N/A 중에 선택" sqref="I20:I38 L20:L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P-08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P-08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10.0.19.2/24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417" priority="7" operator="equal">
      <formula>"취약"</formula>
    </cfRule>
  </conditionalFormatting>
  <conditionalFormatting sqref="J20:K38">
    <cfRule type="cellIs" dxfId="416" priority="11" stopIfTrue="1" operator="equal">
      <formula>"인터뷰"</formula>
    </cfRule>
    <cfRule type="cellIs" dxfId="415" priority="12" stopIfTrue="1" operator="equal">
      <formula>"R/A"</formula>
    </cfRule>
    <cfRule type="cellIs" dxfId="414" priority="13" stopIfTrue="1" operator="equal">
      <formula>"N/A"</formula>
    </cfRule>
    <cfRule type="cellIs" dxfId="413" priority="14" stopIfTrue="1" operator="equal">
      <formula>"N"</formula>
    </cfRule>
    <cfRule type="expression" dxfId="412" priority="15">
      <formula>OR(IF(J20=0,1,0),IF(J20="-",1,0))</formula>
    </cfRule>
  </conditionalFormatting>
  <conditionalFormatting sqref="K20:K38">
    <cfRule type="cellIs" dxfId="411" priority="8" operator="equal">
      <formula>"위험수용"</formula>
    </cfRule>
    <cfRule type="cellIs" dxfId="410" priority="9" operator="equal">
      <formula>"미조치"</formula>
    </cfRule>
    <cfRule type="cellIs" dxfId="409" priority="10" operator="equal">
      <formula>"조치"</formula>
    </cfRule>
  </conditionalFormatting>
  <conditionalFormatting sqref="L20:L38">
    <cfRule type="cellIs" dxfId="408" priority="1" stopIfTrue="1" operator="equal">
      <formula>"인터뷰"</formula>
    </cfRule>
    <cfRule type="cellIs" dxfId="407" priority="2" stopIfTrue="1" operator="equal">
      <formula>"R/A"</formula>
    </cfRule>
    <cfRule type="cellIs" dxfId="406" priority="3" stopIfTrue="1" operator="equal">
      <formula>"N/A"</formula>
    </cfRule>
    <cfRule type="cellIs" dxfId="405" priority="4" stopIfTrue="1" operator="equal">
      <formula>"N"</formula>
    </cfRule>
    <cfRule type="expression" dxfId="404" priority="5">
      <formula>OR(IF(L20=0,1,0),IF(L20="-",1,0))</formula>
    </cfRule>
  </conditionalFormatting>
  <conditionalFormatting sqref="Y20:Y38">
    <cfRule type="cellIs" dxfId="403" priority="16" operator="equal">
      <formula>"신규 취약점(즉시조치)"</formula>
    </cfRule>
    <cfRule type="cellIs" dxfId="402" priority="17" operator="equal">
      <formula>"기존 취약점(즉시조치)"</formula>
    </cfRule>
    <cfRule type="cellIs" dxfId="401" priority="18" operator="equal">
      <formula>"기존 취약점"</formula>
    </cfRule>
    <cfRule type="cellIs" dxfId="400" priority="19" operator="equal">
      <formula>"신규 취약점"</formula>
    </cfRule>
    <cfRule type="cellIs" dxfId="399" priority="20" operator="equal">
      <formula>"확인필요"</formula>
    </cfRule>
    <cfRule type="cellIs" dxfId="398" priority="21" operator="equal">
      <formula>"확인필요"</formula>
    </cfRule>
    <cfRule type="cellIs" dxfId="397" priority="22" operator="equal">
      <formula>"신규취약점"</formula>
    </cfRule>
    <cfRule type="cellIs" dxfId="396" priority="23" operator="equal">
      <formula>"조치완료"</formula>
    </cfRule>
  </conditionalFormatting>
  <dataValidations count="4">
    <dataValidation allowBlank="1" showInputMessage="1" showErrorMessage="1" errorTitle="오류!" error="Y, N, N/A 중에 선택" sqref="I20:I38 L20:L38"/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type="list" errorStyle="warning" showInputMessage="1" showErrorMessage="1" errorTitle="오류!" error="Y, N, N/A 중에 선택" sqref="J20:J38">
      <formula1>"Y,N,N/A,인터뷰,Y(즉시조치)"</formula1>
    </dataValidation>
    <dataValidation errorStyle="warning" allowBlank="1" showInputMessage="1" showErrorMessage="1" sqref="K20:K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P-09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P-09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10.0.20.1/24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395" priority="7" operator="equal">
      <formula>"취약"</formula>
    </cfRule>
  </conditionalFormatting>
  <conditionalFormatting sqref="J20:K38">
    <cfRule type="cellIs" dxfId="394" priority="11" stopIfTrue="1" operator="equal">
      <formula>"인터뷰"</formula>
    </cfRule>
    <cfRule type="cellIs" dxfId="393" priority="12" stopIfTrue="1" operator="equal">
      <formula>"R/A"</formula>
    </cfRule>
    <cfRule type="cellIs" dxfId="392" priority="13" stopIfTrue="1" operator="equal">
      <formula>"N/A"</formula>
    </cfRule>
    <cfRule type="cellIs" dxfId="391" priority="14" stopIfTrue="1" operator="equal">
      <formula>"N"</formula>
    </cfRule>
    <cfRule type="expression" dxfId="390" priority="15">
      <formula>OR(IF(J20=0,1,0),IF(J20="-",1,0))</formula>
    </cfRule>
  </conditionalFormatting>
  <conditionalFormatting sqref="K20:K38">
    <cfRule type="cellIs" dxfId="389" priority="8" operator="equal">
      <formula>"위험수용"</formula>
    </cfRule>
    <cfRule type="cellIs" dxfId="388" priority="9" operator="equal">
      <formula>"미조치"</formula>
    </cfRule>
    <cfRule type="cellIs" dxfId="387" priority="10" operator="equal">
      <formula>"조치"</formula>
    </cfRule>
  </conditionalFormatting>
  <conditionalFormatting sqref="L20:L38">
    <cfRule type="cellIs" dxfId="386" priority="1" stopIfTrue="1" operator="equal">
      <formula>"인터뷰"</formula>
    </cfRule>
    <cfRule type="cellIs" dxfId="385" priority="2" stopIfTrue="1" operator="equal">
      <formula>"R/A"</formula>
    </cfRule>
    <cfRule type="cellIs" dxfId="384" priority="3" stopIfTrue="1" operator="equal">
      <formula>"N/A"</formula>
    </cfRule>
    <cfRule type="cellIs" dxfId="383" priority="4" stopIfTrue="1" operator="equal">
      <formula>"N"</formula>
    </cfRule>
    <cfRule type="expression" dxfId="382" priority="5">
      <formula>OR(IF(L20=0,1,0),IF(L20="-",1,0))</formula>
    </cfRule>
  </conditionalFormatting>
  <conditionalFormatting sqref="Y20:Y38">
    <cfRule type="cellIs" dxfId="381" priority="16" operator="equal">
      <formula>"신규 취약점(즉시조치)"</formula>
    </cfRule>
    <cfRule type="cellIs" dxfId="380" priority="17" operator="equal">
      <formula>"기존 취약점(즉시조치)"</formula>
    </cfRule>
    <cfRule type="cellIs" dxfId="379" priority="18" operator="equal">
      <formula>"기존 취약점"</formula>
    </cfRule>
    <cfRule type="cellIs" dxfId="378" priority="19" operator="equal">
      <formula>"신규 취약점"</formula>
    </cfRule>
    <cfRule type="cellIs" dxfId="377" priority="20" operator="equal">
      <formula>"확인필요"</formula>
    </cfRule>
    <cfRule type="cellIs" dxfId="376" priority="21" operator="equal">
      <formula>"확인필요"</formula>
    </cfRule>
    <cfRule type="cellIs" dxfId="375" priority="22" operator="equal">
      <formula>"신규취약점"</formula>
    </cfRule>
    <cfRule type="cellIs" dxfId="374" priority="23" operator="equal">
      <formula>"조치완료"</formula>
    </cfRule>
  </conditionalFormatting>
  <dataValidations count="4">
    <dataValidation allowBlank="1" showInputMessage="1" showErrorMessage="1" errorTitle="오류!" error="Y, N, N/A 중에 선택" sqref="I20:I38 L20:L38"/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type="list" errorStyle="warning" showInputMessage="1" showErrorMessage="1" errorTitle="오류!" error="Y, N, N/A 중에 선택" sqref="J20:J38">
      <formula1>"Y,N,N/A,인터뷰,Y(즉시조치)"</formula1>
    </dataValidation>
    <dataValidation errorStyle="warning" allowBlank="1" showInputMessage="1" showErrorMessage="1" sqref="K20:K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P-10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P-10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10.0.20.2/24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373" priority="7" operator="equal">
      <formula>"취약"</formula>
    </cfRule>
  </conditionalFormatting>
  <conditionalFormatting sqref="J20:K38">
    <cfRule type="cellIs" dxfId="372" priority="11" stopIfTrue="1" operator="equal">
      <formula>"인터뷰"</formula>
    </cfRule>
    <cfRule type="cellIs" dxfId="371" priority="12" stopIfTrue="1" operator="equal">
      <formula>"R/A"</formula>
    </cfRule>
    <cfRule type="cellIs" dxfId="370" priority="13" stopIfTrue="1" operator="equal">
      <formula>"N/A"</formula>
    </cfRule>
    <cfRule type="cellIs" dxfId="369" priority="14" stopIfTrue="1" operator="equal">
      <formula>"N"</formula>
    </cfRule>
    <cfRule type="expression" dxfId="368" priority="15">
      <formula>OR(IF(J20=0,1,0),IF(J20="-",1,0))</formula>
    </cfRule>
  </conditionalFormatting>
  <conditionalFormatting sqref="K20:K38">
    <cfRule type="cellIs" dxfId="367" priority="8" operator="equal">
      <formula>"위험수용"</formula>
    </cfRule>
    <cfRule type="cellIs" dxfId="366" priority="9" operator="equal">
      <formula>"미조치"</formula>
    </cfRule>
    <cfRule type="cellIs" dxfId="365" priority="10" operator="equal">
      <formula>"조치"</formula>
    </cfRule>
  </conditionalFormatting>
  <conditionalFormatting sqref="L20:L38">
    <cfRule type="cellIs" dxfId="364" priority="1" stopIfTrue="1" operator="equal">
      <formula>"인터뷰"</formula>
    </cfRule>
    <cfRule type="cellIs" dxfId="363" priority="2" stopIfTrue="1" operator="equal">
      <formula>"R/A"</formula>
    </cfRule>
    <cfRule type="cellIs" dxfId="362" priority="3" stopIfTrue="1" operator="equal">
      <formula>"N/A"</formula>
    </cfRule>
    <cfRule type="cellIs" dxfId="361" priority="4" stopIfTrue="1" operator="equal">
      <formula>"N"</formula>
    </cfRule>
    <cfRule type="expression" dxfId="360" priority="5">
      <formula>OR(IF(L20=0,1,0),IF(L20="-",1,0))</formula>
    </cfRule>
  </conditionalFormatting>
  <conditionalFormatting sqref="Y20:Y38">
    <cfRule type="cellIs" dxfId="359" priority="16" operator="equal">
      <formula>"신규 취약점(즉시조치)"</formula>
    </cfRule>
    <cfRule type="cellIs" dxfId="358" priority="17" operator="equal">
      <formula>"기존 취약점(즉시조치)"</formula>
    </cfRule>
    <cfRule type="cellIs" dxfId="357" priority="18" operator="equal">
      <formula>"기존 취약점"</formula>
    </cfRule>
    <cfRule type="cellIs" dxfId="356" priority="19" operator="equal">
      <formula>"신규 취약점"</formula>
    </cfRule>
    <cfRule type="cellIs" dxfId="355" priority="20" operator="equal">
      <formula>"확인필요"</formula>
    </cfRule>
    <cfRule type="cellIs" dxfId="354" priority="21" operator="equal">
      <formula>"확인필요"</formula>
    </cfRule>
    <cfRule type="cellIs" dxfId="353" priority="22" operator="equal">
      <formula>"신규취약점"</formula>
    </cfRule>
    <cfRule type="cellIs" dxfId="352" priority="23" operator="equal">
      <formula>"조치완료"</formula>
    </cfRule>
  </conditionalFormatting>
  <dataValidations count="4">
    <dataValidation errorStyle="warning" allowBlank="1" showInputMessage="1" showErrorMessage="1" sqref="K20:K38"/>
    <dataValidation type="list" errorStyle="warning" showInputMessage="1" showErrorMessage="1" errorTitle="오류!" error="Y, N, N/A 중에 선택" sqref="J20:J38">
      <formula1>"Y,N,N/A,인터뷰,Y(즉시조치)"</formula1>
    </dataValidation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allowBlank="1" showInputMessage="1" showErrorMessage="1" errorTitle="오류!" error="Y, N, N/A 중에 선택" sqref="I20:I38 L20:L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P-11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P-11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10.0.21.1/24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351" priority="7" operator="equal">
      <formula>"취약"</formula>
    </cfRule>
  </conditionalFormatting>
  <conditionalFormatting sqref="J20:K38">
    <cfRule type="cellIs" dxfId="350" priority="11" stopIfTrue="1" operator="equal">
      <formula>"인터뷰"</formula>
    </cfRule>
    <cfRule type="cellIs" dxfId="349" priority="12" stopIfTrue="1" operator="equal">
      <formula>"R/A"</formula>
    </cfRule>
    <cfRule type="cellIs" dxfId="348" priority="13" stopIfTrue="1" operator="equal">
      <formula>"N/A"</formula>
    </cfRule>
    <cfRule type="cellIs" dxfId="347" priority="14" stopIfTrue="1" operator="equal">
      <formula>"N"</formula>
    </cfRule>
    <cfRule type="expression" dxfId="346" priority="15">
      <formula>OR(IF(J20=0,1,0),IF(J20="-",1,0))</formula>
    </cfRule>
  </conditionalFormatting>
  <conditionalFormatting sqref="K20:K38">
    <cfRule type="cellIs" dxfId="345" priority="8" operator="equal">
      <formula>"위험수용"</formula>
    </cfRule>
    <cfRule type="cellIs" dxfId="344" priority="9" operator="equal">
      <formula>"미조치"</formula>
    </cfRule>
    <cfRule type="cellIs" dxfId="343" priority="10" operator="equal">
      <formula>"조치"</formula>
    </cfRule>
  </conditionalFormatting>
  <conditionalFormatting sqref="L20:L38">
    <cfRule type="cellIs" dxfId="342" priority="1" stopIfTrue="1" operator="equal">
      <formula>"인터뷰"</formula>
    </cfRule>
    <cfRule type="cellIs" dxfId="341" priority="2" stopIfTrue="1" operator="equal">
      <formula>"R/A"</formula>
    </cfRule>
    <cfRule type="cellIs" dxfId="340" priority="3" stopIfTrue="1" operator="equal">
      <formula>"N/A"</formula>
    </cfRule>
    <cfRule type="cellIs" dxfId="339" priority="4" stopIfTrue="1" operator="equal">
      <formula>"N"</formula>
    </cfRule>
    <cfRule type="expression" dxfId="338" priority="5">
      <formula>OR(IF(L20=0,1,0),IF(L20="-",1,0))</formula>
    </cfRule>
  </conditionalFormatting>
  <conditionalFormatting sqref="Y20:Y38">
    <cfRule type="cellIs" dxfId="337" priority="16" operator="equal">
      <formula>"신규 취약점(즉시조치)"</formula>
    </cfRule>
    <cfRule type="cellIs" dxfId="336" priority="17" operator="equal">
      <formula>"기존 취약점(즉시조치)"</formula>
    </cfRule>
    <cfRule type="cellIs" dxfId="335" priority="18" operator="equal">
      <formula>"기존 취약점"</formula>
    </cfRule>
    <cfRule type="cellIs" dxfId="334" priority="19" operator="equal">
      <formula>"신규 취약점"</formula>
    </cfRule>
    <cfRule type="cellIs" dxfId="333" priority="20" operator="equal">
      <formula>"확인필요"</formula>
    </cfRule>
    <cfRule type="cellIs" dxfId="332" priority="21" operator="equal">
      <formula>"확인필요"</formula>
    </cfRule>
    <cfRule type="cellIs" dxfId="331" priority="22" operator="equal">
      <formula>"신규취약점"</formula>
    </cfRule>
    <cfRule type="cellIs" dxfId="330" priority="23" operator="equal">
      <formula>"조치완료"</formula>
    </cfRule>
  </conditionalFormatting>
  <dataValidations count="4">
    <dataValidation allowBlank="1" showInputMessage="1" showErrorMessage="1" errorTitle="오류!" error="Y, N, N/A 중에 선택" sqref="I20:I38 L20:L38"/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type="list" errorStyle="warning" showInputMessage="1" showErrorMessage="1" errorTitle="오류!" error="Y, N, N/A 중에 선택" sqref="J20:J38">
      <formula1>"Y,N,N/A,인터뷰,Y(즉시조치)"</formula1>
    </dataValidation>
    <dataValidation errorStyle="warning" allowBlank="1" showInputMessage="1" showErrorMessage="1" sqref="K20:K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P-12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P-12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10.0.21.2/24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329" priority="7" operator="equal">
      <formula>"취약"</formula>
    </cfRule>
  </conditionalFormatting>
  <conditionalFormatting sqref="J20:K38">
    <cfRule type="cellIs" dxfId="328" priority="11" stopIfTrue="1" operator="equal">
      <formula>"인터뷰"</formula>
    </cfRule>
    <cfRule type="cellIs" dxfId="327" priority="12" stopIfTrue="1" operator="equal">
      <formula>"R/A"</formula>
    </cfRule>
    <cfRule type="cellIs" dxfId="326" priority="13" stopIfTrue="1" operator="equal">
      <formula>"N/A"</formula>
    </cfRule>
    <cfRule type="cellIs" dxfId="325" priority="14" stopIfTrue="1" operator="equal">
      <formula>"N"</formula>
    </cfRule>
    <cfRule type="expression" dxfId="324" priority="15">
      <formula>OR(IF(J20=0,1,0),IF(J20="-",1,0))</formula>
    </cfRule>
  </conditionalFormatting>
  <conditionalFormatting sqref="K20:K38">
    <cfRule type="cellIs" dxfId="323" priority="8" operator="equal">
      <formula>"위험수용"</formula>
    </cfRule>
    <cfRule type="cellIs" dxfId="322" priority="9" operator="equal">
      <formula>"미조치"</formula>
    </cfRule>
    <cfRule type="cellIs" dxfId="321" priority="10" operator="equal">
      <formula>"조치"</formula>
    </cfRule>
  </conditionalFormatting>
  <conditionalFormatting sqref="L20:L38">
    <cfRule type="cellIs" dxfId="320" priority="1" stopIfTrue="1" operator="equal">
      <formula>"인터뷰"</formula>
    </cfRule>
    <cfRule type="cellIs" dxfId="319" priority="2" stopIfTrue="1" operator="equal">
      <formula>"R/A"</formula>
    </cfRule>
    <cfRule type="cellIs" dxfId="318" priority="3" stopIfTrue="1" operator="equal">
      <formula>"N/A"</formula>
    </cfRule>
    <cfRule type="cellIs" dxfId="317" priority="4" stopIfTrue="1" operator="equal">
      <formula>"N"</formula>
    </cfRule>
    <cfRule type="expression" dxfId="316" priority="5">
      <formula>OR(IF(L20=0,1,0),IF(L20="-",1,0))</formula>
    </cfRule>
  </conditionalFormatting>
  <conditionalFormatting sqref="Y20:Y38">
    <cfRule type="cellIs" dxfId="315" priority="16" operator="equal">
      <formula>"신규 취약점(즉시조치)"</formula>
    </cfRule>
    <cfRule type="cellIs" dxfId="314" priority="17" operator="equal">
      <formula>"기존 취약점(즉시조치)"</formula>
    </cfRule>
    <cfRule type="cellIs" dxfId="313" priority="18" operator="equal">
      <formula>"기존 취약점"</formula>
    </cfRule>
    <cfRule type="cellIs" dxfId="312" priority="19" operator="equal">
      <formula>"신규 취약점"</formula>
    </cfRule>
    <cfRule type="cellIs" dxfId="311" priority="20" operator="equal">
      <formula>"확인필요"</formula>
    </cfRule>
    <cfRule type="cellIs" dxfId="310" priority="21" operator="equal">
      <formula>"확인필요"</formula>
    </cfRule>
    <cfRule type="cellIs" dxfId="309" priority="22" operator="equal">
      <formula>"신규취약점"</formula>
    </cfRule>
    <cfRule type="cellIs" dxfId="308" priority="23" operator="equal">
      <formula>"조치완료"</formula>
    </cfRule>
  </conditionalFormatting>
  <dataValidations count="4">
    <dataValidation errorStyle="warning" allowBlank="1" showInputMessage="1" showErrorMessage="1" sqref="K20:K38"/>
    <dataValidation type="list" errorStyle="warning" showInputMessage="1" showErrorMessage="1" errorTitle="오류!" error="Y, N, N/A 중에 선택" sqref="J20:J38">
      <formula1>"Y,N,N/A,인터뷰,Y(즉시조치)"</formula1>
    </dataValidation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allowBlank="1" showInputMessage="1" showErrorMessage="1" errorTitle="오류!" error="Y, N, N/A 중에 선택" sqref="I20:I38 L20:L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P-13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P-13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10.0.22.1/24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307" priority="7" operator="equal">
      <formula>"취약"</formula>
    </cfRule>
  </conditionalFormatting>
  <conditionalFormatting sqref="J20:K38">
    <cfRule type="cellIs" dxfId="306" priority="11" stopIfTrue="1" operator="equal">
      <formula>"인터뷰"</formula>
    </cfRule>
    <cfRule type="cellIs" dxfId="305" priority="12" stopIfTrue="1" operator="equal">
      <formula>"R/A"</formula>
    </cfRule>
    <cfRule type="cellIs" dxfId="304" priority="13" stopIfTrue="1" operator="equal">
      <formula>"N/A"</formula>
    </cfRule>
    <cfRule type="cellIs" dxfId="303" priority="14" stopIfTrue="1" operator="equal">
      <formula>"N"</formula>
    </cfRule>
    <cfRule type="expression" dxfId="302" priority="15">
      <formula>OR(IF(J20=0,1,0),IF(J20="-",1,0))</formula>
    </cfRule>
  </conditionalFormatting>
  <conditionalFormatting sqref="K20:K38">
    <cfRule type="cellIs" dxfId="301" priority="8" operator="equal">
      <formula>"위험수용"</formula>
    </cfRule>
    <cfRule type="cellIs" dxfId="300" priority="9" operator="equal">
      <formula>"미조치"</formula>
    </cfRule>
    <cfRule type="cellIs" dxfId="299" priority="10" operator="equal">
      <formula>"조치"</formula>
    </cfRule>
  </conditionalFormatting>
  <conditionalFormatting sqref="L20:L38">
    <cfRule type="cellIs" dxfId="298" priority="1" stopIfTrue="1" operator="equal">
      <formula>"인터뷰"</formula>
    </cfRule>
    <cfRule type="cellIs" dxfId="297" priority="2" stopIfTrue="1" operator="equal">
      <formula>"R/A"</formula>
    </cfRule>
    <cfRule type="cellIs" dxfId="296" priority="3" stopIfTrue="1" operator="equal">
      <formula>"N/A"</formula>
    </cfRule>
    <cfRule type="cellIs" dxfId="295" priority="4" stopIfTrue="1" operator="equal">
      <formula>"N"</formula>
    </cfRule>
    <cfRule type="expression" dxfId="294" priority="5">
      <formula>OR(IF(L20=0,1,0),IF(L20="-",1,0))</formula>
    </cfRule>
  </conditionalFormatting>
  <conditionalFormatting sqref="Y20:Y38">
    <cfRule type="cellIs" dxfId="293" priority="16" operator="equal">
      <formula>"신규 취약점(즉시조치)"</formula>
    </cfRule>
    <cfRule type="cellIs" dxfId="292" priority="17" operator="equal">
      <formula>"기존 취약점(즉시조치)"</formula>
    </cfRule>
    <cfRule type="cellIs" dxfId="291" priority="18" operator="equal">
      <formula>"기존 취약점"</formula>
    </cfRule>
    <cfRule type="cellIs" dxfId="290" priority="19" operator="equal">
      <formula>"신규 취약점"</formula>
    </cfRule>
    <cfRule type="cellIs" dxfId="289" priority="20" operator="equal">
      <formula>"확인필요"</formula>
    </cfRule>
    <cfRule type="cellIs" dxfId="288" priority="21" operator="equal">
      <formula>"확인필요"</formula>
    </cfRule>
    <cfRule type="cellIs" dxfId="287" priority="22" operator="equal">
      <formula>"신규취약점"</formula>
    </cfRule>
    <cfRule type="cellIs" dxfId="286" priority="23" operator="equal">
      <formula>"조치완료"</formula>
    </cfRule>
  </conditionalFormatting>
  <dataValidations count="4">
    <dataValidation errorStyle="warning" allowBlank="1" showInputMessage="1" showErrorMessage="1" sqref="K20:K38"/>
    <dataValidation type="list" errorStyle="warning" showInputMessage="1" showErrorMessage="1" errorTitle="오류!" error="Y, N, N/A 중에 선택" sqref="J20:J38">
      <formula1>"Y,N,N/A,인터뷰,Y(즉시조치)"</formula1>
    </dataValidation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allowBlank="1" showInputMessage="1" showErrorMessage="1" errorTitle="오류!" error="Y, N, N/A 중에 선택" sqref="I20:I38 L20:L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P-14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P-14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10.0.22.2/24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285" priority="7" operator="equal">
      <formula>"취약"</formula>
    </cfRule>
  </conditionalFormatting>
  <conditionalFormatting sqref="J20:K38">
    <cfRule type="cellIs" dxfId="284" priority="11" stopIfTrue="1" operator="equal">
      <formula>"인터뷰"</formula>
    </cfRule>
    <cfRule type="cellIs" dxfId="283" priority="12" stopIfTrue="1" operator="equal">
      <formula>"R/A"</formula>
    </cfRule>
    <cfRule type="cellIs" dxfId="282" priority="13" stopIfTrue="1" operator="equal">
      <formula>"N/A"</formula>
    </cfRule>
    <cfRule type="cellIs" dxfId="281" priority="14" stopIfTrue="1" operator="equal">
      <formula>"N"</formula>
    </cfRule>
    <cfRule type="expression" dxfId="280" priority="15">
      <formula>OR(IF(J20=0,1,0),IF(J20="-",1,0))</formula>
    </cfRule>
  </conditionalFormatting>
  <conditionalFormatting sqref="K20:K38">
    <cfRule type="cellIs" dxfId="279" priority="8" operator="equal">
      <formula>"위험수용"</formula>
    </cfRule>
    <cfRule type="cellIs" dxfId="278" priority="9" operator="equal">
      <formula>"미조치"</formula>
    </cfRule>
    <cfRule type="cellIs" dxfId="277" priority="10" operator="equal">
      <formula>"조치"</formula>
    </cfRule>
  </conditionalFormatting>
  <conditionalFormatting sqref="L20:L38">
    <cfRule type="cellIs" dxfId="276" priority="1" stopIfTrue="1" operator="equal">
      <formula>"인터뷰"</formula>
    </cfRule>
    <cfRule type="cellIs" dxfId="275" priority="2" stopIfTrue="1" operator="equal">
      <formula>"R/A"</formula>
    </cfRule>
    <cfRule type="cellIs" dxfId="274" priority="3" stopIfTrue="1" operator="equal">
      <formula>"N/A"</formula>
    </cfRule>
    <cfRule type="cellIs" dxfId="273" priority="4" stopIfTrue="1" operator="equal">
      <formula>"N"</formula>
    </cfRule>
    <cfRule type="expression" dxfId="272" priority="5">
      <formula>OR(IF(L20=0,1,0),IF(L20="-",1,0))</formula>
    </cfRule>
  </conditionalFormatting>
  <conditionalFormatting sqref="Y20:Y38">
    <cfRule type="cellIs" dxfId="271" priority="16" operator="equal">
      <formula>"신규 취약점(즉시조치)"</formula>
    </cfRule>
    <cfRule type="cellIs" dxfId="270" priority="17" operator="equal">
      <formula>"기존 취약점(즉시조치)"</formula>
    </cfRule>
    <cfRule type="cellIs" dxfId="269" priority="18" operator="equal">
      <formula>"기존 취약점"</formula>
    </cfRule>
    <cfRule type="cellIs" dxfId="268" priority="19" operator="equal">
      <formula>"신규 취약점"</formula>
    </cfRule>
    <cfRule type="cellIs" dxfId="267" priority="20" operator="equal">
      <formula>"확인필요"</formula>
    </cfRule>
    <cfRule type="cellIs" dxfId="266" priority="21" operator="equal">
      <formula>"확인필요"</formula>
    </cfRule>
    <cfRule type="cellIs" dxfId="265" priority="22" operator="equal">
      <formula>"신규취약점"</formula>
    </cfRule>
    <cfRule type="cellIs" dxfId="264" priority="23" operator="equal">
      <formula>"조치완료"</formula>
    </cfRule>
  </conditionalFormatting>
  <dataValidations count="4">
    <dataValidation allowBlank="1" showInputMessage="1" showErrorMessage="1" errorTitle="오류!" error="Y, N, N/A 중에 선택" sqref="I20:I38 L20:L38"/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type="list" errorStyle="warning" showInputMessage="1" showErrorMessage="1" errorTitle="오류!" error="Y, N, N/A 중에 선택" sqref="J20:J38">
      <formula1>"Y,N,N/A,인터뷰,Y(즉시조치)"</formula1>
    </dataValidation>
    <dataValidation errorStyle="warning" allowBlank="1" showInputMessage="1" showErrorMessage="1" sqref="K20:K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P-15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P-15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10.0.23.1/24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263" priority="7" operator="equal">
      <formula>"취약"</formula>
    </cfRule>
  </conditionalFormatting>
  <conditionalFormatting sqref="J20:K38">
    <cfRule type="cellIs" dxfId="262" priority="11" stopIfTrue="1" operator="equal">
      <formula>"인터뷰"</formula>
    </cfRule>
    <cfRule type="cellIs" dxfId="261" priority="12" stopIfTrue="1" operator="equal">
      <formula>"R/A"</formula>
    </cfRule>
    <cfRule type="cellIs" dxfId="260" priority="13" stopIfTrue="1" operator="equal">
      <formula>"N/A"</formula>
    </cfRule>
    <cfRule type="cellIs" dxfId="259" priority="14" stopIfTrue="1" operator="equal">
      <formula>"N"</formula>
    </cfRule>
    <cfRule type="expression" dxfId="258" priority="15">
      <formula>OR(IF(J20=0,1,0),IF(J20="-",1,0))</formula>
    </cfRule>
  </conditionalFormatting>
  <conditionalFormatting sqref="K20:K38">
    <cfRule type="cellIs" dxfId="257" priority="8" operator="equal">
      <formula>"위험수용"</formula>
    </cfRule>
    <cfRule type="cellIs" dxfId="256" priority="9" operator="equal">
      <formula>"미조치"</formula>
    </cfRule>
    <cfRule type="cellIs" dxfId="255" priority="10" operator="equal">
      <formula>"조치"</formula>
    </cfRule>
  </conditionalFormatting>
  <conditionalFormatting sqref="L20:L38">
    <cfRule type="cellIs" dxfId="254" priority="1" stopIfTrue="1" operator="equal">
      <formula>"인터뷰"</formula>
    </cfRule>
    <cfRule type="cellIs" dxfId="253" priority="2" stopIfTrue="1" operator="equal">
      <formula>"R/A"</formula>
    </cfRule>
    <cfRule type="cellIs" dxfId="252" priority="3" stopIfTrue="1" operator="equal">
      <formula>"N/A"</formula>
    </cfRule>
    <cfRule type="cellIs" dxfId="251" priority="4" stopIfTrue="1" operator="equal">
      <formula>"N"</formula>
    </cfRule>
    <cfRule type="expression" dxfId="250" priority="5">
      <formula>OR(IF(L20=0,1,0),IF(L20="-",1,0))</formula>
    </cfRule>
  </conditionalFormatting>
  <conditionalFormatting sqref="Y20:Y38">
    <cfRule type="cellIs" dxfId="249" priority="16" operator="equal">
      <formula>"신규 취약점(즉시조치)"</formula>
    </cfRule>
    <cfRule type="cellIs" dxfId="248" priority="17" operator="equal">
      <formula>"기존 취약점(즉시조치)"</formula>
    </cfRule>
    <cfRule type="cellIs" dxfId="247" priority="18" operator="equal">
      <formula>"기존 취약점"</formula>
    </cfRule>
    <cfRule type="cellIs" dxfId="246" priority="19" operator="equal">
      <formula>"신규 취약점"</formula>
    </cfRule>
    <cfRule type="cellIs" dxfId="245" priority="20" operator="equal">
      <formula>"확인필요"</formula>
    </cfRule>
    <cfRule type="cellIs" dxfId="244" priority="21" operator="equal">
      <formula>"확인필요"</formula>
    </cfRule>
    <cfRule type="cellIs" dxfId="243" priority="22" operator="equal">
      <formula>"신규취약점"</formula>
    </cfRule>
    <cfRule type="cellIs" dxfId="242" priority="23" operator="equal">
      <formula>"조치완료"</formula>
    </cfRule>
  </conditionalFormatting>
  <dataValidations count="4">
    <dataValidation errorStyle="warning" allowBlank="1" showInputMessage="1" showErrorMessage="1" sqref="K20:K38"/>
    <dataValidation type="list" errorStyle="warning" showInputMessage="1" showErrorMessage="1" errorTitle="오류!" error="Y, N, N/A 중에 선택" sqref="J20:J38">
      <formula1>"Y,N,N/A,인터뷰,Y(즉시조치)"</formula1>
    </dataValidation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allowBlank="1" showInputMessage="1" showErrorMessage="1" errorTitle="오류!" error="Y, N, N/A 중에 선택" sqref="I20:I38 L20:L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P-16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P-16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10.0.23.2/24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홍길동</v>
      </c>
      <c r="C6" s="203"/>
      <c r="D6" s="279" t="s">
        <v>109</v>
      </c>
      <c r="E6" s="280"/>
      <c r="F6" s="278" t="str">
        <f ca="1">IFERROR(VLOOKUP($B$4,자산목록!$B$1:$Q$834,9,FALSE),"N/A")</f>
        <v>본사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241" priority="7" operator="equal">
      <formula>"취약"</formula>
    </cfRule>
  </conditionalFormatting>
  <conditionalFormatting sqref="J20:K38">
    <cfRule type="cellIs" dxfId="240" priority="11" stopIfTrue="1" operator="equal">
      <formula>"인터뷰"</formula>
    </cfRule>
    <cfRule type="cellIs" dxfId="239" priority="12" stopIfTrue="1" operator="equal">
      <formula>"R/A"</formula>
    </cfRule>
    <cfRule type="cellIs" dxfId="238" priority="13" stopIfTrue="1" operator="equal">
      <formula>"N/A"</formula>
    </cfRule>
    <cfRule type="cellIs" dxfId="237" priority="14" stopIfTrue="1" operator="equal">
      <formula>"N"</formula>
    </cfRule>
    <cfRule type="expression" dxfId="236" priority="15">
      <formula>OR(IF(J20=0,1,0),IF(J20="-",1,0))</formula>
    </cfRule>
  </conditionalFormatting>
  <conditionalFormatting sqref="K20:K38">
    <cfRule type="cellIs" dxfId="235" priority="8" operator="equal">
      <formula>"위험수용"</formula>
    </cfRule>
    <cfRule type="cellIs" dxfId="234" priority="9" operator="equal">
      <formula>"미조치"</formula>
    </cfRule>
    <cfRule type="cellIs" dxfId="233" priority="10" operator="equal">
      <formula>"조치"</formula>
    </cfRule>
  </conditionalFormatting>
  <conditionalFormatting sqref="L20:L38">
    <cfRule type="cellIs" dxfId="232" priority="1" stopIfTrue="1" operator="equal">
      <formula>"인터뷰"</formula>
    </cfRule>
    <cfRule type="cellIs" dxfId="231" priority="2" stopIfTrue="1" operator="equal">
      <formula>"R/A"</formula>
    </cfRule>
    <cfRule type="cellIs" dxfId="230" priority="3" stopIfTrue="1" operator="equal">
      <formula>"N/A"</formula>
    </cfRule>
    <cfRule type="cellIs" dxfId="229" priority="4" stopIfTrue="1" operator="equal">
      <formula>"N"</formula>
    </cfRule>
    <cfRule type="expression" dxfId="228" priority="5">
      <formula>OR(IF(L20=0,1,0),IF(L20="-",1,0))</formula>
    </cfRule>
  </conditionalFormatting>
  <conditionalFormatting sqref="Y20:Y38">
    <cfRule type="cellIs" dxfId="227" priority="16" operator="equal">
      <formula>"신규 취약점(즉시조치)"</formula>
    </cfRule>
    <cfRule type="cellIs" dxfId="226" priority="17" operator="equal">
      <formula>"기존 취약점(즉시조치)"</formula>
    </cfRule>
    <cfRule type="cellIs" dxfId="225" priority="18" operator="equal">
      <formula>"기존 취약점"</formula>
    </cfRule>
    <cfRule type="cellIs" dxfId="224" priority="19" operator="equal">
      <formula>"신규 취약점"</formula>
    </cfRule>
    <cfRule type="cellIs" dxfId="223" priority="20" operator="equal">
      <formula>"확인필요"</formula>
    </cfRule>
    <cfRule type="cellIs" dxfId="222" priority="21" operator="equal">
      <formula>"확인필요"</formula>
    </cfRule>
    <cfRule type="cellIs" dxfId="221" priority="22" operator="equal">
      <formula>"신규취약점"</formula>
    </cfRule>
    <cfRule type="cellIs" dxfId="220" priority="23" operator="equal">
      <formula>"조치완료"</formula>
    </cfRule>
  </conditionalFormatting>
  <dataValidations count="4">
    <dataValidation allowBlank="1" showInputMessage="1" showErrorMessage="1" errorTitle="오류!" error="Y, N, N/A 중에 선택" sqref="I20:I38 L20:L38"/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type="list" errorStyle="warning" showInputMessage="1" showErrorMessage="1" errorTitle="오류!" error="Y, N, N/A 중에 선택" sqref="J20:J38">
      <formula1>"Y,N,N/A,인터뷰,Y(즉시조치)"</formula1>
    </dataValidation>
    <dataValidation errorStyle="warning" allowBlank="1" showInputMessage="1" showErrorMessage="1" sqref="K20:K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P-17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P-17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10.0.48.1/24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김철수</v>
      </c>
      <c r="C6" s="203"/>
      <c r="D6" s="279" t="s">
        <v>109</v>
      </c>
      <c r="E6" s="280"/>
      <c r="F6" s="278" t="str">
        <f ca="1">IFERROR(VLOOKUP($B$4,자산목록!$B$1:$Q$834,9,FALSE),"N/A")</f>
        <v>지사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219" priority="7" operator="equal">
      <formula>"취약"</formula>
    </cfRule>
  </conditionalFormatting>
  <conditionalFormatting sqref="J20:K38">
    <cfRule type="cellIs" dxfId="218" priority="11" stopIfTrue="1" operator="equal">
      <formula>"인터뷰"</formula>
    </cfRule>
    <cfRule type="cellIs" dxfId="217" priority="12" stopIfTrue="1" operator="equal">
      <formula>"R/A"</formula>
    </cfRule>
    <cfRule type="cellIs" dxfId="216" priority="13" stopIfTrue="1" operator="equal">
      <formula>"N/A"</formula>
    </cfRule>
    <cfRule type="cellIs" dxfId="215" priority="14" stopIfTrue="1" operator="equal">
      <formula>"N"</formula>
    </cfRule>
    <cfRule type="expression" dxfId="214" priority="15">
      <formula>OR(IF(J20=0,1,0),IF(J20="-",1,0))</formula>
    </cfRule>
  </conditionalFormatting>
  <conditionalFormatting sqref="K20:K38">
    <cfRule type="cellIs" dxfId="213" priority="8" operator="equal">
      <formula>"위험수용"</formula>
    </cfRule>
    <cfRule type="cellIs" dxfId="212" priority="9" operator="equal">
      <formula>"미조치"</formula>
    </cfRule>
    <cfRule type="cellIs" dxfId="211" priority="10" operator="equal">
      <formula>"조치"</formula>
    </cfRule>
  </conditionalFormatting>
  <conditionalFormatting sqref="L20:L38">
    <cfRule type="cellIs" dxfId="210" priority="1" stopIfTrue="1" operator="equal">
      <formula>"인터뷰"</formula>
    </cfRule>
    <cfRule type="cellIs" dxfId="209" priority="2" stopIfTrue="1" operator="equal">
      <formula>"R/A"</formula>
    </cfRule>
    <cfRule type="cellIs" dxfId="208" priority="3" stopIfTrue="1" operator="equal">
      <formula>"N/A"</formula>
    </cfRule>
    <cfRule type="cellIs" dxfId="207" priority="4" stopIfTrue="1" operator="equal">
      <formula>"N"</formula>
    </cfRule>
    <cfRule type="expression" dxfId="206" priority="5">
      <formula>OR(IF(L20=0,1,0),IF(L20="-",1,0))</formula>
    </cfRule>
  </conditionalFormatting>
  <conditionalFormatting sqref="Y20:Y38">
    <cfRule type="cellIs" dxfId="205" priority="16" operator="equal">
      <formula>"신규 취약점(즉시조치)"</formula>
    </cfRule>
    <cfRule type="cellIs" dxfId="204" priority="17" operator="equal">
      <formula>"기존 취약점(즉시조치)"</formula>
    </cfRule>
    <cfRule type="cellIs" dxfId="203" priority="18" operator="equal">
      <formula>"기존 취약점"</formula>
    </cfRule>
    <cfRule type="cellIs" dxfId="202" priority="19" operator="equal">
      <formula>"신규 취약점"</formula>
    </cfRule>
    <cfRule type="cellIs" dxfId="201" priority="20" operator="equal">
      <formula>"확인필요"</formula>
    </cfRule>
    <cfRule type="cellIs" dxfId="200" priority="21" operator="equal">
      <formula>"확인필요"</formula>
    </cfRule>
    <cfRule type="cellIs" dxfId="199" priority="22" operator="equal">
      <formula>"신규취약점"</formula>
    </cfRule>
    <cfRule type="cellIs" dxfId="198" priority="23" operator="equal">
      <formula>"조치완료"</formula>
    </cfRule>
  </conditionalFormatting>
  <dataValidations count="4">
    <dataValidation errorStyle="warning" allowBlank="1" showInputMessage="1" showErrorMessage="1" sqref="K20:K38"/>
    <dataValidation type="list" errorStyle="warning" showInputMessage="1" showErrorMessage="1" errorTitle="오류!" error="Y, N, N/A 중에 선택" sqref="J20:J38">
      <formula1>"Y,N,N/A,인터뷰,Y(즉시조치)"</formula1>
    </dataValidation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allowBlank="1" showInputMessage="1" showErrorMessage="1" errorTitle="오류!" error="Y, N, N/A 중에 선택" sqref="I20:I38 L20:L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P-18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P-18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10.0.48.2/24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김철수</v>
      </c>
      <c r="C6" s="203"/>
      <c r="D6" s="279" t="s">
        <v>109</v>
      </c>
      <c r="E6" s="280"/>
      <c r="F6" s="278" t="str">
        <f ca="1">IFERROR(VLOOKUP($B$4,자산목록!$B$1:$Q$834,9,FALSE),"N/A")</f>
        <v>지사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197" priority="7" operator="equal">
      <formula>"취약"</formula>
    </cfRule>
  </conditionalFormatting>
  <conditionalFormatting sqref="J20:K38">
    <cfRule type="cellIs" dxfId="196" priority="11" stopIfTrue="1" operator="equal">
      <formula>"인터뷰"</formula>
    </cfRule>
    <cfRule type="cellIs" dxfId="195" priority="12" stopIfTrue="1" operator="equal">
      <formula>"R/A"</formula>
    </cfRule>
    <cfRule type="cellIs" dxfId="194" priority="13" stopIfTrue="1" operator="equal">
      <formula>"N/A"</formula>
    </cfRule>
    <cfRule type="cellIs" dxfId="193" priority="14" stopIfTrue="1" operator="equal">
      <formula>"N"</formula>
    </cfRule>
    <cfRule type="expression" dxfId="192" priority="15">
      <formula>OR(IF(J20=0,1,0),IF(J20="-",1,0))</formula>
    </cfRule>
  </conditionalFormatting>
  <conditionalFormatting sqref="K20:K38">
    <cfRule type="cellIs" dxfId="191" priority="8" operator="equal">
      <formula>"위험수용"</formula>
    </cfRule>
    <cfRule type="cellIs" dxfId="190" priority="9" operator="equal">
      <formula>"미조치"</formula>
    </cfRule>
    <cfRule type="cellIs" dxfId="189" priority="10" operator="equal">
      <formula>"조치"</formula>
    </cfRule>
  </conditionalFormatting>
  <conditionalFormatting sqref="L20:L38">
    <cfRule type="cellIs" dxfId="188" priority="1" stopIfTrue="1" operator="equal">
      <formula>"인터뷰"</formula>
    </cfRule>
    <cfRule type="cellIs" dxfId="187" priority="2" stopIfTrue="1" operator="equal">
      <formula>"R/A"</formula>
    </cfRule>
    <cfRule type="cellIs" dxfId="186" priority="3" stopIfTrue="1" operator="equal">
      <formula>"N/A"</formula>
    </cfRule>
    <cfRule type="cellIs" dxfId="185" priority="4" stopIfTrue="1" operator="equal">
      <formula>"N"</formula>
    </cfRule>
    <cfRule type="expression" dxfId="184" priority="5">
      <formula>OR(IF(L20=0,1,0),IF(L20="-",1,0))</formula>
    </cfRule>
  </conditionalFormatting>
  <conditionalFormatting sqref="Y20:Y38">
    <cfRule type="cellIs" dxfId="183" priority="16" operator="equal">
      <formula>"신규 취약점(즉시조치)"</formula>
    </cfRule>
    <cfRule type="cellIs" dxfId="182" priority="17" operator="equal">
      <formula>"기존 취약점(즉시조치)"</formula>
    </cfRule>
    <cfRule type="cellIs" dxfId="181" priority="18" operator="equal">
      <formula>"기존 취약점"</formula>
    </cfRule>
    <cfRule type="cellIs" dxfId="180" priority="19" operator="equal">
      <formula>"신규 취약점"</formula>
    </cfRule>
    <cfRule type="cellIs" dxfId="179" priority="20" operator="equal">
      <formula>"확인필요"</formula>
    </cfRule>
    <cfRule type="cellIs" dxfId="178" priority="21" operator="equal">
      <formula>"확인필요"</formula>
    </cfRule>
    <cfRule type="cellIs" dxfId="177" priority="22" operator="equal">
      <formula>"신규취약점"</formula>
    </cfRule>
    <cfRule type="cellIs" dxfId="176" priority="23" operator="equal">
      <formula>"조치완료"</formula>
    </cfRule>
  </conditionalFormatting>
  <dataValidations count="4">
    <dataValidation allowBlank="1" showInputMessage="1" showErrorMessage="1" errorTitle="오류!" error="Y, N, N/A 중에 선택" sqref="I20:I38 L20:L38"/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type="list" errorStyle="warning" showInputMessage="1" showErrorMessage="1" errorTitle="오류!" error="Y, N, N/A 중에 선택" sqref="J20:J38">
      <formula1>"Y,N,N/A,인터뷰,Y(즉시조치)"</formula1>
    </dataValidation>
    <dataValidation errorStyle="warning" allowBlank="1" showInputMessage="1" showErrorMessage="1" sqref="K20:K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>
      <selection activeCell="A2" sqref="A2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P-19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P-19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10.0.49.1/24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김철수</v>
      </c>
      <c r="C6" s="203"/>
      <c r="D6" s="279" t="s">
        <v>109</v>
      </c>
      <c r="E6" s="280"/>
      <c r="F6" s="278" t="str">
        <f ca="1">IFERROR(VLOOKUP($B$4,자산목록!$B$1:$Q$834,9,FALSE),"N/A")</f>
        <v>지사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A10:C11"/>
    <mergeCell ref="D10:H10"/>
    <mergeCell ref="I10:I11"/>
    <mergeCell ref="J10:O10"/>
    <mergeCell ref="V10:Y10"/>
    <mergeCell ref="V11:W11"/>
    <mergeCell ref="R10:U10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9:B19"/>
    <mergeCell ref="C19:E19"/>
    <mergeCell ref="F19:G19"/>
    <mergeCell ref="L19:P19"/>
    <mergeCell ref="V19:W19"/>
    <mergeCell ref="C20:E20"/>
    <mergeCell ref="L20:P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33:E33"/>
    <mergeCell ref="L33:P33"/>
    <mergeCell ref="C34:E34"/>
    <mergeCell ref="L34:P34"/>
    <mergeCell ref="C38:E38"/>
    <mergeCell ref="L38:P38"/>
    <mergeCell ref="C35:E35"/>
    <mergeCell ref="L35:P35"/>
    <mergeCell ref="C36:E36"/>
    <mergeCell ref="L36:P36"/>
    <mergeCell ref="C37:E37"/>
    <mergeCell ref="L37:P37"/>
  </mergeCells>
  <phoneticPr fontId="3" type="noConversion"/>
  <conditionalFormatting sqref="H20:H38">
    <cfRule type="cellIs" priority="6" operator="equal">
      <formula>"양호"</formula>
    </cfRule>
    <cfRule type="cellIs" dxfId="175" priority="7" operator="equal">
      <formula>"취약"</formula>
    </cfRule>
  </conditionalFormatting>
  <conditionalFormatting sqref="J20:K38">
    <cfRule type="cellIs" dxfId="174" priority="11" stopIfTrue="1" operator="equal">
      <formula>"인터뷰"</formula>
    </cfRule>
    <cfRule type="cellIs" dxfId="173" priority="12" stopIfTrue="1" operator="equal">
      <formula>"R/A"</formula>
    </cfRule>
    <cfRule type="cellIs" dxfId="172" priority="13" stopIfTrue="1" operator="equal">
      <formula>"N/A"</formula>
    </cfRule>
    <cfRule type="cellIs" dxfId="171" priority="14" stopIfTrue="1" operator="equal">
      <formula>"N"</formula>
    </cfRule>
    <cfRule type="expression" dxfId="170" priority="15">
      <formula>OR(IF(J20=0,1,0),IF(J20="-",1,0))</formula>
    </cfRule>
  </conditionalFormatting>
  <conditionalFormatting sqref="K20:K38">
    <cfRule type="cellIs" dxfId="169" priority="8" operator="equal">
      <formula>"위험수용"</formula>
    </cfRule>
    <cfRule type="cellIs" dxfId="168" priority="9" operator="equal">
      <formula>"미조치"</formula>
    </cfRule>
    <cfRule type="cellIs" dxfId="167" priority="10" operator="equal">
      <formula>"조치"</formula>
    </cfRule>
  </conditionalFormatting>
  <conditionalFormatting sqref="L20:L38">
    <cfRule type="cellIs" dxfId="166" priority="1" stopIfTrue="1" operator="equal">
      <formula>"인터뷰"</formula>
    </cfRule>
    <cfRule type="cellIs" dxfId="165" priority="2" stopIfTrue="1" operator="equal">
      <formula>"R/A"</formula>
    </cfRule>
    <cfRule type="cellIs" dxfId="164" priority="3" stopIfTrue="1" operator="equal">
      <formula>"N/A"</formula>
    </cfRule>
    <cfRule type="cellIs" dxfId="163" priority="4" stopIfTrue="1" operator="equal">
      <formula>"N"</formula>
    </cfRule>
    <cfRule type="expression" dxfId="162" priority="5">
      <formula>OR(IF(L20=0,1,0),IF(L20="-",1,0))</formula>
    </cfRule>
  </conditionalFormatting>
  <conditionalFormatting sqref="Y20:Y38">
    <cfRule type="cellIs" dxfId="161" priority="16" operator="equal">
      <formula>"신규 취약점(즉시조치)"</formula>
    </cfRule>
    <cfRule type="cellIs" dxfId="160" priority="17" operator="equal">
      <formula>"기존 취약점(즉시조치)"</formula>
    </cfRule>
    <cfRule type="cellIs" dxfId="159" priority="18" operator="equal">
      <formula>"기존 취약점"</formula>
    </cfRule>
    <cfRule type="cellIs" dxfId="158" priority="19" operator="equal">
      <formula>"신규 취약점"</formula>
    </cfRule>
    <cfRule type="cellIs" dxfId="157" priority="20" operator="equal">
      <formula>"확인필요"</formula>
    </cfRule>
    <cfRule type="cellIs" dxfId="156" priority="21" operator="equal">
      <formula>"확인필요"</formula>
    </cfRule>
    <cfRule type="cellIs" dxfId="155" priority="22" operator="equal">
      <formula>"신규취약점"</formula>
    </cfRule>
    <cfRule type="cellIs" dxfId="154" priority="23" operator="equal">
      <formula>"조치완료"</formula>
    </cfRule>
  </conditionalFormatting>
  <dataValidations count="4">
    <dataValidation errorStyle="warning" allowBlank="1" showInputMessage="1" showErrorMessage="1" sqref="K20:K38"/>
    <dataValidation type="list" errorStyle="warning" showInputMessage="1" showErrorMessage="1" errorTitle="오류!" error="Y, N, N/A 중에 선택" sqref="J20:J38">
      <formula1>"Y,N,N/A,인터뷰,Y(즉시조치)"</formula1>
    </dataValidation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allowBlank="1" showInputMessage="1" showErrorMessage="1" errorTitle="오류!" error="Y, N, N/A 중에 선택" sqref="I20:I38 L20:L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P-20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P-20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10.0.49.2/24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김철수</v>
      </c>
      <c r="C6" s="203"/>
      <c r="D6" s="279" t="s">
        <v>109</v>
      </c>
      <c r="E6" s="280"/>
      <c r="F6" s="278" t="str">
        <f ca="1">IFERROR(VLOOKUP($B$4,자산목록!$B$1:$Q$834,9,FALSE),"N/A")</f>
        <v>지사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153" priority="7" operator="equal">
      <formula>"취약"</formula>
    </cfRule>
  </conditionalFormatting>
  <conditionalFormatting sqref="J20:K38">
    <cfRule type="cellIs" dxfId="152" priority="11" stopIfTrue="1" operator="equal">
      <formula>"인터뷰"</formula>
    </cfRule>
    <cfRule type="cellIs" dxfId="151" priority="12" stopIfTrue="1" operator="equal">
      <formula>"R/A"</formula>
    </cfRule>
    <cfRule type="cellIs" dxfId="150" priority="13" stopIfTrue="1" operator="equal">
      <formula>"N/A"</formula>
    </cfRule>
    <cfRule type="cellIs" dxfId="149" priority="14" stopIfTrue="1" operator="equal">
      <formula>"N"</formula>
    </cfRule>
    <cfRule type="expression" dxfId="148" priority="15">
      <formula>OR(IF(J20=0,1,0),IF(J20="-",1,0))</formula>
    </cfRule>
  </conditionalFormatting>
  <conditionalFormatting sqref="K20:K38">
    <cfRule type="cellIs" dxfId="147" priority="8" operator="equal">
      <formula>"위험수용"</formula>
    </cfRule>
    <cfRule type="cellIs" dxfId="146" priority="9" operator="equal">
      <formula>"미조치"</formula>
    </cfRule>
    <cfRule type="cellIs" dxfId="145" priority="10" operator="equal">
      <formula>"조치"</formula>
    </cfRule>
  </conditionalFormatting>
  <conditionalFormatting sqref="L20:L38">
    <cfRule type="cellIs" dxfId="144" priority="1" stopIfTrue="1" operator="equal">
      <formula>"인터뷰"</formula>
    </cfRule>
    <cfRule type="cellIs" dxfId="143" priority="2" stopIfTrue="1" operator="equal">
      <formula>"R/A"</formula>
    </cfRule>
    <cfRule type="cellIs" dxfId="142" priority="3" stopIfTrue="1" operator="equal">
      <formula>"N/A"</formula>
    </cfRule>
    <cfRule type="cellIs" dxfId="141" priority="4" stopIfTrue="1" operator="equal">
      <formula>"N"</formula>
    </cfRule>
    <cfRule type="expression" dxfId="140" priority="5">
      <formula>OR(IF(L20=0,1,0),IF(L20="-",1,0))</formula>
    </cfRule>
  </conditionalFormatting>
  <conditionalFormatting sqref="Y20:Y38">
    <cfRule type="cellIs" dxfId="139" priority="16" operator="equal">
      <formula>"신규 취약점(즉시조치)"</formula>
    </cfRule>
    <cfRule type="cellIs" dxfId="138" priority="17" operator="equal">
      <formula>"기존 취약점(즉시조치)"</formula>
    </cfRule>
    <cfRule type="cellIs" dxfId="137" priority="18" operator="equal">
      <formula>"기존 취약점"</formula>
    </cfRule>
    <cfRule type="cellIs" dxfId="136" priority="19" operator="equal">
      <formula>"신규 취약점"</formula>
    </cfRule>
    <cfRule type="cellIs" dxfId="135" priority="20" operator="equal">
      <formula>"확인필요"</formula>
    </cfRule>
    <cfRule type="cellIs" dxfId="134" priority="21" operator="equal">
      <formula>"확인필요"</formula>
    </cfRule>
    <cfRule type="cellIs" dxfId="133" priority="22" operator="equal">
      <formula>"신규취약점"</formula>
    </cfRule>
    <cfRule type="cellIs" dxfId="132" priority="23" operator="equal">
      <formula>"조치완료"</formula>
    </cfRule>
  </conditionalFormatting>
  <dataValidations count="4">
    <dataValidation errorStyle="warning" allowBlank="1" showInputMessage="1" showErrorMessage="1" sqref="K20:K38"/>
    <dataValidation type="list" errorStyle="warning" showInputMessage="1" showErrorMessage="1" errorTitle="오류!" error="Y, N, N/A 중에 선택" sqref="J20:J38">
      <formula1>"Y,N,N/A,인터뷰,Y(즉시조치)"</formula1>
    </dataValidation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allowBlank="1" showInputMessage="1" showErrorMessage="1" errorTitle="오류!" error="Y, N, N/A 중에 선택" sqref="I20:I38 L20:L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P-21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P-21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10.0.50.1/24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김철수</v>
      </c>
      <c r="C6" s="203"/>
      <c r="D6" s="279" t="s">
        <v>109</v>
      </c>
      <c r="E6" s="280"/>
      <c r="F6" s="278" t="str">
        <f ca="1">IFERROR(VLOOKUP($B$4,자산목록!$B$1:$Q$834,9,FALSE),"N/A")</f>
        <v>지사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131" priority="7" operator="equal">
      <formula>"취약"</formula>
    </cfRule>
  </conditionalFormatting>
  <conditionalFormatting sqref="J20:K38">
    <cfRule type="cellIs" dxfId="130" priority="11" stopIfTrue="1" operator="equal">
      <formula>"인터뷰"</formula>
    </cfRule>
    <cfRule type="cellIs" dxfId="129" priority="12" stopIfTrue="1" operator="equal">
      <formula>"R/A"</formula>
    </cfRule>
    <cfRule type="cellIs" dxfId="128" priority="13" stopIfTrue="1" operator="equal">
      <formula>"N/A"</formula>
    </cfRule>
    <cfRule type="cellIs" dxfId="127" priority="14" stopIfTrue="1" operator="equal">
      <formula>"N"</formula>
    </cfRule>
    <cfRule type="expression" dxfId="126" priority="15">
      <formula>OR(IF(J20=0,1,0),IF(J20="-",1,0))</formula>
    </cfRule>
  </conditionalFormatting>
  <conditionalFormatting sqref="K20:K38">
    <cfRule type="cellIs" dxfId="125" priority="8" operator="equal">
      <formula>"위험수용"</formula>
    </cfRule>
    <cfRule type="cellIs" dxfId="124" priority="9" operator="equal">
      <formula>"미조치"</formula>
    </cfRule>
    <cfRule type="cellIs" dxfId="123" priority="10" operator="equal">
      <formula>"조치"</formula>
    </cfRule>
  </conditionalFormatting>
  <conditionalFormatting sqref="L20:L38">
    <cfRule type="cellIs" dxfId="122" priority="1" stopIfTrue="1" operator="equal">
      <formula>"인터뷰"</formula>
    </cfRule>
    <cfRule type="cellIs" dxfId="121" priority="2" stopIfTrue="1" operator="equal">
      <formula>"R/A"</formula>
    </cfRule>
    <cfRule type="cellIs" dxfId="120" priority="3" stopIfTrue="1" operator="equal">
      <formula>"N/A"</formula>
    </cfRule>
    <cfRule type="cellIs" dxfId="119" priority="4" stopIfTrue="1" operator="equal">
      <formula>"N"</formula>
    </cfRule>
    <cfRule type="expression" dxfId="118" priority="5">
      <formula>OR(IF(L20=0,1,0),IF(L20="-",1,0))</formula>
    </cfRule>
  </conditionalFormatting>
  <conditionalFormatting sqref="Y20:Y38">
    <cfRule type="cellIs" dxfId="117" priority="16" operator="equal">
      <formula>"신규 취약점(즉시조치)"</formula>
    </cfRule>
    <cfRule type="cellIs" dxfId="116" priority="17" operator="equal">
      <formula>"기존 취약점(즉시조치)"</formula>
    </cfRule>
    <cfRule type="cellIs" dxfId="115" priority="18" operator="equal">
      <formula>"기존 취약점"</formula>
    </cfRule>
    <cfRule type="cellIs" dxfId="114" priority="19" operator="equal">
      <formula>"신규 취약점"</formula>
    </cfRule>
    <cfRule type="cellIs" dxfId="113" priority="20" operator="equal">
      <formula>"확인필요"</formula>
    </cfRule>
    <cfRule type="cellIs" dxfId="112" priority="21" operator="equal">
      <formula>"확인필요"</formula>
    </cfRule>
    <cfRule type="cellIs" dxfId="111" priority="22" operator="equal">
      <formula>"신규취약점"</formula>
    </cfRule>
    <cfRule type="cellIs" dxfId="110" priority="23" operator="equal">
      <formula>"조치완료"</formula>
    </cfRule>
  </conditionalFormatting>
  <dataValidations count="4">
    <dataValidation allowBlank="1" showInputMessage="1" showErrorMessage="1" errorTitle="오류!" error="Y, N, N/A 중에 선택" sqref="I20:I38 L20:L38"/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type="list" errorStyle="warning" showInputMessage="1" showErrorMessage="1" errorTitle="오류!" error="Y, N, N/A 중에 선택" sqref="J20:J38">
      <formula1>"Y,N,N/A,인터뷰,Y(즉시조치)"</formula1>
    </dataValidation>
    <dataValidation errorStyle="warning" allowBlank="1" showInputMessage="1" showErrorMessage="1" sqref="K20:K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P-22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P-22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10.0.50.2/24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김철수</v>
      </c>
      <c r="C6" s="203"/>
      <c r="D6" s="279" t="s">
        <v>109</v>
      </c>
      <c r="E6" s="280"/>
      <c r="F6" s="278" t="str">
        <f ca="1">IFERROR(VLOOKUP($B$4,자산목록!$B$1:$Q$834,9,FALSE),"N/A")</f>
        <v>지사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109" priority="7" operator="equal">
      <formula>"취약"</formula>
    </cfRule>
  </conditionalFormatting>
  <conditionalFormatting sqref="J20:K38">
    <cfRule type="cellIs" dxfId="108" priority="11" stopIfTrue="1" operator="equal">
      <formula>"인터뷰"</formula>
    </cfRule>
    <cfRule type="cellIs" dxfId="107" priority="12" stopIfTrue="1" operator="equal">
      <formula>"R/A"</formula>
    </cfRule>
    <cfRule type="cellIs" dxfId="106" priority="13" stopIfTrue="1" operator="equal">
      <formula>"N/A"</formula>
    </cfRule>
    <cfRule type="cellIs" dxfId="105" priority="14" stopIfTrue="1" operator="equal">
      <formula>"N"</formula>
    </cfRule>
    <cfRule type="expression" dxfId="104" priority="15">
      <formula>OR(IF(J20=0,1,0),IF(J20="-",1,0))</formula>
    </cfRule>
  </conditionalFormatting>
  <conditionalFormatting sqref="K20:K38">
    <cfRule type="cellIs" dxfId="103" priority="8" operator="equal">
      <formula>"위험수용"</formula>
    </cfRule>
    <cfRule type="cellIs" dxfId="102" priority="9" operator="equal">
      <formula>"미조치"</formula>
    </cfRule>
    <cfRule type="cellIs" dxfId="101" priority="10" operator="equal">
      <formula>"조치"</formula>
    </cfRule>
  </conditionalFormatting>
  <conditionalFormatting sqref="L20:L38">
    <cfRule type="cellIs" dxfId="100" priority="1" stopIfTrue="1" operator="equal">
      <formula>"인터뷰"</formula>
    </cfRule>
    <cfRule type="cellIs" dxfId="99" priority="2" stopIfTrue="1" operator="equal">
      <formula>"R/A"</formula>
    </cfRule>
    <cfRule type="cellIs" dxfId="98" priority="3" stopIfTrue="1" operator="equal">
      <formula>"N/A"</formula>
    </cfRule>
    <cfRule type="cellIs" dxfId="97" priority="4" stopIfTrue="1" operator="equal">
      <formula>"N"</formula>
    </cfRule>
    <cfRule type="expression" dxfId="96" priority="5">
      <formula>OR(IF(L20=0,1,0),IF(L20="-",1,0))</formula>
    </cfRule>
  </conditionalFormatting>
  <conditionalFormatting sqref="Y20:Y38">
    <cfRule type="cellIs" dxfId="95" priority="16" operator="equal">
      <formula>"신규 취약점(즉시조치)"</formula>
    </cfRule>
    <cfRule type="cellIs" dxfId="94" priority="17" operator="equal">
      <formula>"기존 취약점(즉시조치)"</formula>
    </cfRule>
    <cfRule type="cellIs" dxfId="93" priority="18" operator="equal">
      <formula>"기존 취약점"</formula>
    </cfRule>
    <cfRule type="cellIs" dxfId="92" priority="19" operator="equal">
      <formula>"신규 취약점"</formula>
    </cfRule>
    <cfRule type="cellIs" dxfId="91" priority="20" operator="equal">
      <formula>"확인필요"</formula>
    </cfRule>
    <cfRule type="cellIs" dxfId="90" priority="21" operator="equal">
      <formula>"확인필요"</formula>
    </cfRule>
    <cfRule type="cellIs" dxfId="89" priority="22" operator="equal">
      <formula>"신규취약점"</formula>
    </cfRule>
    <cfRule type="cellIs" dxfId="88" priority="23" operator="equal">
      <formula>"조치완료"</formula>
    </cfRule>
  </conditionalFormatting>
  <dataValidations count="4">
    <dataValidation errorStyle="warning" allowBlank="1" showInputMessage="1" showErrorMessage="1" sqref="K20:K38"/>
    <dataValidation type="list" errorStyle="warning" showInputMessage="1" showErrorMessage="1" errorTitle="오류!" error="Y, N, N/A 중에 선택" sqref="J20:J38">
      <formula1>"Y,N,N/A,인터뷰,Y(즉시조치)"</formula1>
    </dataValidation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allowBlank="1" showInputMessage="1" showErrorMessage="1" errorTitle="오류!" error="Y, N, N/A 중에 선택" sqref="I20:I38 L20:L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P-23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P-23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10.0.51.1/24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김철수</v>
      </c>
      <c r="C6" s="203"/>
      <c r="D6" s="279" t="s">
        <v>109</v>
      </c>
      <c r="E6" s="280"/>
      <c r="F6" s="278" t="str">
        <f ca="1">IFERROR(VLOOKUP($B$4,자산목록!$B$1:$Q$834,9,FALSE),"N/A")</f>
        <v>지사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87" priority="7" operator="equal">
      <formula>"취약"</formula>
    </cfRule>
  </conditionalFormatting>
  <conditionalFormatting sqref="J20:K38">
    <cfRule type="cellIs" dxfId="86" priority="11" stopIfTrue="1" operator="equal">
      <formula>"인터뷰"</formula>
    </cfRule>
    <cfRule type="cellIs" dxfId="85" priority="12" stopIfTrue="1" operator="equal">
      <formula>"R/A"</formula>
    </cfRule>
    <cfRule type="cellIs" dxfId="84" priority="13" stopIfTrue="1" operator="equal">
      <formula>"N/A"</formula>
    </cfRule>
    <cfRule type="cellIs" dxfId="83" priority="14" stopIfTrue="1" operator="equal">
      <formula>"N"</formula>
    </cfRule>
    <cfRule type="expression" dxfId="82" priority="15">
      <formula>OR(IF(J20=0,1,0),IF(J20="-",1,0))</formula>
    </cfRule>
  </conditionalFormatting>
  <conditionalFormatting sqref="K20:K38">
    <cfRule type="cellIs" dxfId="81" priority="8" operator="equal">
      <formula>"위험수용"</formula>
    </cfRule>
    <cfRule type="cellIs" dxfId="80" priority="9" operator="equal">
      <formula>"미조치"</formula>
    </cfRule>
    <cfRule type="cellIs" dxfId="79" priority="10" operator="equal">
      <formula>"조치"</formula>
    </cfRule>
  </conditionalFormatting>
  <conditionalFormatting sqref="L20:L38">
    <cfRule type="cellIs" dxfId="78" priority="1" stopIfTrue="1" operator="equal">
      <formula>"인터뷰"</formula>
    </cfRule>
    <cfRule type="cellIs" dxfId="77" priority="2" stopIfTrue="1" operator="equal">
      <formula>"R/A"</formula>
    </cfRule>
    <cfRule type="cellIs" dxfId="76" priority="3" stopIfTrue="1" operator="equal">
      <formula>"N/A"</formula>
    </cfRule>
    <cfRule type="cellIs" dxfId="75" priority="4" stopIfTrue="1" operator="equal">
      <formula>"N"</formula>
    </cfRule>
    <cfRule type="expression" dxfId="74" priority="5">
      <formula>OR(IF(L20=0,1,0),IF(L20="-",1,0))</formula>
    </cfRule>
  </conditionalFormatting>
  <conditionalFormatting sqref="Y20:Y38">
    <cfRule type="cellIs" dxfId="73" priority="16" operator="equal">
      <formula>"신규 취약점(즉시조치)"</formula>
    </cfRule>
    <cfRule type="cellIs" dxfId="72" priority="17" operator="equal">
      <formula>"기존 취약점(즉시조치)"</formula>
    </cfRule>
    <cfRule type="cellIs" dxfId="71" priority="18" operator="equal">
      <formula>"기존 취약점"</formula>
    </cfRule>
    <cfRule type="cellIs" dxfId="70" priority="19" operator="equal">
      <formula>"신규 취약점"</formula>
    </cfRule>
    <cfRule type="cellIs" dxfId="69" priority="20" operator="equal">
      <formula>"확인필요"</formula>
    </cfRule>
    <cfRule type="cellIs" dxfId="68" priority="21" operator="equal">
      <formula>"확인필요"</formula>
    </cfRule>
    <cfRule type="cellIs" dxfId="67" priority="22" operator="equal">
      <formula>"신규취약점"</formula>
    </cfRule>
    <cfRule type="cellIs" dxfId="66" priority="23" operator="equal">
      <formula>"조치완료"</formula>
    </cfRule>
  </conditionalFormatting>
  <dataValidations count="4">
    <dataValidation allowBlank="1" showInputMessage="1" showErrorMessage="1" errorTitle="오류!" error="Y, N, N/A 중에 선택" sqref="I20:I38 L20:L38"/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type="list" errorStyle="warning" showInputMessage="1" showErrorMessage="1" errorTitle="오류!" error="Y, N, N/A 중에 선택" sqref="J20:J38">
      <formula1>"Y,N,N/A,인터뷰,Y(즉시조치)"</formula1>
    </dataValidation>
    <dataValidation errorStyle="warning" allowBlank="1" showInputMessage="1" showErrorMessage="1" sqref="K20:K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P-24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P-24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10.0.51.2/24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김철수</v>
      </c>
      <c r="C6" s="203"/>
      <c r="D6" s="279" t="s">
        <v>109</v>
      </c>
      <c r="E6" s="280"/>
      <c r="F6" s="278" t="str">
        <f ca="1">IFERROR(VLOOKUP($B$4,자산목록!$B$1:$Q$834,9,FALSE),"N/A")</f>
        <v>지사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65" priority="7" operator="equal">
      <formula>"취약"</formula>
    </cfRule>
  </conditionalFormatting>
  <conditionalFormatting sqref="J20:K38">
    <cfRule type="cellIs" dxfId="64" priority="11" stopIfTrue="1" operator="equal">
      <formula>"인터뷰"</formula>
    </cfRule>
    <cfRule type="cellIs" dxfId="63" priority="12" stopIfTrue="1" operator="equal">
      <formula>"R/A"</formula>
    </cfRule>
    <cfRule type="cellIs" dxfId="62" priority="13" stopIfTrue="1" operator="equal">
      <formula>"N/A"</formula>
    </cfRule>
    <cfRule type="cellIs" dxfId="61" priority="14" stopIfTrue="1" operator="equal">
      <formula>"N"</formula>
    </cfRule>
    <cfRule type="expression" dxfId="60" priority="15">
      <formula>OR(IF(J20=0,1,0),IF(J20="-",1,0))</formula>
    </cfRule>
  </conditionalFormatting>
  <conditionalFormatting sqref="K20:K38">
    <cfRule type="cellIs" dxfId="59" priority="8" operator="equal">
      <formula>"위험수용"</formula>
    </cfRule>
    <cfRule type="cellIs" dxfId="58" priority="9" operator="equal">
      <formula>"미조치"</formula>
    </cfRule>
    <cfRule type="cellIs" dxfId="57" priority="10" operator="equal">
      <formula>"조치"</formula>
    </cfRule>
  </conditionalFormatting>
  <conditionalFormatting sqref="L20:L38">
    <cfRule type="cellIs" dxfId="56" priority="1" stopIfTrue="1" operator="equal">
      <formula>"인터뷰"</formula>
    </cfRule>
    <cfRule type="cellIs" dxfId="55" priority="2" stopIfTrue="1" operator="equal">
      <formula>"R/A"</formula>
    </cfRule>
    <cfRule type="cellIs" dxfId="54" priority="3" stopIfTrue="1" operator="equal">
      <formula>"N/A"</formula>
    </cfRule>
    <cfRule type="cellIs" dxfId="53" priority="4" stopIfTrue="1" operator="equal">
      <formula>"N"</formula>
    </cfRule>
    <cfRule type="expression" dxfId="52" priority="5">
      <formula>OR(IF(L20=0,1,0),IF(L20="-",1,0))</formula>
    </cfRule>
  </conditionalFormatting>
  <conditionalFormatting sqref="Y20:Y38">
    <cfRule type="cellIs" dxfId="51" priority="16" operator="equal">
      <formula>"신규 취약점(즉시조치)"</formula>
    </cfRule>
    <cfRule type="cellIs" dxfId="50" priority="17" operator="equal">
      <formula>"기존 취약점(즉시조치)"</formula>
    </cfRule>
    <cfRule type="cellIs" dxfId="49" priority="18" operator="equal">
      <formula>"기존 취약점"</formula>
    </cfRule>
    <cfRule type="cellIs" dxfId="48" priority="19" operator="equal">
      <formula>"신규 취약점"</formula>
    </cfRule>
    <cfRule type="cellIs" dxfId="47" priority="20" operator="equal">
      <formula>"확인필요"</formula>
    </cfRule>
    <cfRule type="cellIs" dxfId="46" priority="21" operator="equal">
      <formula>"확인필요"</formula>
    </cfRule>
    <cfRule type="cellIs" dxfId="45" priority="22" operator="equal">
      <formula>"신규취약점"</formula>
    </cfRule>
    <cfRule type="cellIs" dxfId="44" priority="23" operator="equal">
      <formula>"조치완료"</formula>
    </cfRule>
  </conditionalFormatting>
  <dataValidations count="4">
    <dataValidation errorStyle="warning" allowBlank="1" showInputMessage="1" showErrorMessage="1" sqref="K20:K38"/>
    <dataValidation type="list" errorStyle="warning" showInputMessage="1" showErrorMessage="1" errorTitle="오류!" error="Y, N, N/A 중에 선택" sqref="J20:J38">
      <formula1>"Y,N,N/A,인터뷰,Y(즉시조치)"</formula1>
    </dataValidation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allowBlank="1" showInputMessage="1" showErrorMessage="1" errorTitle="오류!" error="Y, N, N/A 중에 선택" sqref="I20:I38 L20:L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P-25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P-25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10.0.52.1/24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김철수</v>
      </c>
      <c r="C6" s="203"/>
      <c r="D6" s="279" t="s">
        <v>109</v>
      </c>
      <c r="E6" s="280"/>
      <c r="F6" s="278" t="str">
        <f ca="1">IFERROR(VLOOKUP($B$4,자산목록!$B$1:$Q$834,9,FALSE),"N/A")</f>
        <v>지사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36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43" priority="7" operator="equal">
      <formula>"취약"</formula>
    </cfRule>
  </conditionalFormatting>
  <conditionalFormatting sqref="J20:K38">
    <cfRule type="cellIs" dxfId="42" priority="11" stopIfTrue="1" operator="equal">
      <formula>"인터뷰"</formula>
    </cfRule>
    <cfRule type="cellIs" dxfId="41" priority="12" stopIfTrue="1" operator="equal">
      <formula>"R/A"</formula>
    </cfRule>
    <cfRule type="cellIs" dxfId="40" priority="13" stopIfTrue="1" operator="equal">
      <formula>"N/A"</formula>
    </cfRule>
    <cfRule type="cellIs" dxfId="39" priority="14" stopIfTrue="1" operator="equal">
      <formula>"N"</formula>
    </cfRule>
    <cfRule type="expression" dxfId="38" priority="15">
      <formula>OR(IF(J20=0,1,0),IF(J20="-",1,0))</formula>
    </cfRule>
  </conditionalFormatting>
  <conditionalFormatting sqref="K20:K38">
    <cfRule type="cellIs" dxfId="37" priority="8" operator="equal">
      <formula>"위험수용"</formula>
    </cfRule>
    <cfRule type="cellIs" dxfId="36" priority="9" operator="equal">
      <formula>"미조치"</formula>
    </cfRule>
    <cfRule type="cellIs" dxfId="35" priority="10" operator="equal">
      <formula>"조치"</formula>
    </cfRule>
  </conditionalFormatting>
  <conditionalFormatting sqref="L20:L38">
    <cfRule type="cellIs" dxfId="34" priority="1" stopIfTrue="1" operator="equal">
      <formula>"인터뷰"</formula>
    </cfRule>
    <cfRule type="cellIs" dxfId="33" priority="2" stopIfTrue="1" operator="equal">
      <formula>"R/A"</formula>
    </cfRule>
    <cfRule type="cellIs" dxfId="32" priority="3" stopIfTrue="1" operator="equal">
      <formula>"N/A"</formula>
    </cfRule>
    <cfRule type="cellIs" dxfId="31" priority="4" stopIfTrue="1" operator="equal">
      <formula>"N"</formula>
    </cfRule>
    <cfRule type="expression" dxfId="30" priority="5">
      <formula>OR(IF(L20=0,1,0),IF(L20="-",1,0))</formula>
    </cfRule>
  </conditionalFormatting>
  <conditionalFormatting sqref="Y20:Y38">
    <cfRule type="cellIs" dxfId="29" priority="16" operator="equal">
      <formula>"신규 취약점(즉시조치)"</formula>
    </cfRule>
    <cfRule type="cellIs" dxfId="28" priority="17" operator="equal">
      <formula>"기존 취약점(즉시조치)"</formula>
    </cfRule>
    <cfRule type="cellIs" dxfId="27" priority="18" operator="equal">
      <formula>"기존 취약점"</formula>
    </cfRule>
    <cfRule type="cellIs" dxfId="26" priority="19" operator="equal">
      <formula>"신규 취약점"</formula>
    </cfRule>
    <cfRule type="cellIs" dxfId="25" priority="20" operator="equal">
      <formula>"확인필요"</formula>
    </cfRule>
    <cfRule type="cellIs" dxfId="24" priority="21" operator="equal">
      <formula>"확인필요"</formula>
    </cfRule>
    <cfRule type="cellIs" dxfId="23" priority="22" operator="equal">
      <formula>"신규취약점"</formula>
    </cfRule>
    <cfRule type="cellIs" dxfId="22" priority="23" operator="equal">
      <formula>"조치완료"</formula>
    </cfRule>
  </conditionalFormatting>
  <dataValidations count="4">
    <dataValidation allowBlank="1" showInputMessage="1" showErrorMessage="1" errorTitle="오류!" error="Y, N, N/A 중에 선택" sqref="I20:I38 L20:L38"/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type="list" errorStyle="warning" showInputMessage="1" showErrorMessage="1" errorTitle="오류!" error="Y, N, N/A 중에 선택" sqref="J20:J38">
      <formula1>"Y,N,N/A,인터뷰,Y(즉시조치)"</formula1>
    </dataValidation>
    <dataValidation errorStyle="warning" allowBlank="1" showInputMessage="1" showErrorMessage="1" sqref="K20:K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tr">
        <f ca="1">"■ " &amp; $B$4 &amp; " 상세 진단결과"</f>
        <v>■ P-26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9" t="s">
        <v>102</v>
      </c>
      <c r="B3" s="49"/>
      <c r="C3" s="49"/>
      <c r="D3" s="49"/>
      <c r="E3" s="49"/>
      <c r="F3" s="49"/>
      <c r="G3" s="49"/>
      <c r="H3" s="5"/>
      <c r="I3" s="5"/>
      <c r="R3" s="5" t="s">
        <v>103</v>
      </c>
      <c r="X3" s="5"/>
      <c r="Y3" s="5"/>
    </row>
    <row r="4" spans="1:25" ht="17.100000000000001" customHeight="1" thickBot="1">
      <c r="A4" s="118" t="s">
        <v>104</v>
      </c>
      <c r="B4" s="284" t="str">
        <f ca="1">REPLACE(CELL("filename",A1),1,FIND("]",CELL("filename",A1)),"")</f>
        <v>P-26</v>
      </c>
      <c r="C4" s="222"/>
      <c r="D4" s="285" t="s">
        <v>105</v>
      </c>
      <c r="E4" s="231"/>
      <c r="F4" s="286" t="str">
        <f ca="1">IFERROR(VLOOKUP($B$4,자산목록!$B$1:$Q$834,8,FALSE),"N/A")</f>
        <v>사원 PC</v>
      </c>
      <c r="G4" s="287"/>
      <c r="H4" s="58"/>
      <c r="I4" s="50"/>
      <c r="R4" s="24" t="s">
        <v>14</v>
      </c>
      <c r="S4" s="39">
        <f ca="1">IFERROR(VLOOKUP($B$4,자산목록!$B$1:$Q$834,13,FALSE),"N/A")</f>
        <v>3</v>
      </c>
      <c r="T4" s="274" t="s">
        <v>106</v>
      </c>
      <c r="U4" s="266" t="str">
        <f ca="1">IFERROR(VLOOKUP($B$4,자산목록!$B$1:$Q$834,16,FALSE),"N/A")</f>
        <v>H</v>
      </c>
      <c r="X4" s="5"/>
      <c r="Y4" s="5"/>
    </row>
    <row r="5" spans="1:25" ht="17.100000000000001" customHeight="1" thickBot="1">
      <c r="A5" s="119" t="s">
        <v>107</v>
      </c>
      <c r="B5" s="275" t="str">
        <f ca="1">IFERROR(VLOOKUP($B$4,자산목록!$B$1:$Q$834,6,FALSE)&amp;" "&amp;VLOOKUP($B$4,자산목록!$B$1:$Q$834,7,FALSE),"N/A")</f>
        <v>Windows 10 10</v>
      </c>
      <c r="C5" s="188"/>
      <c r="D5" s="276" t="s">
        <v>108</v>
      </c>
      <c r="E5" s="277"/>
      <c r="F5" s="275" t="str">
        <f ca="1">IFERROR(VLOOKUP($B$4,자산목록!$B$1:$Q$834,2,FALSE),"N/A")</f>
        <v>10.0.52.2/24</v>
      </c>
      <c r="G5" s="188"/>
      <c r="H5" s="58"/>
      <c r="I5" s="50"/>
      <c r="R5" s="24" t="s">
        <v>15</v>
      </c>
      <c r="S5" s="39">
        <f ca="1">IFERROR(VLOOKUP($B$4,자산목록!$B$1:$Q$834,14,FALSE),"N/A")</f>
        <v>3</v>
      </c>
      <c r="T5" s="192"/>
      <c r="U5" s="192"/>
      <c r="X5" s="5"/>
      <c r="Y5" s="5"/>
    </row>
    <row r="6" spans="1:25" ht="17.100000000000001" customHeight="1" thickBot="1">
      <c r="A6" s="120" t="s">
        <v>11</v>
      </c>
      <c r="B6" s="278" t="str">
        <f ca="1">IFERROR(VLOOKUP($B$4,자산목록!$B$1:$Q$834,11,FALSE),"N/A")</f>
        <v>김철수</v>
      </c>
      <c r="C6" s="203"/>
      <c r="D6" s="279" t="s">
        <v>109</v>
      </c>
      <c r="E6" s="280"/>
      <c r="F6" s="278" t="str">
        <f ca="1">IFERROR(VLOOKUP($B$4,자산목록!$B$1:$Q$834,9,FALSE),"N/A")</f>
        <v>지사</v>
      </c>
      <c r="G6" s="203"/>
      <c r="H6" s="58"/>
      <c r="I6" s="50"/>
      <c r="R6" s="24" t="s">
        <v>16</v>
      </c>
      <c r="S6" s="39">
        <f ca="1">IFERROR(VLOOKUP($B$4,자산목록!$B$1:$Q$834,15,FALSE),"N/A")</f>
        <v>3</v>
      </c>
      <c r="T6" s="187"/>
      <c r="U6" s="187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110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1" t="s">
        <v>111</v>
      </c>
      <c r="B9" s="49"/>
      <c r="C9" s="49"/>
      <c r="D9" s="49"/>
      <c r="E9" s="49"/>
      <c r="F9" s="49"/>
      <c r="G9" s="49"/>
      <c r="H9" s="5"/>
      <c r="I9" s="5"/>
      <c r="M9" s="5"/>
      <c r="N9" s="5"/>
      <c r="O9" s="5"/>
      <c r="P9" s="5"/>
      <c r="R9" s="14"/>
      <c r="S9" s="52"/>
    </row>
    <row r="10" spans="1:25" ht="20.100000000000001" customHeight="1" thickBot="1">
      <c r="A10" s="272" t="s">
        <v>60</v>
      </c>
      <c r="B10" s="180"/>
      <c r="C10" s="180"/>
      <c r="D10" s="273" t="s">
        <v>112</v>
      </c>
      <c r="E10" s="208"/>
      <c r="F10" s="208"/>
      <c r="G10" s="208"/>
      <c r="H10" s="208"/>
      <c r="I10" s="281" t="s">
        <v>113</v>
      </c>
      <c r="J10" s="283" t="s">
        <v>78</v>
      </c>
      <c r="K10" s="208"/>
      <c r="L10" s="208"/>
      <c r="M10" s="208"/>
      <c r="N10" s="208"/>
      <c r="O10" s="227"/>
      <c r="R10" s="271" t="s">
        <v>114</v>
      </c>
      <c r="S10" s="191"/>
      <c r="T10" s="191"/>
      <c r="U10" s="188"/>
      <c r="V10" s="258" t="s">
        <v>113</v>
      </c>
      <c r="W10" s="191"/>
      <c r="X10" s="191"/>
      <c r="Y10" s="188"/>
    </row>
    <row r="11" spans="1:25" ht="20.100000000000001" customHeight="1">
      <c r="A11" s="223"/>
      <c r="B11" s="224"/>
      <c r="C11" s="224"/>
      <c r="D11" s="121" t="s">
        <v>94</v>
      </c>
      <c r="E11" s="122" t="s">
        <v>69</v>
      </c>
      <c r="F11" s="123" t="s">
        <v>70</v>
      </c>
      <c r="G11" s="124" t="s">
        <v>35</v>
      </c>
      <c r="H11" s="124" t="s">
        <v>115</v>
      </c>
      <c r="I11" s="282"/>
      <c r="J11" s="135" t="s">
        <v>79</v>
      </c>
      <c r="K11" s="125" t="s">
        <v>80</v>
      </c>
      <c r="L11" s="126" t="s">
        <v>81</v>
      </c>
      <c r="M11" s="126" t="s">
        <v>35</v>
      </c>
      <c r="N11" s="126" t="s">
        <v>87</v>
      </c>
      <c r="O11" s="127" t="s">
        <v>115</v>
      </c>
      <c r="R11" s="45" t="s">
        <v>116</v>
      </c>
      <c r="S11" s="46" t="s">
        <v>117</v>
      </c>
      <c r="T11" s="46" t="s">
        <v>118</v>
      </c>
      <c r="U11" s="48" t="s">
        <v>119</v>
      </c>
      <c r="V11" s="259" t="s">
        <v>60</v>
      </c>
      <c r="W11" s="188"/>
      <c r="X11" s="11" t="s">
        <v>112</v>
      </c>
      <c r="Y11" s="11" t="s">
        <v>78</v>
      </c>
    </row>
    <row r="12" spans="1:25" ht="45.95" customHeight="1">
      <c r="A12" s="260" t="str">
        <f>ChkList!A5</f>
        <v>계정 관리</v>
      </c>
      <c r="B12" s="261"/>
      <c r="C12" s="262"/>
      <c r="D12" s="39">
        <f>COUNTIF($A$20:$A$945, $A12)</f>
        <v>3</v>
      </c>
      <c r="E12" s="39">
        <f ca="1">COUNTIFS($A$20:INDIRECT(ADDRESS(MATCH("",$A:$A,-1),1,1,1)),$A12,$H$20:INDIRECT(ADDRESS(MATCH("",$A:$A,-1),8,1,1)),"Y")+COUNTIFS($A$20:INDIRECT(ADDRESS(MATCH("",$A:$A,-1),1,1,1)),$A12,$H$20:INDIRECT(ADDRESS(MATCH("",$A:$A,-1),8,1,1)),"Y(즉시조치)")</f>
        <v>2</v>
      </c>
      <c r="F12" s="39">
        <f ca="1">COUNTIFS($A$20:INDIRECT(ADDRESS(MATCH("",$A:$A,-1),1,1,1)),$A12&amp;"*",$H$20:INDIRECT(ADDRESS(MATCH("",$A:$A,-1),8,1,1)),"N")</f>
        <v>0</v>
      </c>
      <c r="G12" s="27">
        <f ca="1">COUNTIFS($A$20:INDIRECT(ADDRESS(MATCH("",$A:$A,-1),1,1,1)),$A12&amp;"*",$H$20:INDIRECT(ADDRESS(MATCH("",$A:$A,-1),8,1,1)),"N/A")</f>
        <v>0</v>
      </c>
      <c r="H12" s="61">
        <f t="shared" ref="H12:H16" ca="1" si="0">IF($G12=$D12, "N/A", (S12/R12))</f>
        <v>0.625</v>
      </c>
      <c r="I12" s="263"/>
      <c r="J12" s="56">
        <f ca="1">COUNTIFS($A$20:INDIRECT(ADDRESS(MATCH("",$A:$A,-1),1,1,1)),$A12,$K$20:INDIRECT(ADDRESS(MATCH("",$B:$B,-1),11,1,1)),"조치")</f>
        <v>0</v>
      </c>
      <c r="K12" s="27">
        <f ca="1">COUNTIFS($A$20:INDIRECT(ADDRESS(MATCH("",$A:$A,-1),1,1,1)),$A12,$K$20:INDIRECT(ADDRESS(MATCH("",$B:$B,-1),11,1,1)),"미조치")</f>
        <v>1</v>
      </c>
      <c r="L12" s="27">
        <f ca="1">COUNTIFS($A$20:INDIRECT(ADDRESS(MATCH("",$A:$A,-1),1,1,1)),$A12,$K$20:INDIRECT(ADDRESS(MATCH("",$B:$B,-1),11,1,1)),"위험수용")</f>
        <v>0</v>
      </c>
      <c r="M12" s="27">
        <f ca="1">COUNTIFS($A$20:INDIRECT(ADDRESS(MATCH("",$A:$A,-1),1,1,1)),$A12,$K$20:INDIRECT(ADDRESS(MATCH("",$B:$B,-1),11,1,1)),"N/A")</f>
        <v>0</v>
      </c>
      <c r="N12" s="53" t="str">
        <f ca="1">IFERROR($J12/($F12-(M12-G12)),"N/A")</f>
        <v>N/A</v>
      </c>
      <c r="O12" s="128">
        <f ca="1">IF(OR($G12=$D12,$D12=$M12),"N/A", ($T12/$U12))</f>
        <v>1</v>
      </c>
      <c r="R12" s="39">
        <f>SUMIF($A$20:$A$945, $A12, $R$20:$R$945)</f>
        <v>8</v>
      </c>
      <c r="S12" s="39">
        <f>SUMIF($A$20:$A$945, $A12, $S$20:$S$945)</f>
        <v>5</v>
      </c>
      <c r="T12" s="39">
        <f t="shared" ref="T12:U15" si="1">SUMIF($A$20:$A$945, $A12, $R$20:$R$945)</f>
        <v>8</v>
      </c>
      <c r="U12" s="39">
        <f t="shared" si="1"/>
        <v>8</v>
      </c>
      <c r="V12" s="266">
        <f>B12</f>
        <v>0</v>
      </c>
      <c r="W12" s="188"/>
      <c r="X12" s="59">
        <f ca="1">H12</f>
        <v>0.625</v>
      </c>
      <c r="Y12" s="59">
        <f t="shared" ref="Y12:Y16" ca="1" si="2">O12</f>
        <v>1</v>
      </c>
    </row>
    <row r="13" spans="1:25" ht="45.95" customHeight="1">
      <c r="A13" s="260" t="str">
        <f>ChkList!A8</f>
        <v>서비스 관리</v>
      </c>
      <c r="B13" s="261"/>
      <c r="C13" s="262"/>
      <c r="D13" s="39">
        <f ca="1">COUNTIF($A$20:INDIRECT(ADDRESS(MATCH("",$A:$A,-1),1,1,1)),$A13)</f>
        <v>6</v>
      </c>
      <c r="E13" s="39">
        <f ca="1">COUNTIFS($A$20:INDIRECT(ADDRESS(MATCH("",$A:$A,-1),1,1,1)),$A13,$H$20:INDIRECT(ADDRESS(MATCH("",$A:$A,-1),8,1,1)),"Y")+COUNTIFS($A$20:INDIRECT(ADDRESS(MATCH("",$A:$A,-1),1,1,1)),$A13,$H$20:INDIRECT(ADDRESS(MATCH("",$A:$A,-1),8,1,1)),"Y(즉시조치)")</f>
        <v>3</v>
      </c>
      <c r="F13" s="39">
        <f ca="1">COUNTIFS($A$20:INDIRECT(ADDRESS(MATCH("",$A:$A,-1),1,1,1)),$A13&amp;"*",$H$20:INDIRECT(ADDRESS(MATCH("",$A:$A,-1),8,1,1)),"N")</f>
        <v>2</v>
      </c>
      <c r="G13" s="27">
        <f ca="1">COUNTIFS($A$20:INDIRECT(ADDRESS(MATCH("",$A:$A,-1),1,1,1)),$A13&amp;"*",$H$20:INDIRECT(ADDRESS(MATCH("",$A:$A,-1),8,1,1)),"N/A")</f>
        <v>0</v>
      </c>
      <c r="H13" s="61">
        <f t="shared" ca="1" si="0"/>
        <v>0.42857142857142855</v>
      </c>
      <c r="I13" s="264"/>
      <c r="J13" s="56">
        <f ca="1">COUNTIFS($A$20:INDIRECT(ADDRESS(MATCH("",$A:$A,-1),1,1,1)),$A13,$K$20:INDIRECT(ADDRESS(MATCH("",$B:$B,-1),11,1,1)),"조치")</f>
        <v>2</v>
      </c>
      <c r="K13" s="27">
        <f ca="1">COUNTIFS($A$20:INDIRECT(ADDRESS(MATCH("",$A:$A,-1),1,1,1)),$A13,$K$20:INDIRECT(ADDRESS(MATCH("",$B:$B,-1),11,1,1)),"미조치")</f>
        <v>1</v>
      </c>
      <c r="L13" s="27">
        <f ca="1">COUNTIFS($A$20:INDIRECT(ADDRESS(MATCH("",$A:$A,-1),1,1,1)),$A13,$K$20:INDIRECT(ADDRESS(MATCH("",$B:$B,-1),11,1,1)),"위험수용")</f>
        <v>0</v>
      </c>
      <c r="M13" s="27">
        <f ca="1">COUNTIFS($A$20:INDIRECT(ADDRESS(MATCH("",$A:$A,-1),1,1,1)),$A13,$K$20:INDIRECT(ADDRESS(MATCH("",$B:$B,-1),11,1,1)),"N/A")</f>
        <v>0</v>
      </c>
      <c r="N13" s="53">
        <f ca="1">IFERROR($J13/($F13-(M13-G13)),"N/A")</f>
        <v>1</v>
      </c>
      <c r="O13" s="128">
        <f ca="1">IF(OR($G13=$D13,$D13=$M13),"N/A", ($T13/$U13))</f>
        <v>1</v>
      </c>
      <c r="R13" s="39">
        <f>SUMIF($A$20:$A$945, $A13, $R$20:$R$945)</f>
        <v>14</v>
      </c>
      <c r="S13" s="39">
        <f>SUMIF($A$20:$A$945, $A13, $S$20:$S$945)</f>
        <v>6</v>
      </c>
      <c r="T13" s="39">
        <f t="shared" si="1"/>
        <v>14</v>
      </c>
      <c r="U13" s="39">
        <f t="shared" si="1"/>
        <v>14</v>
      </c>
      <c r="V13" s="266">
        <f>B13</f>
        <v>0</v>
      </c>
      <c r="W13" s="188"/>
      <c r="X13" s="59">
        <f t="shared" ref="X13:X16" ca="1" si="3">H13</f>
        <v>0.42857142857142855</v>
      </c>
      <c r="Y13" s="59">
        <f t="shared" ca="1" si="2"/>
        <v>1</v>
      </c>
    </row>
    <row r="14" spans="1:25" ht="45.95" customHeight="1">
      <c r="A14" s="260" t="str">
        <f>ChkList!A14</f>
        <v>패치 관리</v>
      </c>
      <c r="B14" s="261"/>
      <c r="C14" s="262"/>
      <c r="D14" s="39">
        <f ca="1">COUNTIF($A$20:INDIRECT(ADDRESS(MATCH("",$A:$A,-1),1,1,1)),$A14)</f>
        <v>3</v>
      </c>
      <c r="E14" s="39">
        <f ca="1">COUNTIFS($A$20:INDIRECT(ADDRESS(MATCH("",$A:$A,-1),1,1,1)),$A14,$H$20:INDIRECT(ADDRESS(MATCH("",$A:$A,-1),8,1,1)),"Y")+COUNTIFS($A$20:INDIRECT(ADDRESS(MATCH("",$A:$A,-1),1,1,1)),$A14,$H$20:INDIRECT(ADDRESS(MATCH("",$A:$A,-1),8,1,1)),"Y(즉시조치)")</f>
        <v>0</v>
      </c>
      <c r="F14" s="39">
        <f ca="1">COUNTIFS($A$20:INDIRECT(ADDRESS(MATCH("",$A:$A,-1),1,1,1)),$A14&amp;"*",$H$20:INDIRECT(ADDRESS(MATCH("",$A:$A,-1),8,1,1)),"N")</f>
        <v>0</v>
      </c>
      <c r="G14" s="27">
        <f ca="1">COUNTIFS($A$20:INDIRECT(ADDRESS(MATCH("",$A:$A,-1),1,1,1)),$A14&amp;"*",$H$20:INDIRECT(ADDRESS(MATCH("",$A:$A,-1),8,1,1)),"N/A")</f>
        <v>1</v>
      </c>
      <c r="H14" s="61">
        <f ca="1">IF($G14=$D14, "N/A", (S14/R14))</f>
        <v>0</v>
      </c>
      <c r="I14" s="264"/>
      <c r="J14" s="56">
        <f ca="1">COUNTIFS($A$20:INDIRECT(ADDRESS(MATCH("",$A:$A,-1),1,1,1)),$A14,$K$20:INDIRECT(ADDRESS(MATCH("",$B:$B,-1),11,1,1)),"조치")</f>
        <v>0</v>
      </c>
      <c r="K14" s="27">
        <f ca="1">COUNTIFS($A$20:INDIRECT(ADDRESS(MATCH("",$A:$A,-1),1,1,1)),$A14,$K$20:INDIRECT(ADDRESS(MATCH("",$B:$B,-1),11,1,1)),"미조치")</f>
        <v>2</v>
      </c>
      <c r="L14" s="27">
        <f ca="1">COUNTIFS($A$20:INDIRECT(ADDRESS(MATCH("",$A:$A,-1),1,1,1)),$A14,$K$20:INDIRECT(ADDRESS(MATCH("",$B:$B,-1),11,1,1)),"위험수용")</f>
        <v>0</v>
      </c>
      <c r="M14" s="27">
        <f ca="1">COUNTIFS($A$20:INDIRECT(ADDRESS(MATCH("",$A:$A,-1),1,1,1)),$A14,$K$20:INDIRECT(ADDRESS(MATCH("",$B:$B,-1),11,1,1)),"N/A")</f>
        <v>0</v>
      </c>
      <c r="N14" s="53">
        <f ca="1">IFERROR($J14/($F14-(M14-G14)),"N/A")</f>
        <v>0</v>
      </c>
      <c r="O14" s="128" t="e">
        <f ca="1">IF(OR($G16=$D16, $D16=$M16), 1, $T16/$U16)</f>
        <v>#REF!</v>
      </c>
      <c r="R14" s="39">
        <f>SUMIF($A$20:$A$945, $A14, $R$20:$R$945)</f>
        <v>6</v>
      </c>
      <c r="S14" s="39">
        <f>SUMIF($A$20:$A$945, $A14, $S$20:$S$945)</f>
        <v>0</v>
      </c>
      <c r="T14" s="39">
        <f t="shared" si="1"/>
        <v>6</v>
      </c>
      <c r="U14" s="39">
        <f t="shared" si="1"/>
        <v>6</v>
      </c>
      <c r="V14" s="266">
        <f>B14</f>
        <v>0</v>
      </c>
      <c r="W14" s="188"/>
      <c r="X14" s="59">
        <f t="shared" ca="1" si="3"/>
        <v>0</v>
      </c>
      <c r="Y14" s="59" t="e">
        <f t="shared" ca="1" si="2"/>
        <v>#REF!</v>
      </c>
    </row>
    <row r="15" spans="1:25" ht="45.95" customHeight="1" thickBot="1">
      <c r="A15" s="260" t="str">
        <f>ChkList!A17</f>
        <v>보안 관리</v>
      </c>
      <c r="B15" s="261"/>
      <c r="C15" s="262"/>
      <c r="D15" s="39">
        <f ca="1">COUNTIF($A$20:INDIRECT(ADDRESS(MATCH("",$A:$A,-1),1,1,1)),$A15)</f>
        <v>7</v>
      </c>
      <c r="E15" s="39">
        <f ca="1">COUNTIFS($A$20:INDIRECT(ADDRESS(MATCH("",$A:$A,-1),1,1,1)),$A15,$H$20:INDIRECT(ADDRESS(MATCH("",$A:$A,-1),8,1,1)),"Y")+COUNTIFS($A$20:INDIRECT(ADDRESS(MATCH("",$A:$A,-1),1,1,1)),$A15,$H$20:INDIRECT(ADDRESS(MATCH("",$A:$A,-1),8,1,1)),"Y(즉시조치)")</f>
        <v>4</v>
      </c>
      <c r="F15" s="39">
        <f ca="1">COUNTIFS($A$20:INDIRECT(ADDRESS(MATCH("",$A:$A,-1),1,1,1)),$A15&amp;"*",$H$20:INDIRECT(ADDRESS(MATCH("",$A:$A,-1),8,1,1)),"N")</f>
        <v>3</v>
      </c>
      <c r="G15" s="27">
        <f ca="1">COUNTIFS($A$20:INDIRECT(ADDRESS(MATCH("",$A:$A,-1),1,1,1)),$A15&amp;"*",$H$20:INDIRECT(ADDRESS(MATCH("",$A:$A,-1),8,1,1)),"N/A")</f>
        <v>0</v>
      </c>
      <c r="H15" s="61" t="e">
        <f t="shared" ca="1" si="0"/>
        <v>#REF!</v>
      </c>
      <c r="I15" s="264"/>
      <c r="J15" s="56">
        <f ca="1">COUNTIFS($A$20:INDIRECT(ADDRESS(MATCH("",$A:$A,-1),1,1,1)),$A15,$K$20:INDIRECT(ADDRESS(MATCH("",$B:$B,-1),11,1,1)),"조치")</f>
        <v>3</v>
      </c>
      <c r="K15" s="27">
        <f ca="1">COUNTIFS($A$20:INDIRECT(ADDRESS(MATCH("",$A:$A,-1),1,1,1)),$A15,$K$20:INDIRECT(ADDRESS(MATCH("",$B:$B,-1),11,1,1)),"미조치")</f>
        <v>0</v>
      </c>
      <c r="L15" s="27">
        <f ca="1">COUNTIFS($A$20:INDIRECT(ADDRESS(MATCH("",$A:$A,-1),1,1,1)),$A15,$K$20:INDIRECT(ADDRESS(MATCH("",$B:$B,-1),11,1,1)),"위험수용")</f>
        <v>0</v>
      </c>
      <c r="M15" s="27">
        <f ca="1">COUNTIFS($A$20:INDIRECT(ADDRESS(MATCH("",$A:$A,-1),1,1,1)),$A15,$K$20:INDIRECT(ADDRESS(MATCH("",$B:$B,-1),11,1,1)),"N/A")</f>
        <v>0</v>
      </c>
      <c r="N15" s="53">
        <f ca="1">IFERROR($J15/($F15-(M15-G15)),"N/A")</f>
        <v>1</v>
      </c>
      <c r="O15" s="128" t="e">
        <f ca="1">IF(OR($G15=$D15,$D15=$M15),"N/A", ($T15/$U15))</f>
        <v>#REF!</v>
      </c>
      <c r="R15" s="39" t="e">
        <f>SUMIF($A$20:$A$945, $A15, $R$20:$R$945)</f>
        <v>#REF!</v>
      </c>
      <c r="S15" s="39">
        <f>SUMIF($A$20:$A$945, $A15, $S$20:$S$945)</f>
        <v>8</v>
      </c>
      <c r="T15" s="39" t="e">
        <f t="shared" si="1"/>
        <v>#REF!</v>
      </c>
      <c r="U15" s="39" t="e">
        <f t="shared" si="1"/>
        <v>#REF!</v>
      </c>
      <c r="V15" s="266">
        <f>B15</f>
        <v>0</v>
      </c>
      <c r="W15" s="188"/>
      <c r="X15" s="59" t="e">
        <f t="shared" ca="1" si="3"/>
        <v>#REF!</v>
      </c>
      <c r="Y15" s="59" t="e">
        <f t="shared" ca="1" si="2"/>
        <v>#REF!</v>
      </c>
    </row>
    <row r="16" spans="1:25" ht="30.95" customHeight="1" thickTop="1" thickBot="1">
      <c r="A16" s="267" t="s">
        <v>120</v>
      </c>
      <c r="B16" s="268"/>
      <c r="C16" s="269"/>
      <c r="D16" s="130">
        <f ca="1">SUM(D12:D15)</f>
        <v>19</v>
      </c>
      <c r="E16" s="130">
        <f ca="1">SUM(E12:E15)</f>
        <v>9</v>
      </c>
      <c r="F16" s="130">
        <f ca="1">SUM(F12:F15)</f>
        <v>5</v>
      </c>
      <c r="G16" s="131">
        <f ca="1">SUM(G12:G15)</f>
        <v>1</v>
      </c>
      <c r="H16" s="132" t="e">
        <f t="shared" ca="1" si="0"/>
        <v>#REF!</v>
      </c>
      <c r="I16" s="265"/>
      <c r="J16" s="129">
        <f ca="1">SUM(J12:J15)</f>
        <v>5</v>
      </c>
      <c r="K16" s="130">
        <f ca="1">SUM(K12:K15)</f>
        <v>4</v>
      </c>
      <c r="L16" s="130">
        <f ca="1">SUM(L12:L15)</f>
        <v>0</v>
      </c>
      <c r="M16" s="130">
        <f ca="1">SUM(M12:M15)</f>
        <v>0</v>
      </c>
      <c r="N16" s="133" t="str">
        <f ca="1">IF($O16="N/A","N/A",IFERROR($J16/($F16-(M16-G16)),"N/A"))</f>
        <v>N/A</v>
      </c>
      <c r="O16" s="134" t="str">
        <f ca="1">IF($G16=$D16, "N/A", IFERROR((T16/U16),"N/A"))</f>
        <v>N/A</v>
      </c>
      <c r="R16" s="41" t="e">
        <f>SUM(R12:R15)</f>
        <v>#REF!</v>
      </c>
      <c r="S16" s="42">
        <f>SUM(S12:S15)</f>
        <v>19</v>
      </c>
      <c r="T16" s="42" t="e">
        <f>SUM(T12:T15)</f>
        <v>#REF!</v>
      </c>
      <c r="U16" s="41" t="e">
        <f>SUM(U12:U15)</f>
        <v>#REF!</v>
      </c>
      <c r="V16" s="270" t="s">
        <v>121</v>
      </c>
      <c r="W16" s="225"/>
      <c r="X16" s="62" t="e">
        <f t="shared" ca="1" si="3"/>
        <v>#REF!</v>
      </c>
      <c r="Y16" s="62" t="str">
        <f t="shared" ca="1" si="2"/>
        <v>N/A</v>
      </c>
    </row>
    <row r="17" spans="1:25">
      <c r="A17" s="9"/>
      <c r="B17" s="9"/>
      <c r="C17" s="9"/>
      <c r="D17" s="9"/>
      <c r="E17" s="9"/>
      <c r="F17" s="9"/>
      <c r="G17" s="9"/>
      <c r="H17" s="9"/>
      <c r="I17" s="9"/>
      <c r="M17" s="9"/>
      <c r="N17" s="9"/>
    </row>
    <row r="18" spans="1:25" ht="15" customHeight="1" thickBo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 t="s">
        <v>123</v>
      </c>
      <c r="S18" s="17"/>
    </row>
    <row r="19" spans="1:25" ht="21.95" customHeight="1">
      <c r="A19" s="251" t="s">
        <v>60</v>
      </c>
      <c r="B19" s="252"/>
      <c r="C19" s="253" t="s">
        <v>124</v>
      </c>
      <c r="D19" s="254"/>
      <c r="E19" s="254"/>
      <c r="F19" s="255" t="s">
        <v>23</v>
      </c>
      <c r="G19" s="254"/>
      <c r="H19" s="142" t="s">
        <v>66</v>
      </c>
      <c r="I19" s="143" t="s">
        <v>125</v>
      </c>
      <c r="J19" s="141" t="s">
        <v>78</v>
      </c>
      <c r="K19" s="143" t="s">
        <v>126</v>
      </c>
      <c r="L19" s="256" t="s">
        <v>127</v>
      </c>
      <c r="M19" s="254"/>
      <c r="N19" s="254"/>
      <c r="O19" s="254"/>
      <c r="P19" s="252"/>
      <c r="Q19" s="144" t="s">
        <v>59</v>
      </c>
      <c r="R19" s="156" t="s">
        <v>128</v>
      </c>
      <c r="S19" s="157" t="s">
        <v>117</v>
      </c>
      <c r="T19" s="158" t="s">
        <v>118</v>
      </c>
      <c r="U19" s="157" t="s">
        <v>119</v>
      </c>
      <c r="V19" s="257" t="s">
        <v>78</v>
      </c>
      <c r="W19" s="188"/>
      <c r="Y19" s="63"/>
    </row>
    <row r="20" spans="1:25" ht="60" customHeight="1">
      <c r="A20" s="11" t="s">
        <v>63</v>
      </c>
      <c r="B20" s="11" t="s">
        <v>134</v>
      </c>
      <c r="C20" s="248" t="s">
        <v>165</v>
      </c>
      <c r="D20" s="248"/>
      <c r="E20" s="248"/>
      <c r="F20" s="154" t="str">
        <f>ChkList!D5</f>
        <v>H</v>
      </c>
      <c r="G20" s="154">
        <f>ChkList!E5</f>
        <v>3</v>
      </c>
      <c r="H20" s="160" t="s">
        <v>32</v>
      </c>
      <c r="I20" s="161" t="s">
        <v>219</v>
      </c>
      <c r="J20" s="11" t="str">
        <f t="shared" ref="J20:J38" si="4">IF(OR(ISBLANK($L20), $L20=" - 이행진단 시 평가 - "), "", IF(OR($H20="Y",$H20="N/A",$H20="Y(즉시조치)"),$H20,IF(IFERROR(FIND("양호함",$L20),0),"Y",IF(IFERROR(FIND("해당사항",$L20),0),"N/A",IF(IFERROR(FIND("해당 사항",$L20),0),"N/A","N")))))</f>
        <v>Y</v>
      </c>
      <c r="K20" s="11" t="str">
        <f t="shared" ref="K20:K38" si="5">IF($J20="", "", IF(OR($H20="Y", $H20="N/A",$H20="Y(즉시조치)"), $H20, IF(AND($H20="N", $J20="Y"), "조치", IF(AND($H20="N",$J20="N/A"), "N/A", IF(IFERROR(FIND("위험수용", $L20), 0), "위험수용", "미조치")))))</f>
        <v>Y</v>
      </c>
      <c r="L20" s="249" t="s">
        <v>268</v>
      </c>
      <c r="M20" s="250"/>
      <c r="N20" s="250"/>
      <c r="O20" s="250"/>
      <c r="P20" s="250"/>
      <c r="Q20" s="155" t="str">
        <f>IF($J20="",IF(OR($H20="N",$H20="인터뷰"), ChkList!$F5, ""), IF(OR($J20="N",$J20="인터뷰"), ChkList!$F5, ""))</f>
        <v/>
      </c>
      <c r="R20" s="154">
        <f>IF($H20="N/A",0,VLOOKUP($F20,'parm(hidden)'!$B$8:$C$10,2,FALSE))*1</f>
        <v>3</v>
      </c>
      <c r="S20" s="154">
        <f>IFERROR(VLOOKUP($F20,'parm(hidden)'!$B$8:$C$10,2,FALSE)*VLOOKUP($H20,'parm(hidden)'!$B$15:$C$19,2,FALSE),0)</f>
        <v>3</v>
      </c>
      <c r="T20" s="154">
        <f>IFERROR(VLOOKUP($F20,'parm(hidden)'!$B$8:$C$10,2,FALSE)*VLOOKUP($K20,$V$21:$W$26,2,FALSE),0)</f>
        <v>3</v>
      </c>
      <c r="U20" s="11">
        <f>IF($J20="N/A",0,VLOOKUP($F20,'parm(hidden)'!$B$8:$C$10,2,FALSE))*1</f>
        <v>3</v>
      </c>
      <c r="V20" s="54" t="s">
        <v>129</v>
      </c>
      <c r="W20" s="40" t="s">
        <v>24</v>
      </c>
      <c r="Y20" s="10"/>
    </row>
    <row r="21" spans="1:25" ht="12" customHeight="1">
      <c r="A21" s="11" t="s">
        <v>63</v>
      </c>
      <c r="B21" s="11" t="s">
        <v>135</v>
      </c>
      <c r="C21" s="248" t="s">
        <v>166</v>
      </c>
      <c r="D21" s="248"/>
      <c r="E21" s="248"/>
      <c r="F21" s="154" t="str">
        <f>ChkList!D6</f>
        <v>H</v>
      </c>
      <c r="G21" s="154">
        <f>ChkList!E6</f>
        <v>3</v>
      </c>
      <c r="H21" s="160" t="s">
        <v>220</v>
      </c>
      <c r="I21" s="161" t="s">
        <v>221</v>
      </c>
      <c r="J21" s="11" t="str">
        <f t="shared" si="4"/>
        <v>Y</v>
      </c>
      <c r="K21" s="11" t="str">
        <f t="shared" si="5"/>
        <v>미조치</v>
      </c>
      <c r="L21" s="249" t="s">
        <v>188</v>
      </c>
      <c r="M21" s="250"/>
      <c r="N21" s="250"/>
      <c r="O21" s="250"/>
      <c r="P21" s="250"/>
      <c r="Q21" s="155" t="str">
        <f>IF($J21="",IF(OR($H21="N",$H21="인터뷰"), ChkList!$F6, ""), IF(OR($J21="N",$J21="인터뷰"), ChkList!$F6, ""))</f>
        <v/>
      </c>
      <c r="R21" s="154">
        <f>IF($H21="N/A",0,VLOOKUP($F21,'parm(hidden)'!$B$8:$C$10,2,FALSE))*1</f>
        <v>3</v>
      </c>
      <c r="S21" s="154">
        <f>IFERROR(VLOOKUP($F21,'parm(hidden)'!$B$8:$C$10,2,FALSE)*VLOOKUP($H21,'parm(hidden)'!$B$15:$C$19,2,FALSE),0)</f>
        <v>0</v>
      </c>
      <c r="T21" s="154">
        <f>IFERROR(VLOOKUP($F21,'parm(hidden)'!$B$8:$C$10,2,FALSE)*VLOOKUP($K21,$V$21:$W$26,2,FALSE),0)</f>
        <v>0</v>
      </c>
      <c r="U21" s="11">
        <f>IF($J21="N/A",0,VLOOKUP($F21,'parm(hidden)'!$B$8:$C$10,2,FALSE))*1</f>
        <v>3</v>
      </c>
      <c r="V21" s="56" t="s">
        <v>79</v>
      </c>
      <c r="W21" s="27">
        <v>1</v>
      </c>
      <c r="Y21" s="10"/>
    </row>
    <row r="22" spans="1:25" ht="36">
      <c r="A22" s="11" t="s">
        <v>63</v>
      </c>
      <c r="B22" s="11" t="s">
        <v>136</v>
      </c>
      <c r="C22" s="248" t="s">
        <v>167</v>
      </c>
      <c r="D22" s="248"/>
      <c r="E22" s="248"/>
      <c r="F22" s="154" t="str">
        <f>ChkList!D7</f>
        <v>M</v>
      </c>
      <c r="G22" s="154">
        <f>ChkList!E7</f>
        <v>2</v>
      </c>
      <c r="H22" s="160" t="s">
        <v>32</v>
      </c>
      <c r="I22" s="161" t="s">
        <v>222</v>
      </c>
      <c r="J22" s="11" t="str">
        <f t="shared" si="4"/>
        <v>Y</v>
      </c>
      <c r="K22" s="11" t="str">
        <f t="shared" si="5"/>
        <v>Y</v>
      </c>
      <c r="L22" s="249" t="s">
        <v>266</v>
      </c>
      <c r="M22" s="250"/>
      <c r="N22" s="250"/>
      <c r="O22" s="250"/>
      <c r="P22" s="250"/>
      <c r="Q22" s="155" t="str">
        <f>IF($J22="",IF(OR($H22="N",$H22="인터뷰"), ChkList!$F7, ""), IF(OR($J22="N",$J22="인터뷰"), ChkList!$F7, ""))</f>
        <v/>
      </c>
      <c r="R22" s="154">
        <f>IF($H22="N/A",0,VLOOKUP($F22,'parm(hidden)'!$B$8:$C$10,2,FALSE))*1</f>
        <v>2</v>
      </c>
      <c r="S22" s="154">
        <f>IFERROR(VLOOKUP($F22,'parm(hidden)'!$B$8:$C$10,2,FALSE)*VLOOKUP($H22,'parm(hidden)'!$B$15:$C$19,2,FALSE),0)</f>
        <v>2</v>
      </c>
      <c r="T22" s="154">
        <f>IFERROR(VLOOKUP($F22,'parm(hidden)'!$B$8:$C$10,2,FALSE)*VLOOKUP($K22,$V$21:$W$26,2,FALSE),0)</f>
        <v>2</v>
      </c>
      <c r="U22" s="11">
        <f>IF($J22="N/A",0,VLOOKUP($F22,'parm(hidden)'!$B$8:$C$10,2,FALSE))*1</f>
        <v>2</v>
      </c>
      <c r="V22" s="56" t="s">
        <v>80</v>
      </c>
      <c r="W22" s="27">
        <v>0</v>
      </c>
      <c r="Y22" s="10"/>
    </row>
    <row r="23" spans="1:25" ht="36" customHeight="1">
      <c r="A23" s="11" t="s">
        <v>163</v>
      </c>
      <c r="B23" s="11" t="s">
        <v>137</v>
      </c>
      <c r="C23" s="248" t="s">
        <v>168</v>
      </c>
      <c r="D23" s="248"/>
      <c r="E23" s="248"/>
      <c r="F23" s="154" t="str">
        <f>ChkList!D8</f>
        <v>H</v>
      </c>
      <c r="G23" s="154">
        <f>ChkList!E8</f>
        <v>3</v>
      </c>
      <c r="H23" s="160" t="s">
        <v>33</v>
      </c>
      <c r="I23" s="161" t="s">
        <v>239</v>
      </c>
      <c r="J23" s="11" t="str">
        <f t="shared" si="4"/>
        <v>Y</v>
      </c>
      <c r="K23" s="11" t="str">
        <f t="shared" si="5"/>
        <v>조치</v>
      </c>
      <c r="L23" s="249" t="s">
        <v>273</v>
      </c>
      <c r="M23" s="250"/>
      <c r="N23" s="250"/>
      <c r="O23" s="250"/>
      <c r="P23" s="250"/>
      <c r="Q23" s="155" t="str">
        <f>IF($J23="",IF(OR($H23="N",$H23="인터뷰"), ChkList!$F8, ""), IF(OR($J23="N",$J23="인터뷰"), ChkList!$F8, ""))</f>
        <v/>
      </c>
      <c r="R23" s="154">
        <f>IF($H23="N/A",0,VLOOKUP($F23,'parm(hidden)'!$B$8:$C$10,2,FALSE))*1</f>
        <v>3</v>
      </c>
      <c r="S23" s="154">
        <f>IFERROR(VLOOKUP($F23,'parm(hidden)'!$B$8:$C$10,2,FALSE)*VLOOKUP($H23,'parm(hidden)'!$B$15:$C$19,2,FALSE),0)</f>
        <v>0</v>
      </c>
      <c r="T23" s="154">
        <f>IFERROR(VLOOKUP($F23,'parm(hidden)'!$B$8:$C$10,2,FALSE)*VLOOKUP($K23,$V$21:$W$26,2,FALSE),0)</f>
        <v>3</v>
      </c>
      <c r="U23" s="11">
        <f>IF($J23="N/A",0,VLOOKUP($F23,'parm(hidden)'!$B$8:$C$10,2,FALSE))*1</f>
        <v>3</v>
      </c>
      <c r="V23" s="56" t="s">
        <v>81</v>
      </c>
      <c r="W23" s="27">
        <v>0</v>
      </c>
      <c r="Y23" s="10"/>
    </row>
    <row r="24" spans="1:25" ht="108" customHeight="1">
      <c r="A24" s="11" t="s">
        <v>163</v>
      </c>
      <c r="B24" s="11" t="s">
        <v>138</v>
      </c>
      <c r="C24" s="248" t="s">
        <v>169</v>
      </c>
      <c r="D24" s="248"/>
      <c r="E24" s="248"/>
      <c r="F24" s="154" t="str">
        <f>ChkList!D9</f>
        <v>H</v>
      </c>
      <c r="G24" s="154">
        <f>ChkList!E9</f>
        <v>3</v>
      </c>
      <c r="H24" s="160" t="s">
        <v>33</v>
      </c>
      <c r="I24" s="161" t="s">
        <v>223</v>
      </c>
      <c r="J24" s="11" t="str">
        <f t="shared" si="4"/>
        <v>Y</v>
      </c>
      <c r="K24" s="11" t="str">
        <f t="shared" si="5"/>
        <v>조치</v>
      </c>
      <c r="L24" s="249" t="s">
        <v>270</v>
      </c>
      <c r="M24" s="250"/>
      <c r="N24" s="250"/>
      <c r="O24" s="250"/>
      <c r="P24" s="250"/>
      <c r="Q24" s="155" t="str">
        <f>IF($J24="",IF(OR($H24="N",$H24="인터뷰"), ChkList!$F9, ""), IF(OR($J24="N",$J24="인터뷰"), ChkList!$F9, ""))</f>
        <v/>
      </c>
      <c r="R24" s="154">
        <f>IF($H24="N/A",0,VLOOKUP($F24,'parm(hidden)'!$B$8:$C$10,2,FALSE))*1</f>
        <v>3</v>
      </c>
      <c r="S24" s="154">
        <f>IFERROR(VLOOKUP($F24,'parm(hidden)'!$B$8:$C$10,2,FALSE)*VLOOKUP($H24,'parm(hidden)'!$B$15:$C$19,2,FALSE),0)</f>
        <v>0</v>
      </c>
      <c r="T24" s="154">
        <f>IFERROR(VLOOKUP($F24,'parm(hidden)'!$B$8:$C$10,2,FALSE)*VLOOKUP($K24,$V$21:$W$26,2,FALSE),0)</f>
        <v>3</v>
      </c>
      <c r="U24" s="11">
        <f>IF($J24="N/A",0,VLOOKUP($F24,'parm(hidden)'!$B$8:$C$10,2,FALSE))*1</f>
        <v>3</v>
      </c>
      <c r="V24" s="56" t="s">
        <v>35</v>
      </c>
      <c r="W24" s="27">
        <v>0</v>
      </c>
      <c r="Y24" s="10"/>
    </row>
    <row r="25" spans="1:25" ht="36" customHeight="1">
      <c r="A25" s="11" t="s">
        <v>163</v>
      </c>
      <c r="B25" s="11" t="s">
        <v>139</v>
      </c>
      <c r="C25" s="248" t="s">
        <v>191</v>
      </c>
      <c r="D25" s="248"/>
      <c r="E25" s="248"/>
      <c r="F25" s="154" t="str">
        <f>ChkList!D10</f>
        <v>H</v>
      </c>
      <c r="G25" s="154">
        <f>ChkList!E10</f>
        <v>3</v>
      </c>
      <c r="H25" s="160" t="s">
        <v>32</v>
      </c>
      <c r="I25" s="161" t="s">
        <v>226</v>
      </c>
      <c r="J25" s="11" t="str">
        <f t="shared" si="4"/>
        <v>Y</v>
      </c>
      <c r="K25" s="11" t="str">
        <f t="shared" si="5"/>
        <v>Y</v>
      </c>
      <c r="L25" s="249" t="s">
        <v>272</v>
      </c>
      <c r="M25" s="250"/>
      <c r="N25" s="250"/>
      <c r="O25" s="250"/>
      <c r="P25" s="250"/>
      <c r="Q25" s="155" t="str">
        <f>IF($J25="",IF(OR($H25="N",$H25="인터뷰"), ChkList!$F10, ""), IF(OR($J25="N",$J25="인터뷰"), ChkList!$F10, ""))</f>
        <v/>
      </c>
      <c r="R25" s="154">
        <f>IF($H25="N/A",0,VLOOKUP($F25,'parm(hidden)'!$B$8:$C$10,2,FALSE))*1</f>
        <v>3</v>
      </c>
      <c r="S25" s="154">
        <f>IFERROR(VLOOKUP($F25,'parm(hidden)'!$B$8:$C$10,2,FALSE)*VLOOKUP($H25,'parm(hidden)'!$B$15:$C$19,2,FALSE),0)</f>
        <v>3</v>
      </c>
      <c r="T25" s="154">
        <f>IFERROR(VLOOKUP($F25,'parm(hidden)'!$B$8:$C$10,2,FALSE)*VLOOKUP($K25,$V$21:$W$26,2,FALSE),0)</f>
        <v>3</v>
      </c>
      <c r="U25" s="11">
        <f>IF($J25="N/A",0,VLOOKUP($F25,'parm(hidden)'!$B$8:$C$10,2,FALSE))*1</f>
        <v>3</v>
      </c>
      <c r="V25" s="56" t="s">
        <v>32</v>
      </c>
      <c r="W25" s="27">
        <v>1</v>
      </c>
      <c r="Y25" s="10"/>
    </row>
    <row r="26" spans="1:25" ht="48">
      <c r="A26" s="11" t="s">
        <v>163</v>
      </c>
      <c r="B26" s="11" t="s">
        <v>140</v>
      </c>
      <c r="C26" s="248" t="s">
        <v>170</v>
      </c>
      <c r="D26" s="248"/>
      <c r="E26" s="248"/>
      <c r="F26" s="154" t="str">
        <f>ChkList!D11</f>
        <v>M</v>
      </c>
      <c r="G26" s="154">
        <f>ChkList!E11</f>
        <v>2</v>
      </c>
      <c r="H26" s="160" t="s">
        <v>220</v>
      </c>
      <c r="I26" s="161" t="s">
        <v>227</v>
      </c>
      <c r="J26" s="11" t="str">
        <f t="shared" si="4"/>
        <v>Y</v>
      </c>
      <c r="K26" s="11" t="str">
        <f t="shared" si="5"/>
        <v>미조치</v>
      </c>
      <c r="L26" s="249" t="s">
        <v>266</v>
      </c>
      <c r="M26" s="250"/>
      <c r="N26" s="250"/>
      <c r="O26" s="250"/>
      <c r="P26" s="250"/>
      <c r="Q26" s="155" t="str">
        <f>IF($J26="",IF(OR($H26="N",$H26="인터뷰"), ChkList!$F11, ""), IF(OR($J26="N",$J26="인터뷰"), ChkList!$F11, ""))</f>
        <v/>
      </c>
      <c r="R26" s="154">
        <f>IF($H26="N/A",0,VLOOKUP($F26,'parm(hidden)'!$B$8:$C$10,2,FALSE))*1</f>
        <v>2</v>
      </c>
      <c r="S26" s="154">
        <f>IFERROR(VLOOKUP($F26,'parm(hidden)'!$B$8:$C$10,2,FALSE)*VLOOKUP($H26,'parm(hidden)'!$B$15:$C$19,2,FALSE),0)</f>
        <v>0</v>
      </c>
      <c r="T26" s="154">
        <f>IFERROR(VLOOKUP($F26,'parm(hidden)'!$B$8:$C$10,2,FALSE)*VLOOKUP($K26,$V$21:$W$26,2,FALSE),0)</f>
        <v>0</v>
      </c>
      <c r="U26" s="11">
        <f>IF($J26="N/A",0,VLOOKUP($F26,'parm(hidden)'!$B$8:$C$10,2,FALSE))*1</f>
        <v>2</v>
      </c>
      <c r="V26" s="56" t="s">
        <v>37</v>
      </c>
      <c r="W26" s="27">
        <v>1</v>
      </c>
      <c r="Y26" s="10"/>
    </row>
    <row r="27" spans="1:25" ht="36" customHeight="1">
      <c r="A27" s="11" t="s">
        <v>163</v>
      </c>
      <c r="B27" s="11" t="s">
        <v>141</v>
      </c>
      <c r="C27" s="248" t="s">
        <v>171</v>
      </c>
      <c r="D27" s="248"/>
      <c r="E27" s="248"/>
      <c r="F27" s="154" t="str">
        <f>ChkList!D12</f>
        <v>M</v>
      </c>
      <c r="G27" s="154">
        <f>ChkList!E12</f>
        <v>2</v>
      </c>
      <c r="H27" s="160" t="s">
        <v>32</v>
      </c>
      <c r="I27" s="161" t="s">
        <v>228</v>
      </c>
      <c r="J27" s="11" t="str">
        <f t="shared" si="4"/>
        <v>Y</v>
      </c>
      <c r="K27" s="11" t="str">
        <f t="shared" si="5"/>
        <v>Y</v>
      </c>
      <c r="L27" s="249" t="s">
        <v>276</v>
      </c>
      <c r="M27" s="250"/>
      <c r="N27" s="250"/>
      <c r="O27" s="250"/>
      <c r="P27" s="250"/>
      <c r="Q27" s="155" t="str">
        <f>IF($J27="",IF(OR($H27="N",$H27="인터뷰"), ChkList!$F12, ""), IF(OR($J27="N",$J27="인터뷰"), ChkList!$F12, ""))</f>
        <v/>
      </c>
      <c r="R27" s="154">
        <f>IF($H27="N/A",0,VLOOKUP($F27,'parm(hidden)'!$B$8:$C$10,2,FALSE))*1</f>
        <v>2</v>
      </c>
      <c r="S27" s="154">
        <f>IFERROR(VLOOKUP($F27,'parm(hidden)'!$B$8:$C$10,2,FALSE)*VLOOKUP($H27,'parm(hidden)'!$B$15:$C$19,2,FALSE),0)</f>
        <v>2</v>
      </c>
      <c r="T27" s="154">
        <f>IFERROR(VLOOKUP($F27,'parm(hidden)'!$B$8:$C$10,2,FALSE)*VLOOKUP($K27,$V$21:$W$26,2,FALSE),0)</f>
        <v>2</v>
      </c>
      <c r="U27" s="11">
        <f>IF($J27="N/A",0,VLOOKUP($F27,'parm(hidden)'!$B$8:$C$10,2,FALSE))*1</f>
        <v>2</v>
      </c>
      <c r="Y27" s="10"/>
    </row>
    <row r="28" spans="1:25" ht="36" customHeight="1">
      <c r="A28" s="11" t="s">
        <v>163</v>
      </c>
      <c r="B28" s="11" t="s">
        <v>142</v>
      </c>
      <c r="C28" s="248" t="s">
        <v>172</v>
      </c>
      <c r="D28" s="248"/>
      <c r="E28" s="248"/>
      <c r="F28" s="154" t="str">
        <f>ChkList!D13</f>
        <v>L</v>
      </c>
      <c r="G28" s="154">
        <f>ChkList!E13</f>
        <v>1</v>
      </c>
      <c r="H28" s="160" t="s">
        <v>32</v>
      </c>
      <c r="I28" s="161" t="s">
        <v>229</v>
      </c>
      <c r="J28" s="11" t="str">
        <f t="shared" si="4"/>
        <v>Y</v>
      </c>
      <c r="K28" s="11" t="str">
        <f t="shared" si="5"/>
        <v>Y</v>
      </c>
      <c r="L28" s="249" t="s">
        <v>277</v>
      </c>
      <c r="M28" s="250"/>
      <c r="N28" s="250"/>
      <c r="O28" s="250"/>
      <c r="P28" s="250"/>
      <c r="Q28" s="155" t="str">
        <f>IF($J28="",IF(OR($H28="N",$H28="인터뷰"), ChkList!$F13, ""), IF(OR($J28="N",$J28="인터뷰"), ChkList!$F13, ""))</f>
        <v/>
      </c>
      <c r="R28" s="154">
        <f>IF($H28="N/A",0,VLOOKUP($F28,'parm(hidden)'!$B$8:$C$10,2,FALSE))*1</f>
        <v>1</v>
      </c>
      <c r="S28" s="154">
        <f>IFERROR(VLOOKUP($F28,'parm(hidden)'!$B$8:$C$10,2,FALSE)*VLOOKUP($H28,'parm(hidden)'!$B$15:$C$19,2,FALSE),0)</f>
        <v>1</v>
      </c>
      <c r="T28" s="154">
        <f>IFERROR(VLOOKUP($F28,'parm(hidden)'!$B$8:$C$10,2,FALSE)*VLOOKUP($K28,$V$21:$W$26,2,FALSE),0)</f>
        <v>1</v>
      </c>
      <c r="U28" s="11">
        <f>IF($J28="N/A",0,VLOOKUP($F28,'parm(hidden)'!$B$8:$C$10,2,FALSE))*1</f>
        <v>1</v>
      </c>
      <c r="Y28" s="10"/>
    </row>
    <row r="29" spans="1:25" ht="48" customHeight="1">
      <c r="A29" s="11" t="s">
        <v>131</v>
      </c>
      <c r="B29" s="11" t="s">
        <v>143</v>
      </c>
      <c r="C29" s="248" t="s">
        <v>173</v>
      </c>
      <c r="D29" s="248"/>
      <c r="E29" s="248"/>
      <c r="F29" s="154" t="str">
        <f>ChkList!D14</f>
        <v>H</v>
      </c>
      <c r="G29" s="154">
        <f>ChkList!E14</f>
        <v>3</v>
      </c>
      <c r="H29" s="160" t="s">
        <v>220</v>
      </c>
      <c r="I29" s="161"/>
      <c r="J29" s="11" t="str">
        <f t="shared" si="4"/>
        <v>Y</v>
      </c>
      <c r="K29" s="11" t="str">
        <f t="shared" si="5"/>
        <v>미조치</v>
      </c>
      <c r="L29" s="249" t="s">
        <v>266</v>
      </c>
      <c r="M29" s="250"/>
      <c r="N29" s="250"/>
      <c r="O29" s="250"/>
      <c r="P29" s="250"/>
      <c r="Q29" s="155" t="str">
        <f>IF($J29="",IF(OR($H29="N",$H29="인터뷰"), ChkList!$F14, ""), IF(OR($J29="N",$J29="인터뷰"), ChkList!$F14, ""))</f>
        <v/>
      </c>
      <c r="R29" s="154">
        <f>IF($H29="N/A",0,VLOOKUP($F29,'parm(hidden)'!$B$8:$C$10,2,FALSE))*1</f>
        <v>3</v>
      </c>
      <c r="S29" s="154">
        <f>IFERROR(VLOOKUP($F29,'parm(hidden)'!$B$8:$C$10,2,FALSE)*VLOOKUP($H29,'parm(hidden)'!$B$15:$C$19,2,FALSE),0)</f>
        <v>0</v>
      </c>
      <c r="T29" s="154">
        <f>IFERROR(VLOOKUP($F29,'parm(hidden)'!$B$8:$C$10,2,FALSE)*VLOOKUP($K29,$V$21:$W$26,2,FALSE),0)</f>
        <v>0</v>
      </c>
      <c r="U29" s="11">
        <f>IF($J29="N/A",0,VLOOKUP($F29,'parm(hidden)'!$B$8:$C$10,2,FALSE))*1</f>
        <v>3</v>
      </c>
      <c r="Y29" s="10"/>
    </row>
    <row r="30" spans="1:25" ht="48" customHeight="1">
      <c r="A30" s="11" t="s">
        <v>131</v>
      </c>
      <c r="B30" s="11" t="s">
        <v>144</v>
      </c>
      <c r="C30" s="248" t="s">
        <v>174</v>
      </c>
      <c r="D30" s="248"/>
      <c r="E30" s="248"/>
      <c r="F30" s="154" t="str">
        <f>ChkList!D15</f>
        <v>H</v>
      </c>
      <c r="G30" s="154">
        <f>ChkList!E15</f>
        <v>3</v>
      </c>
      <c r="H30" s="160" t="s">
        <v>220</v>
      </c>
      <c r="I30" s="161" t="s">
        <v>236</v>
      </c>
      <c r="J30" s="11" t="str">
        <f t="shared" si="4"/>
        <v>Y</v>
      </c>
      <c r="K30" s="11" t="str">
        <f t="shared" si="5"/>
        <v>미조치</v>
      </c>
      <c r="L30" s="249" t="s">
        <v>266</v>
      </c>
      <c r="M30" s="250"/>
      <c r="N30" s="250"/>
      <c r="O30" s="250"/>
      <c r="P30" s="250"/>
      <c r="Q30" s="155" t="str">
        <f>IF($J30="",IF(OR($H30="N",$H30="인터뷰"), ChkList!$F15, ""), IF(OR($J30="N",$J30="인터뷰"), ChkList!$F15, ""))</f>
        <v/>
      </c>
      <c r="R30" s="154">
        <f>IF($H30="N/A",0,VLOOKUP($F30,'parm(hidden)'!$B$8:$C$10,2,FALSE))*1</f>
        <v>3</v>
      </c>
      <c r="S30" s="154">
        <f>IFERROR(VLOOKUP($F30,'parm(hidden)'!$B$8:$C$10,2,FALSE)*VLOOKUP($H30,'parm(hidden)'!$B$15:$C$19,2,FALSE),0)</f>
        <v>0</v>
      </c>
      <c r="T30" s="154">
        <f>IFERROR(VLOOKUP($F30,'parm(hidden)'!$B$8:$C$10,2,FALSE)*VLOOKUP($K30,$V$21:$W$26,2,FALSE),0)</f>
        <v>0</v>
      </c>
      <c r="U30" s="11">
        <f>IF($J30="N/A",0,VLOOKUP($F30,'parm(hidden)'!$B$8:$C$10,2,FALSE))*1</f>
        <v>3</v>
      </c>
      <c r="Y30" s="10"/>
    </row>
    <row r="31" spans="1:25">
      <c r="A31" s="11" t="s">
        <v>131</v>
      </c>
      <c r="B31" s="11" t="s">
        <v>145</v>
      </c>
      <c r="C31" s="248" t="s">
        <v>175</v>
      </c>
      <c r="D31" s="248"/>
      <c r="E31" s="248"/>
      <c r="F31" s="154" t="str">
        <f>ChkList!D16</f>
        <v>M</v>
      </c>
      <c r="G31" s="154">
        <f>ChkList!E16</f>
        <v>2</v>
      </c>
      <c r="H31" s="160" t="s">
        <v>35</v>
      </c>
      <c r="I31" s="161"/>
      <c r="J31" s="11" t="str">
        <f t="shared" si="4"/>
        <v/>
      </c>
      <c r="K31" s="11" t="str">
        <f t="shared" si="5"/>
        <v/>
      </c>
      <c r="L31" s="249"/>
      <c r="M31" s="250"/>
      <c r="N31" s="250"/>
      <c r="O31" s="250"/>
      <c r="P31" s="250"/>
      <c r="Q31" s="155" t="str">
        <f>IF($J31="",IF(OR($H31="N",$H31="인터뷰"), ChkList!$F16, ""), IF(OR($J31="N",$J31="인터뷰"), ChkList!$F16, ""))</f>
        <v/>
      </c>
      <c r="R31" s="154">
        <f>IF($H31="N/A",0,VLOOKUP($F31,'parm(hidden)'!$B$8:$C$10,2,FALSE))*1</f>
        <v>0</v>
      </c>
      <c r="S31" s="154">
        <f>IFERROR(VLOOKUP($F31,'parm(hidden)'!$B$8:$C$10,2,FALSE)*VLOOKUP($H31,'parm(hidden)'!$B$15:$C$19,2,FALSE),0)</f>
        <v>0</v>
      </c>
      <c r="T31" s="154">
        <f>IFERROR(VLOOKUP($F31,'parm(hidden)'!$B$8:$C$10,2,FALSE)*VLOOKUP($K31,$V$21:$W$26,2,FALSE),0)</f>
        <v>0</v>
      </c>
      <c r="U31" s="11">
        <f>IF($J31="N/A",0,VLOOKUP($F31,'parm(hidden)'!$B$8:$C$10,2,FALSE))*1</f>
        <v>2</v>
      </c>
      <c r="Y31" s="10"/>
    </row>
    <row r="32" spans="1:25" ht="48" customHeight="1">
      <c r="A32" s="11" t="s">
        <v>164</v>
      </c>
      <c r="B32" s="11" t="s">
        <v>146</v>
      </c>
      <c r="C32" s="248" t="s">
        <v>176</v>
      </c>
      <c r="D32" s="248"/>
      <c r="E32" s="248"/>
      <c r="F32" s="154" t="str">
        <f>ChkList!D17</f>
        <v>H</v>
      </c>
      <c r="G32" s="154">
        <f>ChkList!E17</f>
        <v>3</v>
      </c>
      <c r="H32" s="160" t="s">
        <v>33</v>
      </c>
      <c r="I32" s="161" t="s">
        <v>230</v>
      </c>
      <c r="J32" s="11" t="str">
        <f t="shared" si="4"/>
        <v>Y</v>
      </c>
      <c r="K32" s="11" t="str">
        <f t="shared" si="5"/>
        <v>조치</v>
      </c>
      <c r="L32" s="249" t="s">
        <v>285</v>
      </c>
      <c r="M32" s="250"/>
      <c r="N32" s="250"/>
      <c r="O32" s="250"/>
      <c r="P32" s="250"/>
      <c r="Q32" s="155" t="str">
        <f>IF($J32="",IF(OR($H32="N",$H32="인터뷰"), ChkList!$F17, ""), IF(OR($J32="N",$J32="인터뷰"), ChkList!$F17, ""))</f>
        <v/>
      </c>
      <c r="R32" s="154">
        <f>IF($H32="N/A",0,VLOOKUP($F32,'parm(hidden)'!$B$8:$C$10,2,FALSE))*1</f>
        <v>3</v>
      </c>
      <c r="S32" s="154">
        <f>IFERROR(VLOOKUP($F32,'parm(hidden)'!$B$8:$C$10,2,FALSE)*VLOOKUP($H32,'parm(hidden)'!$B$15:$C$19,2,FALSE),0)</f>
        <v>0</v>
      </c>
      <c r="T32" s="154">
        <f>IFERROR(VLOOKUP($F32,'parm(hidden)'!$B$8:$C$10,2,FALSE)*VLOOKUP($K32,$V$21:$W$26,2,FALSE),0)</f>
        <v>3</v>
      </c>
      <c r="U32" s="11">
        <f>IF($J32="N/A",0,VLOOKUP($F32,'parm(hidden)'!$B$8:$C$10,2,FALSE))*1</f>
        <v>3</v>
      </c>
      <c r="Y32" s="10"/>
    </row>
    <row r="33" spans="1:25" ht="48" customHeight="1">
      <c r="A33" s="11" t="s">
        <v>164</v>
      </c>
      <c r="B33" s="11" t="s">
        <v>147</v>
      </c>
      <c r="C33" s="248" t="s">
        <v>177</v>
      </c>
      <c r="D33" s="248"/>
      <c r="E33" s="248"/>
      <c r="F33" s="154" t="str">
        <f>ChkList!D18</f>
        <v>H</v>
      </c>
      <c r="G33" s="154">
        <f>ChkList!E18</f>
        <v>3</v>
      </c>
      <c r="H33" s="160" t="s">
        <v>33</v>
      </c>
      <c r="I33" s="161" t="s">
        <v>231</v>
      </c>
      <c r="J33" s="11" t="str">
        <f t="shared" si="4"/>
        <v>Y</v>
      </c>
      <c r="K33" s="11" t="str">
        <f t="shared" si="5"/>
        <v>조치</v>
      </c>
      <c r="L33" s="249" t="s">
        <v>284</v>
      </c>
      <c r="M33" s="250"/>
      <c r="N33" s="250"/>
      <c r="O33" s="250"/>
      <c r="P33" s="250"/>
      <c r="Q33" s="155" t="str">
        <f>IF($J33="",IF(OR($H33="N",$H33="인터뷰"), ChkList!$F18, ""), IF(OR($J33="N",$J33="인터뷰"), ChkList!$F18, ""))</f>
        <v/>
      </c>
      <c r="R33" s="154">
        <f>IF($H33="N/A",0,VLOOKUP($F33,'parm(hidden)'!$B$8:$C$10,2,FALSE))*1</f>
        <v>3</v>
      </c>
      <c r="S33" s="154">
        <f>IFERROR(VLOOKUP($F33,'parm(hidden)'!$B$8:$C$10,2,FALSE)*VLOOKUP($H33,'parm(hidden)'!$B$15:$C$19,2,FALSE),0)</f>
        <v>0</v>
      </c>
      <c r="T33" s="154">
        <f>IFERROR(VLOOKUP($F33,'parm(hidden)'!$B$8:$C$10,2,FALSE)*VLOOKUP($K33,$V$21:$W$26,2,FALSE),0)</f>
        <v>3</v>
      </c>
      <c r="U33" s="11">
        <f>IF($J33="N/A",0,VLOOKUP($F33,'parm(hidden)'!$B$8:$C$10,2,FALSE))*1</f>
        <v>3</v>
      </c>
      <c r="Y33" s="10"/>
    </row>
    <row r="34" spans="1:25" ht="36" customHeight="1">
      <c r="A34" s="11" t="s">
        <v>164</v>
      </c>
      <c r="B34" s="11" t="s">
        <v>148</v>
      </c>
      <c r="C34" s="248" t="s">
        <v>178</v>
      </c>
      <c r="D34" s="248"/>
      <c r="E34" s="248"/>
      <c r="F34" s="154" t="str">
        <f>ChkList!D19</f>
        <v>H</v>
      </c>
      <c r="G34" s="154">
        <f>ChkList!E19</f>
        <v>3</v>
      </c>
      <c r="H34" s="160" t="s">
        <v>232</v>
      </c>
      <c r="I34" s="161" t="s">
        <v>233</v>
      </c>
      <c r="J34" s="11" t="str">
        <f t="shared" si="4"/>
        <v>Y</v>
      </c>
      <c r="K34" s="11" t="str">
        <f t="shared" si="5"/>
        <v>Y</v>
      </c>
      <c r="L34" s="249" t="s">
        <v>278</v>
      </c>
      <c r="M34" s="250"/>
      <c r="N34" s="250"/>
      <c r="O34" s="250"/>
      <c r="P34" s="250"/>
      <c r="Q34" s="155" t="str">
        <f>IF($J34="",IF(OR($H34="N",$H34="인터뷰"), ChkList!$F19, ""), IF(OR($J34="N",$J34="인터뷰"), ChkList!$F19, ""))</f>
        <v/>
      </c>
      <c r="R34" s="154">
        <f>IF($H34="N/A",0,VLOOKUP($F34,'parm(hidden)'!$B$8:$C$10,2,FALSE))*1</f>
        <v>3</v>
      </c>
      <c r="S34" s="154">
        <f>IFERROR(VLOOKUP($F34,'parm(hidden)'!$B$8:$C$10,2,FALSE)*VLOOKUP($H34,'parm(hidden)'!$B$15:$C$19,2,FALSE),0)</f>
        <v>3</v>
      </c>
      <c r="T34" s="154">
        <f>IFERROR(VLOOKUP($F34,'parm(hidden)'!$B$8:$C$10,2,FALSE)*VLOOKUP($K34,$V$21:$W$26,2,FALSE),0)</f>
        <v>3</v>
      </c>
      <c r="U34" s="11">
        <f>IF($J34="N/A",0,VLOOKUP($F34,'parm(hidden)'!$B$8:$C$10,2,FALSE))*1</f>
        <v>3</v>
      </c>
      <c r="Y34" s="10"/>
    </row>
    <row r="35" spans="1:25" ht="48" customHeight="1">
      <c r="A35" s="11" t="s">
        <v>164</v>
      </c>
      <c r="B35" s="11" t="s">
        <v>149</v>
      </c>
      <c r="C35" s="248" t="s">
        <v>179</v>
      </c>
      <c r="D35" s="248"/>
      <c r="E35" s="248"/>
      <c r="F35" s="154" t="str">
        <f>ChkList!D20</f>
        <v>H</v>
      </c>
      <c r="G35" s="154">
        <f>ChkList!E20</f>
        <v>3</v>
      </c>
      <c r="H35" s="160" t="s">
        <v>33</v>
      </c>
      <c r="I35" s="161" t="s">
        <v>234</v>
      </c>
      <c r="J35" s="11" t="str">
        <f t="shared" si="4"/>
        <v>Y</v>
      </c>
      <c r="K35" s="11" t="str">
        <f t="shared" si="5"/>
        <v>조치</v>
      </c>
      <c r="L35" s="249" t="s">
        <v>279</v>
      </c>
      <c r="M35" s="250"/>
      <c r="N35" s="250"/>
      <c r="O35" s="250"/>
      <c r="P35" s="250"/>
      <c r="Q35" s="155" t="str">
        <f>IF($J35="",IF(OR($H35="N",$H35="인터뷰"), ChkList!$F20, ""), IF(OR($J35="N",$J35="인터뷰"), ChkList!$F20, ""))</f>
        <v/>
      </c>
      <c r="R35" s="154">
        <f>IF($H35="N/A",0,VLOOKUP($F35,'parm(hidden)'!$B$8:$C$10,2,FALSE))*1</f>
        <v>3</v>
      </c>
      <c r="S35" s="154">
        <f>IFERROR(VLOOKUP($F35,'parm(hidden)'!$B$8:$C$10,2,FALSE)*VLOOKUP($H35,'parm(hidden)'!$B$15:$C$19,2,FALSE),0)</f>
        <v>0</v>
      </c>
      <c r="T35" s="154">
        <f>IFERROR(VLOOKUP($F35,'parm(hidden)'!$B$8:$C$10,2,FALSE)*VLOOKUP($K35,$V$21:$W$26,2,FALSE),0)</f>
        <v>3</v>
      </c>
      <c r="U35" s="11">
        <f>IF($J35="N/A",0,VLOOKUP($F35,'parm(hidden)'!$B$8:$C$10,2,FALSE))*1</f>
        <v>3</v>
      </c>
      <c r="Y35" s="10"/>
    </row>
    <row r="36" spans="1:25" ht="36" customHeight="1">
      <c r="A36" s="11" t="s">
        <v>164</v>
      </c>
      <c r="B36" s="11" t="s">
        <v>150</v>
      </c>
      <c r="C36" s="248" t="s">
        <v>192</v>
      </c>
      <c r="D36" s="248"/>
      <c r="E36" s="248"/>
      <c r="F36" s="154" t="str">
        <f>ChkList!D21</f>
        <v>H</v>
      </c>
      <c r="G36" s="154">
        <f>ChkList!E21</f>
        <v>3</v>
      </c>
      <c r="H36" s="160" t="s">
        <v>32</v>
      </c>
      <c r="I36" s="161" t="s">
        <v>235</v>
      </c>
      <c r="J36" s="11" t="str">
        <f t="shared" si="4"/>
        <v>Y</v>
      </c>
      <c r="K36" s="11" t="str">
        <f t="shared" si="5"/>
        <v>Y</v>
      </c>
      <c r="L36" s="249" t="s">
        <v>280</v>
      </c>
      <c r="M36" s="250"/>
      <c r="N36" s="250"/>
      <c r="O36" s="250"/>
      <c r="P36" s="250"/>
      <c r="Q36" s="155" t="str">
        <f>IF($J36="",IF(OR($H36="N",$H36="인터뷰"), ChkList!$F21, ""), IF(OR($J36="N",$J36="인터뷰"), ChkList!$F21, ""))</f>
        <v/>
      </c>
      <c r="R36" s="154">
        <f>IF($H36="N/A",0,VLOOKUP($F36,'parm(hidden)'!$B$8:$C$10,2,FALSE))*1</f>
        <v>3</v>
      </c>
      <c r="S36" s="154">
        <f>IFERROR(VLOOKUP($F36,'parm(hidden)'!$B$8:$C$10,2,FALSE)*VLOOKUP($H36,'parm(hidden)'!$B$15:$C$19,2,FALSE),0)</f>
        <v>3</v>
      </c>
      <c r="T36" s="154">
        <f>IFERROR(VLOOKUP($F36,'parm(hidden)'!$B$8:$C$10,2,FALSE)*VLOOKUP($K36,$V$21:$W$26,2,FALSE),0)</f>
        <v>3</v>
      </c>
      <c r="U36" s="11">
        <f>IF($J36="N/A",0,VLOOKUP($F36,'parm(hidden)'!$B$8:$C$10,2,FALSE))*1</f>
        <v>3</v>
      </c>
      <c r="Y36" s="10"/>
    </row>
    <row r="37" spans="1:25" ht="36">
      <c r="A37" s="11" t="s">
        <v>164</v>
      </c>
      <c r="B37" s="11" t="s">
        <v>151</v>
      </c>
      <c r="C37" s="248" t="s">
        <v>180</v>
      </c>
      <c r="D37" s="248"/>
      <c r="E37" s="248"/>
      <c r="F37" s="154" t="str">
        <f>ChkList!D22</f>
        <v>M</v>
      </c>
      <c r="G37" s="154">
        <f>ChkList!E22</f>
        <v>2</v>
      </c>
      <c r="H37" s="160" t="s">
        <v>32</v>
      </c>
      <c r="I37" s="161" t="s">
        <v>237</v>
      </c>
      <c r="J37" s="11" t="str">
        <f t="shared" si="4"/>
        <v>Y</v>
      </c>
      <c r="K37" s="11" t="str">
        <f t="shared" si="5"/>
        <v>Y</v>
      </c>
      <c r="L37" s="249" t="s">
        <v>282</v>
      </c>
      <c r="M37" s="250"/>
      <c r="N37" s="250"/>
      <c r="O37" s="250"/>
      <c r="P37" s="250"/>
      <c r="Q37" s="155" t="str">
        <f>IF($J37="",IF(OR($H37="N",$H37="인터뷰"), ChkList!$F22, ""), IF(OR($J37="N",$J37="인터뷰"), ChkList!$F22, ""))</f>
        <v/>
      </c>
      <c r="R37" s="154">
        <f>IF($H37="N/A",0,VLOOKUP($F37,'parm(hidden)'!$B$8:$C$10,2,FALSE))*1</f>
        <v>2</v>
      </c>
      <c r="S37" s="154">
        <f>IFERROR(VLOOKUP($F37,'parm(hidden)'!$B$8:$C$10,2,FALSE)*VLOOKUP($H37,'parm(hidden)'!$B$15:$C$19,2,FALSE),0)</f>
        <v>2</v>
      </c>
      <c r="T37" s="154">
        <f>IFERROR(VLOOKUP($F37,'parm(hidden)'!$B$8:$C$10,2,FALSE)*VLOOKUP($K37,$V$21:$W$26,2,FALSE),0)</f>
        <v>2</v>
      </c>
      <c r="U37" s="11">
        <f>IF($J37="N/A",0,VLOOKUP($F37,'parm(hidden)'!$B$8:$C$10,2,FALSE))*1</f>
        <v>2</v>
      </c>
      <c r="Y37" s="10"/>
    </row>
    <row r="38" spans="1:25" ht="36" customHeight="1">
      <c r="A38" s="11" t="s">
        <v>164</v>
      </c>
      <c r="B38" s="11" t="s">
        <v>152</v>
      </c>
      <c r="C38" s="248" t="s">
        <v>181</v>
      </c>
      <c r="D38" s="248"/>
      <c r="E38" s="248"/>
      <c r="F38" s="154" t="e">
        <f>ChkList!#REF!</f>
        <v>#REF!</v>
      </c>
      <c r="G38" s="154" t="e">
        <f>ChkList!#REF!</f>
        <v>#REF!</v>
      </c>
      <c r="H38" s="160" t="s">
        <v>32</v>
      </c>
      <c r="I38" s="161" t="s">
        <v>238</v>
      </c>
      <c r="J38" s="11" t="str">
        <f t="shared" si="4"/>
        <v>Y</v>
      </c>
      <c r="K38" s="11" t="str">
        <f t="shared" si="5"/>
        <v>Y</v>
      </c>
      <c r="L38" s="249" t="s">
        <v>283</v>
      </c>
      <c r="M38" s="250"/>
      <c r="N38" s="250"/>
      <c r="O38" s="250"/>
      <c r="P38" s="250"/>
      <c r="Q38" s="155" t="str">
        <f>IF($J38="",IF(OR($H38="N",$H38="인터뷰"), ChkList!#REF!, ""), IF(OR($J38="N",$J38="인터뷰"), ChkList!#REF!, ""))</f>
        <v/>
      </c>
      <c r="R38" s="154" t="e">
        <f>IF($H38="N/A",0,VLOOKUP($F38,'parm(hidden)'!$B$8:$C$10,2,FALSE))*1</f>
        <v>#REF!</v>
      </c>
      <c r="S38" s="154">
        <f>IFERROR(VLOOKUP($F38,'parm(hidden)'!$B$8:$C$10,2,FALSE)*VLOOKUP($H38,'parm(hidden)'!$B$15:$C$19,2,FALSE),0)</f>
        <v>0</v>
      </c>
      <c r="T38" s="154">
        <f>IFERROR(VLOOKUP($F38,'parm(hidden)'!$B$8:$C$10,2,FALSE)*VLOOKUP($K38,$V$21:$W$26,2,FALSE),0)</f>
        <v>0</v>
      </c>
      <c r="U38" s="11" t="e">
        <f>IF($J38="N/A",0,VLOOKUP($F38,'parm(hidden)'!$B$8:$C$10,2,FALSE))*1</f>
        <v>#REF!</v>
      </c>
      <c r="Y38" s="10"/>
    </row>
  </sheetData>
  <mergeCells count="72">
    <mergeCell ref="C38:E38"/>
    <mergeCell ref="L38:P38"/>
    <mergeCell ref="C35:E35"/>
    <mergeCell ref="L35:P35"/>
    <mergeCell ref="C36:E36"/>
    <mergeCell ref="L36:P36"/>
    <mergeCell ref="C37:E37"/>
    <mergeCell ref="L37:P37"/>
    <mergeCell ref="C32:E32"/>
    <mergeCell ref="L32:P32"/>
    <mergeCell ref="C33:E33"/>
    <mergeCell ref="L33:P33"/>
    <mergeCell ref="C34:E34"/>
    <mergeCell ref="L34:P34"/>
    <mergeCell ref="C29:E29"/>
    <mergeCell ref="L29:P29"/>
    <mergeCell ref="C30:E30"/>
    <mergeCell ref="L30:P30"/>
    <mergeCell ref="C31:E31"/>
    <mergeCell ref="L31:P31"/>
    <mergeCell ref="C26:E26"/>
    <mergeCell ref="L26:P26"/>
    <mergeCell ref="C27:E27"/>
    <mergeCell ref="L27:P27"/>
    <mergeCell ref="C28:E28"/>
    <mergeCell ref="L28:P28"/>
    <mergeCell ref="C23:E23"/>
    <mergeCell ref="L23:P23"/>
    <mergeCell ref="C24:E24"/>
    <mergeCell ref="L24:P24"/>
    <mergeCell ref="C25:E25"/>
    <mergeCell ref="L25:P25"/>
    <mergeCell ref="C20:E20"/>
    <mergeCell ref="L20:P20"/>
    <mergeCell ref="C21:E21"/>
    <mergeCell ref="L21:P21"/>
    <mergeCell ref="C22:E22"/>
    <mergeCell ref="L22:P22"/>
    <mergeCell ref="A19:B19"/>
    <mergeCell ref="C19:E19"/>
    <mergeCell ref="F19:G19"/>
    <mergeCell ref="L19:P19"/>
    <mergeCell ref="V19:W19"/>
    <mergeCell ref="A12:C12"/>
    <mergeCell ref="I12:I16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" type="noConversion"/>
  <conditionalFormatting sqref="H20:H38">
    <cfRule type="cellIs" priority="6" operator="equal">
      <formula>"양호"</formula>
    </cfRule>
    <cfRule type="cellIs" dxfId="21" priority="7" operator="equal">
      <formula>"취약"</formula>
    </cfRule>
  </conditionalFormatting>
  <conditionalFormatting sqref="J20:K38">
    <cfRule type="cellIs" dxfId="20" priority="11" stopIfTrue="1" operator="equal">
      <formula>"인터뷰"</formula>
    </cfRule>
    <cfRule type="cellIs" dxfId="19" priority="12" stopIfTrue="1" operator="equal">
      <formula>"R/A"</formula>
    </cfRule>
    <cfRule type="cellIs" dxfId="18" priority="13" stopIfTrue="1" operator="equal">
      <formula>"N/A"</formula>
    </cfRule>
    <cfRule type="cellIs" dxfId="17" priority="14" stopIfTrue="1" operator="equal">
      <formula>"N"</formula>
    </cfRule>
    <cfRule type="expression" dxfId="16" priority="15">
      <formula>OR(IF(J20=0,1,0),IF(J20="-",1,0))</formula>
    </cfRule>
  </conditionalFormatting>
  <conditionalFormatting sqref="K20:K38">
    <cfRule type="cellIs" dxfId="15" priority="8" operator="equal">
      <formula>"위험수용"</formula>
    </cfRule>
    <cfRule type="cellIs" dxfId="14" priority="9" operator="equal">
      <formula>"미조치"</formula>
    </cfRule>
    <cfRule type="cellIs" dxfId="13" priority="10" operator="equal">
      <formula>"조치"</formula>
    </cfRule>
  </conditionalFormatting>
  <conditionalFormatting sqref="L20:L38">
    <cfRule type="cellIs" dxfId="12" priority="1" stopIfTrue="1" operator="equal">
      <formula>"인터뷰"</formula>
    </cfRule>
    <cfRule type="cellIs" dxfId="11" priority="2" stopIfTrue="1" operator="equal">
      <formula>"R/A"</formula>
    </cfRule>
    <cfRule type="cellIs" dxfId="10" priority="3" stopIfTrue="1" operator="equal">
      <formula>"N/A"</formula>
    </cfRule>
    <cfRule type="cellIs" dxfId="9" priority="4" stopIfTrue="1" operator="equal">
      <formula>"N"</formula>
    </cfRule>
    <cfRule type="expression" dxfId="8" priority="5">
      <formula>OR(IF(L20=0,1,0),IF(L20="-",1,0))</formula>
    </cfRule>
  </conditionalFormatting>
  <conditionalFormatting sqref="Y20:Y38">
    <cfRule type="cellIs" dxfId="7" priority="16" operator="equal">
      <formula>"신규 취약점(즉시조치)"</formula>
    </cfRule>
    <cfRule type="cellIs" dxfId="6" priority="17" operator="equal">
      <formula>"기존 취약점(즉시조치)"</formula>
    </cfRule>
    <cfRule type="cellIs" dxfId="5" priority="18" operator="equal">
      <formula>"기존 취약점"</formula>
    </cfRule>
    <cfRule type="cellIs" dxfId="4" priority="19" operator="equal">
      <formula>"신규 취약점"</formula>
    </cfRule>
    <cfRule type="cellIs" dxfId="3" priority="20" operator="equal">
      <formula>"확인필요"</formula>
    </cfRule>
    <cfRule type="cellIs" dxfId="2" priority="21" operator="equal">
      <formula>"확인필요"</formula>
    </cfRule>
    <cfRule type="cellIs" dxfId="1" priority="22" operator="equal">
      <formula>"신규취약점"</formula>
    </cfRule>
    <cfRule type="cellIs" dxfId="0" priority="23" operator="equal">
      <formula>"조치완료"</formula>
    </cfRule>
  </conditionalFormatting>
  <dataValidations count="4">
    <dataValidation errorStyle="warning" allowBlank="1" showInputMessage="1" showErrorMessage="1" sqref="K20:K38"/>
    <dataValidation type="list" errorStyle="warning" showInputMessage="1" showErrorMessage="1" errorTitle="오류!" error="Y, N, N/A 중에 선택" sqref="J20:J38">
      <formula1>"Y,N,N/A,인터뷰,Y(즉시조치)"</formula1>
    </dataValidation>
    <dataValidation type="list" errorStyle="warning" allowBlank="1" showInputMessage="1" showErrorMessage="1" errorTitle="오류!" error="Y, N, N/A 중에 선택" sqref="H20:H38">
      <formula1>"Y,N,N/A,인터뷰,Y(즉시조치)"</formula1>
    </dataValidation>
    <dataValidation allowBlank="1" showInputMessage="1" showErrorMessage="1" errorTitle="오류!" error="Y, N, N/A 중에 선택" sqref="I20:I38 L20:L38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34</vt:i4>
      </vt:variant>
      <vt:variant>
        <vt:lpstr>이름이 지정된 범위</vt:lpstr>
      </vt:variant>
      <vt:variant>
        <vt:i4>35</vt:i4>
      </vt:variant>
    </vt:vector>
  </HeadingPairs>
  <TitlesOfParts>
    <vt:vector size="69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P-01</vt:lpstr>
      <vt:lpstr>P-02</vt:lpstr>
      <vt:lpstr>P-03</vt:lpstr>
      <vt:lpstr>P-04</vt:lpstr>
      <vt:lpstr>P-05</vt:lpstr>
      <vt:lpstr>P-06</vt:lpstr>
      <vt:lpstr>P-07</vt:lpstr>
      <vt:lpstr>P-08</vt:lpstr>
      <vt:lpstr>P-09</vt:lpstr>
      <vt:lpstr>P-10</vt:lpstr>
      <vt:lpstr>P-11</vt:lpstr>
      <vt:lpstr>P-12</vt:lpstr>
      <vt:lpstr>P-13</vt:lpstr>
      <vt:lpstr>P-14</vt:lpstr>
      <vt:lpstr>P-15</vt:lpstr>
      <vt:lpstr>P-16</vt:lpstr>
      <vt:lpstr>P-17</vt:lpstr>
      <vt:lpstr>P-18</vt:lpstr>
      <vt:lpstr>P-19</vt:lpstr>
      <vt:lpstr>P-20</vt:lpstr>
      <vt:lpstr>P-21</vt:lpstr>
      <vt:lpstr>P-22</vt:lpstr>
      <vt:lpstr>P-23</vt:lpstr>
      <vt:lpstr>P-24</vt:lpstr>
      <vt:lpstr>P-25</vt:lpstr>
      <vt:lpstr>P-26</vt:lpstr>
      <vt:lpstr>ChkList!Print_Area</vt:lpstr>
      <vt:lpstr>'P-01'!Print_Area</vt:lpstr>
      <vt:lpstr>'P-02'!Print_Area</vt:lpstr>
      <vt:lpstr>'P-03'!Print_Area</vt:lpstr>
      <vt:lpstr>'P-04'!Print_Area</vt:lpstr>
      <vt:lpstr>'P-05'!Print_Area</vt:lpstr>
      <vt:lpstr>'P-06'!Print_Area</vt:lpstr>
      <vt:lpstr>'P-07'!Print_Area</vt:lpstr>
      <vt:lpstr>'P-08'!Print_Area</vt:lpstr>
      <vt:lpstr>'P-09'!Print_Area</vt:lpstr>
      <vt:lpstr>'P-10'!Print_Area</vt:lpstr>
      <vt:lpstr>'P-11'!Print_Area</vt:lpstr>
      <vt:lpstr>'P-12'!Print_Area</vt:lpstr>
      <vt:lpstr>'P-13'!Print_Area</vt:lpstr>
      <vt:lpstr>'P-14'!Print_Area</vt:lpstr>
      <vt:lpstr>'P-15'!Print_Area</vt:lpstr>
      <vt:lpstr>'P-16'!Print_Area</vt:lpstr>
      <vt:lpstr>'P-17'!Print_Area</vt:lpstr>
      <vt:lpstr>'P-18'!Print_Area</vt:lpstr>
      <vt:lpstr>'P-19'!Print_Area</vt:lpstr>
      <vt:lpstr>'P-20'!Print_Area</vt:lpstr>
      <vt:lpstr>'P-21'!Print_Area</vt:lpstr>
      <vt:lpstr>'P-22'!Print_Area</vt:lpstr>
      <vt:lpstr>'P-23'!Print_Area</vt:lpstr>
      <vt:lpstr>'P-24'!Print_Area</vt:lpstr>
      <vt:lpstr>'P-25'!Print_Area</vt:lpstr>
      <vt:lpstr>'P-26'!Print_Area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2005-07-28T00:20:00Z</dcterms:created>
  <dcterms:modified xsi:type="dcterms:W3CDTF">2026-07-02T01:07:30Z</dcterms:modified>
</cp:coreProperties>
</file>
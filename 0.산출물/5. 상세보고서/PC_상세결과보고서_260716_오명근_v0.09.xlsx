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0" yWindow="0" windowWidth="24105" windowHeight="10530" tabRatio="852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HQ_DEV01" sheetId="11" r:id="rId9"/>
  </sheets>
  <definedNames>
    <definedName name="_xlnm._FilterDatabase" localSheetId="3" hidden="1">ChkList!$A$4:$F$4</definedName>
    <definedName name="_xlnm.Print_Area" localSheetId="3">ChkList!$A$1:$F$22</definedName>
    <definedName name="_xlnm.Print_Area" localSheetId="8">HQ_DEV01!$A$1:$Q$37</definedName>
    <definedName name="_xlnm.Print_Area" localSheetId="1">자산목록!$A$1:$Q$23</definedName>
    <definedName name="_xlnm.Print_Area" localSheetId="4">'취약점 진단 통계'!$A$1:$L$67</definedName>
    <definedName name="_xlnm.Print_Area" localSheetId="5">'취약점 진단 통계 (이행)'!$A$1:$U$67</definedName>
    <definedName name="_xlnm.Print_Area" localSheetId="6">'취약점 진단 항목별 통계'!$A$1:$O$23</definedName>
    <definedName name="_xlnm.Print_Area" localSheetId="7">'취약점 진단 항목별 통계 (이행)'!$A$1:$U$23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1" l="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20" i="11"/>
  <c r="F20" i="11"/>
  <c r="G20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20" i="11"/>
  <c r="A41" i="6" l="1"/>
  <c r="A58" i="6"/>
  <c r="A57" i="6"/>
  <c r="C45" i="5"/>
  <c r="C46" i="5"/>
  <c r="C52" i="5"/>
  <c r="C53" i="5"/>
  <c r="C54" i="5"/>
  <c r="C60" i="5"/>
  <c r="C61" i="5"/>
  <c r="C62" i="5"/>
  <c r="A65" i="5"/>
  <c r="A66" i="5"/>
  <c r="A64" i="5"/>
  <c r="C64" i="5" s="1"/>
  <c r="A63" i="5"/>
  <c r="A62" i="5"/>
  <c r="A61" i="5"/>
  <c r="A60" i="5"/>
  <c r="A59" i="5"/>
  <c r="C59" i="5" s="1"/>
  <c r="A58" i="5"/>
  <c r="C58" i="5" s="1"/>
  <c r="A57" i="5"/>
  <c r="C57" i="5" s="1"/>
  <c r="A56" i="5"/>
  <c r="C56" i="5" s="1"/>
  <c r="A55" i="5"/>
  <c r="C55" i="5" s="1"/>
  <c r="A54" i="5"/>
  <c r="A53" i="5"/>
  <c r="A52" i="5"/>
  <c r="A51" i="5"/>
  <c r="C51" i="5" s="1"/>
  <c r="A50" i="5"/>
  <c r="C50" i="5" s="1"/>
  <c r="A49" i="5"/>
  <c r="A48" i="5"/>
  <c r="C48" i="5" s="1"/>
  <c r="A47" i="5"/>
  <c r="A46" i="5"/>
  <c r="A45" i="5"/>
  <c r="I65" i="5"/>
  <c r="I50" i="5"/>
  <c r="I47" i="5"/>
  <c r="I56" i="5"/>
  <c r="I57" i="5"/>
  <c r="I59" i="5"/>
  <c r="I46" i="5"/>
  <c r="I62" i="5"/>
  <c r="I49" i="5"/>
  <c r="I45" i="5"/>
  <c r="I63" i="5"/>
  <c r="I60" i="5"/>
  <c r="I61" i="5"/>
  <c r="I54" i="5"/>
  <c r="I53" i="5"/>
  <c r="I66" i="5"/>
  <c r="I52" i="5"/>
  <c r="I64" i="5"/>
  <c r="C66" i="5" l="1"/>
  <c r="C49" i="5"/>
  <c r="C63" i="5"/>
  <c r="C47" i="5"/>
  <c r="C65" i="5"/>
  <c r="A42" i="5"/>
  <c r="A43" i="5"/>
  <c r="A44" i="5"/>
  <c r="C57" i="6"/>
  <c r="C58" i="6"/>
  <c r="A42" i="6"/>
  <c r="A43" i="6"/>
  <c r="A44" i="6"/>
  <c r="A45" i="6"/>
  <c r="A46" i="6"/>
  <c r="A47" i="6"/>
  <c r="C47" i="6" s="1"/>
  <c r="A48" i="6"/>
  <c r="A49" i="6"/>
  <c r="C49" i="6" s="1"/>
  <c r="A50" i="6"/>
  <c r="C50" i="6" s="1"/>
  <c r="A51" i="6"/>
  <c r="C51" i="6" s="1"/>
  <c r="A52" i="6"/>
  <c r="C52" i="6" s="1"/>
  <c r="A53" i="6"/>
  <c r="C53" i="6" s="1"/>
  <c r="A54" i="6"/>
  <c r="C54" i="6" s="1"/>
  <c r="A55" i="6"/>
  <c r="C55" i="6" s="1"/>
  <c r="A56" i="6"/>
  <c r="C56" i="6" s="1"/>
  <c r="A59" i="6"/>
  <c r="A60" i="6"/>
  <c r="A61" i="6"/>
  <c r="A62" i="6"/>
  <c r="A63" i="6"/>
  <c r="A64" i="6"/>
  <c r="A65" i="6"/>
  <c r="C65" i="6" s="1"/>
  <c r="A66" i="6"/>
  <c r="C66" i="6" s="1"/>
  <c r="L49" i="6"/>
  <c r="R55" i="6"/>
  <c r="S51" i="6"/>
  <c r="M50" i="6"/>
  <c r="R49" i="6"/>
  <c r="K55" i="6"/>
  <c r="J61" i="6"/>
  <c r="J44" i="6"/>
  <c r="U57" i="6"/>
  <c r="K51" i="6"/>
  <c r="L59" i="6"/>
  <c r="K46" i="6"/>
  <c r="M53" i="6"/>
  <c r="M58" i="6"/>
  <c r="S66" i="6"/>
  <c r="J65" i="6"/>
  <c r="R65" i="6"/>
  <c r="J53" i="6"/>
  <c r="S50" i="6"/>
  <c r="R51" i="6"/>
  <c r="S49" i="6"/>
  <c r="P53" i="6"/>
  <c r="K53" i="6"/>
  <c r="L47" i="6"/>
  <c r="L58" i="6"/>
  <c r="R47" i="6"/>
  <c r="P60" i="6"/>
  <c r="M57" i="6"/>
  <c r="L57" i="6"/>
  <c r="L48" i="6"/>
  <c r="I58" i="5"/>
  <c r="I51" i="5"/>
  <c r="M52" i="6"/>
  <c r="L55" i="6"/>
  <c r="J52" i="6"/>
  <c r="L52" i="6"/>
  <c r="S53" i="6"/>
  <c r="U52" i="6"/>
  <c r="P49" i="6"/>
  <c r="L45" i="6"/>
  <c r="P59" i="6"/>
  <c r="K54" i="6"/>
  <c r="L66" i="6"/>
  <c r="R43" i="6"/>
  <c r="K48" i="6"/>
  <c r="P65" i="6"/>
  <c r="M47" i="6"/>
  <c r="U58" i="6"/>
  <c r="U60" i="6"/>
  <c r="S55" i="6"/>
  <c r="U50" i="6"/>
  <c r="L54" i="6"/>
  <c r="S65" i="6"/>
  <c r="P47" i="6"/>
  <c r="U44" i="6"/>
  <c r="J58" i="6"/>
  <c r="U47" i="6"/>
  <c r="J57" i="6"/>
  <c r="K52" i="6"/>
  <c r="L65" i="6"/>
  <c r="U53" i="6"/>
  <c r="I48" i="5"/>
  <c r="M65" i="6"/>
  <c r="J47" i="6"/>
  <c r="S48" i="6"/>
  <c r="M66" i="6"/>
  <c r="K62" i="6"/>
  <c r="U55" i="6"/>
  <c r="P54" i="6"/>
  <c r="K45" i="6"/>
  <c r="U54" i="6"/>
  <c r="S57" i="6"/>
  <c r="K49" i="6"/>
  <c r="J63" i="6"/>
  <c r="L51" i="6"/>
  <c r="R57" i="6"/>
  <c r="P52" i="6"/>
  <c r="L60" i="6"/>
  <c r="L50" i="6"/>
  <c r="R53" i="6"/>
  <c r="J49" i="6"/>
  <c r="J48" i="6"/>
  <c r="J50" i="6"/>
  <c r="J46" i="6"/>
  <c r="I55" i="5"/>
  <c r="M55" i="6"/>
  <c r="J55" i="6"/>
  <c r="K65" i="6"/>
  <c r="L62" i="6"/>
  <c r="R63" i="6"/>
  <c r="R50" i="6"/>
  <c r="U51" i="6"/>
  <c r="M61" i="6"/>
  <c r="K59" i="6"/>
  <c r="R48" i="6"/>
  <c r="K47" i="6"/>
  <c r="J54" i="6"/>
  <c r="P50" i="6"/>
  <c r="P57" i="6"/>
  <c r="S58" i="6"/>
  <c r="P45" i="6"/>
  <c r="U65" i="6"/>
  <c r="K58" i="6"/>
  <c r="P51" i="6"/>
  <c r="U49" i="6"/>
  <c r="R58" i="6"/>
  <c r="J51" i="6"/>
  <c r="R54" i="6"/>
  <c r="R52" i="6"/>
  <c r="P55" i="6"/>
  <c r="P58" i="6"/>
  <c r="S60" i="6"/>
  <c r="K50" i="6"/>
  <c r="K57" i="6"/>
  <c r="S52" i="6"/>
  <c r="S64" i="6"/>
  <c r="M54" i="6"/>
  <c r="L53" i="6"/>
  <c r="S54" i="6"/>
  <c r="J45" i="6"/>
  <c r="S47" i="6"/>
  <c r="C64" i="6" l="1"/>
  <c r="C62" i="6"/>
  <c r="C46" i="6"/>
  <c r="C43" i="5"/>
  <c r="C42" i="5"/>
  <c r="C63" i="6"/>
  <c r="C61" i="6"/>
  <c r="C45" i="6"/>
  <c r="C60" i="6"/>
  <c r="C44" i="6"/>
  <c r="C48" i="6"/>
  <c r="C59" i="6"/>
  <c r="C44" i="5"/>
  <c r="N65" i="6"/>
  <c r="N62" i="6"/>
  <c r="N59" i="6"/>
  <c r="N58" i="6"/>
  <c r="N57" i="6"/>
  <c r="N55" i="6"/>
  <c r="N54" i="6"/>
  <c r="N53" i="6"/>
  <c r="N52" i="6"/>
  <c r="N51" i="6"/>
  <c r="N50" i="6"/>
  <c r="N49" i="6"/>
  <c r="N48" i="6"/>
  <c r="N47" i="6"/>
  <c r="N45" i="6"/>
  <c r="C43" i="6"/>
  <c r="Q24" i="11"/>
  <c r="P56" i="6"/>
  <c r="J64" i="6"/>
  <c r="M45" i="6"/>
  <c r="S62" i="6"/>
  <c r="U61" i="6"/>
  <c r="L63" i="6"/>
  <c r="U63" i="6"/>
  <c r="P62" i="6"/>
  <c r="U48" i="6"/>
  <c r="M64" i="6"/>
  <c r="M49" i="6"/>
  <c r="S61" i="6"/>
  <c r="U43" i="6"/>
  <c r="M48" i="6"/>
  <c r="P46" i="6"/>
  <c r="R60" i="6"/>
  <c r="K44" i="6"/>
  <c r="P64" i="6"/>
  <c r="J66" i="6"/>
  <c r="S43" i="6"/>
  <c r="R66" i="6"/>
  <c r="I44" i="5"/>
  <c r="P66" i="6"/>
  <c r="L43" i="6"/>
  <c r="M46" i="6"/>
  <c r="J62" i="6"/>
  <c r="K43" i="6"/>
  <c r="M60" i="6"/>
  <c r="S46" i="6"/>
  <c r="K56" i="6"/>
  <c r="K60" i="6"/>
  <c r="U66" i="6"/>
  <c r="M56" i="6"/>
  <c r="R64" i="6"/>
  <c r="S63" i="6"/>
  <c r="M62" i="6"/>
  <c r="M63" i="6"/>
  <c r="S56" i="6"/>
  <c r="I43" i="5"/>
  <c r="L46" i="6"/>
  <c r="U56" i="6"/>
  <c r="M51" i="6"/>
  <c r="P48" i="6"/>
  <c r="R44" i="6"/>
  <c r="M43" i="6"/>
  <c r="J60" i="6"/>
  <c r="J59" i="6"/>
  <c r="P43" i="6"/>
  <c r="U59" i="6"/>
  <c r="P61" i="6"/>
  <c r="R62" i="6"/>
  <c r="U45" i="6"/>
  <c r="I42" i="5"/>
  <c r="K61" i="6"/>
  <c r="R56" i="6"/>
  <c r="S44" i="6"/>
  <c r="K66" i="6"/>
  <c r="U46" i="6"/>
  <c r="R45" i="6"/>
  <c r="U62" i="6"/>
  <c r="R61" i="6"/>
  <c r="S45" i="6"/>
  <c r="R59" i="6"/>
  <c r="U64" i="6"/>
  <c r="L61" i="6"/>
  <c r="K64" i="6"/>
  <c r="R46" i="6"/>
  <c r="K63" i="6"/>
  <c r="J43" i="6"/>
  <c r="L64" i="6"/>
  <c r="P63" i="6"/>
  <c r="M44" i="6"/>
  <c r="L44" i="6"/>
  <c r="M59" i="6"/>
  <c r="S59" i="6"/>
  <c r="L56" i="6"/>
  <c r="P44" i="6"/>
  <c r="J56" i="6"/>
  <c r="N63" i="6" l="1"/>
  <c r="N66" i="6"/>
  <c r="N61" i="6"/>
  <c r="N64" i="6"/>
  <c r="N44" i="6"/>
  <c r="N60" i="6"/>
  <c r="N56" i="6"/>
  <c r="N46" i="6"/>
  <c r="N43" i="6"/>
  <c r="C21" i="7" l="1"/>
  <c r="R18" i="2"/>
  <c r="Q18" i="2" s="1"/>
  <c r="R19" i="2"/>
  <c r="Q19" i="2" s="1"/>
  <c r="R20" i="2"/>
  <c r="Q20" i="2" s="1"/>
  <c r="R21" i="2"/>
  <c r="Q21" i="2" s="1"/>
  <c r="R22" i="2"/>
  <c r="Q22" i="2" s="1"/>
  <c r="R23" i="2"/>
  <c r="Q23" i="2" s="1"/>
  <c r="R7" i="2"/>
  <c r="Q7" i="2" s="1"/>
  <c r="R8" i="2"/>
  <c r="Q8" i="2" s="1"/>
  <c r="R11" i="2"/>
  <c r="Q11" i="2" s="1"/>
  <c r="R12" i="2"/>
  <c r="Q12" i="2" s="1"/>
  <c r="R13" i="2"/>
  <c r="Q13" i="2" s="1"/>
  <c r="R14" i="2"/>
  <c r="Q14" i="2" s="1"/>
  <c r="R15" i="2"/>
  <c r="Q15" i="2" s="1"/>
  <c r="R16" i="2"/>
  <c r="Q16" i="2" s="1"/>
  <c r="R17" i="2"/>
  <c r="Q17" i="2" s="1"/>
  <c r="R6" i="2"/>
  <c r="Q6" i="2" s="1"/>
  <c r="E59" i="5"/>
  <c r="O59" i="6"/>
  <c r="G59" i="5"/>
  <c r="G59" i="6"/>
  <c r="K59" i="5"/>
  <c r="H59" i="6"/>
  <c r="E59" i="6"/>
  <c r="J59" i="5"/>
  <c r="Q59" i="6"/>
  <c r="I59" i="6"/>
  <c r="H59" i="5"/>
  <c r="F59" i="5" l="1"/>
  <c r="F59" i="6"/>
  <c r="G61" i="6"/>
  <c r="E55" i="5"/>
  <c r="E61" i="6"/>
  <c r="L59" i="5"/>
  <c r="E61" i="5"/>
  <c r="H64" i="6"/>
  <c r="E55" i="6"/>
  <c r="H61" i="6"/>
  <c r="H56" i="6"/>
  <c r="Q65" i="6"/>
  <c r="G64" i="6"/>
  <c r="Q44" i="6"/>
  <c r="H64" i="5"/>
  <c r="H56" i="5"/>
  <c r="G55" i="6"/>
  <c r="I64" i="6"/>
  <c r="E64" i="5"/>
  <c r="H61" i="5"/>
  <c r="Q62" i="6"/>
  <c r="E56" i="6"/>
  <c r="H55" i="6"/>
  <c r="E64" i="6"/>
  <c r="G55" i="5"/>
  <c r="G64" i="5"/>
  <c r="H55" i="5"/>
  <c r="I56" i="6"/>
  <c r="G56" i="5"/>
  <c r="E56" i="5"/>
  <c r="I55" i="6"/>
  <c r="I61" i="6"/>
  <c r="G56" i="6"/>
  <c r="T59" i="6"/>
  <c r="G61" i="5"/>
  <c r="F64" i="5" l="1"/>
  <c r="F55" i="5"/>
  <c r="F56" i="5"/>
  <c r="F61" i="5"/>
  <c r="F61" i="6"/>
  <c r="F64" i="6"/>
  <c r="F55" i="6"/>
  <c r="F56" i="6"/>
  <c r="C42" i="6"/>
  <c r="C41" i="6"/>
  <c r="A6" i="7"/>
  <c r="B6" i="7"/>
  <c r="C6" i="7"/>
  <c r="D6" i="7"/>
  <c r="A7" i="7"/>
  <c r="B7" i="7"/>
  <c r="C7" i="7"/>
  <c r="D7" i="7"/>
  <c r="A8" i="7"/>
  <c r="B8" i="7"/>
  <c r="C8" i="7"/>
  <c r="D8" i="7"/>
  <c r="A9" i="7"/>
  <c r="B9" i="7"/>
  <c r="C9" i="7"/>
  <c r="D9" i="7"/>
  <c r="A10" i="7"/>
  <c r="B10" i="7"/>
  <c r="C10" i="7"/>
  <c r="D10" i="7"/>
  <c r="A11" i="7"/>
  <c r="B11" i="7"/>
  <c r="C11" i="7"/>
  <c r="D11" i="7"/>
  <c r="A12" i="7"/>
  <c r="B12" i="7"/>
  <c r="C12" i="7"/>
  <c r="D12" i="7"/>
  <c r="A13" i="7"/>
  <c r="B13" i="7"/>
  <c r="C13" i="7"/>
  <c r="D13" i="7"/>
  <c r="A14" i="7"/>
  <c r="B14" i="7"/>
  <c r="C14" i="7"/>
  <c r="D14" i="7"/>
  <c r="A15" i="7"/>
  <c r="B15" i="7"/>
  <c r="C15" i="7"/>
  <c r="D15" i="7"/>
  <c r="A16" i="7"/>
  <c r="B16" i="7"/>
  <c r="C16" i="7"/>
  <c r="D16" i="7"/>
  <c r="A17" i="7"/>
  <c r="B17" i="7"/>
  <c r="C17" i="7"/>
  <c r="D17" i="7"/>
  <c r="A18" i="7"/>
  <c r="B18" i="7"/>
  <c r="C18" i="7"/>
  <c r="D18" i="7"/>
  <c r="A19" i="7"/>
  <c r="B19" i="7"/>
  <c r="C19" i="7"/>
  <c r="D19" i="7"/>
  <c r="A20" i="7"/>
  <c r="B20" i="7"/>
  <c r="C20" i="7"/>
  <c r="D20" i="7"/>
  <c r="A21" i="7"/>
  <c r="B21" i="7"/>
  <c r="D21" i="7"/>
  <c r="A22" i="7"/>
  <c r="B22" i="7"/>
  <c r="C22" i="7"/>
  <c r="D22" i="7"/>
  <c r="B5" i="7"/>
  <c r="C5" i="7"/>
  <c r="D5" i="7"/>
  <c r="A5" i="7"/>
  <c r="A5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5" i="8"/>
  <c r="I48" i="6"/>
  <c r="I66" i="6"/>
  <c r="E49" i="5"/>
  <c r="O48" i="6"/>
  <c r="Q58" i="6"/>
  <c r="E52" i="5"/>
  <c r="J57" i="5"/>
  <c r="J45" i="5"/>
  <c r="Q50" i="6"/>
  <c r="G63" i="5"/>
  <c r="E62" i="5"/>
  <c r="O58" i="6"/>
  <c r="K63" i="5"/>
  <c r="E53" i="5"/>
  <c r="O61" i="6"/>
  <c r="K51" i="5"/>
  <c r="N4" i="7"/>
  <c r="O55" i="6"/>
  <c r="K64" i="5"/>
  <c r="J51" i="5"/>
  <c r="H57" i="5"/>
  <c r="O62" i="6"/>
  <c r="G44" i="6"/>
  <c r="E54" i="5"/>
  <c r="G60" i="5"/>
  <c r="J44" i="5"/>
  <c r="G54" i="6"/>
  <c r="H63" i="5"/>
  <c r="H44" i="5"/>
  <c r="O4" i="7"/>
  <c r="G45" i="6"/>
  <c r="Q54" i="6"/>
  <c r="H53" i="6"/>
  <c r="O47" i="6"/>
  <c r="J47" i="5"/>
  <c r="G53" i="6"/>
  <c r="Q61" i="6"/>
  <c r="K50" i="5"/>
  <c r="G50" i="5"/>
  <c r="I46" i="6"/>
  <c r="H62" i="6"/>
  <c r="K58" i="5"/>
  <c r="J56" i="5"/>
  <c r="Q55" i="6"/>
  <c r="H45" i="5"/>
  <c r="G49" i="6"/>
  <c r="E49" i="6"/>
  <c r="E63" i="6"/>
  <c r="K44" i="5"/>
  <c r="E44" i="6"/>
  <c r="K56" i="5"/>
  <c r="O66" i="6"/>
  <c r="H54" i="5"/>
  <c r="E66" i="5"/>
  <c r="Q53" i="6"/>
  <c r="H57" i="6"/>
  <c r="H46" i="5"/>
  <c r="Q52" i="6"/>
  <c r="E54" i="6"/>
  <c r="H46" i="6"/>
  <c r="O51" i="6"/>
  <c r="Q57" i="6"/>
  <c r="E51" i="6"/>
  <c r="G51" i="5"/>
  <c r="E63" i="5"/>
  <c r="Q49" i="6"/>
  <c r="E48" i="6"/>
  <c r="H50" i="6"/>
  <c r="G62" i="5"/>
  <c r="G58" i="5"/>
  <c r="H52" i="5"/>
  <c r="E51" i="5"/>
  <c r="H45" i="6"/>
  <c r="G46" i="6"/>
  <c r="O53" i="6"/>
  <c r="I54" i="6"/>
  <c r="G50" i="6"/>
  <c r="J61" i="5"/>
  <c r="E44" i="5"/>
  <c r="H60" i="6"/>
  <c r="I63" i="6"/>
  <c r="Q47" i="6"/>
  <c r="O45" i="6"/>
  <c r="G58" i="6"/>
  <c r="G46" i="5"/>
  <c r="J48" i="5"/>
  <c r="I57" i="6"/>
  <c r="E50" i="5"/>
  <c r="Q46" i="6"/>
  <c r="J63" i="5"/>
  <c r="I47" i="6"/>
  <c r="K66" i="5"/>
  <c r="K49" i="5"/>
  <c r="I53" i="6"/>
  <c r="K52" i="5"/>
  <c r="K62" i="5"/>
  <c r="J53" i="5"/>
  <c r="G60" i="6"/>
  <c r="Q48" i="6"/>
  <c r="K55" i="5"/>
  <c r="J58" i="5"/>
  <c r="Q60" i="6"/>
  <c r="J54" i="5"/>
  <c r="Q45" i="6"/>
  <c r="O52" i="6"/>
  <c r="G65" i="5"/>
  <c r="H49" i="6"/>
  <c r="J52" i="5"/>
  <c r="K46" i="5"/>
  <c r="H58" i="6"/>
  <c r="G53" i="5"/>
  <c r="G48" i="6"/>
  <c r="E57" i="6"/>
  <c r="J50" i="5"/>
  <c r="Q66" i="6"/>
  <c r="I45" i="6"/>
  <c r="H47" i="5"/>
  <c r="J55" i="5"/>
  <c r="J64" i="5"/>
  <c r="H54" i="6"/>
  <c r="Q63" i="6"/>
  <c r="O44" i="6"/>
  <c r="E60" i="5"/>
  <c r="K47" i="5"/>
  <c r="G48" i="5"/>
  <c r="K57" i="5"/>
  <c r="G49" i="5"/>
  <c r="E45" i="5"/>
  <c r="E60" i="6"/>
  <c r="O56" i="6"/>
  <c r="E50" i="6"/>
  <c r="H50" i="5"/>
  <c r="J66" i="5"/>
  <c r="G57" i="5"/>
  <c r="E62" i="6"/>
  <c r="J60" i="5"/>
  <c r="E46" i="5"/>
  <c r="I60" i="6"/>
  <c r="E48" i="5"/>
  <c r="H63" i="6"/>
  <c r="I65" i="6"/>
  <c r="O50" i="6"/>
  <c r="H66" i="6"/>
  <c r="G47" i="6"/>
  <c r="K54" i="5"/>
  <c r="E53" i="6"/>
  <c r="J46" i="5"/>
  <c r="Q56" i="6"/>
  <c r="G47" i="5"/>
  <c r="E47" i="6"/>
  <c r="O46" i="6"/>
  <c r="G45" i="5"/>
  <c r="G62" i="6"/>
  <c r="E58" i="6"/>
  <c r="G63" i="6"/>
  <c r="O49" i="6"/>
  <c r="O60" i="6"/>
  <c r="I44" i="6"/>
  <c r="H51" i="6"/>
  <c r="K45" i="5"/>
  <c r="J49" i="5"/>
  <c r="H48" i="5"/>
  <c r="G52" i="5"/>
  <c r="G44" i="5"/>
  <c r="H51" i="5"/>
  <c r="E66" i="6"/>
  <c r="G66" i="5"/>
  <c r="H65" i="5"/>
  <c r="Q64" i="6"/>
  <c r="H53" i="5"/>
  <c r="Q51" i="6"/>
  <c r="G51" i="6"/>
  <c r="H52" i="6"/>
  <c r="I52" i="6"/>
  <c r="H66" i="5"/>
  <c r="G52" i="6"/>
  <c r="E57" i="5"/>
  <c r="K65" i="5"/>
  <c r="H47" i="6"/>
  <c r="G65" i="6"/>
  <c r="E45" i="6"/>
  <c r="H60" i="5"/>
  <c r="K60" i="5"/>
  <c r="G66" i="6"/>
  <c r="I49" i="6"/>
  <c r="H65" i="6"/>
  <c r="K61" i="5"/>
  <c r="E47" i="5"/>
  <c r="O65" i="6"/>
  <c r="O64" i="6"/>
  <c r="O57" i="6"/>
  <c r="E65" i="5"/>
  <c r="J62" i="5"/>
  <c r="I58" i="6"/>
  <c r="K48" i="5"/>
  <c r="I62" i="6"/>
  <c r="I51" i="6"/>
  <c r="E46" i="6"/>
  <c r="O54" i="6"/>
  <c r="K53" i="5"/>
  <c r="G57" i="6"/>
  <c r="G54" i="5"/>
  <c r="I50" i="6"/>
  <c r="H62" i="5"/>
  <c r="H49" i="5"/>
  <c r="E52" i="6"/>
  <c r="O63" i="6"/>
  <c r="E58" i="5"/>
  <c r="E65" i="6"/>
  <c r="H44" i="6"/>
  <c r="H58" i="5"/>
  <c r="J65" i="5"/>
  <c r="H48" i="6"/>
  <c r="F62" i="6" l="1"/>
  <c r="F62" i="5"/>
  <c r="F57" i="5"/>
  <c r="F58" i="5"/>
  <c r="F48" i="5"/>
  <c r="F52" i="5"/>
  <c r="F45" i="5"/>
  <c r="F53" i="5"/>
  <c r="F51" i="5"/>
  <c r="F50" i="5"/>
  <c r="F47" i="5"/>
  <c r="F60" i="5"/>
  <c r="F54" i="5"/>
  <c r="F66" i="5"/>
  <c r="F65" i="5"/>
  <c r="F49" i="5"/>
  <c r="F63" i="5"/>
  <c r="F46" i="5"/>
  <c r="F44" i="5"/>
  <c r="F46" i="6"/>
  <c r="F66" i="6"/>
  <c r="F47" i="6"/>
  <c r="F60" i="6"/>
  <c r="F65" i="6"/>
  <c r="F49" i="6"/>
  <c r="F63" i="6"/>
  <c r="F57" i="6"/>
  <c r="F54" i="6"/>
  <c r="F50" i="6"/>
  <c r="F48" i="6"/>
  <c r="F51" i="6"/>
  <c r="F58" i="6"/>
  <c r="F45" i="6"/>
  <c r="F53" i="6"/>
  <c r="F52" i="6"/>
  <c r="F44" i="6"/>
  <c r="O9" i="7"/>
  <c r="T49" i="6"/>
  <c r="T54" i="6"/>
  <c r="L52" i="5"/>
  <c r="T46" i="6"/>
  <c r="L57" i="5"/>
  <c r="L53" i="5"/>
  <c r="O6" i="7"/>
  <c r="T50" i="6"/>
  <c r="O8" i="7"/>
  <c r="N9" i="7"/>
  <c r="T60" i="6"/>
  <c r="T51" i="6"/>
  <c r="L48" i="5"/>
  <c r="T56" i="6"/>
  <c r="L60" i="5"/>
  <c r="L47" i="5"/>
  <c r="O21" i="7"/>
  <c r="T57" i="6"/>
  <c r="N21" i="7"/>
  <c r="O15" i="7"/>
  <c r="O22" i="7"/>
  <c r="N13" i="7"/>
  <c r="T52" i="6"/>
  <c r="O19" i="7"/>
  <c r="O5" i="7"/>
  <c r="L66" i="5"/>
  <c r="T47" i="6"/>
  <c r="N11" i="7"/>
  <c r="L54" i="5"/>
  <c r="O18" i="7"/>
  <c r="N5" i="7"/>
  <c r="T48" i="6"/>
  <c r="N19" i="7"/>
  <c r="T55" i="6"/>
  <c r="O14" i="7"/>
  <c r="T63" i="6"/>
  <c r="L56" i="5"/>
  <c r="O17" i="7"/>
  <c r="L44" i="5"/>
  <c r="N8" i="7"/>
  <c r="L65" i="5"/>
  <c r="O16" i="7"/>
  <c r="O13" i="7"/>
  <c r="L49" i="5"/>
  <c r="T66" i="6"/>
  <c r="T62" i="6"/>
  <c r="N14" i="7"/>
  <c r="O10" i="7"/>
  <c r="L51" i="5"/>
  <c r="O7" i="7"/>
  <c r="T64" i="6"/>
  <c r="L64" i="5"/>
  <c r="L50" i="5"/>
  <c r="N10" i="7"/>
  <c r="T65" i="6"/>
  <c r="N12" i="7"/>
  <c r="L55" i="5"/>
  <c r="L58" i="5"/>
  <c r="N15" i="7"/>
  <c r="L46" i="5"/>
  <c r="L61" i="5"/>
  <c r="N20" i="7"/>
  <c r="N22" i="7"/>
  <c r="T53" i="6"/>
  <c r="O11" i="7"/>
  <c r="N16" i="7"/>
  <c r="T44" i="6"/>
  <c r="O20" i="7"/>
  <c r="T45" i="6"/>
  <c r="T61" i="6"/>
  <c r="L62" i="5"/>
  <c r="N6" i="7"/>
  <c r="L45" i="5"/>
  <c r="N17" i="7"/>
  <c r="L63" i="5"/>
  <c r="T58" i="6"/>
  <c r="O12" i="7"/>
  <c r="N18" i="7"/>
  <c r="N7" i="7"/>
  <c r="N23" i="7" l="1"/>
  <c r="O23" i="7"/>
  <c r="H43" i="5"/>
  <c r="E43" i="5"/>
  <c r="G43" i="5"/>
  <c r="F43" i="5" l="1"/>
  <c r="G42" i="5"/>
  <c r="K43" i="5"/>
  <c r="J43" i="5"/>
  <c r="K42" i="5"/>
  <c r="H42" i="6"/>
  <c r="I42" i="6"/>
  <c r="J42" i="5"/>
  <c r="O42" i="6"/>
  <c r="Q42" i="6"/>
  <c r="E42" i="5"/>
  <c r="G42" i="6"/>
  <c r="H42" i="5"/>
  <c r="E42" i="6"/>
  <c r="F42" i="5" l="1"/>
  <c r="F42" i="6"/>
  <c r="A41" i="5"/>
  <c r="L42" i="5"/>
  <c r="L43" i="5"/>
  <c r="T42" i="6"/>
  <c r="C41" i="5" l="1"/>
  <c r="A15" i="11"/>
  <c r="A14" i="11"/>
  <c r="A13" i="11"/>
  <c r="A12" i="11"/>
  <c r="D12" i="11" s="1"/>
  <c r="A9" i="6"/>
  <c r="A8" i="6"/>
  <c r="A7" i="6"/>
  <c r="A6" i="6"/>
  <c r="A9" i="5"/>
  <c r="A8" i="5"/>
  <c r="A7" i="5"/>
  <c r="A6" i="5"/>
  <c r="K37" i="11"/>
  <c r="S37" i="11"/>
  <c r="Q36" i="11"/>
  <c r="S36" i="11"/>
  <c r="Q35" i="11"/>
  <c r="S35" i="11"/>
  <c r="Q34" i="11"/>
  <c r="S34" i="11"/>
  <c r="S33" i="11"/>
  <c r="Q32" i="11"/>
  <c r="S32" i="11"/>
  <c r="S31" i="11"/>
  <c r="Q30" i="11"/>
  <c r="S30" i="11"/>
  <c r="S28" i="11"/>
  <c r="Q27" i="11"/>
  <c r="S27" i="11"/>
  <c r="Q26" i="11"/>
  <c r="R26" i="11"/>
  <c r="Q25" i="11"/>
  <c r="R25" i="11"/>
  <c r="S24" i="11"/>
  <c r="J23" i="11"/>
  <c r="Q23" i="11" s="1"/>
  <c r="R23" i="11"/>
  <c r="J22" i="11"/>
  <c r="S22" i="11"/>
  <c r="J21" i="11"/>
  <c r="Q20" i="11"/>
  <c r="S20" i="11"/>
  <c r="V15" i="11"/>
  <c r="V14" i="11"/>
  <c r="V13" i="11"/>
  <c r="V12" i="11"/>
  <c r="B4" i="11"/>
  <c r="I41" i="5"/>
  <c r="S4" i="11" l="1"/>
  <c r="B6" i="11"/>
  <c r="Q28" i="11"/>
  <c r="K28" i="11"/>
  <c r="T28" i="11" s="1"/>
  <c r="R22" i="11"/>
  <c r="Q21" i="11"/>
  <c r="K21" i="11"/>
  <c r="T21" i="11" s="1"/>
  <c r="R31" i="11"/>
  <c r="R36" i="11"/>
  <c r="R32" i="11"/>
  <c r="U31" i="11"/>
  <c r="R37" i="11"/>
  <c r="R28" i="11"/>
  <c r="Q22" i="11"/>
  <c r="K22" i="11"/>
  <c r="T22" i="11" s="1"/>
  <c r="A1" i="11"/>
  <c r="K31" i="11"/>
  <c r="T31" i="11" s="1"/>
  <c r="Q31" i="11"/>
  <c r="U36" i="11"/>
  <c r="U32" i="11"/>
  <c r="K35" i="11"/>
  <c r="T35" i="11" s="1"/>
  <c r="K23" i="11"/>
  <c r="T23" i="11" s="1"/>
  <c r="U28" i="11"/>
  <c r="S23" i="11"/>
  <c r="K27" i="11"/>
  <c r="T27" i="11" s="1"/>
  <c r="U33" i="11"/>
  <c r="U23" i="11"/>
  <c r="U29" i="11"/>
  <c r="U27" i="11"/>
  <c r="U24" i="11"/>
  <c r="U20" i="11"/>
  <c r="U35" i="11"/>
  <c r="R27" i="11"/>
  <c r="R35" i="11"/>
  <c r="R30" i="11"/>
  <c r="R34" i="11"/>
  <c r="B5" i="11"/>
  <c r="S5" i="11"/>
  <c r="F6" i="11"/>
  <c r="S6" i="11"/>
  <c r="K29" i="11"/>
  <c r="T29" i="11" s="1"/>
  <c r="Q37" i="11"/>
  <c r="R21" i="11"/>
  <c r="S26" i="11"/>
  <c r="K25" i="11"/>
  <c r="T25" i="11" s="1"/>
  <c r="R29" i="11"/>
  <c r="S21" i="11"/>
  <c r="S25" i="11"/>
  <c r="S29" i="11"/>
  <c r="S15" i="11"/>
  <c r="K33" i="11"/>
  <c r="T33" i="11" s="1"/>
  <c r="K20" i="11"/>
  <c r="T20" i="11" s="1"/>
  <c r="K24" i="11"/>
  <c r="T24" i="11" s="1"/>
  <c r="K32" i="11"/>
  <c r="T32" i="11" s="1"/>
  <c r="K36" i="11"/>
  <c r="T36" i="11" s="1"/>
  <c r="T37" i="11"/>
  <c r="U22" i="11"/>
  <c r="Q29" i="11"/>
  <c r="Q33" i="11"/>
  <c r="R33" i="11"/>
  <c r="F4" i="11"/>
  <c r="U21" i="11"/>
  <c r="U25" i="11"/>
  <c r="U37" i="11"/>
  <c r="U34" i="11"/>
  <c r="R20" i="11"/>
  <c r="R24" i="11"/>
  <c r="U26" i="11"/>
  <c r="U30" i="11"/>
  <c r="K26" i="11"/>
  <c r="T26" i="11" s="1"/>
  <c r="K30" i="11"/>
  <c r="T30" i="11" s="1"/>
  <c r="K34" i="11"/>
  <c r="T34" i="11" s="1"/>
  <c r="K12" i="11"/>
  <c r="E22" i="7" l="1"/>
  <c r="E22" i="8"/>
  <c r="E9" i="8"/>
  <c r="E9" i="7"/>
  <c r="E20" i="7"/>
  <c r="E20" i="8"/>
  <c r="E19" i="8"/>
  <c r="E19" i="7"/>
  <c r="E5" i="8"/>
  <c r="E5" i="7"/>
  <c r="E8" i="8"/>
  <c r="E8" i="7"/>
  <c r="E6" i="7"/>
  <c r="E6" i="8"/>
  <c r="E17" i="8"/>
  <c r="E17" i="7"/>
  <c r="E21" i="7"/>
  <c r="E21" i="8"/>
  <c r="E16" i="8"/>
  <c r="E16" i="7"/>
  <c r="E13" i="8"/>
  <c r="E13" i="7"/>
  <c r="E12" i="7"/>
  <c r="E12" i="8"/>
  <c r="E7" i="7"/>
  <c r="E7" i="8"/>
  <c r="E14" i="7"/>
  <c r="E14" i="8"/>
  <c r="E18" i="7"/>
  <c r="E18" i="8"/>
  <c r="E15" i="7"/>
  <c r="E15" i="8"/>
  <c r="E11" i="7"/>
  <c r="E11" i="8"/>
  <c r="E10" i="8"/>
  <c r="E10" i="7"/>
  <c r="U14" i="11"/>
  <c r="U15" i="11"/>
  <c r="R15" i="11"/>
  <c r="S13" i="11"/>
  <c r="T15" i="11"/>
  <c r="R12" i="11"/>
  <c r="T13" i="11"/>
  <c r="U13" i="11"/>
  <c r="S14" i="11"/>
  <c r="R14" i="11"/>
  <c r="S12" i="11"/>
  <c r="T14" i="11"/>
  <c r="R13" i="11"/>
  <c r="T12" i="11"/>
  <c r="U12" i="11"/>
  <c r="K13" i="11"/>
  <c r="M13" i="11"/>
  <c r="F14" i="11"/>
  <c r="E15" i="11"/>
  <c r="M15" i="11"/>
  <c r="E14" i="11"/>
  <c r="D13" i="11"/>
  <c r="E13" i="11"/>
  <c r="F15" i="11"/>
  <c r="L12" i="11"/>
  <c r="F13" i="11"/>
  <c r="J14" i="11"/>
  <c r="G12" i="11"/>
  <c r="K15" i="11"/>
  <c r="G15" i="11"/>
  <c r="K14" i="11"/>
  <c r="F12" i="11"/>
  <c r="G14" i="11"/>
  <c r="J13" i="11"/>
  <c r="L15" i="11"/>
  <c r="L14" i="11"/>
  <c r="L13" i="11"/>
  <c r="J15" i="11"/>
  <c r="M14" i="11"/>
  <c r="M12" i="11"/>
  <c r="D15" i="11"/>
  <c r="D14" i="11"/>
  <c r="J12" i="11"/>
  <c r="E12" i="11"/>
  <c r="G13" i="11"/>
  <c r="H14" i="11" l="1"/>
  <c r="X14" i="11" s="1"/>
  <c r="U16" i="11"/>
  <c r="S16" i="11"/>
  <c r="T16" i="11"/>
  <c r="H12" i="11"/>
  <c r="X12" i="11" s="1"/>
  <c r="D16" i="11"/>
  <c r="N15" i="11"/>
  <c r="K16" i="11"/>
  <c r="E16" i="11"/>
  <c r="O13" i="11"/>
  <c r="Y13" i="11" s="1"/>
  <c r="H13" i="11"/>
  <c r="X13" i="11" s="1"/>
  <c r="G16" i="11"/>
  <c r="H15" i="11"/>
  <c r="X15" i="11" s="1"/>
  <c r="O15" i="11"/>
  <c r="Y15" i="11" s="1"/>
  <c r="F16" i="11"/>
  <c r="L16" i="11"/>
  <c r="N13" i="11"/>
  <c r="M16" i="11"/>
  <c r="O12" i="11"/>
  <c r="Y12" i="11" s="1"/>
  <c r="N12" i="11"/>
  <c r="N14" i="11"/>
  <c r="J16" i="11"/>
  <c r="R16" i="11"/>
  <c r="D3" i="8"/>
  <c r="C3" i="8"/>
  <c r="A3" i="8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5" i="2"/>
  <c r="Q5" i="2" s="1"/>
  <c r="R10" i="2"/>
  <c r="Q10" i="2" s="1"/>
  <c r="R9" i="2"/>
  <c r="Q9" i="2" s="1"/>
  <c r="U4" i="11" s="1"/>
  <c r="E41" i="5"/>
  <c r="G43" i="6"/>
  <c r="G41" i="6"/>
  <c r="I43" i="6"/>
  <c r="E43" i="6"/>
  <c r="G41" i="5"/>
  <c r="U4" i="8"/>
  <c r="H41" i="6"/>
  <c r="O43" i="6"/>
  <c r="E41" i="6"/>
  <c r="H41" i="5"/>
  <c r="O41" i="6"/>
  <c r="J41" i="5"/>
  <c r="Q43" i="6"/>
  <c r="M4" i="7"/>
  <c r="I41" i="6"/>
  <c r="T4" i="8"/>
  <c r="Q41" i="6"/>
  <c r="K41" i="5"/>
  <c r="H43" i="6"/>
  <c r="S4" i="8"/>
  <c r="F43" i="6" l="1"/>
  <c r="J67" i="5"/>
  <c r="O14" i="11"/>
  <c r="Y14" i="11" s="1"/>
  <c r="O16" i="11"/>
  <c r="H16" i="11"/>
  <c r="U15" i="8"/>
  <c r="M9" i="7"/>
  <c r="S14" i="8"/>
  <c r="S11" i="8"/>
  <c r="U20" i="8"/>
  <c r="T13" i="8"/>
  <c r="T12" i="8"/>
  <c r="M16" i="7"/>
  <c r="M42" i="6"/>
  <c r="T22" i="8"/>
  <c r="T14" i="8"/>
  <c r="R41" i="6"/>
  <c r="M22" i="7"/>
  <c r="T5" i="8"/>
  <c r="T41" i="6"/>
  <c r="K42" i="6"/>
  <c r="P41" i="6"/>
  <c r="S21" i="8"/>
  <c r="U6" i="8"/>
  <c r="U10" i="8"/>
  <c r="T11" i="8"/>
  <c r="U13" i="8"/>
  <c r="U14" i="8"/>
  <c r="U21" i="8"/>
  <c r="T18" i="8"/>
  <c r="J42" i="6"/>
  <c r="T7" i="8"/>
  <c r="M15" i="7"/>
  <c r="L41" i="5"/>
  <c r="P42" i="6"/>
  <c r="M21" i="7"/>
  <c r="M6" i="7"/>
  <c r="U7" i="8"/>
  <c r="M20" i="7"/>
  <c r="T15" i="8"/>
  <c r="S19" i="8"/>
  <c r="T43" i="6"/>
  <c r="S16" i="8"/>
  <c r="S15" i="8"/>
  <c r="U9" i="8"/>
  <c r="M17" i="7"/>
  <c r="M19" i="7"/>
  <c r="M18" i="7"/>
  <c r="U8" i="8"/>
  <c r="U19" i="8"/>
  <c r="T19" i="8"/>
  <c r="M7" i="7"/>
  <c r="T20" i="8"/>
  <c r="U22" i="8"/>
  <c r="T21" i="8"/>
  <c r="M11" i="7"/>
  <c r="M14" i="7"/>
  <c r="U11" i="8"/>
  <c r="S6" i="8"/>
  <c r="M5" i="7"/>
  <c r="U16" i="8"/>
  <c r="S7" i="8"/>
  <c r="T16" i="8"/>
  <c r="T6" i="8"/>
  <c r="S8" i="8"/>
  <c r="S18" i="8"/>
  <c r="S22" i="8"/>
  <c r="S20" i="8"/>
  <c r="S17" i="8"/>
  <c r="U5" i="8"/>
  <c r="T10" i="8"/>
  <c r="R42" i="6"/>
  <c r="S10" i="8"/>
  <c r="T17" i="8"/>
  <c r="T9" i="8"/>
  <c r="M12" i="7"/>
  <c r="S9" i="8"/>
  <c r="S5" i="8"/>
  <c r="U12" i="8"/>
  <c r="U18" i="8"/>
  <c r="M13" i="7"/>
  <c r="M10" i="7"/>
  <c r="S12" i="8"/>
  <c r="M8" i="7"/>
  <c r="U17" i="8"/>
  <c r="L42" i="6"/>
  <c r="T8" i="8"/>
  <c r="S13" i="8"/>
  <c r="S23" i="8" l="1"/>
  <c r="X16" i="11"/>
  <c r="Y16" i="11"/>
  <c r="N16" i="11"/>
  <c r="T23" i="8"/>
  <c r="K67" i="5"/>
  <c r="U23" i="8"/>
  <c r="N42" i="6"/>
  <c r="P67" i="6"/>
  <c r="R67" i="6"/>
  <c r="Q67" i="6"/>
  <c r="J41" i="6"/>
  <c r="L41" i="6"/>
  <c r="K41" i="6"/>
  <c r="U42" i="6"/>
  <c r="S42" i="6"/>
  <c r="M41" i="6"/>
  <c r="M23" i="7" l="1"/>
  <c r="O67" i="6"/>
  <c r="L67" i="5"/>
  <c r="H67" i="6"/>
  <c r="H67" i="5"/>
  <c r="L67" i="6"/>
  <c r="E67" i="6"/>
  <c r="F41" i="6"/>
  <c r="F67" i="6" s="1"/>
  <c r="G67" i="6"/>
  <c r="G67" i="5"/>
  <c r="I67" i="6"/>
  <c r="I67" i="5"/>
  <c r="N41" i="6"/>
  <c r="N67" i="6" s="1"/>
  <c r="K67" i="6"/>
  <c r="M67" i="6"/>
  <c r="J67" i="6"/>
  <c r="U41" i="6"/>
  <c r="S67" i="6" l="1"/>
  <c r="T67" i="6"/>
  <c r="U67" i="6"/>
  <c r="S41" i="6"/>
  <c r="F41" i="5" l="1"/>
  <c r="F67" i="5" s="1"/>
  <c r="E67" i="5"/>
  <c r="F5" i="11" l="1"/>
  <c r="I22" i="7"/>
  <c r="M10" i="8"/>
  <c r="G11" i="7"/>
  <c r="N16" i="8"/>
  <c r="F17" i="7"/>
  <c r="M12" i="8"/>
  <c r="M21" i="8"/>
  <c r="G6" i="7"/>
  <c r="M9" i="8"/>
  <c r="J12" i="7"/>
  <c r="H15" i="7"/>
  <c r="N22" i="8"/>
  <c r="J8" i="7"/>
  <c r="I11" i="7"/>
  <c r="N6" i="8"/>
  <c r="J17" i="7"/>
  <c r="F9" i="8"/>
  <c r="K22" i="8"/>
  <c r="F5" i="7"/>
  <c r="N21" i="8"/>
  <c r="G12" i="7"/>
  <c r="I10" i="7"/>
  <c r="F18" i="7"/>
  <c r="H6" i="7"/>
  <c r="L11" i="8"/>
  <c r="G5" i="7"/>
  <c r="F20" i="7"/>
  <c r="K6" i="8"/>
  <c r="F11" i="7"/>
  <c r="N9" i="8"/>
  <c r="G22" i="7"/>
  <c r="H5" i="7"/>
  <c r="G21" i="7"/>
  <c r="N14" i="8"/>
  <c r="I7" i="7"/>
  <c r="N17" i="8"/>
  <c r="K18" i="8"/>
  <c r="J11" i="7"/>
  <c r="M5" i="8"/>
  <c r="J14" i="7"/>
  <c r="G15" i="7"/>
  <c r="K12" i="8"/>
  <c r="J6" i="7"/>
  <c r="K9" i="8"/>
  <c r="L14" i="8"/>
  <c r="H19" i="7"/>
  <c r="M8" i="8"/>
  <c r="F14" i="8"/>
  <c r="F10" i="8"/>
  <c r="K17" i="8"/>
  <c r="G18" i="7"/>
  <c r="I6" i="7"/>
  <c r="H14" i="7"/>
  <c r="K10" i="8"/>
  <c r="L21" i="8"/>
  <c r="N15" i="8"/>
  <c r="G9" i="7"/>
  <c r="F19" i="7"/>
  <c r="G13" i="7"/>
  <c r="J20" i="7"/>
  <c r="L16" i="8"/>
  <c r="K11" i="8"/>
  <c r="F17" i="8"/>
  <c r="K7" i="8"/>
  <c r="M17" i="8"/>
  <c r="J13" i="7"/>
  <c r="G10" i="7"/>
  <c r="K8" i="8"/>
  <c r="I19" i="7"/>
  <c r="F6" i="8"/>
  <c r="N7" i="8"/>
  <c r="N19" i="8"/>
  <c r="H7" i="7"/>
  <c r="F22" i="7"/>
  <c r="F8" i="8"/>
  <c r="L17" i="8"/>
  <c r="I9" i="7"/>
  <c r="L15" i="8"/>
  <c r="F7" i="7"/>
  <c r="F20" i="8"/>
  <c r="H13" i="7"/>
  <c r="H10" i="7"/>
  <c r="G17" i="7"/>
  <c r="L13" i="8"/>
  <c r="F21" i="7"/>
  <c r="J19" i="7"/>
  <c r="F14" i="7"/>
  <c r="F16" i="7"/>
  <c r="F5" i="8"/>
  <c r="K14" i="8"/>
  <c r="M18" i="8"/>
  <c r="F21" i="8"/>
  <c r="F16" i="8"/>
  <c r="J10" i="7"/>
  <c r="F11" i="8"/>
  <c r="J18" i="7"/>
  <c r="I21" i="7"/>
  <c r="M20" i="8"/>
  <c r="I14" i="7"/>
  <c r="F15" i="7"/>
  <c r="L5" i="8"/>
  <c r="I12" i="7"/>
  <c r="F10" i="7"/>
  <c r="F7" i="8"/>
  <c r="F15" i="8"/>
  <c r="M16" i="8"/>
  <c r="L10" i="8"/>
  <c r="I16" i="7"/>
  <c r="L9" i="8"/>
  <c r="M19" i="8"/>
  <c r="M14" i="8"/>
  <c r="L18" i="8"/>
  <c r="H12" i="7"/>
  <c r="F8" i="7"/>
  <c r="M7" i="8"/>
  <c r="G8" i="7"/>
  <c r="G16" i="7"/>
  <c r="N10" i="8"/>
  <c r="H8" i="7"/>
  <c r="K20" i="8"/>
  <c r="G19" i="7"/>
  <c r="I13" i="7"/>
  <c r="I15" i="7"/>
  <c r="F19" i="8"/>
  <c r="H11" i="7"/>
  <c r="K15" i="8"/>
  <c r="M13" i="8"/>
  <c r="I18" i="7"/>
  <c r="K16" i="8"/>
  <c r="F12" i="8"/>
  <c r="L19" i="8"/>
  <c r="G20" i="7"/>
  <c r="M11" i="8"/>
  <c r="L20" i="8"/>
  <c r="L6" i="8"/>
  <c r="H21" i="7"/>
  <c r="J7" i="7"/>
  <c r="M15" i="8"/>
  <c r="N11" i="8"/>
  <c r="J5" i="7"/>
  <c r="L22" i="8"/>
  <c r="I8" i="7"/>
  <c r="J21" i="7"/>
  <c r="N5" i="8"/>
  <c r="K21" i="8"/>
  <c r="I5" i="7"/>
  <c r="F6" i="7"/>
  <c r="J22" i="7"/>
  <c r="I20" i="7"/>
  <c r="M6" i="8"/>
  <c r="F12" i="7"/>
  <c r="K13" i="8"/>
  <c r="K19" i="8"/>
  <c r="L7" i="8"/>
  <c r="L8" i="8"/>
  <c r="H16" i="7"/>
  <c r="H9" i="7"/>
  <c r="K5" i="8"/>
  <c r="J9" i="7"/>
  <c r="J16" i="7"/>
  <c r="F18" i="8"/>
  <c r="L12" i="8"/>
  <c r="M22" i="8"/>
  <c r="I17" i="7"/>
  <c r="H20" i="7"/>
  <c r="G7" i="7"/>
  <c r="F9" i="7"/>
  <c r="H18" i="7"/>
  <c r="N8" i="8"/>
  <c r="F13" i="7"/>
  <c r="N18" i="8"/>
  <c r="N12" i="8"/>
  <c r="N13" i="8"/>
  <c r="H17" i="7"/>
  <c r="F13" i="8"/>
  <c r="N20" i="8"/>
  <c r="H22" i="7"/>
  <c r="F22" i="8"/>
  <c r="J15" i="7"/>
  <c r="G14" i="7"/>
  <c r="G21" i="8" l="1"/>
  <c r="L21" i="7"/>
  <c r="P21" i="8"/>
  <c r="L11" i="7"/>
  <c r="G11" i="8"/>
  <c r="P11" i="8"/>
  <c r="L19" i="7"/>
  <c r="G19" i="8"/>
  <c r="P19" i="8"/>
  <c r="I21" i="8"/>
  <c r="K21" i="7"/>
  <c r="J21" i="8"/>
  <c r="H21" i="8"/>
  <c r="L12" i="7"/>
  <c r="G12" i="8"/>
  <c r="P12" i="8"/>
  <c r="L22" i="7"/>
  <c r="G22" i="8"/>
  <c r="P22" i="8"/>
  <c r="L20" i="7"/>
  <c r="G20" i="8"/>
  <c r="P20" i="8"/>
  <c r="L6" i="7"/>
  <c r="G6" i="8"/>
  <c r="G17" i="8"/>
  <c r="L17" i="7"/>
  <c r="P6" i="8"/>
  <c r="K17" i="7"/>
  <c r="H17" i="8"/>
  <c r="J17" i="8"/>
  <c r="O17" i="8" s="1"/>
  <c r="I17" i="8"/>
  <c r="L13" i="7"/>
  <c r="G13" i="8"/>
  <c r="P13" i="8"/>
  <c r="L10" i="7"/>
  <c r="G10" i="8"/>
  <c r="P10" i="8"/>
  <c r="L9" i="7"/>
  <c r="G9" i="8"/>
  <c r="P9" i="8"/>
  <c r="L7" i="7"/>
  <c r="G7" i="8"/>
  <c r="P7" i="8"/>
  <c r="L15" i="7"/>
  <c r="G15" i="8"/>
  <c r="J10" i="8"/>
  <c r="O10" i="8" s="1"/>
  <c r="H10" i="8"/>
  <c r="I10" i="8"/>
  <c r="I19" i="8"/>
  <c r="K10" i="7"/>
  <c r="H19" i="8"/>
  <c r="P15" i="8"/>
  <c r="J19" i="8"/>
  <c r="O19" i="8" s="1"/>
  <c r="K19" i="7"/>
  <c r="L18" i="7"/>
  <c r="G18" i="8"/>
  <c r="P18" i="8"/>
  <c r="J9" i="6"/>
  <c r="L16" i="7"/>
  <c r="G16" i="8"/>
  <c r="G9" i="5"/>
  <c r="G9" i="6"/>
  <c r="K9" i="6"/>
  <c r="L9" i="6"/>
  <c r="P16" i="8"/>
  <c r="E9" i="6"/>
  <c r="M9" i="6"/>
  <c r="H18" i="8"/>
  <c r="J18" i="8"/>
  <c r="O18" i="8" s="1"/>
  <c r="I6" i="8"/>
  <c r="J20" i="8"/>
  <c r="O20" i="8" s="1"/>
  <c r="J11" i="8"/>
  <c r="O11" i="8" s="1"/>
  <c r="H11" i="8"/>
  <c r="H6" i="8"/>
  <c r="K20" i="7"/>
  <c r="I11" i="8"/>
  <c r="I7" i="8"/>
  <c r="I20" i="8"/>
  <c r="K6" i="7"/>
  <c r="K12" i="7"/>
  <c r="J7" i="8"/>
  <c r="O7" i="8" s="1"/>
  <c r="I18" i="8"/>
  <c r="J6" i="8"/>
  <c r="O6" i="8" s="1"/>
  <c r="K11" i="7"/>
  <c r="I12" i="8"/>
  <c r="H7" i="8"/>
  <c r="H20" i="8"/>
  <c r="K18" i="7"/>
  <c r="J12" i="8"/>
  <c r="O12" i="8" s="1"/>
  <c r="H12" i="8"/>
  <c r="K7" i="7"/>
  <c r="J13" i="8"/>
  <c r="O13" i="8" s="1"/>
  <c r="H22" i="8"/>
  <c r="I22" i="8"/>
  <c r="K13" i="7"/>
  <c r="K22" i="7"/>
  <c r="J16" i="8"/>
  <c r="O16" i="8" s="1"/>
  <c r="I9" i="6"/>
  <c r="I9" i="5"/>
  <c r="J22" i="8"/>
  <c r="O22" i="8" s="1"/>
  <c r="H13" i="8"/>
  <c r="I13" i="8"/>
  <c r="H16" i="8"/>
  <c r="I15" i="8"/>
  <c r="I16" i="8"/>
  <c r="H9" i="5"/>
  <c r="H9" i="6"/>
  <c r="K15" i="7"/>
  <c r="K16" i="7"/>
  <c r="E9" i="5"/>
  <c r="J15" i="8"/>
  <c r="O15" i="8" s="1"/>
  <c r="H15" i="8"/>
  <c r="L14" i="7"/>
  <c r="G14" i="8"/>
  <c r="G8" i="6"/>
  <c r="G8" i="5"/>
  <c r="I14" i="8"/>
  <c r="H8" i="6"/>
  <c r="H8" i="5"/>
  <c r="H14" i="8"/>
  <c r="J14" i="8"/>
  <c r="O14" i="8" s="1"/>
  <c r="I8" i="6"/>
  <c r="I8" i="5"/>
  <c r="K14" i="7"/>
  <c r="J8" i="5" s="1"/>
  <c r="E8" i="5"/>
  <c r="L5" i="7"/>
  <c r="K6" i="5" s="1"/>
  <c r="G5" i="8"/>
  <c r="G6" i="6"/>
  <c r="G6" i="5"/>
  <c r="G23" i="7"/>
  <c r="J8" i="8"/>
  <c r="O8" i="8" s="1"/>
  <c r="I7" i="6"/>
  <c r="I7" i="5"/>
  <c r="G8" i="8"/>
  <c r="L8" i="7"/>
  <c r="G7" i="6"/>
  <c r="G7" i="5"/>
  <c r="J5" i="8"/>
  <c r="O5" i="8" s="1"/>
  <c r="I6" i="6"/>
  <c r="I6" i="5"/>
  <c r="J23" i="7"/>
  <c r="J7" i="6"/>
  <c r="I8" i="8"/>
  <c r="H7" i="6"/>
  <c r="H7" i="5"/>
  <c r="H8" i="8"/>
  <c r="K8" i="7"/>
  <c r="E7" i="5"/>
  <c r="M6" i="6"/>
  <c r="N23" i="8"/>
  <c r="P8" i="8"/>
  <c r="E7" i="6"/>
  <c r="K6" i="6"/>
  <c r="L23" i="8"/>
  <c r="P5" i="8"/>
  <c r="P6" i="6" s="1"/>
  <c r="E6" i="6"/>
  <c r="F23" i="8"/>
  <c r="L7" i="6"/>
  <c r="M7" i="6"/>
  <c r="J6" i="6"/>
  <c r="K23" i="8"/>
  <c r="K7" i="6"/>
  <c r="L6" i="6"/>
  <c r="M23" i="8"/>
  <c r="I5" i="8"/>
  <c r="H6" i="6"/>
  <c r="H6" i="5"/>
  <c r="I23" i="7"/>
  <c r="J8" i="6"/>
  <c r="H5" i="8"/>
  <c r="H23" i="7"/>
  <c r="L8" i="6"/>
  <c r="K5" i="7"/>
  <c r="E6" i="5"/>
  <c r="F23" i="7"/>
  <c r="K8" i="6"/>
  <c r="P14" i="8"/>
  <c r="E8" i="6"/>
  <c r="M8" i="6"/>
  <c r="I9" i="8"/>
  <c r="J9" i="8"/>
  <c r="O9" i="8" s="1"/>
  <c r="H9" i="8"/>
  <c r="K9" i="7"/>
  <c r="P17" i="8"/>
  <c r="F8" i="6" l="1"/>
  <c r="J7" i="5"/>
  <c r="F7" i="5"/>
  <c r="N7" i="6"/>
  <c r="F8" i="5"/>
  <c r="J9" i="5"/>
  <c r="G10" i="5"/>
  <c r="H10" i="5"/>
  <c r="S8" i="6"/>
  <c r="F7" i="6"/>
  <c r="K7" i="5"/>
  <c r="O8" i="6"/>
  <c r="Q14" i="8"/>
  <c r="R14" i="8"/>
  <c r="P8" i="6"/>
  <c r="Q9" i="8"/>
  <c r="R9" i="8"/>
  <c r="H23" i="8"/>
  <c r="N8" i="6"/>
  <c r="S6" i="6"/>
  <c r="J10" i="6"/>
  <c r="Q17" i="8"/>
  <c r="R17" i="8"/>
  <c r="J23" i="8"/>
  <c r="R6" i="8"/>
  <c r="Q6" i="8"/>
  <c r="F9" i="6"/>
  <c r="F6" i="5"/>
  <c r="E10" i="5"/>
  <c r="Q5" i="8"/>
  <c r="R5" i="8"/>
  <c r="G23" i="8"/>
  <c r="L10" i="6"/>
  <c r="I23" i="8"/>
  <c r="J6" i="5"/>
  <c r="L6" i="5" s="1"/>
  <c r="K23" i="7"/>
  <c r="S7" i="6"/>
  <c r="F9" i="5"/>
  <c r="N9" i="6"/>
  <c r="Q10" i="8"/>
  <c r="R10" i="8"/>
  <c r="G10" i="6"/>
  <c r="Q20" i="8"/>
  <c r="R20" i="8"/>
  <c r="Q19" i="8"/>
  <c r="R19" i="8"/>
  <c r="F6" i="6"/>
  <c r="E10" i="6"/>
  <c r="I10" i="6"/>
  <c r="H10" i="6"/>
  <c r="Q16" i="8"/>
  <c r="R16" i="8"/>
  <c r="K9" i="5"/>
  <c r="Q15" i="8"/>
  <c r="R15" i="8"/>
  <c r="Q13" i="8"/>
  <c r="R13" i="8"/>
  <c r="I10" i="5"/>
  <c r="N6" i="6"/>
  <c r="K10" i="6"/>
  <c r="S9" i="6"/>
  <c r="K8" i="5"/>
  <c r="L8" i="5" s="1"/>
  <c r="Q22" i="8"/>
  <c r="R22" i="8"/>
  <c r="R11" i="8"/>
  <c r="Q11" i="8"/>
  <c r="P7" i="6"/>
  <c r="Q8" i="8"/>
  <c r="R8" i="8"/>
  <c r="Q18" i="8"/>
  <c r="R18" i="8"/>
  <c r="Q7" i="8"/>
  <c r="R7" i="8"/>
  <c r="P23" i="8"/>
  <c r="P9" i="6" s="1"/>
  <c r="O21" i="8"/>
  <c r="O23" i="8" s="1"/>
  <c r="O6" i="6"/>
  <c r="R12" i="8"/>
  <c r="Q12" i="8"/>
  <c r="L23" i="7"/>
  <c r="O7" i="6"/>
  <c r="M10" i="6"/>
  <c r="Q21" i="8"/>
  <c r="R21" i="8"/>
  <c r="L7" i="5" l="1"/>
  <c r="L9" i="5"/>
  <c r="F10" i="6"/>
  <c r="R8" i="6"/>
  <c r="U8" i="6" s="1"/>
  <c r="R7" i="6"/>
  <c r="U7" i="6" s="1"/>
  <c r="O9" i="6"/>
  <c r="O10" i="6" s="1"/>
  <c r="Q7" i="6"/>
  <c r="T7" i="6" s="1"/>
  <c r="R9" i="6"/>
  <c r="U9" i="6" s="1"/>
  <c r="F10" i="5"/>
  <c r="R23" i="8"/>
  <c r="J10" i="5"/>
  <c r="Q8" i="6"/>
  <c r="T8" i="6" s="1"/>
  <c r="N10" i="6"/>
  <c r="Q9" i="6"/>
  <c r="K10" i="5"/>
  <c r="Q23" i="8"/>
  <c r="S10" i="6"/>
  <c r="R6" i="6"/>
  <c r="P10" i="6"/>
  <c r="Q6" i="6"/>
  <c r="T9" i="6" l="1"/>
  <c r="L10" i="5"/>
  <c r="R10" i="6"/>
  <c r="U10" i="6" s="1"/>
  <c r="U6" i="6"/>
  <c r="Q10" i="6"/>
  <c r="T10" i="6" s="1"/>
  <c r="T6" i="6"/>
</calcChain>
</file>

<file path=xl/sharedStrings.xml><?xml version="1.0" encoding="utf-8"?>
<sst xmlns="http://schemas.openxmlformats.org/spreadsheetml/2006/main" count="592" uniqueCount="279">
  <si>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</si>
  <si>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</si>
  <si>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</si>
  <si>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</si>
  <si>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</si>
  <si>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</si>
  <si>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</si>
  <si>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</si>
  <si>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</si>
  <si>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</si>
  <si>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</si>
  <si>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</si>
  <si>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</si>
  <si>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</si>
  <si>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</si>
  <si>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</si>
  <si>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</si>
  <si>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</si>
  <si>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</si>
  <si>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1. 분류 Code</t>
  </si>
  <si>
    <t>Code</t>
  </si>
  <si>
    <t>NW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</si>
  <si>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</si>
  <si>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</si>
  <si>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</si>
  <si>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</si>
  <si>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</si>
  <si>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</si>
  <si>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</si>
  <si>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</si>
  <si>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</si>
  <si>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</si>
  <si>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</si>
  <si>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</si>
  <si>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</si>
  <si>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</si>
  <si>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</si>
  <si>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</si>
  <si>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</si>
  <si>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</si>
  <si>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</si>
  <si>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</si>
  <si>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</si>
  <si>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</si>
  <si>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</si>
  <si>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</si>
  <si>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</si>
  <si>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</si>
  <si>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</si>
  <si>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</si>
  <si>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</si>
  <si>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</si>
  <si>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</si>
  <si>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</si>
  <si>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</si>
  <si>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</si>
  <si>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</si>
  <si>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■ Check List</t>
  </si>
  <si>
    <t>취약점 진단항목</t>
  </si>
  <si>
    <t>개선방안 및 보호대책</t>
  </si>
  <si>
    <t>분류</t>
  </si>
  <si>
    <t>진단항목</t>
  </si>
  <si>
    <t>위험도</t>
  </si>
  <si>
    <t>계정 관리</t>
  </si>
  <si>
    <t>■ 영역별/장비별 보안수준 통계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</si>
  <si>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</si>
  <si>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</si>
  <si>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</si>
  <si>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</si>
  <si>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</si>
  <si>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</si>
  <si>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</si>
  <si>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</si>
  <si>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</si>
  <si>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</si>
  <si>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</si>
  <si>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</si>
  <si>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</si>
  <si>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</si>
  <si>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</si>
  <si>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</si>
  <si>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</si>
  <si>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</si>
  <si>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</si>
  <si>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</si>
  <si>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</si>
  <si>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</si>
  <si>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</si>
  <si>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</si>
  <si>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</si>
  <si>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■ 취약점 진단 항목별 통계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</si>
  <si>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</si>
  <si>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</si>
  <si>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</si>
  <si>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</si>
  <si>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</si>
  <si>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</si>
  <si>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</si>
  <si>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</si>
  <si>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</si>
  <si>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</si>
  <si>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</si>
  <si>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</si>
  <si>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</si>
  <si>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</si>
  <si>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</si>
  <si>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</si>
  <si>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</si>
  <si>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</si>
  <si>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</si>
  <si>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</si>
  <si>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</si>
  <si>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</si>
  <si>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</si>
  <si>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</si>
  <si>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</si>
  <si>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</si>
  <si>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</si>
  <si>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</si>
  <si>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</si>
  <si>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</si>
  <si>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</si>
  <si>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</si>
  <si>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</si>
  <si>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</si>
  <si>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</si>
  <si>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</si>
  <si>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</si>
  <si>
    <t>전체점수(이행전)</t>
  </si>
  <si>
    <t>결과</t>
  </si>
  <si>
    <t>중요도</t>
    <phoneticPr fontId="3" type="noConversion"/>
  </si>
  <si>
    <t>패치 관리</t>
  </si>
  <si>
    <t>PC-01</t>
  </si>
  <si>
    <t>PC-02</t>
  </si>
  <si>
    <t>PC-15</t>
  </si>
  <si>
    <t>PC-03</t>
  </si>
  <si>
    <t>PC-04</t>
  </si>
  <si>
    <t>PC-05</t>
  </si>
  <si>
    <t>PC-16</t>
  </si>
  <si>
    <t>PC-17</t>
  </si>
  <si>
    <t>PC-18</t>
  </si>
  <si>
    <t>PC-06</t>
  </si>
  <si>
    <t>PC-07</t>
  </si>
  <si>
    <t>PC-08</t>
  </si>
  <si>
    <t>PC-09</t>
  </si>
  <si>
    <t>PC-10</t>
  </si>
  <si>
    <t>PC-11</t>
  </si>
  <si>
    <t>PC-12</t>
  </si>
  <si>
    <t>PC-13</t>
  </si>
  <si>
    <t>PC-14</t>
  </si>
  <si>
    <t>복구 콘솔에서 자동 로그온을 금지하도록 설정</t>
  </si>
  <si>
    <t>공유 폴더 제거</t>
  </si>
  <si>
    <t>항목의 불필요한 서비스 제거</t>
  </si>
  <si>
    <t>파일 시스템이 NTFS 포맷으로 설정</t>
  </si>
  <si>
    <t>브라우저 종료 시 임시 인터넷 파일 폴더의 내용을 삭제하도록 설정</t>
  </si>
  <si>
    <t>바이러스 백신 프로그램 설치 및 주기적 업데이트</t>
  </si>
  <si>
    <t>바이러스 백신 프로그램에서 제공하는 실시간 감시 기능 활성화</t>
  </si>
  <si>
    <t>OS에서 제공하는 침입차단 기능 활성화</t>
  </si>
  <si>
    <t>화면보호기 대기 시간 설정 및 재시작 시 암호 보호 설정</t>
  </si>
  <si>
    <t>원격 지원을 금지하도록 정책이 설정</t>
  </si>
  <si>
    <t>서비스 관리</t>
  </si>
  <si>
    <t>보안 관리</t>
  </si>
  <si>
    <t>PC</t>
    <phoneticPr fontId="3" type="noConversion"/>
  </si>
  <si>
    <t>■ 취약점 진단 항목별 통계</t>
    <phoneticPr fontId="3" type="noConversion"/>
  </si>
  <si>
    <t>사원 PC</t>
    <phoneticPr fontId="3" type="noConversion"/>
  </si>
  <si>
    <t>사원 PC</t>
    <phoneticPr fontId="3" type="noConversion"/>
  </si>
  <si>
    <t>진단 결과</t>
    <phoneticPr fontId="3" type="noConversion"/>
  </si>
  <si>
    <t>■ 자산목록</t>
    <phoneticPr fontId="3" type="noConversion"/>
  </si>
  <si>
    <t>본사</t>
    <phoneticPr fontId="3" type="noConversion"/>
  </si>
  <si>
    <t>지사</t>
    <phoneticPr fontId="3" type="noConversion"/>
  </si>
  <si>
    <t>홍길동</t>
    <phoneticPr fontId="3" type="noConversion"/>
  </si>
  <si>
    <t>김철수</t>
    <phoneticPr fontId="3" type="noConversion"/>
  </si>
  <si>
    <t>Y</t>
    <phoneticPr fontId="3" type="noConversion"/>
  </si>
  <si>
    <t>양호함</t>
    <phoneticPr fontId="3" type="noConversion"/>
  </si>
  <si>
    <t>양호함</t>
    <phoneticPr fontId="3" type="noConversion"/>
  </si>
  <si>
    <t>양호함
Administrator 계정의 암호 사용 기간 제한 없음, 계정 사용 안함에 체크 해제로 설정
최대 암호 사용 기간 90일, 최근 암호 기억 24개, 최소 암호 사용 기간을 1일로 설정</t>
    <phoneticPr fontId="3" type="noConversion"/>
  </si>
  <si>
    <t>양호함
암호는 복잡성을 만족해야 함" 사용으로, 최소 암호 길이 8문자로 설정</t>
    <phoneticPr fontId="3" type="noConversion"/>
  </si>
  <si>
    <t>양호함
Cryptographci Services  사용안함, Human Interface Device Service 사용안함, Infrared monitor service 사용안함, Print Spooler 사용안함, Remote Register 사용안함으로 설정</t>
    <phoneticPr fontId="3" type="noConversion"/>
  </si>
  <si>
    <t>양호함
Windows Messenger 실행 허용 안 함을 사용으로 설정
레지스트리 값 PreventRun 0으로 설정</t>
    <phoneticPr fontId="3" type="noConversion"/>
  </si>
  <si>
    <t>양호함
불필요한 폴더 공유 중지, 시스템 재부팅 후 자동 공유 방지 설정, 암호로 보호된 공유 커기로 설정, 공유 사용 권한에서 Everyone 제거,  레지스트리값 AutorShareServer를 0, AutoShareWks를 0으로 설정</t>
    <phoneticPr fontId="3" type="noConversion"/>
  </si>
  <si>
    <t>양호함</t>
    <phoneticPr fontId="3" type="noConversion"/>
  </si>
  <si>
    <t>양호함
OS가 Windows 10 1개로 양호함</t>
    <phoneticPr fontId="3" type="noConversion"/>
  </si>
  <si>
    <t>양호함
브라우저를 닫을 때 임시 인터넷 파일 폴더 비우기를 사용으로 설정
Internet Explorer의 인터넷 옵션의 브라우저를 닫을 때 임시 인터넷 파일 폴더 비우기를 사용으로 설정</t>
    <phoneticPr fontId="3" type="noConversion"/>
  </si>
  <si>
    <t xml:space="preserve">양호함
레지스트리값 EnableFireWall을 1로 설정, Windows Defentder 방화벽 사용으로 설정
</t>
    <phoneticPr fontId="3" type="noConversion"/>
  </si>
  <si>
    <t>양호함
화면보호기 대기 10분으로 설정, 다시 시작할 때 로그온 화면 표시 체크로 설정</t>
    <phoneticPr fontId="3" type="noConversion"/>
  </si>
  <si>
    <t>양호함
자동실행끄기를 모든드라이브에 사용으로 설정, 레지스트리값 NoDriveTypeAutoRun을 255로 설정, 모든 미디어 및 장치에 자동 실행 사용을 체크 해제로 설정</t>
    <phoneticPr fontId="3" type="noConversion"/>
  </si>
  <si>
    <t>양호함
ActiveX 없음</t>
    <phoneticPr fontId="3" type="noConversion"/>
  </si>
  <si>
    <t>양호함
Windows Defender 바이러스 및 위협 방지 설정의 실시간 보호를 켬으로 설정</t>
    <phoneticPr fontId="3" type="noConversion"/>
  </si>
  <si>
    <t>양호함
Windows Defender 보호 업데이트 확인</t>
    <phoneticPr fontId="3" type="noConversion"/>
  </si>
  <si>
    <t>비밀번호의 주기적 변경</t>
  </si>
  <si>
    <t>※ 최대 암호 사용 기간 “90일” 설정 ※ 최소 암호 사용 기간 “1일” 설정 ※ 최근 암호 기억 설정 (권장: 24개의 비밀번호 기억) ※ 사용자가 새 비밀번호를 변경하기 전에 이를 유지해야 하는 일수를 결정. 비밀번호 변경 후 편의성 때문에 기존 비밀번호로 다시 설정하는 경우가 많으므로 최소 사용 기간을 설정 ※ 이전 비밀번호를 다시 사용한다면 변경 주기가 의미가 없으므로 기존에 사용하던 비밀번호를 기억해서 사용하지 못하게 함</t>
  </si>
  <si>
    <t>비밀번호 관리정책 설정</t>
  </si>
  <si>
    <t>비밀번호 정책을 해당 기관의 보안 정책에 적합하게 설정</t>
  </si>
  <si>
    <t>계정관리</t>
  </si>
  <si>
    <t>복구 콘솔 자동 로그온 허용 “사용 안 함”으로 설정</t>
  </si>
  <si>
    <t>Ÿ 공유 폴더 불필요 시 삭제 Ÿ 공유 폴더 필요하면 적절한 접근 권한 부여 및 비밀번호 설정 Ÿ 조치 후 “AutoShareWks”값 변경으로 자동 공유 방지</t>
  </si>
  <si>
    <t>불필요한 서비스 중지 설정</t>
  </si>
  <si>
    <t>비인가 상용 메신저 사용 금지</t>
  </si>
  <si>
    <t>“Windows Messenger를 실행하지 않음” 설정 및 상용 메신저 삭제</t>
  </si>
  <si>
    <t>모든 디스크 볼륨에 대해 파일 시스템 NTFS로 변경</t>
  </si>
  <si>
    <t>하나의 OS만 설치하여 운영함</t>
  </si>
  <si>
    <t>주기적 보안 패치 및 벤더 권고사항 적용</t>
  </si>
  <si>
    <t>Windows Update 사이트에 접속하여 최신 패치 존재 여부 확인 및 패치 적용</t>
  </si>
  <si>
    <t>지원이 종료되지 않은 Windows OS Build 적용</t>
  </si>
  <si>
    <t>Windows Update 사이트에 접속하여 최신 서비스팩 여부 확인 및 적용</t>
  </si>
  <si>
    <t>Windows 자동 로그인 점검</t>
  </si>
  <si>
    <t>Windows 자동 로그인 비활성화 설정</t>
  </si>
  <si>
    <t>바이러스 백신 설치 및 최신 업데이트 적용</t>
  </si>
  <si>
    <t>바이러스 백신 실시간 감시 기능 설정</t>
  </si>
  <si>
    <t>Windows 방화벽 “사용”으로 설정 또는 유·무료 기타 방화벽을 사용</t>
  </si>
  <si>
    <t>화면보호기 설정 및 비밀번호 보호 설정</t>
  </si>
  <si>
    <t>CD, DVD, USB 메모리 등과 같은 미디어의 자동 실행 방지 등 이동식 미디어에 대한 보안대책 수립</t>
  </si>
  <si>
    <t>미디어 자동 실행 방지 설정</t>
  </si>
  <si>
    <t>원격 지원 서비스 비활성화</t>
  </si>
  <si>
    <t>HQ_HR01</t>
    <phoneticPr fontId="3" type="noConversion"/>
  </si>
  <si>
    <t>HQ_HR02</t>
  </si>
  <si>
    <t>HQ_DEV01</t>
    <phoneticPr fontId="3" type="noConversion"/>
  </si>
  <si>
    <t>HQ_DEV02</t>
  </si>
  <si>
    <t>HQ_DEV03</t>
  </si>
  <si>
    <t>HQ_DEV04</t>
  </si>
  <si>
    <t>HQ_OPS01</t>
    <phoneticPr fontId="3" type="noConversion"/>
  </si>
  <si>
    <t>HQ_OPS02</t>
  </si>
  <si>
    <t>HQ_OPS03</t>
  </si>
  <si>
    <t>HQ_OPS04</t>
  </si>
  <si>
    <t>HQ_CS01</t>
    <phoneticPr fontId="3" type="noConversion"/>
  </si>
  <si>
    <t>HQ_CS02</t>
  </si>
  <si>
    <t>BR_LOGI01</t>
    <phoneticPr fontId="3" type="noConversion"/>
  </si>
  <si>
    <t>BR_LOGI02</t>
  </si>
  <si>
    <t>BR_LOGI03</t>
  </si>
  <si>
    <t>BR_OPS01</t>
    <phoneticPr fontId="3" type="noConversion"/>
  </si>
  <si>
    <t>BR_OPS02</t>
  </si>
  <si>
    <t>BR_CS01</t>
    <phoneticPr fontId="3" type="noConversion"/>
  </si>
  <si>
    <t>BR_CS02</t>
  </si>
  <si>
    <t>Windows 11 pro</t>
    <phoneticPr fontId="3" type="noConversion"/>
  </si>
  <si>
    <t>25H2</t>
    <phoneticPr fontId="3" type="noConversion"/>
  </si>
  <si>
    <t>10.10.40.65/29</t>
    <phoneticPr fontId="3" type="noConversion"/>
  </si>
  <si>
    <t>10.10.40.66/29</t>
    <phoneticPr fontId="3" type="noConversion"/>
  </si>
  <si>
    <t>10.10.40.81/28</t>
    <phoneticPr fontId="3" type="noConversion"/>
  </si>
  <si>
    <t>10.10.40.82/28</t>
    <phoneticPr fontId="3" type="noConversion"/>
  </si>
  <si>
    <t>10.10.40.83/28</t>
    <phoneticPr fontId="3" type="noConversion"/>
  </si>
  <si>
    <t>10.10.40.84/28</t>
    <phoneticPr fontId="3" type="noConversion"/>
  </si>
  <si>
    <t>10.10.40.97/28</t>
    <phoneticPr fontId="3" type="noConversion"/>
  </si>
  <si>
    <t>10.10.40.98/28</t>
    <phoneticPr fontId="3" type="noConversion"/>
  </si>
  <si>
    <t>10.10.40.99/28</t>
    <phoneticPr fontId="3" type="noConversion"/>
  </si>
  <si>
    <t>10.10.40.100/28</t>
    <phoneticPr fontId="3" type="noConversion"/>
  </si>
  <si>
    <t>10.10.40.113/29</t>
    <phoneticPr fontId="3" type="noConversion"/>
  </si>
  <si>
    <t>10.10.40.114/29</t>
    <phoneticPr fontId="3" type="noConversion"/>
  </si>
  <si>
    <t>10.200.40.65/29</t>
    <phoneticPr fontId="3" type="noConversion"/>
  </si>
  <si>
    <t>10.200.40.66/29</t>
    <phoneticPr fontId="3" type="noConversion"/>
  </si>
  <si>
    <t>10.200.40.67/29</t>
    <phoneticPr fontId="3" type="noConversion"/>
  </si>
  <si>
    <t>10.200.40.73/29</t>
    <phoneticPr fontId="3" type="noConversion"/>
  </si>
  <si>
    <t>10.200.40.74/29</t>
    <phoneticPr fontId="3" type="noConversion"/>
  </si>
  <si>
    <t>10.200.40.81/28</t>
    <phoneticPr fontId="3" type="noConversion"/>
  </si>
  <si>
    <t>10.200.40.82/28</t>
    <phoneticPr fontId="3" type="noConversion"/>
  </si>
  <si>
    <t>본사 인사팀</t>
    <phoneticPr fontId="3" type="noConversion"/>
  </si>
  <si>
    <t>본사 개발팀</t>
    <phoneticPr fontId="3" type="noConversion"/>
  </si>
  <si>
    <t>본사 운영팀</t>
    <phoneticPr fontId="3" type="noConversion"/>
  </si>
  <si>
    <t>본사 CS팀</t>
    <phoneticPr fontId="3" type="noConversion"/>
  </si>
  <si>
    <t>지사 물류팀</t>
    <phoneticPr fontId="3" type="noConversion"/>
  </si>
  <si>
    <t>지사 운영팀</t>
    <phoneticPr fontId="3" type="noConversion"/>
  </si>
  <si>
    <t>지사 CS팀</t>
    <phoneticPr fontId="3" type="noConversion"/>
  </si>
  <si>
    <t>패스워드 주기 적용하여 양호함
최대 암호 사용 기간 90일, 최소 암호 사용 기간 1일, 최근 암호 기억 24개 설정 적용</t>
    <phoneticPr fontId="3" type="noConversion"/>
  </si>
  <si>
    <t>복잡성을 만족하는 비밀번호 정책이 설정되어있어 양호함</t>
    <phoneticPr fontId="3" type="noConversion"/>
  </si>
  <si>
    <t>복구 콘솔에서 자동 로그온 금지되어있어 양호함</t>
    <phoneticPr fontId="3" type="noConversion"/>
  </si>
  <si>
    <t>불필요한 공유폴더 공유 중지 완료하여 양호함
레지스트리값 추가하여 적용</t>
    <phoneticPr fontId="3" type="noConversion"/>
  </si>
  <si>
    <t>불필요한 서비스 제거하여 양호함 
Cryptographic Services / Distributed Link Tracking Client, Server / Human Interface Device Access / Print Spooler / Remote Registry - 중지
DHCP Client / DNS Client - 사용</t>
    <phoneticPr fontId="3" type="noConversion"/>
  </si>
  <si>
    <t>Windows Messenger가 실행 중지하여 양호함
Windows Messenger 실행 허용 안 함 - 사용</t>
    <phoneticPr fontId="3" type="noConversion"/>
  </si>
  <si>
    <t>모든 디스크 볼륨의 파일 시스템이 NTFS이기 때문에 양호함</t>
    <phoneticPr fontId="3" type="noConversion"/>
  </si>
  <si>
    <t xml:space="preserve"> PC 내에 하나의 OS만 설치되어있어 양호함</t>
    <phoneticPr fontId="3" type="noConversion"/>
  </si>
  <si>
    <t>브라우저 종료 시 임시 인터넷 파일 비우기 설정하여 양호함
브라우저를 닫을 때 임시 인터넷 파일 폴더 비우기 - 사용</t>
    <phoneticPr fontId="3" type="noConversion"/>
  </si>
  <si>
    <t>대상 시스템이 Windows 서버를 제외한 다른 OS로 멀티 부팅이 가능하지 않도록 설정</t>
    <phoneticPr fontId="3" type="noConversion"/>
  </si>
  <si>
    <t>Windows 자동 로그인이 비활성화 설정 적용하여 양호함
레지스트리값 추가하여 적용</t>
    <phoneticPr fontId="3" type="noConversion"/>
  </si>
  <si>
    <t>백신이 설치되어 있고, 최신 업데이트가 적용되어 양호함
최신 업데이트 완료</t>
    <phoneticPr fontId="3" type="noConversion"/>
  </si>
  <si>
    <t>설치된 백신의 실시간 감시기능이 활성화되어있어 양호함</t>
    <phoneticPr fontId="3" type="noConversion"/>
  </si>
  <si>
    <t>Windows 방화벽 사용으로 설정되어있어 양호함</t>
    <phoneticPr fontId="3" type="noConversion"/>
  </si>
  <si>
    <t xml:space="preserve">이동식 미디어에 대한 보안대책 수립하여 양호함
자동 실행 끄기 정책 사용 - 모든 드라이브, 모든 미디어 및 장치에 자동 실행 사용(U) 체크 해제 </t>
    <phoneticPr fontId="3" type="noConversion"/>
  </si>
  <si>
    <t>원격 지원을 금지하도록 정책을 설정하여 양호함
원격 지원 제공을 사용 안 함으로 설정</t>
    <phoneticPr fontId="3" type="noConversion"/>
  </si>
  <si>
    <t>화면보호기 설정 완료하여 양호람
화면보호기(대기시간 10분 이하) 설정 완료</t>
    <phoneticPr fontId="3" type="noConversion"/>
  </si>
  <si>
    <t>현재 운용상 적용 불가능, 위험수용으로 양호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</si>
</sst>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ajor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8"/>
      <name val="맑은 고딕"/>
      <family val="3"/>
      <charset val="129"/>
      <scheme val="minor"/>
    </font>
    <font>
      <u/>
      <sz val="8"/>
      <name val="돋움"/>
      <family val="3"/>
      <charset val="129"/>
    </font>
    <font>
      <b/>
      <i/>
      <sz val="10"/>
      <color indexed="9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9" fontId="24" fillId="0" borderId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0" fontId="47" fillId="0" borderId="0"/>
  </cellStyleXfs>
  <cellXfs count="291">
    <xf numFmtId="0" fontId="0" fillId="0" borderId="0" xfId="0">
      <alignment vertical="center"/>
    </xf>
    <xf numFmtId="9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top" wrapText="1"/>
    </xf>
    <xf numFmtId="0" fontId="9" fillId="2" borderId="0" xfId="0" applyFont="1" applyFill="1" applyAlignment="1">
      <alignment vertical="top" wrapText="1"/>
    </xf>
    <xf numFmtId="9" fontId="8" fillId="0" borderId="0" xfId="0" applyNumberFormat="1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left" vertical="center"/>
    </xf>
    <xf numFmtId="0" fontId="19" fillId="7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>
      <alignment vertical="center"/>
    </xf>
    <xf numFmtId="0" fontId="13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4" fillId="0" borderId="0" xfId="0" applyFont="1" applyAlignment="1">
      <alignment horizontal="left" vertical="center" indent="2"/>
    </xf>
    <xf numFmtId="176" fontId="13" fillId="0" borderId="2" xfId="0" applyNumberFormat="1" applyFont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29" fillId="0" borderId="2" xfId="7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76" fontId="29" fillId="0" borderId="2" xfId="7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76" fontId="13" fillId="0" borderId="3" xfId="0" applyNumberFormat="1" applyFont="1" applyBorder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0" fontId="14" fillId="4" borderId="0" xfId="0" applyFont="1" applyFill="1" applyAlignment="1" applyProtection="1">
      <alignment horizontal="center" vertical="center" wrapText="1"/>
      <protection locked="0"/>
    </xf>
    <xf numFmtId="0" fontId="27" fillId="0" borderId="2" xfId="0" applyFont="1" applyBorder="1" applyAlignment="1">
      <alignment horizontal="center" vertical="center" wrapText="1" shrinkToFit="1"/>
    </xf>
    <xf numFmtId="0" fontId="27" fillId="0" borderId="2" xfId="0" applyFont="1" applyBorder="1" applyAlignment="1">
      <alignment horizontal="center" vertical="center" shrinkToFit="1"/>
    </xf>
    <xf numFmtId="0" fontId="1" fillId="6" borderId="0" xfId="8" applyFont="1" applyFill="1" applyAlignment="1">
      <alignment horizontal="center" vertical="center"/>
    </xf>
    <xf numFmtId="0" fontId="1" fillId="6" borderId="0" xfId="8" applyFont="1" applyFill="1">
      <alignment vertical="center"/>
    </xf>
    <xf numFmtId="0" fontId="1" fillId="0" borderId="0" xfId="8" applyFont="1">
      <alignment vertical="center"/>
    </xf>
    <xf numFmtId="0" fontId="1" fillId="0" borderId="0" xfId="8" applyFont="1" applyAlignment="1">
      <alignment horizontal="center" vertical="center"/>
    </xf>
    <xf numFmtId="0" fontId="32" fillId="10" borderId="18" xfId="0" applyFont="1" applyFill="1" applyBorder="1" applyAlignment="1">
      <alignment horizontal="center" vertical="center"/>
    </xf>
    <xf numFmtId="0" fontId="32" fillId="10" borderId="19" xfId="0" applyFont="1" applyFill="1" applyBorder="1" applyAlignment="1">
      <alignment horizontal="center" vertical="center"/>
    </xf>
    <xf numFmtId="0" fontId="33" fillId="10" borderId="22" xfId="0" applyFont="1" applyFill="1" applyBorder="1" applyAlignment="1">
      <alignment horizontal="center" vertical="center" wrapText="1"/>
    </xf>
    <xf numFmtId="0" fontId="33" fillId="10" borderId="28" xfId="0" applyFont="1" applyFill="1" applyBorder="1" applyAlignment="1">
      <alignment horizontal="center" vertical="center" wrapText="1"/>
    </xf>
    <xf numFmtId="176" fontId="18" fillId="0" borderId="29" xfId="0" applyNumberFormat="1" applyFont="1" applyBorder="1" applyAlignment="1">
      <alignment horizontal="center" vertical="center" wrapText="1"/>
    </xf>
    <xf numFmtId="177" fontId="15" fillId="5" borderId="32" xfId="0" applyNumberFormat="1" applyFont="1" applyFill="1" applyBorder="1" applyAlignment="1">
      <alignment horizontal="center" vertical="center" wrapText="1"/>
    </xf>
    <xf numFmtId="176" fontId="10" fillId="5" borderId="33" xfId="0" applyNumberFormat="1" applyFont="1" applyFill="1" applyBorder="1" applyAlignment="1">
      <alignment horizontal="center" vertical="center" wrapText="1"/>
    </xf>
    <xf numFmtId="176" fontId="17" fillId="0" borderId="29" xfId="0" applyNumberFormat="1" applyFont="1" applyBorder="1" applyAlignment="1">
      <alignment horizontal="center" vertical="center" wrapText="1"/>
    </xf>
    <xf numFmtId="0" fontId="14" fillId="5" borderId="35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176" fontId="14" fillId="5" borderId="33" xfId="0" applyNumberFormat="1" applyFont="1" applyFill="1" applyBorder="1" applyAlignment="1">
      <alignment horizontal="center" vertical="center" wrapText="1"/>
    </xf>
    <xf numFmtId="0" fontId="34" fillId="11" borderId="39" xfId="0" applyFont="1" applyFill="1" applyBorder="1" applyAlignment="1">
      <alignment horizontal="center" vertical="center" wrapText="1"/>
    </xf>
    <xf numFmtId="0" fontId="34" fillId="11" borderId="40" xfId="0" applyFont="1" applyFill="1" applyBorder="1" applyAlignment="1">
      <alignment horizontal="center" vertical="center" wrapText="1"/>
    </xf>
    <xf numFmtId="0" fontId="34" fillId="11" borderId="41" xfId="0" applyFont="1" applyFill="1" applyBorder="1" applyAlignment="1">
      <alignment horizontal="center" vertical="center" wrapText="1"/>
    </xf>
    <xf numFmtId="0" fontId="15" fillId="12" borderId="40" xfId="0" applyFont="1" applyFill="1" applyBorder="1" applyAlignment="1">
      <alignment horizontal="center" vertical="center" wrapText="1"/>
    </xf>
    <xf numFmtId="0" fontId="15" fillId="12" borderId="41" xfId="0" applyFont="1" applyFill="1" applyBorder="1" applyAlignment="1">
      <alignment horizontal="center" vertical="center" wrapText="1"/>
    </xf>
    <xf numFmtId="0" fontId="15" fillId="12" borderId="39" xfId="0" applyFont="1" applyFill="1" applyBorder="1" applyAlignment="1">
      <alignment horizontal="center" vertical="center" wrapText="1"/>
    </xf>
    <xf numFmtId="9" fontId="15" fillId="13" borderId="40" xfId="0" applyNumberFormat="1" applyFont="1" applyFill="1" applyBorder="1" applyAlignment="1">
      <alignment horizontal="center" vertical="center" wrapText="1"/>
    </xf>
    <xf numFmtId="9" fontId="15" fillId="13" borderId="1" xfId="0" applyNumberFormat="1" applyFont="1" applyFill="1" applyBorder="1" applyAlignment="1">
      <alignment horizontal="center" vertical="center" wrapText="1"/>
    </xf>
    <xf numFmtId="9" fontId="15" fillId="13" borderId="39" xfId="0" applyNumberFormat="1" applyFont="1" applyFill="1" applyBorder="1" applyAlignment="1">
      <alignment horizontal="center" vertical="center" wrapText="1"/>
    </xf>
    <xf numFmtId="9" fontId="15" fillId="13" borderId="42" xfId="0" applyNumberFormat="1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176" fontId="10" fillId="5" borderId="32" xfId="0" applyNumberFormat="1" applyFont="1" applyFill="1" applyBorder="1" applyAlignment="1">
      <alignment horizontal="center" vertical="center" wrapText="1"/>
    </xf>
    <xf numFmtId="0" fontId="35" fillId="10" borderId="43" xfId="0" applyFont="1" applyFill="1" applyBorder="1" applyAlignment="1">
      <alignment horizontal="center" vertical="center" wrapText="1"/>
    </xf>
    <xf numFmtId="0" fontId="35" fillId="10" borderId="44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9" xfId="0" applyFont="1" applyFill="1" applyBorder="1" applyAlignment="1">
      <alignment horizontal="center" vertical="center" wrapText="1"/>
    </xf>
    <xf numFmtId="0" fontId="35" fillId="10" borderId="40" xfId="0" applyFont="1" applyFill="1" applyBorder="1" applyAlignment="1">
      <alignment horizontal="center" vertical="center" wrapText="1"/>
    </xf>
    <xf numFmtId="0" fontId="35" fillId="10" borderId="42" xfId="0" applyFont="1" applyFill="1" applyBorder="1" applyAlignment="1">
      <alignment horizontal="center" vertical="center" wrapText="1"/>
    </xf>
    <xf numFmtId="176" fontId="29" fillId="0" borderId="29" xfId="7" applyNumberFormat="1" applyFont="1" applyBorder="1" applyAlignment="1">
      <alignment horizontal="center" vertical="center" wrapText="1"/>
    </xf>
    <xf numFmtId="176" fontId="16" fillId="5" borderId="32" xfId="0" applyNumberFormat="1" applyFont="1" applyFill="1" applyBorder="1" applyAlignment="1">
      <alignment horizontal="center" vertical="center" wrapText="1"/>
    </xf>
    <xf numFmtId="176" fontId="16" fillId="5" borderId="33" xfId="0" applyNumberFormat="1" applyFont="1" applyFill="1" applyBorder="1" applyAlignment="1">
      <alignment horizontal="center" vertical="center" wrapText="1"/>
    </xf>
    <xf numFmtId="0" fontId="35" fillId="10" borderId="44" xfId="0" applyFont="1" applyFill="1" applyBorder="1" applyAlignment="1">
      <alignment horizontal="center" vertical="center"/>
    </xf>
    <xf numFmtId="0" fontId="35" fillId="10" borderId="43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5" fillId="10" borderId="40" xfId="0" applyFont="1" applyFill="1" applyBorder="1" applyAlignment="1">
      <alignment horizontal="center" vertical="center"/>
    </xf>
    <xf numFmtId="0" fontId="36" fillId="10" borderId="25" xfId="0" applyFont="1" applyFill="1" applyBorder="1" applyAlignment="1">
      <alignment horizontal="center" vertical="center"/>
    </xf>
    <xf numFmtId="0" fontId="37" fillId="10" borderId="42" xfId="0" applyFont="1" applyFill="1" applyBorder="1" applyAlignment="1">
      <alignment horizontal="center" vertical="center"/>
    </xf>
    <xf numFmtId="0" fontId="13" fillId="0" borderId="51" xfId="0" applyFont="1" applyBorder="1" applyAlignment="1">
      <alignment horizontal="center" vertical="center" wrapText="1"/>
    </xf>
    <xf numFmtId="0" fontId="14" fillId="5" borderId="32" xfId="0" applyFont="1" applyFill="1" applyBorder="1" applyAlignment="1">
      <alignment vertical="center" wrapText="1"/>
    </xf>
    <xf numFmtId="0" fontId="14" fillId="5" borderId="32" xfId="0" applyFont="1" applyFill="1" applyBorder="1">
      <alignment vertical="center"/>
    </xf>
    <xf numFmtId="0" fontId="14" fillId="5" borderId="32" xfId="0" applyFont="1" applyFill="1" applyBorder="1" applyAlignment="1">
      <alignment horizontal="center" vertical="center"/>
    </xf>
    <xf numFmtId="0" fontId="26" fillId="5" borderId="32" xfId="0" applyFont="1" applyFill="1" applyBorder="1" applyAlignment="1">
      <alignment horizontal="center" vertical="center"/>
    </xf>
    <xf numFmtId="0" fontId="26" fillId="5" borderId="33" xfId="0" applyFont="1" applyFill="1" applyBorder="1" applyAlignment="1">
      <alignment horizontal="center" vertical="center"/>
    </xf>
    <xf numFmtId="0" fontId="35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6" fillId="10" borderId="21" xfId="0" applyFont="1" applyFill="1" applyBorder="1" applyAlignment="1">
      <alignment horizontal="center" vertical="center"/>
    </xf>
    <xf numFmtId="0" fontId="36" fillId="10" borderId="38" xfId="0" applyFont="1" applyFill="1" applyBorder="1" applyAlignment="1">
      <alignment horizontal="center" vertical="center"/>
    </xf>
    <xf numFmtId="0" fontId="35" fillId="10" borderId="24" xfId="0" applyFont="1" applyFill="1" applyBorder="1" applyAlignment="1">
      <alignment horizontal="center" vertical="center"/>
    </xf>
    <xf numFmtId="0" fontId="35" fillId="10" borderId="54" xfId="0" applyFont="1" applyFill="1" applyBorder="1" applyAlignment="1">
      <alignment horizontal="center" vertical="center"/>
    </xf>
    <xf numFmtId="0" fontId="35" fillId="10" borderId="56" xfId="0" applyFont="1" applyFill="1" applyBorder="1" applyAlignment="1">
      <alignment horizontal="center" vertical="center"/>
    </xf>
    <xf numFmtId="0" fontId="33" fillId="11" borderId="43" xfId="0" applyFont="1" applyFill="1" applyBorder="1" applyAlignment="1">
      <alignment horizontal="center" vertical="center"/>
    </xf>
    <xf numFmtId="0" fontId="33" fillId="11" borderId="40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3" fillId="11" borderId="39" xfId="0" applyFont="1" applyFill="1" applyBorder="1" applyAlignment="1">
      <alignment horizontal="center" vertical="center"/>
    </xf>
    <xf numFmtId="0" fontId="14" fillId="12" borderId="40" xfId="0" applyFont="1" applyFill="1" applyBorder="1" applyAlignment="1">
      <alignment horizontal="center" vertical="center"/>
    </xf>
    <xf numFmtId="0" fontId="14" fillId="12" borderId="39" xfId="0" applyFont="1" applyFill="1" applyBorder="1" applyAlignment="1">
      <alignment horizontal="center" vertical="center"/>
    </xf>
    <xf numFmtId="0" fontId="14" fillId="12" borderId="42" xfId="0" applyFont="1" applyFill="1" applyBorder="1" applyAlignment="1">
      <alignment horizontal="center" vertical="center"/>
    </xf>
    <xf numFmtId="176" fontId="13" fillId="0" borderId="29" xfId="0" applyNumberFormat="1" applyFont="1" applyBorder="1" applyAlignment="1">
      <alignment horizontal="center" vertical="center"/>
    </xf>
    <xf numFmtId="0" fontId="14" fillId="5" borderId="60" xfId="0" applyFont="1" applyFill="1" applyBorder="1" applyAlignment="1">
      <alignment horizontal="center" vertical="center"/>
    </xf>
    <xf numFmtId="0" fontId="14" fillId="5" borderId="62" xfId="0" applyFont="1" applyFill="1" applyBorder="1" applyAlignment="1">
      <alignment horizontal="center" vertical="center"/>
    </xf>
    <xf numFmtId="0" fontId="14" fillId="5" borderId="63" xfId="0" applyFont="1" applyFill="1" applyBorder="1" applyAlignment="1">
      <alignment horizontal="center" vertical="center"/>
    </xf>
    <xf numFmtId="176" fontId="14" fillId="5" borderId="62" xfId="7" applyNumberFormat="1" applyFont="1" applyFill="1" applyBorder="1" applyAlignment="1">
      <alignment horizontal="center" vertical="center"/>
    </xf>
    <xf numFmtId="176" fontId="14" fillId="5" borderId="63" xfId="7" applyNumberFormat="1" applyFont="1" applyFill="1" applyBorder="1" applyAlignment="1">
      <alignment horizontal="center" vertical="center"/>
    </xf>
    <xf numFmtId="176" fontId="14" fillId="5" borderId="64" xfId="7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4" fontId="39" fillId="6" borderId="0" xfId="8" applyNumberFormat="1" applyFont="1" applyFill="1" applyAlignment="1">
      <alignment horizontal="center" vertical="center"/>
    </xf>
    <xf numFmtId="0" fontId="35" fillId="10" borderId="16" xfId="0" applyFont="1" applyFill="1" applyBorder="1" applyAlignment="1" applyProtection="1">
      <alignment horizontal="center" vertical="center" wrapText="1"/>
      <protection locked="0"/>
    </xf>
    <xf numFmtId="0" fontId="35" fillId="10" borderId="15" xfId="0" applyFont="1" applyFill="1" applyBorder="1" applyAlignment="1" applyProtection="1">
      <alignment horizontal="center" vertical="center" wrapText="1"/>
      <protection locked="0"/>
    </xf>
    <xf numFmtId="0" fontId="35" fillId="10" borderId="50" xfId="0" applyFont="1" applyFill="1" applyBorder="1" applyAlignment="1" applyProtection="1">
      <alignment horizontal="center" vertical="center" wrapText="1"/>
      <protection locked="0"/>
    </xf>
    <xf numFmtId="0" fontId="35" fillId="10" borderId="80" xfId="0" applyFont="1" applyFill="1" applyBorder="1" applyAlignment="1" applyProtection="1">
      <alignment horizontal="center" vertical="center" wrapText="1"/>
      <protection locked="0"/>
    </xf>
    <xf numFmtId="0" fontId="35" fillId="10" borderId="83" xfId="0" applyFont="1" applyFill="1" applyBorder="1" applyAlignment="1">
      <alignment horizontal="center" vertical="center"/>
    </xf>
    <xf numFmtId="0" fontId="35" fillId="10" borderId="0" xfId="0" applyFont="1" applyFill="1" applyAlignment="1">
      <alignment horizontal="center" vertical="center"/>
    </xf>
    <xf numFmtId="0" fontId="35" fillId="10" borderId="84" xfId="0" applyFont="1" applyFill="1" applyBorder="1" applyAlignment="1">
      <alignment horizontal="center" vertical="center"/>
    </xf>
    <xf numFmtId="0" fontId="35" fillId="10" borderId="86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4" fillId="4" borderId="69" xfId="0" applyFont="1" applyFill="1" applyBorder="1" applyAlignment="1" applyProtection="1">
      <alignment horizontal="center" vertical="center" wrapText="1"/>
      <protection locked="0"/>
    </xf>
    <xf numFmtId="0" fontId="14" fillId="4" borderId="6" xfId="0" applyFont="1" applyFill="1" applyBorder="1" applyAlignment="1" applyProtection="1">
      <alignment horizontal="center" vertical="center" wrapText="1"/>
      <protection locked="0"/>
    </xf>
    <xf numFmtId="0" fontId="14" fillId="4" borderId="6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41" fillId="0" borderId="2" xfId="9" applyFont="1" applyBorder="1" applyAlignment="1">
      <alignment horizontal="center" vertical="center"/>
    </xf>
    <xf numFmtId="0" fontId="41" fillId="0" borderId="2" xfId="9" applyFont="1" applyBorder="1" applyAlignment="1">
      <alignment vertical="center" wrapText="1"/>
    </xf>
    <xf numFmtId="0" fontId="36" fillId="10" borderId="2" xfId="0" applyFont="1" applyFill="1" applyBorder="1" applyAlignment="1">
      <alignment horizontal="center" vertical="center"/>
    </xf>
    <xf numFmtId="0" fontId="40" fillId="10" borderId="2" xfId="0" applyFont="1" applyFill="1" applyBorder="1" applyAlignment="1">
      <alignment horizontal="center" vertical="center"/>
    </xf>
    <xf numFmtId="0" fontId="35" fillId="10" borderId="87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27" fillId="0" borderId="5" xfId="0" applyFont="1" applyBorder="1">
      <alignment vertical="center"/>
    </xf>
    <xf numFmtId="0" fontId="32" fillId="10" borderId="85" xfId="0" applyFont="1" applyFill="1" applyBorder="1" applyAlignment="1">
      <alignment horizontal="center" vertical="center" wrapText="1"/>
    </xf>
    <xf numFmtId="0" fontId="32" fillId="10" borderId="84" xfId="0" applyFont="1" applyFill="1" applyBorder="1" applyAlignment="1">
      <alignment horizontal="center" vertical="center" wrapText="1"/>
    </xf>
    <xf numFmtId="0" fontId="32" fillId="10" borderId="8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45" fillId="2" borderId="0" xfId="0" applyFont="1" applyFill="1" applyAlignment="1">
      <alignment vertical="top" wrapText="1"/>
    </xf>
    <xf numFmtId="0" fontId="46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27" fillId="0" borderId="5" xfId="0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1" fillId="6" borderId="0" xfId="8" applyFont="1" applyFill="1" applyAlignment="1">
      <alignment horizontal="center" vertical="center"/>
    </xf>
    <xf numFmtId="0" fontId="1" fillId="0" borderId="0" xfId="8" applyFont="1">
      <alignment vertical="center"/>
    </xf>
    <xf numFmtId="0" fontId="32" fillId="10" borderId="50" xfId="0" applyFont="1" applyFill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32" fillId="10" borderId="13" xfId="0" applyFont="1" applyFill="1" applyBorder="1" applyAlignment="1">
      <alignment horizontal="center" vertical="center"/>
    </xf>
    <xf numFmtId="0" fontId="0" fillId="0" borderId="68" xfId="0" applyBorder="1" applyAlignment="1"/>
    <xf numFmtId="0" fontId="32" fillId="10" borderId="14" xfId="0" applyFont="1" applyFill="1" applyBorder="1" applyAlignment="1">
      <alignment horizontal="center" vertical="center"/>
    </xf>
    <xf numFmtId="0" fontId="0" fillId="0" borderId="44" xfId="0" applyBorder="1" applyAlignment="1"/>
    <xf numFmtId="0" fontId="23" fillId="7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19" fillId="7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32" fillId="10" borderId="89" xfId="0" applyFont="1" applyFill="1" applyBorder="1" applyAlignment="1">
      <alignment horizontal="center" vertical="center" wrapText="1"/>
    </xf>
    <xf numFmtId="0" fontId="32" fillId="10" borderId="90" xfId="0" applyFont="1" applyFill="1" applyBorder="1" applyAlignment="1">
      <alignment horizontal="center" vertical="center" wrapText="1"/>
    </xf>
    <xf numFmtId="0" fontId="32" fillId="10" borderId="70" xfId="0" applyFont="1" applyFill="1" applyBorder="1" applyAlignment="1">
      <alignment horizontal="center" vertical="center" wrapText="1"/>
    </xf>
    <xf numFmtId="0" fontId="38" fillId="0" borderId="20" xfId="0" applyFont="1" applyBorder="1" applyAlignment="1"/>
    <xf numFmtId="0" fontId="38" fillId="0" borderId="21" xfId="0" applyFont="1" applyBorder="1" applyAlignment="1"/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33" fillId="10" borderId="25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0" fillId="0" borderId="21" xfId="0" applyBorder="1" applyAlignment="1"/>
    <xf numFmtId="0" fontId="33" fillId="10" borderId="71" xfId="0" applyFont="1" applyFill="1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0" fillId="0" borderId="23" xfId="0" applyBorder="1" applyAlignment="1"/>
    <xf numFmtId="0" fontId="0" fillId="0" borderId="81" xfId="0" applyBorder="1" applyAlignment="1"/>
    <xf numFmtId="0" fontId="0" fillId="0" borderId="0" xfId="0" applyAlignment="1"/>
    <xf numFmtId="0" fontId="10" fillId="0" borderId="34" xfId="0" applyFont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 wrapText="1"/>
    </xf>
    <xf numFmtId="0" fontId="0" fillId="0" borderId="30" xfId="0" applyBorder="1" applyAlignment="1"/>
    <xf numFmtId="0" fontId="0" fillId="0" borderId="31" xfId="0" applyBorder="1" applyAlignment="1"/>
    <xf numFmtId="0" fontId="13" fillId="0" borderId="2" xfId="6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4" fillId="5" borderId="35" xfId="0" applyFont="1" applyFill="1" applyBorder="1" applyAlignment="1">
      <alignment horizontal="center" vertical="center" wrapText="1"/>
    </xf>
    <xf numFmtId="0" fontId="13" fillId="0" borderId="4" xfId="6" applyFont="1" applyBorder="1" applyAlignment="1">
      <alignment horizontal="center" vertical="center"/>
    </xf>
    <xf numFmtId="0" fontId="15" fillId="13" borderId="38" xfId="0" applyFont="1" applyFill="1" applyBorder="1" applyAlignment="1">
      <alignment horizontal="center" vertical="center" wrapText="1"/>
    </xf>
    <xf numFmtId="0" fontId="0" fillId="0" borderId="38" xfId="0" applyBorder="1" applyAlignment="1"/>
    <xf numFmtId="0" fontId="35" fillId="10" borderId="49" xfId="0" applyFont="1" applyFill="1" applyBorder="1" applyAlignment="1">
      <alignment horizontal="center" vertical="center" wrapText="1"/>
    </xf>
    <xf numFmtId="0" fontId="0" fillId="0" borderId="52" xfId="0" applyBorder="1" applyAlignment="1"/>
    <xf numFmtId="0" fontId="34" fillId="11" borderId="36" xfId="0" applyFont="1" applyFill="1" applyBorder="1" applyAlignment="1">
      <alignment horizontal="center" vertical="center" wrapText="1"/>
    </xf>
    <xf numFmtId="0" fontId="35" fillId="10" borderId="47" xfId="0" applyFont="1" applyFill="1" applyBorder="1" applyAlignment="1">
      <alignment horizontal="center" vertical="center" wrapText="1"/>
    </xf>
    <xf numFmtId="0" fontId="0" fillId="0" borderId="53" xfId="0" applyBorder="1" applyAlignment="1"/>
    <xf numFmtId="0" fontId="15" fillId="12" borderId="25" xfId="0" applyFont="1" applyFill="1" applyBorder="1" applyAlignment="1">
      <alignment horizontal="center" vertical="center" wrapText="1"/>
    </xf>
    <xf numFmtId="0" fontId="35" fillId="10" borderId="15" xfId="0" applyFont="1" applyFill="1" applyBorder="1" applyAlignment="1">
      <alignment horizontal="center" vertical="center" wrapText="1"/>
    </xf>
    <xf numFmtId="0" fontId="35" fillId="10" borderId="45" xfId="0" applyFont="1" applyFill="1" applyBorder="1" applyAlignment="1">
      <alignment horizontal="center" vertical="center" wrapText="1"/>
    </xf>
    <xf numFmtId="0" fontId="0" fillId="0" borderId="59" xfId="0" applyBorder="1" applyAlignment="1"/>
    <xf numFmtId="0" fontId="0" fillId="0" borderId="1" xfId="0" applyBorder="1" applyAlignment="1"/>
    <xf numFmtId="0" fontId="0" fillId="0" borderId="10" xfId="0" applyBorder="1" applyAlignment="1"/>
    <xf numFmtId="0" fontId="43" fillId="0" borderId="2" xfId="6" applyFont="1" applyBorder="1" applyAlignment="1">
      <alignment horizontal="center" vertical="center"/>
    </xf>
    <xf numFmtId="0" fontId="43" fillId="0" borderId="2" xfId="0" applyFont="1" applyBorder="1" applyAlignment="1">
      <alignment horizontal="center"/>
    </xf>
    <xf numFmtId="0" fontId="44" fillId="0" borderId="2" xfId="6" applyFont="1" applyBorder="1" applyAlignment="1">
      <alignment horizontal="center" vertical="center"/>
    </xf>
    <xf numFmtId="0" fontId="35" fillId="10" borderId="15" xfId="0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35" fillId="10" borderId="45" xfId="0" applyFont="1" applyFill="1" applyBorder="1" applyAlignment="1">
      <alignment horizontal="center" vertical="center"/>
    </xf>
    <xf numFmtId="0" fontId="0" fillId="0" borderId="82" xfId="0" applyBorder="1" applyAlignment="1"/>
    <xf numFmtId="0" fontId="35" fillId="10" borderId="37" xfId="0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35" fillId="10" borderId="67" xfId="0" applyFont="1" applyFill="1" applyBorder="1" applyAlignment="1">
      <alignment horizontal="center" vertical="center"/>
    </xf>
    <xf numFmtId="0" fontId="0" fillId="0" borderId="9" xfId="0" applyBorder="1" applyAlignment="1"/>
    <xf numFmtId="0" fontId="35" fillId="10" borderId="65" xfId="0" applyFont="1" applyFill="1" applyBorder="1" applyAlignment="1">
      <alignment horizontal="center" vertical="center"/>
    </xf>
    <xf numFmtId="0" fontId="0" fillId="0" borderId="43" xfId="0" applyBorder="1" applyAlignment="1"/>
    <xf numFmtId="0" fontId="35" fillId="10" borderId="58" xfId="0" applyFont="1" applyFill="1" applyBorder="1" applyAlignment="1">
      <alignment horizontal="center" vertical="center"/>
    </xf>
    <xf numFmtId="0" fontId="0" fillId="0" borderId="78" xfId="0" applyBorder="1" applyAlignment="1"/>
    <xf numFmtId="0" fontId="14" fillId="12" borderId="38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wrapText="1"/>
    </xf>
    <xf numFmtId="0" fontId="35" fillId="10" borderId="48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0" fillId="0" borderId="66" xfId="0" applyBorder="1" applyAlignment="1"/>
    <xf numFmtId="0" fontId="14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35" fillId="10" borderId="55" xfId="0" applyFont="1" applyFill="1" applyBorder="1" applyAlignment="1">
      <alignment horizontal="center" vertical="center"/>
    </xf>
    <xf numFmtId="0" fontId="0" fillId="0" borderId="72" xfId="0" applyBorder="1" applyAlignment="1"/>
    <xf numFmtId="0" fontId="14" fillId="0" borderId="32" xfId="0" applyFont="1" applyBorder="1" applyAlignment="1">
      <alignment horizontal="center" vertical="center" wrapText="1"/>
    </xf>
    <xf numFmtId="0" fontId="35" fillId="10" borderId="57" xfId="0" applyFont="1" applyFill="1" applyBorder="1" applyAlignment="1">
      <alignment horizontal="center" vertical="center"/>
    </xf>
    <xf numFmtId="0" fontId="0" fillId="0" borderId="73" xfId="0" applyBorder="1" applyAlignment="1"/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74" xfId="0" applyBorder="1" applyAlignment="1"/>
    <xf numFmtId="0" fontId="0" fillId="0" borderId="75" xfId="0" applyBorder="1" applyAlignment="1"/>
    <xf numFmtId="0" fontId="14" fillId="5" borderId="76" xfId="0" applyFont="1" applyFill="1" applyBorder="1" applyAlignment="1">
      <alignment horizontal="center" vertical="center"/>
    </xf>
    <xf numFmtId="0" fontId="0" fillId="0" borderId="60" xfId="0" applyBorder="1" applyAlignment="1"/>
    <xf numFmtId="0" fontId="0" fillId="0" borderId="61" xfId="0" applyBorder="1" applyAlignment="1"/>
    <xf numFmtId="0" fontId="13" fillId="0" borderId="7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35" fillId="10" borderId="77" xfId="0" applyFont="1" applyFill="1" applyBorder="1" applyAlignment="1">
      <alignment horizontal="center" vertical="center"/>
    </xf>
    <xf numFmtId="0" fontId="35" fillId="11" borderId="37" xfId="0" applyFont="1" applyFill="1" applyBorder="1" applyAlignment="1">
      <alignment horizontal="center" vertical="center"/>
    </xf>
    <xf numFmtId="0" fontId="35" fillId="10" borderId="79" xfId="0" applyFont="1" applyFill="1" applyBorder="1" applyAlignment="1" applyProtection="1">
      <alignment horizontal="center" vertical="center" wrapText="1"/>
      <protection locked="0"/>
    </xf>
    <xf numFmtId="0" fontId="0" fillId="0" borderId="52" xfId="0" applyBorder="1" applyAlignment="1" applyProtection="1">
      <protection locked="0"/>
    </xf>
    <xf numFmtId="0" fontId="35" fillId="10" borderId="16" xfId="0" applyFont="1" applyFill="1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protection locked="0"/>
    </xf>
    <xf numFmtId="0" fontId="35" fillId="10" borderId="15" xfId="0" applyFont="1" applyFill="1" applyBorder="1" applyAlignment="1" applyProtection="1">
      <alignment horizontal="center" vertical="center" wrapText="1"/>
      <protection locked="0"/>
    </xf>
    <xf numFmtId="0" fontId="35" fillId="10" borderId="52" xfId="0" applyFont="1" applyFill="1" applyBorder="1" applyAlignment="1" applyProtection="1">
      <alignment horizontal="center" vertical="center" wrapText="1"/>
      <protection locked="0"/>
    </xf>
    <xf numFmtId="0" fontId="14" fillId="7" borderId="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/>
  </cellXfs>
  <cellStyles count="11">
    <cellStyle name="Normal" xfId="10"/>
    <cellStyle name="백분율" xfId="7" builtinId="5"/>
    <cellStyle name="표준" xfId="0" builtinId="0"/>
    <cellStyle name="표준 2" xfId="1"/>
    <cellStyle name="표준 2 2" xfId="4"/>
    <cellStyle name="표준 3" xfId="3"/>
    <cellStyle name="표준 4" xfId="5"/>
    <cellStyle name="표준 4 2" xfId="8"/>
    <cellStyle name="표준 5" xfId="2"/>
    <cellStyle name="표준_정보통신부_취약점진단결과_우체국금융_서버_0708_v0.7" xfId="9"/>
    <cellStyle name="하이퍼링크" xfId="6" builtinId="8"/>
  </cellStyles>
  <dxfs count="40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9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800" b="1" i="0" baseline="0">
                <a:effectLst/>
              </a:rPr>
              <a:t>PC</a:t>
            </a:r>
            <a:r>
              <a:rPr lang="ko-KR" altLang="ko-KR" sz="1800" b="1" i="0" baseline="0">
                <a:effectLst/>
              </a:rPr>
              <a:t> 보안수준</a:t>
            </a:r>
            <a:endParaRPr lang="ko-KR" altLang="ko-KR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6-4933-A64A-3205DDB820A1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6-4933-A64A-3205DDB820A1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6-4933-A64A-3205DDB820A1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6-4933-A64A-3205DDB820A1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6-4933-A64A-3205DDB820A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006-4933-A64A-3205DDB820A1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006-4933-A64A-3205DDB820A1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006-4933-A64A-3205DDB820A1}"/>
              </c:ext>
            </c:extLst>
          </c:dPt>
          <c:dLbls>
            <c:dLbl>
              <c:idx val="4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006-4933-A64A-3205DDB820A1}"/>
                </c:ext>
              </c:extLst>
            </c:dLbl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006-4933-A64A-3205DDB820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통계'!$A$6:$D$10</c:f>
              <c:strCache>
                <c:ptCount val="5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  <c:pt idx="4">
                  <c:v>계</c:v>
                </c:pt>
              </c:strCache>
            </c:strRef>
          </c:cat>
          <c:val>
            <c:numRef>
              <c:f>'취약점 진단 통계'!$L$6:$L$10</c:f>
              <c:numCache>
                <c:formatCode>0.0%</c:formatCode>
                <c:ptCount val="5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006-4933-A64A-3205DDB8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006368"/>
        <c:axId val="173008544"/>
      </c:barChart>
      <c:catAx>
        <c:axId val="17300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73008544"/>
        <c:crosses val="autoZero"/>
        <c:auto val="1"/>
        <c:lblAlgn val="ctr"/>
        <c:lblOffset val="100"/>
        <c:noMultiLvlLbl val="0"/>
      </c:catAx>
      <c:valAx>
        <c:axId val="17300854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73006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PC</a:t>
            </a:r>
            <a:r>
              <a:rPr lang="ko-KR" b="1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5B-4CB1-809C-A665063FD7AB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5B-4CB1-809C-A665063FD7AB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5B-4CB1-809C-A665063FD7AB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5B-4CB1-809C-A665063FD7AB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5B-4CB1-809C-A665063FD7AB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5B-4CB1-809C-A665063FD7AB}"/>
              </c:ext>
            </c:extLst>
          </c:dPt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A66B-4D92-8F8B-8879FB65718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(이행)'!$A$6:$D$10</c:f>
              <c:strCache>
                <c:ptCount val="5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  <c:pt idx="4">
                  <c:v>계</c:v>
                </c:pt>
              </c:strCache>
            </c:strRef>
          </c:cat>
          <c:val>
            <c:numRef>
              <c:f>'취약점 진단 통계 (이행)'!$T$6:$T$10</c:f>
              <c:numCache>
                <c:formatCode>0.0%</c:formatCode>
                <c:ptCount val="5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5B-4CB1-809C-A665063FD7AB}"/>
            </c:ext>
          </c:extLst>
        </c:ser>
        <c:ser>
          <c:idx val="1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A66B-4D92-8F8B-8879FB65718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(이행)'!$A$6:$D$10</c:f>
              <c:strCache>
                <c:ptCount val="5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  <c:pt idx="4">
                  <c:v>계</c:v>
                </c:pt>
              </c:strCache>
            </c:strRef>
          </c:cat>
          <c:val>
            <c:numRef>
              <c:f>'취약점 진단 통계 (이행)'!$U$6:$U$10</c:f>
              <c:numCache>
                <c:formatCode>0.0%</c:formatCode>
                <c:ptCount val="5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5B-4CB1-809C-A665063FD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002016"/>
        <c:axId val="172995488"/>
      </c:barChart>
      <c:catAx>
        <c:axId val="17300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95488"/>
        <c:crosses val="autoZero"/>
        <c:auto val="1"/>
        <c:lblAlgn val="ctr"/>
        <c:lblOffset val="100"/>
        <c:noMultiLvlLbl val="0"/>
      </c:catAx>
      <c:valAx>
        <c:axId val="1729954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2016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HQ_DEV01!$D$10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HQ_DEV01!$H$12:$H$15</c:f>
              <c:numCache>
                <c:formatCode>0.0%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C6-9948-D330A3CFE751}"/>
            </c:ext>
          </c:extLst>
        </c:ser>
        <c:ser>
          <c:idx val="1"/>
          <c:order val="1"/>
          <c:tx>
            <c:strRef>
              <c:f>HQ_DEV01!$J$10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HQ_DEV01!$O$12:$O$15</c:f>
              <c:numCache>
                <c:formatCode>0.0%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C6-9948-D330A3CF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007456"/>
        <c:axId val="173008000"/>
      </c:barChart>
      <c:catAx>
        <c:axId val="1730074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8000"/>
        <c:crosses val="autoZero"/>
        <c:auto val="1"/>
        <c:lblAlgn val="ctr"/>
        <c:lblOffset val="100"/>
        <c:noMultiLvlLbl val="0"/>
      </c:catAx>
      <c:valAx>
        <c:axId val="17300800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74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82551</xdr:colOff>
      <xdr:row>4</xdr:row>
      <xdr:rowOff>228601</xdr:rowOff>
    </xdr:from>
    <xdr:to>
      <xdr:col>9</xdr:col>
      <xdr:colOff>831851</xdr:colOff>
      <xdr:row>9</xdr:row>
      <xdr:rowOff>178705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0137" y="1752601"/>
          <a:ext cx="7846785" cy="1855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PC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709386</xdr:colOff>
      <xdr:row>4</xdr:row>
      <xdr:rowOff>187778</xdr:rowOff>
    </xdr:from>
    <xdr:to>
      <xdr:col>9</xdr:col>
      <xdr:colOff>2729</xdr:colOff>
      <xdr:row>4</xdr:row>
      <xdr:rowOff>224685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986972" y="1711778"/>
          <a:ext cx="6390828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746579</xdr:colOff>
      <xdr:row>9</xdr:row>
      <xdr:rowOff>177799</xdr:rowOff>
    </xdr:from>
    <xdr:to>
      <xdr:col>9</xdr:col>
      <xdr:colOff>42643</xdr:colOff>
      <xdr:row>9</xdr:row>
      <xdr:rowOff>214706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24165" y="3606799"/>
          <a:ext cx="6393549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10</xdr:row>
      <xdr:rowOff>161925</xdr:rowOff>
    </xdr:from>
    <xdr:to>
      <xdr:col>11</xdr:col>
      <xdr:colOff>409575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10</xdr:row>
      <xdr:rowOff>183697</xdr:rowOff>
    </xdr:from>
    <xdr:to>
      <xdr:col>20</xdr:col>
      <xdr:colOff>619124</xdr:colOff>
      <xdr:row>34</xdr:row>
      <xdr:rowOff>88447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tabSelected="1" view="pageBreakPreview" zoomScale="85" zoomScaleNormal="70" zoomScaleSheetLayoutView="85" workbookViewId="0"/>
  </sheetViews>
  <sheetFormatPr defaultColWidth="8.77734375" defaultRowHeight="16.5"/>
  <cols>
    <col min="1" max="1" width="3.6640625" style="69" customWidth="1"/>
    <col min="2" max="5" width="11.6640625" style="69" customWidth="1"/>
    <col min="6" max="6" width="12.44140625" style="69" bestFit="1" customWidth="1"/>
    <col min="7" max="10" width="11.6640625" style="69" customWidth="1"/>
    <col min="11" max="11" width="3.6640625" style="68" customWidth="1"/>
    <col min="12" max="12" width="8.77734375" style="68" customWidth="1"/>
    <col min="13" max="16384" width="8.77734375" style="68"/>
  </cols>
  <sheetData>
    <row r="1" spans="1:11" ht="30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ht="30" customHeight="1">
      <c r="A2" s="66"/>
      <c r="B2" s="176"/>
      <c r="C2" s="177"/>
      <c r="D2" s="177"/>
      <c r="E2" s="66"/>
      <c r="F2" s="66"/>
      <c r="G2" s="66"/>
      <c r="H2" s="66"/>
      <c r="I2" s="66"/>
      <c r="J2" s="66"/>
      <c r="K2" s="66"/>
    </row>
    <row r="3" spans="1:11" ht="30" customHeight="1">
      <c r="A3" s="66"/>
      <c r="B3" s="177"/>
      <c r="C3" s="177"/>
      <c r="D3" s="177"/>
      <c r="E3" s="66"/>
      <c r="F3" s="66"/>
      <c r="G3" s="66"/>
      <c r="H3" s="66"/>
      <c r="I3" s="66"/>
      <c r="J3" s="66"/>
      <c r="K3" s="66"/>
    </row>
    <row r="4" spans="1:11" ht="30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11" ht="30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1" ht="30" customHeight="1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</row>
    <row r="7" spans="1:11" ht="30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</row>
    <row r="8" spans="1:11" ht="30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</row>
    <row r="9" spans="1:11" ht="30" customHeight="1">
      <c r="A9" s="66"/>
      <c r="B9" s="66"/>
      <c r="C9" s="66"/>
      <c r="D9" s="66"/>
      <c r="E9" s="66"/>
      <c r="F9" s="66"/>
      <c r="G9" s="66"/>
      <c r="H9" s="66"/>
      <c r="I9" s="66"/>
      <c r="J9" s="66"/>
      <c r="K9" s="67"/>
    </row>
    <row r="10" spans="1:11" ht="30" customHeight="1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7"/>
    </row>
    <row r="11" spans="1:11" ht="30" customHeight="1">
      <c r="A11" s="66"/>
      <c r="B11" s="66"/>
      <c r="C11" s="66"/>
      <c r="D11" s="66"/>
      <c r="E11" s="66"/>
      <c r="F11" s="140">
        <v>46219</v>
      </c>
      <c r="G11" s="66"/>
      <c r="H11" s="66"/>
      <c r="I11" s="66"/>
      <c r="J11" s="66"/>
      <c r="K11" s="67"/>
    </row>
    <row r="12" spans="1:11" ht="30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7"/>
    </row>
    <row r="13" spans="1:11" ht="30" customHeight="1">
      <c r="A13" s="66"/>
      <c r="B13" s="66"/>
      <c r="C13" s="66"/>
      <c r="D13" s="66"/>
      <c r="E13" s="66"/>
      <c r="F13" s="66"/>
      <c r="G13" s="66"/>
      <c r="H13"/>
      <c r="I13" s="66"/>
      <c r="J13" s="66"/>
      <c r="K13" s="67"/>
    </row>
    <row r="14" spans="1:11" ht="30" customHeight="1">
      <c r="A14" s="178"/>
      <c r="B14" s="177"/>
      <c r="C14" s="177"/>
      <c r="D14" s="177"/>
      <c r="E14" s="177"/>
      <c r="F14" s="177"/>
      <c r="G14" s="177"/>
      <c r="H14" s="177"/>
      <c r="I14" s="177"/>
      <c r="J14" s="177"/>
      <c r="K14" s="179"/>
    </row>
    <row r="15" spans="1:11" ht="30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6.350000000000001" customHeight="1"/>
  </sheetData>
  <mergeCells count="2">
    <mergeCell ref="B2:D3"/>
    <mergeCell ref="A14:K14"/>
  </mergeCells>
  <phoneticPr fontId="3" type="noConversion"/>
  <printOptions horizontalCentered="1"/>
  <pageMargins left="0.19685039370078741" right="0.19685039370078741" top="0.59055118110236227" bottom="0.19685039370078741" header="0.31496062992125978" footer="0.314960629921259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23"/>
  <sheetViews>
    <sheetView showGridLines="0" view="pageBreakPreview" zoomScale="85" zoomScaleNormal="100" zoomScaleSheetLayoutView="85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6" width="6.109375" style="20" hidden="1" customWidth="1"/>
    <col min="7" max="7" width="10.5546875" style="20" customWidth="1"/>
    <col min="8" max="8" width="8" style="20" bestFit="1" customWidth="1"/>
    <col min="9" max="9" width="23" style="20" bestFit="1" customWidth="1"/>
    <col min="10" max="10" width="6.109375" style="17" bestFit="1" customWidth="1"/>
    <col min="11" max="11" width="11.6640625" style="17" bestFit="1" customWidth="1"/>
    <col min="12" max="13" width="6.44140625" style="17" customWidth="1"/>
    <col min="14" max="17" width="4.77734375" style="17" customWidth="1"/>
    <col min="18" max="18" width="8.44140625" style="20" customWidth="1"/>
    <col min="19" max="19" width="8.77734375" style="17" customWidth="1"/>
    <col min="20" max="16384" width="8.77734375" style="17"/>
  </cols>
  <sheetData>
    <row r="1" spans="1:18" ht="17.100000000000001" customHeight="1">
      <c r="A1" s="16" t="s">
        <v>167</v>
      </c>
    </row>
    <row r="2" spans="1:18" ht="14.1" customHeight="1" thickBot="1"/>
    <row r="3" spans="1:18" ht="11.25" customHeight="1">
      <c r="A3" s="183" t="s">
        <v>0</v>
      </c>
      <c r="B3" s="185" t="s">
        <v>1</v>
      </c>
      <c r="C3" s="185" t="s">
        <v>2</v>
      </c>
      <c r="D3" s="185" t="s">
        <v>3</v>
      </c>
      <c r="E3" s="185" t="s">
        <v>4</v>
      </c>
      <c r="F3" s="185" t="s">
        <v>5</v>
      </c>
      <c r="G3" s="185" t="s">
        <v>6</v>
      </c>
      <c r="H3" s="185" t="s">
        <v>7</v>
      </c>
      <c r="I3" s="185" t="s">
        <v>8</v>
      </c>
      <c r="J3" s="185" t="s">
        <v>9</v>
      </c>
      <c r="K3" s="185" t="s">
        <v>10</v>
      </c>
      <c r="L3" s="185" t="s">
        <v>11</v>
      </c>
      <c r="M3" s="185" t="s">
        <v>12</v>
      </c>
      <c r="N3" s="180" t="s">
        <v>13</v>
      </c>
      <c r="O3" s="181"/>
      <c r="P3" s="181"/>
      <c r="Q3" s="182"/>
      <c r="R3" s="27"/>
    </row>
    <row r="4" spans="1:18" ht="14.1" customHeight="1" thickBot="1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70" t="s">
        <v>14</v>
      </c>
      <c r="O4" s="70" t="s">
        <v>15</v>
      </c>
      <c r="P4" s="70" t="s">
        <v>16</v>
      </c>
      <c r="Q4" s="71" t="s">
        <v>17</v>
      </c>
      <c r="R4" s="27" t="s">
        <v>18</v>
      </c>
    </row>
    <row r="5" spans="1:18" ht="14.1" customHeight="1">
      <c r="A5" s="32">
        <v>1</v>
      </c>
      <c r="B5" s="64" t="s">
        <v>216</v>
      </c>
      <c r="C5" s="31" t="s">
        <v>237</v>
      </c>
      <c r="D5" s="31"/>
      <c r="E5" s="31"/>
      <c r="F5" s="31"/>
      <c r="G5" s="31" t="s">
        <v>233</v>
      </c>
      <c r="H5" s="31" t="s">
        <v>234</v>
      </c>
      <c r="I5" s="31" t="s">
        <v>165</v>
      </c>
      <c r="J5" s="64" t="s">
        <v>168</v>
      </c>
      <c r="K5" s="64" t="s">
        <v>255</v>
      </c>
      <c r="L5" s="64" t="s">
        <v>170</v>
      </c>
      <c r="M5" s="31"/>
      <c r="N5" s="65">
        <v>3</v>
      </c>
      <c r="O5" s="65">
        <v>3</v>
      </c>
      <c r="P5" s="65">
        <v>3</v>
      </c>
      <c r="Q5" s="159" t="str">
        <f t="shared" ref="Q5" si="0">IF(R5&gt;=7,"H",IF(R5&gt;=5,"M","L"))</f>
        <v>H</v>
      </c>
      <c r="R5" s="27">
        <f t="shared" ref="R5" si="1">SUM(N5:P5)</f>
        <v>9</v>
      </c>
    </row>
    <row r="6" spans="1:18" ht="13.5" customHeight="1">
      <c r="A6" s="32">
        <v>2</v>
      </c>
      <c r="B6" s="64" t="s">
        <v>217</v>
      </c>
      <c r="C6" s="31" t="s">
        <v>238</v>
      </c>
      <c r="D6" s="31"/>
      <c r="E6" s="31"/>
      <c r="F6" s="31"/>
      <c r="G6" s="31" t="s">
        <v>233</v>
      </c>
      <c r="H6" s="31" t="s">
        <v>234</v>
      </c>
      <c r="I6" s="31" t="s">
        <v>164</v>
      </c>
      <c r="J6" s="64" t="s">
        <v>168</v>
      </c>
      <c r="K6" s="64" t="s">
        <v>255</v>
      </c>
      <c r="L6" s="64" t="s">
        <v>170</v>
      </c>
      <c r="M6" s="31"/>
      <c r="N6" s="65">
        <v>3</v>
      </c>
      <c r="O6" s="65">
        <v>3</v>
      </c>
      <c r="P6" s="65">
        <v>3</v>
      </c>
      <c r="Q6" s="159" t="str">
        <f t="shared" ref="Q6" si="2">IF(R6&gt;=7,"H",IF(R6&gt;=5,"M","L"))</f>
        <v>H</v>
      </c>
      <c r="R6" s="27">
        <f t="shared" ref="R6" si="3">SUM(N6:P6)</f>
        <v>9</v>
      </c>
    </row>
    <row r="7" spans="1:18" ht="13.5" customHeight="1">
      <c r="A7" s="32">
        <v>3</v>
      </c>
      <c r="B7" s="64" t="s">
        <v>218</v>
      </c>
      <c r="C7" s="31" t="s">
        <v>239</v>
      </c>
      <c r="D7" s="31"/>
      <c r="E7" s="31"/>
      <c r="F7" s="31"/>
      <c r="G7" s="31" t="s">
        <v>233</v>
      </c>
      <c r="H7" s="31" t="s">
        <v>234</v>
      </c>
      <c r="I7" s="31" t="s">
        <v>164</v>
      </c>
      <c r="J7" s="64" t="s">
        <v>168</v>
      </c>
      <c r="K7" s="64" t="s">
        <v>255</v>
      </c>
      <c r="L7" s="64" t="s">
        <v>170</v>
      </c>
      <c r="M7" s="31"/>
      <c r="N7" s="65">
        <v>3</v>
      </c>
      <c r="O7" s="65">
        <v>3</v>
      </c>
      <c r="P7" s="65">
        <v>3</v>
      </c>
      <c r="Q7" s="159" t="str">
        <f>IF(R7&gt;=7,"H",IF(R7&gt;=5,"M","L"))</f>
        <v>H</v>
      </c>
      <c r="R7" s="27">
        <f>SUM(N7:P7)</f>
        <v>9</v>
      </c>
    </row>
    <row r="8" spans="1:18" ht="13.5" customHeight="1">
      <c r="A8" s="32">
        <v>4</v>
      </c>
      <c r="B8" s="64" t="s">
        <v>219</v>
      </c>
      <c r="C8" s="31" t="s">
        <v>240</v>
      </c>
      <c r="D8" s="31"/>
      <c r="E8" s="31"/>
      <c r="F8" s="31"/>
      <c r="G8" s="31" t="s">
        <v>233</v>
      </c>
      <c r="H8" s="31" t="s">
        <v>234</v>
      </c>
      <c r="I8" s="31" t="s">
        <v>164</v>
      </c>
      <c r="J8" s="64" t="s">
        <v>168</v>
      </c>
      <c r="K8" s="64" t="s">
        <v>255</v>
      </c>
      <c r="L8" s="64" t="s">
        <v>170</v>
      </c>
      <c r="M8" s="31"/>
      <c r="N8" s="65">
        <v>3</v>
      </c>
      <c r="O8" s="65">
        <v>3</v>
      </c>
      <c r="P8" s="65">
        <v>3</v>
      </c>
      <c r="Q8" s="159" t="str">
        <f>IF(R8&gt;=7,"H",IF(R8&gt;=5,"M","L"))</f>
        <v>H</v>
      </c>
      <c r="R8" s="27">
        <f>SUM(N8:P8)</f>
        <v>9</v>
      </c>
    </row>
    <row r="9" spans="1:18" ht="14.1" customHeight="1">
      <c r="A9" s="32">
        <v>5</v>
      </c>
      <c r="B9" s="64" t="s">
        <v>214</v>
      </c>
      <c r="C9" s="31" t="s">
        <v>235</v>
      </c>
      <c r="D9" s="31"/>
      <c r="E9" s="31"/>
      <c r="F9" s="31"/>
      <c r="G9" s="31" t="s">
        <v>233</v>
      </c>
      <c r="H9" s="31" t="s">
        <v>234</v>
      </c>
      <c r="I9" s="31" t="s">
        <v>164</v>
      </c>
      <c r="J9" s="64" t="s">
        <v>168</v>
      </c>
      <c r="K9" s="64" t="s">
        <v>254</v>
      </c>
      <c r="L9" s="64" t="s">
        <v>170</v>
      </c>
      <c r="M9" s="31"/>
      <c r="N9" s="65">
        <v>3</v>
      </c>
      <c r="O9" s="65">
        <v>3</v>
      </c>
      <c r="P9" s="65">
        <v>3</v>
      </c>
      <c r="Q9" s="159" t="str">
        <f>IF(R9&gt;=7,"H",IF(R9&gt;=5,"M","L"))</f>
        <v>H</v>
      </c>
      <c r="R9" s="27">
        <f>SUM(N9:P9)</f>
        <v>9</v>
      </c>
    </row>
    <row r="10" spans="1:18" ht="14.1" customHeight="1">
      <c r="A10" s="32">
        <v>6</v>
      </c>
      <c r="B10" s="64" t="s">
        <v>215</v>
      </c>
      <c r="C10" s="31" t="s">
        <v>236</v>
      </c>
      <c r="D10" s="31"/>
      <c r="E10" s="31"/>
      <c r="F10" s="31"/>
      <c r="G10" s="31" t="s">
        <v>233</v>
      </c>
      <c r="H10" s="31" t="s">
        <v>234</v>
      </c>
      <c r="I10" s="31" t="s">
        <v>164</v>
      </c>
      <c r="J10" s="64" t="s">
        <v>168</v>
      </c>
      <c r="K10" s="64" t="s">
        <v>254</v>
      </c>
      <c r="L10" s="64" t="s">
        <v>170</v>
      </c>
      <c r="M10" s="31"/>
      <c r="N10" s="65">
        <v>3</v>
      </c>
      <c r="O10" s="65">
        <v>3</v>
      </c>
      <c r="P10" s="65">
        <v>3</v>
      </c>
      <c r="Q10" s="159" t="str">
        <f>IF(R10&gt;=7,"H",IF(R10&gt;=5,"M","L"))</f>
        <v>H</v>
      </c>
      <c r="R10" s="27">
        <f>SUM(N10:P10)</f>
        <v>9</v>
      </c>
    </row>
    <row r="11" spans="1:18" ht="13.5" customHeight="1">
      <c r="A11" s="32">
        <v>7</v>
      </c>
      <c r="B11" s="64" t="s">
        <v>220</v>
      </c>
      <c r="C11" s="31" t="s">
        <v>241</v>
      </c>
      <c r="D11" s="31"/>
      <c r="E11" s="31"/>
      <c r="F11" s="31"/>
      <c r="G11" s="31" t="s">
        <v>233</v>
      </c>
      <c r="H11" s="31" t="s">
        <v>234</v>
      </c>
      <c r="I11" s="31" t="s">
        <v>164</v>
      </c>
      <c r="J11" s="64" t="s">
        <v>168</v>
      </c>
      <c r="K11" s="64" t="s">
        <v>256</v>
      </c>
      <c r="L11" s="64" t="s">
        <v>170</v>
      </c>
      <c r="M11" s="31"/>
      <c r="N11" s="65">
        <v>3</v>
      </c>
      <c r="O11" s="65">
        <v>3</v>
      </c>
      <c r="P11" s="65">
        <v>3</v>
      </c>
      <c r="Q11" s="159" t="str">
        <f t="shared" ref="Q11:Q17" si="4">IF(R11&gt;=7,"H",IF(R11&gt;=5,"M","L"))</f>
        <v>H</v>
      </c>
      <c r="R11" s="27">
        <f t="shared" ref="R11:R17" si="5">SUM(N11:P11)</f>
        <v>9</v>
      </c>
    </row>
    <row r="12" spans="1:18" ht="13.5" customHeight="1">
      <c r="A12" s="32">
        <v>8</v>
      </c>
      <c r="B12" s="64" t="s">
        <v>221</v>
      </c>
      <c r="C12" s="31" t="s">
        <v>242</v>
      </c>
      <c r="D12" s="31"/>
      <c r="E12" s="31"/>
      <c r="F12" s="31"/>
      <c r="G12" s="31" t="s">
        <v>233</v>
      </c>
      <c r="H12" s="31" t="s">
        <v>234</v>
      </c>
      <c r="I12" s="31" t="s">
        <v>164</v>
      </c>
      <c r="J12" s="64" t="s">
        <v>168</v>
      </c>
      <c r="K12" s="64" t="s">
        <v>256</v>
      </c>
      <c r="L12" s="64" t="s">
        <v>170</v>
      </c>
      <c r="M12" s="31"/>
      <c r="N12" s="65">
        <v>3</v>
      </c>
      <c r="O12" s="65">
        <v>3</v>
      </c>
      <c r="P12" s="65">
        <v>3</v>
      </c>
      <c r="Q12" s="159" t="str">
        <f t="shared" si="4"/>
        <v>H</v>
      </c>
      <c r="R12" s="27">
        <f t="shared" si="5"/>
        <v>9</v>
      </c>
    </row>
    <row r="13" spans="1:18" ht="13.5" customHeight="1">
      <c r="A13" s="32">
        <v>9</v>
      </c>
      <c r="B13" s="64" t="s">
        <v>222</v>
      </c>
      <c r="C13" s="31" t="s">
        <v>243</v>
      </c>
      <c r="D13" s="31"/>
      <c r="E13" s="31"/>
      <c r="F13" s="31"/>
      <c r="G13" s="31" t="s">
        <v>233</v>
      </c>
      <c r="H13" s="31" t="s">
        <v>234</v>
      </c>
      <c r="I13" s="31" t="s">
        <v>164</v>
      </c>
      <c r="J13" s="64" t="s">
        <v>168</v>
      </c>
      <c r="K13" s="64" t="s">
        <v>256</v>
      </c>
      <c r="L13" s="64" t="s">
        <v>170</v>
      </c>
      <c r="M13" s="31"/>
      <c r="N13" s="65">
        <v>3</v>
      </c>
      <c r="O13" s="65">
        <v>3</v>
      </c>
      <c r="P13" s="65">
        <v>3</v>
      </c>
      <c r="Q13" s="159" t="str">
        <f t="shared" si="4"/>
        <v>H</v>
      </c>
      <c r="R13" s="27">
        <f t="shared" si="5"/>
        <v>9</v>
      </c>
    </row>
    <row r="14" spans="1:18" ht="13.5" customHeight="1">
      <c r="A14" s="32">
        <v>10</v>
      </c>
      <c r="B14" s="64" t="s">
        <v>223</v>
      </c>
      <c r="C14" s="31" t="s">
        <v>244</v>
      </c>
      <c r="D14" s="31"/>
      <c r="E14" s="31"/>
      <c r="F14" s="31"/>
      <c r="G14" s="31" t="s">
        <v>233</v>
      </c>
      <c r="H14" s="31" t="s">
        <v>234</v>
      </c>
      <c r="I14" s="31" t="s">
        <v>164</v>
      </c>
      <c r="J14" s="64" t="s">
        <v>168</v>
      </c>
      <c r="K14" s="64" t="s">
        <v>256</v>
      </c>
      <c r="L14" s="64" t="s">
        <v>170</v>
      </c>
      <c r="M14" s="31"/>
      <c r="N14" s="65">
        <v>3</v>
      </c>
      <c r="O14" s="65">
        <v>3</v>
      </c>
      <c r="P14" s="65">
        <v>3</v>
      </c>
      <c r="Q14" s="159" t="str">
        <f t="shared" si="4"/>
        <v>H</v>
      </c>
      <c r="R14" s="27">
        <f t="shared" si="5"/>
        <v>9</v>
      </c>
    </row>
    <row r="15" spans="1:18" ht="13.5" customHeight="1">
      <c r="A15" s="32">
        <v>11</v>
      </c>
      <c r="B15" s="64" t="s">
        <v>224</v>
      </c>
      <c r="C15" s="31" t="s">
        <v>245</v>
      </c>
      <c r="D15" s="31"/>
      <c r="E15" s="31"/>
      <c r="F15" s="31"/>
      <c r="G15" s="31" t="s">
        <v>233</v>
      </c>
      <c r="H15" s="31" t="s">
        <v>234</v>
      </c>
      <c r="I15" s="31" t="s">
        <v>164</v>
      </c>
      <c r="J15" s="64" t="s">
        <v>168</v>
      </c>
      <c r="K15" s="64" t="s">
        <v>257</v>
      </c>
      <c r="L15" s="64" t="s">
        <v>170</v>
      </c>
      <c r="M15" s="31"/>
      <c r="N15" s="65">
        <v>3</v>
      </c>
      <c r="O15" s="65">
        <v>3</v>
      </c>
      <c r="P15" s="65">
        <v>3</v>
      </c>
      <c r="Q15" s="159" t="str">
        <f t="shared" si="4"/>
        <v>H</v>
      </c>
      <c r="R15" s="27">
        <f t="shared" si="5"/>
        <v>9</v>
      </c>
    </row>
    <row r="16" spans="1:18" ht="13.5" customHeight="1">
      <c r="A16" s="32">
        <v>12</v>
      </c>
      <c r="B16" s="64" t="s">
        <v>225</v>
      </c>
      <c r="C16" s="31" t="s">
        <v>246</v>
      </c>
      <c r="D16" s="31"/>
      <c r="E16" s="31"/>
      <c r="F16" s="31"/>
      <c r="G16" s="31" t="s">
        <v>233</v>
      </c>
      <c r="H16" s="31" t="s">
        <v>234</v>
      </c>
      <c r="I16" s="31" t="s">
        <v>164</v>
      </c>
      <c r="J16" s="64" t="s">
        <v>168</v>
      </c>
      <c r="K16" s="64" t="s">
        <v>257</v>
      </c>
      <c r="L16" s="64" t="s">
        <v>170</v>
      </c>
      <c r="M16" s="31"/>
      <c r="N16" s="65">
        <v>3</v>
      </c>
      <c r="O16" s="65">
        <v>3</v>
      </c>
      <c r="P16" s="65">
        <v>3</v>
      </c>
      <c r="Q16" s="159" t="str">
        <f t="shared" si="4"/>
        <v>H</v>
      </c>
      <c r="R16" s="27">
        <f t="shared" si="5"/>
        <v>9</v>
      </c>
    </row>
    <row r="17" spans="1:18" ht="13.5" customHeight="1">
      <c r="A17" s="32">
        <v>13</v>
      </c>
      <c r="B17" s="64" t="s">
        <v>226</v>
      </c>
      <c r="C17" s="31" t="s">
        <v>247</v>
      </c>
      <c r="D17" s="31"/>
      <c r="E17" s="31"/>
      <c r="F17" s="31"/>
      <c r="G17" s="31" t="s">
        <v>233</v>
      </c>
      <c r="H17" s="31" t="s">
        <v>234</v>
      </c>
      <c r="I17" s="31" t="s">
        <v>164</v>
      </c>
      <c r="J17" s="64" t="s">
        <v>169</v>
      </c>
      <c r="K17" s="64" t="s">
        <v>258</v>
      </c>
      <c r="L17" s="64" t="s">
        <v>171</v>
      </c>
      <c r="M17" s="31"/>
      <c r="N17" s="65">
        <v>3</v>
      </c>
      <c r="O17" s="65">
        <v>3</v>
      </c>
      <c r="P17" s="65">
        <v>3</v>
      </c>
      <c r="Q17" s="159" t="str">
        <f t="shared" si="4"/>
        <v>H</v>
      </c>
      <c r="R17" s="27">
        <f t="shared" si="5"/>
        <v>9</v>
      </c>
    </row>
    <row r="18" spans="1:18" ht="13.5" customHeight="1">
      <c r="A18" s="32">
        <v>14</v>
      </c>
      <c r="B18" s="64" t="s">
        <v>227</v>
      </c>
      <c r="C18" s="31" t="s">
        <v>248</v>
      </c>
      <c r="D18" s="31"/>
      <c r="E18" s="31"/>
      <c r="F18" s="31"/>
      <c r="G18" s="31" t="s">
        <v>233</v>
      </c>
      <c r="H18" s="31" t="s">
        <v>234</v>
      </c>
      <c r="I18" s="31" t="s">
        <v>164</v>
      </c>
      <c r="J18" s="64" t="s">
        <v>169</v>
      </c>
      <c r="K18" s="64" t="s">
        <v>258</v>
      </c>
      <c r="L18" s="64" t="s">
        <v>171</v>
      </c>
      <c r="M18" s="31"/>
      <c r="N18" s="65">
        <v>3</v>
      </c>
      <c r="O18" s="65">
        <v>3</v>
      </c>
      <c r="P18" s="65">
        <v>3</v>
      </c>
      <c r="Q18" s="159" t="str">
        <f t="shared" ref="Q18:Q23" si="6">IF(R18&gt;=7,"H",IF(R18&gt;=5,"M","L"))</f>
        <v>H</v>
      </c>
      <c r="R18" s="27">
        <f t="shared" ref="R18:R23" si="7">SUM(N18:P18)</f>
        <v>9</v>
      </c>
    </row>
    <row r="19" spans="1:18" ht="13.5" customHeight="1">
      <c r="A19" s="32">
        <v>15</v>
      </c>
      <c r="B19" s="64" t="s">
        <v>228</v>
      </c>
      <c r="C19" s="31" t="s">
        <v>249</v>
      </c>
      <c r="D19" s="31"/>
      <c r="E19" s="31"/>
      <c r="F19" s="31"/>
      <c r="G19" s="31" t="s">
        <v>233</v>
      </c>
      <c r="H19" s="31" t="s">
        <v>234</v>
      </c>
      <c r="I19" s="31" t="s">
        <v>164</v>
      </c>
      <c r="J19" s="64" t="s">
        <v>169</v>
      </c>
      <c r="K19" s="64" t="s">
        <v>258</v>
      </c>
      <c r="L19" s="64" t="s">
        <v>171</v>
      </c>
      <c r="M19" s="31"/>
      <c r="N19" s="65">
        <v>3</v>
      </c>
      <c r="O19" s="65">
        <v>3</v>
      </c>
      <c r="P19" s="65">
        <v>3</v>
      </c>
      <c r="Q19" s="159" t="str">
        <f t="shared" si="6"/>
        <v>H</v>
      </c>
      <c r="R19" s="27">
        <f t="shared" si="7"/>
        <v>9</v>
      </c>
    </row>
    <row r="20" spans="1:18" ht="13.5" customHeight="1">
      <c r="A20" s="32">
        <v>16</v>
      </c>
      <c r="B20" s="64" t="s">
        <v>229</v>
      </c>
      <c r="C20" s="31" t="s">
        <v>250</v>
      </c>
      <c r="D20" s="31"/>
      <c r="E20" s="31"/>
      <c r="F20" s="31"/>
      <c r="G20" s="31" t="s">
        <v>233</v>
      </c>
      <c r="H20" s="31" t="s">
        <v>234</v>
      </c>
      <c r="I20" s="31" t="s">
        <v>164</v>
      </c>
      <c r="J20" s="64" t="s">
        <v>169</v>
      </c>
      <c r="K20" s="64" t="s">
        <v>259</v>
      </c>
      <c r="L20" s="64" t="s">
        <v>171</v>
      </c>
      <c r="M20" s="31"/>
      <c r="N20" s="65">
        <v>3</v>
      </c>
      <c r="O20" s="65">
        <v>3</v>
      </c>
      <c r="P20" s="65">
        <v>3</v>
      </c>
      <c r="Q20" s="159" t="str">
        <f t="shared" si="6"/>
        <v>H</v>
      </c>
      <c r="R20" s="27">
        <f t="shared" si="7"/>
        <v>9</v>
      </c>
    </row>
    <row r="21" spans="1:18" ht="13.5" customHeight="1">
      <c r="A21" s="32">
        <v>17</v>
      </c>
      <c r="B21" s="64" t="s">
        <v>230</v>
      </c>
      <c r="C21" s="31" t="s">
        <v>251</v>
      </c>
      <c r="D21" s="31"/>
      <c r="E21" s="31"/>
      <c r="F21" s="31"/>
      <c r="G21" s="31" t="s">
        <v>233</v>
      </c>
      <c r="H21" s="31" t="s">
        <v>234</v>
      </c>
      <c r="I21" s="31" t="s">
        <v>164</v>
      </c>
      <c r="J21" s="64" t="s">
        <v>169</v>
      </c>
      <c r="K21" s="64" t="s">
        <v>259</v>
      </c>
      <c r="L21" s="64" t="s">
        <v>171</v>
      </c>
      <c r="M21" s="31"/>
      <c r="N21" s="65">
        <v>3</v>
      </c>
      <c r="O21" s="65">
        <v>3</v>
      </c>
      <c r="P21" s="65">
        <v>3</v>
      </c>
      <c r="Q21" s="159" t="str">
        <f t="shared" si="6"/>
        <v>H</v>
      </c>
      <c r="R21" s="27">
        <f t="shared" si="7"/>
        <v>9</v>
      </c>
    </row>
    <row r="22" spans="1:18" ht="13.5" customHeight="1">
      <c r="A22" s="32">
        <v>18</v>
      </c>
      <c r="B22" s="64" t="s">
        <v>231</v>
      </c>
      <c r="C22" s="31" t="s">
        <v>252</v>
      </c>
      <c r="D22" s="31"/>
      <c r="E22" s="31"/>
      <c r="F22" s="31"/>
      <c r="G22" s="31" t="s">
        <v>233</v>
      </c>
      <c r="H22" s="31" t="s">
        <v>234</v>
      </c>
      <c r="I22" s="31" t="s">
        <v>164</v>
      </c>
      <c r="J22" s="64" t="s">
        <v>169</v>
      </c>
      <c r="K22" s="64" t="s">
        <v>260</v>
      </c>
      <c r="L22" s="64" t="s">
        <v>171</v>
      </c>
      <c r="M22" s="31"/>
      <c r="N22" s="65">
        <v>3</v>
      </c>
      <c r="O22" s="65">
        <v>3</v>
      </c>
      <c r="P22" s="65">
        <v>3</v>
      </c>
      <c r="Q22" s="159" t="str">
        <f t="shared" si="6"/>
        <v>H</v>
      </c>
      <c r="R22" s="27">
        <f t="shared" si="7"/>
        <v>9</v>
      </c>
    </row>
    <row r="23" spans="1:18" ht="13.5" customHeight="1">
      <c r="A23" s="32">
        <v>19</v>
      </c>
      <c r="B23" s="64" t="s">
        <v>232</v>
      </c>
      <c r="C23" s="31" t="s">
        <v>253</v>
      </c>
      <c r="D23" s="31"/>
      <c r="E23" s="31"/>
      <c r="F23" s="31"/>
      <c r="G23" s="31" t="s">
        <v>233</v>
      </c>
      <c r="H23" s="31" t="s">
        <v>234</v>
      </c>
      <c r="I23" s="31" t="s">
        <v>164</v>
      </c>
      <c r="J23" s="64" t="s">
        <v>169</v>
      </c>
      <c r="K23" s="64" t="s">
        <v>260</v>
      </c>
      <c r="L23" s="64" t="s">
        <v>171</v>
      </c>
      <c r="M23" s="31"/>
      <c r="N23" s="65">
        <v>3</v>
      </c>
      <c r="O23" s="65">
        <v>3</v>
      </c>
      <c r="P23" s="65">
        <v>3</v>
      </c>
      <c r="Q23" s="159" t="str">
        <f t="shared" si="6"/>
        <v>H</v>
      </c>
      <c r="R23" s="27">
        <f t="shared" si="7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68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2:U53"/>
  <sheetViews>
    <sheetView topLeftCell="A10" zoomScaleNormal="100" workbookViewId="0">
      <selection activeCell="L57" sqref="L57"/>
    </sheetView>
  </sheetViews>
  <sheetFormatPr defaultColWidth="8.77734375" defaultRowHeight="13.5"/>
  <cols>
    <col min="1" max="1" width="2.6640625" style="136" customWidth="1"/>
    <col min="3" max="3" width="15.109375" style="136" bestFit="1" customWidth="1"/>
  </cols>
  <sheetData>
    <row r="2" spans="2:8">
      <c r="B2" s="9" t="s">
        <v>19</v>
      </c>
    </row>
    <row r="3" spans="2:8">
      <c r="B3" s="26" t="s">
        <v>20</v>
      </c>
    </row>
    <row r="4" spans="2:8">
      <c r="B4" s="11" t="s">
        <v>21</v>
      </c>
    </row>
    <row r="6" spans="2:8">
      <c r="B6" s="9" t="s">
        <v>22</v>
      </c>
      <c r="C6" s="9"/>
    </row>
    <row r="7" spans="2:8">
      <c r="B7" s="26" t="s">
        <v>23</v>
      </c>
      <c r="C7" s="26" t="s">
        <v>24</v>
      </c>
    </row>
    <row r="8" spans="2:8">
      <c r="B8" s="11" t="s">
        <v>25</v>
      </c>
      <c r="C8" s="11">
        <v>3</v>
      </c>
    </row>
    <row r="9" spans="2:8">
      <c r="B9" s="11" t="s">
        <v>26</v>
      </c>
      <c r="C9" s="11">
        <v>2</v>
      </c>
    </row>
    <row r="10" spans="2:8">
      <c r="B10" s="11" t="s">
        <v>27</v>
      </c>
      <c r="C10" s="11">
        <v>1</v>
      </c>
    </row>
    <row r="11" spans="2:8">
      <c r="B11" s="12"/>
      <c r="C11" s="12"/>
    </row>
    <row r="12" spans="2:8">
      <c r="B12" s="9" t="s">
        <v>28</v>
      </c>
      <c r="C12" s="9"/>
    </row>
    <row r="13" spans="2:8">
      <c r="B13" s="190" t="s">
        <v>29</v>
      </c>
      <c r="C13" s="190" t="s">
        <v>24</v>
      </c>
      <c r="D13" s="189"/>
    </row>
    <row r="14" spans="2:8">
      <c r="B14" s="192"/>
      <c r="C14" s="26" t="s">
        <v>30</v>
      </c>
      <c r="D14" s="26" t="s">
        <v>31</v>
      </c>
    </row>
    <row r="15" spans="2:8">
      <c r="B15" s="11" t="s">
        <v>32</v>
      </c>
      <c r="C15" s="11">
        <v>1</v>
      </c>
      <c r="D15" s="11">
        <v>0</v>
      </c>
    </row>
    <row r="16" spans="2:8">
      <c r="B16" s="11" t="s">
        <v>33</v>
      </c>
      <c r="C16" s="11">
        <v>0</v>
      </c>
      <c r="D16" s="11">
        <v>3</v>
      </c>
      <c r="F16" s="11" t="s">
        <v>34</v>
      </c>
      <c r="G16" s="11">
        <v>0.5</v>
      </c>
      <c r="H16" s="11">
        <v>0.5</v>
      </c>
    </row>
    <row r="17" spans="2:6">
      <c r="B17" s="11" t="s">
        <v>35</v>
      </c>
      <c r="C17" s="11">
        <v>0</v>
      </c>
      <c r="D17" s="11">
        <v>0</v>
      </c>
    </row>
    <row r="18" spans="2:6">
      <c r="B18" s="11" t="s">
        <v>36</v>
      </c>
      <c r="C18" s="11">
        <v>0</v>
      </c>
      <c r="D18" s="11">
        <v>0</v>
      </c>
    </row>
    <row r="19" spans="2:6">
      <c r="B19" s="11" t="s">
        <v>37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38</v>
      </c>
    </row>
    <row r="22" spans="2:6">
      <c r="B22" s="26" t="s">
        <v>39</v>
      </c>
    </row>
    <row r="23" spans="2:6">
      <c r="B23" s="11">
        <v>21</v>
      </c>
    </row>
    <row r="25" spans="2:6">
      <c r="B25" s="9" t="s">
        <v>40</v>
      </c>
      <c r="F25" s="9" t="s">
        <v>41</v>
      </c>
    </row>
    <row r="26" spans="2:6">
      <c r="B26" s="190" t="s">
        <v>42</v>
      </c>
      <c r="C26" s="190" t="s">
        <v>43</v>
      </c>
      <c r="D26" s="189"/>
    </row>
    <row r="27" spans="2:6">
      <c r="B27" s="192"/>
      <c r="C27" s="26" t="s">
        <v>44</v>
      </c>
      <c r="D27" s="26" t="s">
        <v>45</v>
      </c>
    </row>
    <row r="28" spans="2:6">
      <c r="B28" s="11" t="s">
        <v>25</v>
      </c>
      <c r="C28" s="11">
        <v>7</v>
      </c>
      <c r="D28" s="11">
        <v>9</v>
      </c>
    </row>
    <row r="29" spans="2:6">
      <c r="B29" s="11" t="s">
        <v>26</v>
      </c>
      <c r="C29" s="11">
        <v>5</v>
      </c>
      <c r="D29" s="11">
        <v>6</v>
      </c>
    </row>
    <row r="30" spans="2:6">
      <c r="B30" s="11" t="s">
        <v>27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46</v>
      </c>
    </row>
    <row r="33" spans="2:21">
      <c r="B33" s="190" t="s">
        <v>42</v>
      </c>
      <c r="C33" s="190" t="s">
        <v>43</v>
      </c>
      <c r="D33" s="189"/>
    </row>
    <row r="34" spans="2:21">
      <c r="B34" s="192"/>
      <c r="C34" s="26" t="s">
        <v>44</v>
      </c>
      <c r="D34" s="26" t="s">
        <v>45</v>
      </c>
    </row>
    <row r="35" spans="2:21">
      <c r="B35" s="11" t="s">
        <v>25</v>
      </c>
      <c r="C35" s="11">
        <v>5</v>
      </c>
      <c r="D35" s="11">
        <v>6</v>
      </c>
    </row>
    <row r="36" spans="2:21">
      <c r="B36" s="11" t="s">
        <v>26</v>
      </c>
      <c r="C36" s="11">
        <v>4</v>
      </c>
      <c r="D36" s="11">
        <v>4</v>
      </c>
    </row>
    <row r="37" spans="2:21">
      <c r="B37" s="11" t="s">
        <v>27</v>
      </c>
      <c r="C37" s="11">
        <v>2</v>
      </c>
      <c r="D37" s="11">
        <v>3</v>
      </c>
    </row>
    <row r="39" spans="2:21">
      <c r="B39" s="9" t="s">
        <v>47</v>
      </c>
    </row>
    <row r="40" spans="2:21">
      <c r="B40" s="190" t="s">
        <v>42</v>
      </c>
      <c r="C40" s="190" t="s">
        <v>43</v>
      </c>
      <c r="D40" s="189"/>
    </row>
    <row r="41" spans="2:21">
      <c r="B41" s="192"/>
      <c r="C41" s="26" t="s">
        <v>44</v>
      </c>
      <c r="D41" s="26" t="s">
        <v>45</v>
      </c>
    </row>
    <row r="42" spans="2:21">
      <c r="B42" s="11" t="s">
        <v>25</v>
      </c>
      <c r="C42" s="11">
        <f>$B$23</f>
        <v>21</v>
      </c>
      <c r="D42" s="11">
        <v>30</v>
      </c>
    </row>
    <row r="43" spans="2:21">
      <c r="B43" s="11" t="s">
        <v>26</v>
      </c>
      <c r="C43" s="11">
        <v>11</v>
      </c>
      <c r="D43" s="11">
        <f>$C$42-1</f>
        <v>20</v>
      </c>
    </row>
    <row r="44" spans="2:21">
      <c r="B44" s="11" t="s">
        <v>27</v>
      </c>
      <c r="C44" s="11">
        <v>1</v>
      </c>
      <c r="D44" s="11">
        <f>$C$43-1</f>
        <v>10</v>
      </c>
    </row>
    <row r="46" spans="2:21">
      <c r="B46" s="9" t="s">
        <v>48</v>
      </c>
    </row>
    <row r="47" spans="2:21">
      <c r="B47" s="9" t="s">
        <v>49</v>
      </c>
    </row>
    <row r="48" spans="2:21">
      <c r="B48" s="191" t="s">
        <v>50</v>
      </c>
      <c r="C48" s="34" t="s">
        <v>51</v>
      </c>
      <c r="D48" s="187" t="s">
        <v>52</v>
      </c>
      <c r="E48" s="188"/>
      <c r="F48" s="188"/>
      <c r="G48" s="188"/>
      <c r="H48" s="188"/>
      <c r="I48" s="188"/>
      <c r="J48" s="188"/>
      <c r="K48" s="188"/>
      <c r="L48" s="189"/>
      <c r="M48" s="187" t="s">
        <v>53</v>
      </c>
      <c r="N48" s="188"/>
      <c r="O48" s="188"/>
      <c r="P48" s="188"/>
      <c r="Q48" s="188"/>
      <c r="R48" s="188"/>
      <c r="S48" s="188"/>
      <c r="T48" s="188"/>
      <c r="U48" s="189"/>
    </row>
    <row r="49" spans="2:21">
      <c r="B49" s="192"/>
      <c r="C49" s="34" t="s">
        <v>54</v>
      </c>
      <c r="D49" s="190" t="s">
        <v>27</v>
      </c>
      <c r="E49" s="188"/>
      <c r="F49" s="189"/>
      <c r="G49" s="190" t="s">
        <v>26</v>
      </c>
      <c r="H49" s="188"/>
      <c r="I49" s="189"/>
      <c r="J49" s="190" t="s">
        <v>25</v>
      </c>
      <c r="K49" s="188"/>
      <c r="L49" s="189"/>
      <c r="M49" s="190" t="s">
        <v>27</v>
      </c>
      <c r="N49" s="188"/>
      <c r="O49" s="189"/>
      <c r="P49" s="190" t="s">
        <v>26</v>
      </c>
      <c r="Q49" s="188"/>
      <c r="R49" s="189"/>
      <c r="S49" s="190" t="s">
        <v>25</v>
      </c>
      <c r="T49" s="188"/>
      <c r="U49" s="189"/>
    </row>
    <row r="50" spans="2:21">
      <c r="B50" s="190" t="s">
        <v>55</v>
      </c>
      <c r="C50" s="189"/>
      <c r="D50" s="26" t="s">
        <v>27</v>
      </c>
      <c r="E50" s="26" t="s">
        <v>26</v>
      </c>
      <c r="F50" s="26" t="s">
        <v>25</v>
      </c>
      <c r="G50" s="26" t="s">
        <v>27</v>
      </c>
      <c r="H50" s="26" t="s">
        <v>26</v>
      </c>
      <c r="I50" s="26" t="s">
        <v>25</v>
      </c>
      <c r="J50" s="26" t="s">
        <v>27</v>
      </c>
      <c r="K50" s="26" t="s">
        <v>26</v>
      </c>
      <c r="L50" s="26" t="s">
        <v>25</v>
      </c>
      <c r="M50" s="26" t="s">
        <v>27</v>
      </c>
      <c r="N50" s="26" t="s">
        <v>26</v>
      </c>
      <c r="O50" s="26" t="s">
        <v>25</v>
      </c>
      <c r="P50" s="26" t="s">
        <v>27</v>
      </c>
      <c r="Q50" s="26" t="s">
        <v>26</v>
      </c>
      <c r="R50" s="26" t="s">
        <v>25</v>
      </c>
      <c r="S50" s="26" t="s">
        <v>27</v>
      </c>
      <c r="T50" s="26" t="s">
        <v>26</v>
      </c>
      <c r="U50" s="26" t="s">
        <v>25</v>
      </c>
    </row>
    <row r="51" spans="2:21">
      <c r="B51" s="190" t="s">
        <v>56</v>
      </c>
      <c r="C51" s="26" t="s">
        <v>27</v>
      </c>
      <c r="D51" s="36">
        <f t="shared" ref="D51:F53" si="0">VLOOKUP($C51,$B$8:$C$10,2,FALSE)*(1+VLOOKUP($D$49,$B$8:$C$10,2,FALSE)*0*VLOOKUP(D$50,$B$8:$C$10,2,FALSE))</f>
        <v>1</v>
      </c>
      <c r="E51" s="36">
        <f t="shared" si="0"/>
        <v>1</v>
      </c>
      <c r="F51" s="36">
        <f t="shared" si="0"/>
        <v>1</v>
      </c>
      <c r="G51" s="36">
        <f t="shared" ref="G51:I53" si="1">VLOOKUP($C51,$B$8:$C$10,2,FALSE)*(1+VLOOKUP($G$49,$B$8:$C$10,2,FALSE)*0*VLOOKUP(G$50,$B$8:$C$10,2,FALSE))</f>
        <v>1</v>
      </c>
      <c r="H51" s="36">
        <f t="shared" si="1"/>
        <v>1</v>
      </c>
      <c r="I51" s="36">
        <f t="shared" si="1"/>
        <v>1</v>
      </c>
      <c r="J51" s="28">
        <f t="shared" ref="J51:L53" si="2">VLOOKUP($C51,$B$8:$C$10,2,FALSE)*(1+VLOOKUP($J$49,$B$8:$C$10,2,FALSE)*0*VLOOKUP(J$50,$B$8:$C$10,2,FALSE))</f>
        <v>1</v>
      </c>
      <c r="K51" s="28">
        <f t="shared" si="2"/>
        <v>1</v>
      </c>
      <c r="L51" s="28">
        <f t="shared" si="2"/>
        <v>1</v>
      </c>
      <c r="M51" s="28">
        <f t="shared" ref="M51:O53" si="3">VLOOKUP($C51,$B$8:$C$10,2,FALSE)*(1+VLOOKUP($M$49,$B$8:$C$10,2,FALSE)*1*VLOOKUP(M$50,$B$8:$C$10,2,FALSE))</f>
        <v>2</v>
      </c>
      <c r="N51" s="28">
        <f t="shared" si="3"/>
        <v>3</v>
      </c>
      <c r="O51" s="28">
        <f t="shared" si="3"/>
        <v>4</v>
      </c>
      <c r="P51" s="28">
        <f t="shared" ref="P51:R53" si="4">VLOOKUP($C51,$B$8:$C$10,2,FALSE)*(1+VLOOKUP($P$49,$B$8:$C$10,2,FALSE)*1*VLOOKUP(P$50,$B$8:$C$10,2,FALSE))</f>
        <v>3</v>
      </c>
      <c r="Q51" s="28">
        <f t="shared" si="4"/>
        <v>5</v>
      </c>
      <c r="R51" s="28">
        <f t="shared" si="4"/>
        <v>7</v>
      </c>
      <c r="S51" s="28">
        <f t="shared" ref="S51:U53" si="5">VLOOKUP($C51,$B$8:$C$10,2,FALSE)*(1+VLOOKUP($S$49,$B$8:$C$10,2,FALSE)*1*VLOOKUP(S$50,$B$8:$C$10,2,FALSE))</f>
        <v>4</v>
      </c>
      <c r="T51" s="28">
        <f t="shared" si="5"/>
        <v>7</v>
      </c>
      <c r="U51" s="28">
        <f t="shared" si="5"/>
        <v>10</v>
      </c>
    </row>
    <row r="52" spans="2:21">
      <c r="B52" s="193"/>
      <c r="C52" s="26" t="s">
        <v>26</v>
      </c>
      <c r="D52" s="36">
        <f t="shared" si="0"/>
        <v>2</v>
      </c>
      <c r="E52" s="36">
        <f t="shared" si="0"/>
        <v>2</v>
      </c>
      <c r="F52" s="36">
        <f t="shared" si="0"/>
        <v>2</v>
      </c>
      <c r="G52" s="36">
        <f t="shared" si="1"/>
        <v>2</v>
      </c>
      <c r="H52" s="36">
        <f t="shared" si="1"/>
        <v>2</v>
      </c>
      <c r="I52" s="36">
        <f t="shared" si="1"/>
        <v>2</v>
      </c>
      <c r="J52" s="28">
        <f t="shared" si="2"/>
        <v>2</v>
      </c>
      <c r="K52" s="28">
        <f t="shared" si="2"/>
        <v>2</v>
      </c>
      <c r="L52" s="28">
        <f t="shared" si="2"/>
        <v>2</v>
      </c>
      <c r="M52" s="28">
        <f t="shared" si="3"/>
        <v>4</v>
      </c>
      <c r="N52" s="28">
        <f t="shared" si="3"/>
        <v>6</v>
      </c>
      <c r="O52" s="28">
        <f t="shared" si="3"/>
        <v>8</v>
      </c>
      <c r="P52" s="28">
        <f t="shared" si="4"/>
        <v>6</v>
      </c>
      <c r="Q52" s="28">
        <f t="shared" si="4"/>
        <v>10</v>
      </c>
      <c r="R52" s="28">
        <f t="shared" si="4"/>
        <v>14</v>
      </c>
      <c r="S52" s="28">
        <f t="shared" si="5"/>
        <v>8</v>
      </c>
      <c r="T52" s="28">
        <f t="shared" si="5"/>
        <v>14</v>
      </c>
      <c r="U52" s="28">
        <f t="shared" si="5"/>
        <v>20</v>
      </c>
    </row>
    <row r="53" spans="2:21">
      <c r="B53" s="192"/>
      <c r="C53" s="26" t="s">
        <v>25</v>
      </c>
      <c r="D53" s="36">
        <f t="shared" si="0"/>
        <v>3</v>
      </c>
      <c r="E53" s="36">
        <f t="shared" si="0"/>
        <v>3</v>
      </c>
      <c r="F53" s="36">
        <f t="shared" si="0"/>
        <v>3</v>
      </c>
      <c r="G53" s="36">
        <f t="shared" si="1"/>
        <v>3</v>
      </c>
      <c r="H53" s="36">
        <f t="shared" si="1"/>
        <v>3</v>
      </c>
      <c r="I53" s="36">
        <f t="shared" si="1"/>
        <v>3</v>
      </c>
      <c r="J53" s="28">
        <f t="shared" si="2"/>
        <v>3</v>
      </c>
      <c r="K53" s="28">
        <f t="shared" si="2"/>
        <v>3</v>
      </c>
      <c r="L53" s="28">
        <f t="shared" si="2"/>
        <v>3</v>
      </c>
      <c r="M53" s="28">
        <f t="shared" si="3"/>
        <v>6</v>
      </c>
      <c r="N53" s="28">
        <f t="shared" si="3"/>
        <v>9</v>
      </c>
      <c r="O53" s="28">
        <f t="shared" si="3"/>
        <v>12</v>
      </c>
      <c r="P53" s="28">
        <f t="shared" si="4"/>
        <v>9</v>
      </c>
      <c r="Q53" s="28">
        <f t="shared" si="4"/>
        <v>15</v>
      </c>
      <c r="R53" s="28">
        <f t="shared" si="4"/>
        <v>21</v>
      </c>
      <c r="S53" s="28">
        <f t="shared" si="5"/>
        <v>12</v>
      </c>
      <c r="T53" s="28">
        <f t="shared" si="5"/>
        <v>21</v>
      </c>
      <c r="U53" s="28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B48:B49"/>
    <mergeCell ref="D48:L48"/>
    <mergeCell ref="B50:C50"/>
    <mergeCell ref="B51:B53"/>
    <mergeCell ref="B40:B41"/>
    <mergeCell ref="C40:D40"/>
    <mergeCell ref="M48:U48"/>
    <mergeCell ref="D49:F49"/>
    <mergeCell ref="G49:I49"/>
    <mergeCell ref="J49:L49"/>
    <mergeCell ref="M49:O49"/>
    <mergeCell ref="P49:R49"/>
    <mergeCell ref="S49:U49"/>
  </mergeCells>
  <phoneticPr fontId="3" type="noConversion"/>
  <conditionalFormatting sqref="D51:U53">
    <cfRule type="expression" dxfId="39" priority="1">
      <formula>IF(D51&gt;=$C$42,1,0)</formula>
    </cfRule>
    <cfRule type="expression" dxfId="38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22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4.77734375" style="10" bestFit="1" customWidth="1"/>
    <col min="2" max="2" width="8.33203125" style="10" customWidth="1"/>
    <col min="3" max="3" width="64.5546875" style="12" bestFit="1" customWidth="1"/>
    <col min="4" max="5" width="7.77734375" style="10" customWidth="1"/>
    <col min="6" max="6" width="155.109375" style="12" bestFit="1" customWidth="1"/>
    <col min="7" max="7" width="8.77734375" style="12" customWidth="1"/>
    <col min="8" max="16384" width="8.77734375" style="12"/>
  </cols>
  <sheetData>
    <row r="1" spans="1:6" s="33" customFormat="1" ht="17.100000000000001" customHeight="1">
      <c r="A1" s="137" t="s">
        <v>57</v>
      </c>
      <c r="B1" s="10"/>
      <c r="C1" s="12"/>
      <c r="D1" s="10"/>
      <c r="E1" s="10"/>
    </row>
    <row r="2" spans="1:6" ht="15" customHeight="1" thickBot="1">
      <c r="B2" s="138"/>
    </row>
    <row r="3" spans="1:6" ht="13.35" customHeight="1" thickBot="1">
      <c r="A3" s="196" t="s">
        <v>58</v>
      </c>
      <c r="B3" s="197"/>
      <c r="C3" s="197"/>
      <c r="D3" s="197"/>
      <c r="E3" s="198"/>
      <c r="F3" s="139" t="s">
        <v>59</v>
      </c>
    </row>
    <row r="4" spans="1:6" ht="15" customHeight="1">
      <c r="A4" s="194" t="s">
        <v>60</v>
      </c>
      <c r="B4" s="195"/>
      <c r="C4" s="168" t="s">
        <v>61</v>
      </c>
      <c r="D4" s="169" t="s">
        <v>130</v>
      </c>
      <c r="E4" s="170" t="s">
        <v>62</v>
      </c>
      <c r="F4" s="139" t="s">
        <v>162</v>
      </c>
    </row>
    <row r="5" spans="1:6" ht="22.5" customHeight="1">
      <c r="A5" s="27" t="s">
        <v>63</v>
      </c>
      <c r="B5" s="27" t="s">
        <v>132</v>
      </c>
      <c r="C5" s="171" t="s">
        <v>189</v>
      </c>
      <c r="D5" s="27" t="s">
        <v>25</v>
      </c>
      <c r="E5" s="27">
        <v>3</v>
      </c>
      <c r="F5" s="175" t="s">
        <v>190</v>
      </c>
    </row>
    <row r="6" spans="1:6" ht="22.5" customHeight="1">
      <c r="A6" s="27" t="s">
        <v>63</v>
      </c>
      <c r="B6" s="27" t="s">
        <v>133</v>
      </c>
      <c r="C6" s="171" t="s">
        <v>191</v>
      </c>
      <c r="D6" s="27" t="s">
        <v>25</v>
      </c>
      <c r="E6" s="27">
        <v>3</v>
      </c>
      <c r="F6" s="167" t="s">
        <v>192</v>
      </c>
    </row>
    <row r="7" spans="1:6" ht="22.5" customHeight="1">
      <c r="A7" s="27" t="s">
        <v>193</v>
      </c>
      <c r="B7" s="27" t="s">
        <v>135</v>
      </c>
      <c r="C7" s="171" t="s">
        <v>150</v>
      </c>
      <c r="D7" s="27" t="s">
        <v>26</v>
      </c>
      <c r="E7" s="27">
        <v>2</v>
      </c>
      <c r="F7" s="167" t="s">
        <v>194</v>
      </c>
    </row>
    <row r="8" spans="1:6" ht="22.5" customHeight="1">
      <c r="A8" s="27" t="s">
        <v>160</v>
      </c>
      <c r="B8" s="27" t="s">
        <v>136</v>
      </c>
      <c r="C8" s="171" t="s">
        <v>151</v>
      </c>
      <c r="D8" s="27" t="s">
        <v>25</v>
      </c>
      <c r="E8" s="27">
        <v>3</v>
      </c>
      <c r="F8" s="167" t="s">
        <v>195</v>
      </c>
    </row>
    <row r="9" spans="1:6" ht="22.5" customHeight="1">
      <c r="A9" s="27" t="s">
        <v>160</v>
      </c>
      <c r="B9" s="27" t="s">
        <v>137</v>
      </c>
      <c r="C9" s="171" t="s">
        <v>152</v>
      </c>
      <c r="D9" s="27" t="s">
        <v>25</v>
      </c>
      <c r="E9" s="27">
        <v>3</v>
      </c>
      <c r="F9" s="167" t="s">
        <v>196</v>
      </c>
    </row>
    <row r="10" spans="1:6" ht="22.5" customHeight="1">
      <c r="A10" s="27" t="s">
        <v>160</v>
      </c>
      <c r="B10" s="27" t="s">
        <v>141</v>
      </c>
      <c r="C10" s="171" t="s">
        <v>197</v>
      </c>
      <c r="D10" s="27" t="s">
        <v>25</v>
      </c>
      <c r="E10" s="27">
        <v>3</v>
      </c>
      <c r="F10" s="167" t="s">
        <v>198</v>
      </c>
    </row>
    <row r="11" spans="1:6" ht="22.5" customHeight="1">
      <c r="A11" s="27" t="s">
        <v>160</v>
      </c>
      <c r="B11" s="27" t="s">
        <v>142</v>
      </c>
      <c r="C11" s="171" t="s">
        <v>153</v>
      </c>
      <c r="D11" s="27" t="s">
        <v>26</v>
      </c>
      <c r="E11" s="27">
        <v>2</v>
      </c>
      <c r="F11" s="167" t="s">
        <v>199</v>
      </c>
    </row>
    <row r="12" spans="1:6" ht="22.5" customHeight="1">
      <c r="A12" s="27" t="s">
        <v>160</v>
      </c>
      <c r="B12" s="27" t="s">
        <v>143</v>
      </c>
      <c r="C12" s="171" t="s">
        <v>270</v>
      </c>
      <c r="D12" s="27" t="s">
        <v>26</v>
      </c>
      <c r="E12" s="27">
        <v>2</v>
      </c>
      <c r="F12" s="167" t="s">
        <v>200</v>
      </c>
    </row>
    <row r="13" spans="1:6" ht="22.5" customHeight="1">
      <c r="A13" s="27" t="s">
        <v>160</v>
      </c>
      <c r="B13" s="27" t="s">
        <v>144</v>
      </c>
      <c r="C13" s="171" t="s">
        <v>154</v>
      </c>
      <c r="D13" s="27" t="s">
        <v>27</v>
      </c>
      <c r="E13" s="27">
        <v>1</v>
      </c>
      <c r="F13" s="167" t="s">
        <v>200</v>
      </c>
    </row>
    <row r="14" spans="1:6" ht="22.5" customHeight="1">
      <c r="A14" s="27" t="s">
        <v>131</v>
      </c>
      <c r="B14" s="27" t="s">
        <v>145</v>
      </c>
      <c r="C14" s="171" t="s">
        <v>201</v>
      </c>
      <c r="D14" s="27" t="s">
        <v>25</v>
      </c>
      <c r="E14" s="27">
        <v>3</v>
      </c>
      <c r="F14" s="167" t="s">
        <v>202</v>
      </c>
    </row>
    <row r="15" spans="1:6" ht="22.5" customHeight="1">
      <c r="A15" s="27" t="s">
        <v>131</v>
      </c>
      <c r="B15" s="27" t="s">
        <v>146</v>
      </c>
      <c r="C15" s="171" t="s">
        <v>203</v>
      </c>
      <c r="D15" s="27" t="s">
        <v>25</v>
      </c>
      <c r="E15" s="27">
        <v>3</v>
      </c>
      <c r="F15" s="167" t="s">
        <v>204</v>
      </c>
    </row>
    <row r="16" spans="1:6" ht="22.5" customHeight="1">
      <c r="A16" s="27" t="s">
        <v>161</v>
      </c>
      <c r="B16" s="27" t="s">
        <v>147</v>
      </c>
      <c r="C16" s="171" t="s">
        <v>205</v>
      </c>
      <c r="D16" s="27" t="s">
        <v>26</v>
      </c>
      <c r="E16" s="27">
        <v>2</v>
      </c>
      <c r="F16" s="167" t="s">
        <v>206</v>
      </c>
    </row>
    <row r="17" spans="1:6" ht="22.5" customHeight="1">
      <c r="A17" s="27" t="s">
        <v>161</v>
      </c>
      <c r="B17" s="27" t="s">
        <v>148</v>
      </c>
      <c r="C17" s="171" t="s">
        <v>155</v>
      </c>
      <c r="D17" s="27" t="s">
        <v>25</v>
      </c>
      <c r="E17" s="27">
        <v>3</v>
      </c>
      <c r="F17" s="167" t="s">
        <v>207</v>
      </c>
    </row>
    <row r="18" spans="1:6" ht="22.5" customHeight="1">
      <c r="A18" s="27" t="s">
        <v>161</v>
      </c>
      <c r="B18" s="27" t="s">
        <v>149</v>
      </c>
      <c r="C18" s="171" t="s">
        <v>156</v>
      </c>
      <c r="D18" s="27" t="s">
        <v>25</v>
      </c>
      <c r="E18" s="27">
        <v>3</v>
      </c>
      <c r="F18" s="167" t="s">
        <v>208</v>
      </c>
    </row>
    <row r="19" spans="1:6" ht="22.5" customHeight="1">
      <c r="A19" s="27" t="s">
        <v>161</v>
      </c>
      <c r="B19" s="27" t="s">
        <v>134</v>
      </c>
      <c r="C19" s="171" t="s">
        <v>157</v>
      </c>
      <c r="D19" s="27" t="s">
        <v>25</v>
      </c>
      <c r="E19" s="27">
        <v>3</v>
      </c>
      <c r="F19" s="167" t="s">
        <v>209</v>
      </c>
    </row>
    <row r="20" spans="1:6" ht="22.5" customHeight="1">
      <c r="A20" s="27" t="s">
        <v>161</v>
      </c>
      <c r="B20" s="27" t="s">
        <v>138</v>
      </c>
      <c r="C20" s="171" t="s">
        <v>158</v>
      </c>
      <c r="D20" s="27" t="s">
        <v>25</v>
      </c>
      <c r="E20" s="27">
        <v>3</v>
      </c>
      <c r="F20" s="167" t="s">
        <v>210</v>
      </c>
    </row>
    <row r="21" spans="1:6" ht="22.5" customHeight="1">
      <c r="A21" s="27" t="s">
        <v>161</v>
      </c>
      <c r="B21" s="27" t="s">
        <v>139</v>
      </c>
      <c r="C21" s="171" t="s">
        <v>211</v>
      </c>
      <c r="D21" s="27" t="s">
        <v>25</v>
      </c>
      <c r="E21" s="27">
        <v>3</v>
      </c>
      <c r="F21" s="167" t="s">
        <v>212</v>
      </c>
    </row>
    <row r="22" spans="1:6" ht="22.5" customHeight="1">
      <c r="A22" s="27" t="s">
        <v>161</v>
      </c>
      <c r="B22" s="27" t="s">
        <v>140</v>
      </c>
      <c r="C22" s="171" t="s">
        <v>159</v>
      </c>
      <c r="D22" s="27" t="s">
        <v>26</v>
      </c>
      <c r="E22" s="27">
        <v>2</v>
      </c>
      <c r="F22" s="167" t="s">
        <v>213</v>
      </c>
    </row>
  </sheetData>
  <mergeCells count="2">
    <mergeCell ref="A4:B4"/>
    <mergeCell ref="A3:E3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32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81"/>
  <sheetViews>
    <sheetView showGridLines="0" view="pageBreakPreview" zoomScale="85" zoomScaleNormal="70" zoomScaleSheetLayoutView="85" zoomScalePageLayoutView="85" workbookViewId="0"/>
  </sheetViews>
  <sheetFormatPr defaultColWidth="8.77734375" defaultRowHeight="13.5"/>
  <cols>
    <col min="1" max="13" width="8.77734375" style="3" customWidth="1"/>
    <col min="14" max="16384" width="8.77734375" style="3"/>
  </cols>
  <sheetData>
    <row r="1" spans="1:12" ht="17.100000000000001" customHeight="1">
      <c r="A1" s="16" t="s">
        <v>64</v>
      </c>
      <c r="D1" s="47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5.95" customHeight="1" thickBot="1">
      <c r="A3" s="5" t="s">
        <v>65</v>
      </c>
    </row>
    <row r="4" spans="1:12" ht="15.95" customHeight="1" thickBot="1">
      <c r="A4" s="205" t="s">
        <v>60</v>
      </c>
      <c r="B4" s="181"/>
      <c r="C4" s="181"/>
      <c r="D4" s="182"/>
      <c r="E4" s="202" t="s">
        <v>66</v>
      </c>
      <c r="F4" s="203"/>
      <c r="G4" s="203"/>
      <c r="H4" s="203"/>
      <c r="I4" s="204"/>
      <c r="J4" s="202" t="s">
        <v>67</v>
      </c>
      <c r="K4" s="203"/>
      <c r="L4" s="204"/>
    </row>
    <row r="5" spans="1:12" ht="15.95" customHeight="1" thickBot="1">
      <c r="A5" s="206"/>
      <c r="B5" s="207"/>
      <c r="C5" s="207"/>
      <c r="D5" s="208"/>
      <c r="E5" s="72" t="s">
        <v>68</v>
      </c>
      <c r="F5" s="72" t="s">
        <v>61</v>
      </c>
      <c r="G5" s="72" t="s">
        <v>69</v>
      </c>
      <c r="H5" s="72" t="s">
        <v>70</v>
      </c>
      <c r="I5" s="72" t="s">
        <v>71</v>
      </c>
      <c r="J5" s="72" t="s">
        <v>72</v>
      </c>
      <c r="K5" s="72" t="s">
        <v>73</v>
      </c>
      <c r="L5" s="73" t="s">
        <v>74</v>
      </c>
    </row>
    <row r="6" spans="1:12">
      <c r="A6" s="211" t="str">
        <f>ChkList!A5</f>
        <v>계정 관리</v>
      </c>
      <c r="B6" s="188"/>
      <c r="C6" s="188"/>
      <c r="D6" s="189"/>
      <c r="E6" s="11">
        <f ca="1">SUMIF('취약점 진단 항목별 통계'!$A:$A,$A6&amp;"*",'취약점 진단 항목별 통계'!$F:$F)</f>
        <v>6</v>
      </c>
      <c r="F6" s="11">
        <f ca="1">E6-I6</f>
        <v>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2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18</v>
      </c>
      <c r="K6" s="11">
        <f ca="1">SUMIF('취약점 진단 항목별 통계'!$A:$A,$A6&amp;"*",'취약점 진단 항목별 통계'!$L:$L)</f>
        <v>6</v>
      </c>
      <c r="L6" s="74">
        <f ca="1">IF($I6=$E6, "N/A", (K6/J6))</f>
        <v>0.33333333333333331</v>
      </c>
    </row>
    <row r="7" spans="1:12">
      <c r="A7" s="211" t="str">
        <f>ChkList!A8</f>
        <v>서비스 관리</v>
      </c>
      <c r="B7" s="188"/>
      <c r="C7" s="188"/>
      <c r="D7" s="189"/>
      <c r="E7" s="11">
        <f ca="1">SUMIF('취약점 진단 항목별 통계'!$A:$A,$A7&amp;"*",'취약점 진단 항목별 통계'!$F:$F)</f>
        <v>18</v>
      </c>
      <c r="F7" s="11">
        <f ca="1">E7-I7</f>
        <v>18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42</v>
      </c>
      <c r="K7" s="11">
        <f ca="1">SUMIF('취약점 진단 항목별 통계'!$A:$A,$A7&amp;"*",'취약점 진단 항목별 통계'!$L:$L)</f>
        <v>14</v>
      </c>
      <c r="L7" s="74">
        <f ca="1">IF($I7=$E7, "N/A", (K7/J7))</f>
        <v>0.33333333333333331</v>
      </c>
    </row>
    <row r="8" spans="1:12">
      <c r="A8" s="211" t="str">
        <f>ChkList!A14</f>
        <v>패치 관리</v>
      </c>
      <c r="B8" s="188"/>
      <c r="C8" s="188"/>
      <c r="D8" s="189"/>
      <c r="E8" s="11">
        <f ca="1">SUMIF('취약점 진단 항목별 통계'!$A:$A,$A8&amp;"*",'취약점 진단 항목별 통계'!$F:$F)</f>
        <v>6</v>
      </c>
      <c r="F8" s="11">
        <f ca="1">E8-I8</f>
        <v>6</v>
      </c>
      <c r="G8" s="11">
        <f ca="1">SUMIF('취약점 진단 항목별 통계'!$A:$A,$A8&amp;"*",'취약점 진단 항목별 통계'!$G:$G)+SUMIF('취약점 진단 항목별 통계'!$A:$A,$A8&amp;"*",'취약점 진단 항목별 통계'!$H:$H)</f>
        <v>2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18</v>
      </c>
      <c r="K8" s="11">
        <f ca="1">SUMIF('취약점 진단 항목별 통계'!$A:$A,$A8&amp;"*",'취약점 진단 항목별 통계'!$L:$L)</f>
        <v>6</v>
      </c>
      <c r="L8" s="74">
        <f ca="1">IF($I8=$E8, "N/A", (K8/J8))</f>
        <v>0.33333333333333331</v>
      </c>
    </row>
    <row r="9" spans="1:12">
      <c r="A9" s="211" t="str">
        <f>ChkList!A17</f>
        <v>보안 관리</v>
      </c>
      <c r="B9" s="188"/>
      <c r="C9" s="188"/>
      <c r="D9" s="189"/>
      <c r="E9" s="11">
        <f ca="1">SUMIF('취약점 진단 항목별 통계'!$A:$A,$A9&amp;"*",'취약점 진단 항목별 통계'!$F:$F)</f>
        <v>21</v>
      </c>
      <c r="F9" s="11">
        <f ca="1">E9-I9</f>
        <v>21</v>
      </c>
      <c r="G9" s="11">
        <f ca="1">SUMIF('취약점 진단 항목별 통계'!$A:$A,$A9&amp;"*",'취약점 진단 항목별 통계'!$G:$G)+SUMIF('취약점 진단 항목별 통계'!$A:$A,$A9&amp;"*",'취약점 진단 항목별 통계'!$H:$H)</f>
        <v>7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57</v>
      </c>
      <c r="K9" s="11">
        <f ca="1">SUMIF('취약점 진단 항목별 통계'!$A:$A,$A9&amp;"*",'취약점 진단 항목별 통계'!$L:$L)</f>
        <v>19</v>
      </c>
      <c r="L9" s="74">
        <f ca="1">IF($I9=$E9, "N/A", (K9/J9))</f>
        <v>0.33333333333333331</v>
      </c>
    </row>
    <row r="10" spans="1:12" ht="15.95" customHeight="1" thickBot="1">
      <c r="A10" s="212" t="s">
        <v>75</v>
      </c>
      <c r="B10" s="213"/>
      <c r="C10" s="213"/>
      <c r="D10" s="214"/>
      <c r="E10" s="75">
        <f t="shared" ref="E10:K10" ca="1" si="0">SUM(E6:E9)</f>
        <v>51</v>
      </c>
      <c r="F10" s="75">
        <f t="shared" ca="1" si="0"/>
        <v>51</v>
      </c>
      <c r="G10" s="75">
        <f t="shared" ca="1" si="0"/>
        <v>17</v>
      </c>
      <c r="H10" s="75">
        <f t="shared" ca="1" si="0"/>
        <v>0</v>
      </c>
      <c r="I10" s="75">
        <f t="shared" ca="1" si="0"/>
        <v>0</v>
      </c>
      <c r="J10" s="75">
        <f t="shared" ca="1" si="0"/>
        <v>135</v>
      </c>
      <c r="K10" s="75">
        <f t="shared" ca="1" si="0"/>
        <v>45</v>
      </c>
      <c r="L10" s="76">
        <f ca="1">IFERROR(K10/J10, 0)</f>
        <v>0.33333333333333331</v>
      </c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8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E15" s="12"/>
      <c r="F15" s="12"/>
      <c r="G15" s="12"/>
      <c r="H15" s="12"/>
      <c r="I15" s="12"/>
      <c r="J15" s="1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L37" s="6"/>
    </row>
    <row r="38" spans="1:12" ht="15.95" customHeight="1" thickBot="1">
      <c r="A38" s="5" t="s">
        <v>76</v>
      </c>
      <c r="L38" s="6"/>
    </row>
    <row r="39" spans="1:12" ht="15.95" customHeight="1" thickBot="1">
      <c r="A39" s="205" t="s">
        <v>77</v>
      </c>
      <c r="B39" s="181"/>
      <c r="C39" s="181"/>
      <c r="D39" s="182"/>
      <c r="E39" s="202" t="s">
        <v>66</v>
      </c>
      <c r="F39" s="203"/>
      <c r="G39" s="203"/>
      <c r="H39" s="203"/>
      <c r="I39" s="204"/>
      <c r="J39" s="202" t="s">
        <v>67</v>
      </c>
      <c r="K39" s="203"/>
      <c r="L39" s="204"/>
    </row>
    <row r="40" spans="1:12" ht="15.95" customHeight="1" thickBot="1">
      <c r="A40" s="209"/>
      <c r="B40" s="210"/>
      <c r="C40" s="207"/>
      <c r="D40" s="208"/>
      <c r="E40" s="72" t="s">
        <v>68</v>
      </c>
      <c r="F40" s="72" t="s">
        <v>61</v>
      </c>
      <c r="G40" s="72" t="s">
        <v>69</v>
      </c>
      <c r="H40" s="72" t="s">
        <v>70</v>
      </c>
      <c r="I40" s="72" t="s">
        <v>71</v>
      </c>
      <c r="J40" s="72" t="s">
        <v>72</v>
      </c>
      <c r="K40" s="72" t="s">
        <v>73</v>
      </c>
      <c r="L40" s="73" t="s">
        <v>74</v>
      </c>
    </row>
    <row r="41" spans="1:12" ht="13.5" customHeight="1">
      <c r="A41" s="215" t="str">
        <f>HYPERLINK("#'P-01'!A1", "P-01")</f>
        <v>P-01</v>
      </c>
      <c r="B41" s="216"/>
      <c r="C41" s="201" t="str">
        <f>IFERROR(VLOOKUP($A41,자산목록!$B$1:$M$826,6,FALSE),"-")</f>
        <v>-</v>
      </c>
      <c r="D41" s="189"/>
      <c r="E41" s="60">
        <f ca="1">IFERROR(INDIRECT(ADDRESS(16, 4, 1, TRUE, $A41)), 0)</f>
        <v>0</v>
      </c>
      <c r="F41" s="60">
        <f ca="1">E41-I41</f>
        <v>0</v>
      </c>
      <c r="G41" s="60">
        <f ca="1">IFERROR(INDIRECT(ADDRESS(16, 5, 1,TRUE,$A41)),0)</f>
        <v>0</v>
      </c>
      <c r="H41" s="60">
        <f ca="1">IFERROR(INDIRECT(ADDRESS(16, 6, 1,TRUE,$A41)),0)</f>
        <v>0</v>
      </c>
      <c r="I41" s="60">
        <f ca="1">IFERROR(INDIRECT(ADDRESS(17, 7, 1,TRUE,$A41)),0)</f>
        <v>0</v>
      </c>
      <c r="J41" s="60">
        <f ca="1">IFERROR(INDIRECT(ADDRESS(16, 18, 1,TRUE,$A41)),0)</f>
        <v>0</v>
      </c>
      <c r="K41" s="60">
        <f ca="1">IFERROR(INDIRECT(ADDRESS(16, 18, 1,TRUE,$A41)),0)</f>
        <v>0</v>
      </c>
      <c r="L41" s="77">
        <f ca="1">IFERROR(INDIRECT(ADDRESS(16,8, 1,TRUE,$A41)),0)</f>
        <v>0</v>
      </c>
    </row>
    <row r="42" spans="1:12" ht="13.5" customHeight="1">
      <c r="A42" s="218" t="str">
        <f>HYPERLINK("#'P-02'!A1", "P-02")</f>
        <v>P-02</v>
      </c>
      <c r="B42" s="200"/>
      <c r="C42" s="201" t="str">
        <f>IFERROR(VLOOKUP($A42,자산목록!$B$1:$M$826,6,FALSE),"-")</f>
        <v>-</v>
      </c>
      <c r="D42" s="189"/>
      <c r="E42" s="60">
        <f t="shared" ref="E42:E66" ca="1" si="1">IFERROR(INDIRECT(ADDRESS(16, 4, 1, TRUE, $A42)), 0)</f>
        <v>0</v>
      </c>
      <c r="F42" s="60">
        <f t="shared" ref="F42:F66" ca="1" si="2">E42-I42</f>
        <v>0</v>
      </c>
      <c r="G42" s="60">
        <f t="shared" ref="G42:G66" ca="1" si="3">IFERROR(INDIRECT(ADDRESS(16, 5, 1,TRUE,$A42)),0)</f>
        <v>0</v>
      </c>
      <c r="H42" s="60">
        <f t="shared" ref="H42:H66" ca="1" si="4">IFERROR(INDIRECT(ADDRESS(16, 6, 1,TRUE,$A42)),0)</f>
        <v>0</v>
      </c>
      <c r="I42" s="60">
        <f t="shared" ref="I42:I66" ca="1" si="5">IFERROR(INDIRECT(ADDRESS(17, 7, 1,TRUE,$A42)),0)</f>
        <v>0</v>
      </c>
      <c r="J42" s="60">
        <f t="shared" ref="J42:K66" ca="1" si="6">IFERROR(INDIRECT(ADDRESS(16, 18, 1,TRUE,$A42)),0)</f>
        <v>0</v>
      </c>
      <c r="K42" s="60">
        <f t="shared" ca="1" si="6"/>
        <v>0</v>
      </c>
      <c r="L42" s="77">
        <f t="shared" ref="L42:L66" ca="1" si="7">IFERROR(INDIRECT(ADDRESS(16,8, 1,TRUE,$A42)),0)</f>
        <v>0</v>
      </c>
    </row>
    <row r="43" spans="1:12" ht="13.5" customHeight="1">
      <c r="A43" s="199" t="str">
        <f>HYPERLINK("#'P-03'!A1", "P-03")</f>
        <v>P-03</v>
      </c>
      <c r="B43" s="200"/>
      <c r="C43" s="201" t="str">
        <f>IFERROR(VLOOKUP($A43,자산목록!$B$1:$M$826,6,FALSE),"-")</f>
        <v>-</v>
      </c>
      <c r="D43" s="189"/>
      <c r="E43" s="60">
        <f t="shared" ca="1" si="1"/>
        <v>0</v>
      </c>
      <c r="F43" s="60">
        <f t="shared" ca="1" si="2"/>
        <v>0</v>
      </c>
      <c r="G43" s="60">
        <f t="shared" ca="1" si="3"/>
        <v>0</v>
      </c>
      <c r="H43" s="60">
        <f t="shared" ca="1" si="4"/>
        <v>0</v>
      </c>
      <c r="I43" s="60">
        <f t="shared" ca="1" si="5"/>
        <v>0</v>
      </c>
      <c r="J43" s="60">
        <f t="shared" ca="1" si="6"/>
        <v>0</v>
      </c>
      <c r="K43" s="60">
        <f t="shared" ca="1" si="6"/>
        <v>0</v>
      </c>
      <c r="L43" s="77">
        <f t="shared" ca="1" si="7"/>
        <v>0</v>
      </c>
    </row>
    <row r="44" spans="1:12" ht="13.5" customHeight="1">
      <c r="A44" s="215" t="str">
        <f>HYPERLINK("#'P-04'!A1", "P-04")</f>
        <v>P-04</v>
      </c>
      <c r="B44" s="216"/>
      <c r="C44" s="201" t="str">
        <f>IFERROR(VLOOKUP($A44,자산목록!$B$1:$M$826,6,FALSE),"-")</f>
        <v>-</v>
      </c>
      <c r="D44" s="189"/>
      <c r="E44" s="60">
        <f t="shared" ca="1" si="1"/>
        <v>0</v>
      </c>
      <c r="F44" s="60">
        <f t="shared" ca="1" si="2"/>
        <v>0</v>
      </c>
      <c r="G44" s="60">
        <f t="shared" ca="1" si="3"/>
        <v>0</v>
      </c>
      <c r="H44" s="60">
        <f t="shared" ca="1" si="4"/>
        <v>0</v>
      </c>
      <c r="I44" s="60">
        <f t="shared" ca="1" si="5"/>
        <v>0</v>
      </c>
      <c r="J44" s="60">
        <f t="shared" ca="1" si="6"/>
        <v>0</v>
      </c>
      <c r="K44" s="60">
        <f t="shared" ca="1" si="6"/>
        <v>0</v>
      </c>
      <c r="L44" s="77">
        <f t="shared" ca="1" si="7"/>
        <v>0</v>
      </c>
    </row>
    <row r="45" spans="1:12" ht="13.5" customHeight="1">
      <c r="A45" s="199" t="str">
        <f>HYPERLINK("#'P-05'!A1", "P-05")</f>
        <v>P-05</v>
      </c>
      <c r="B45" s="200"/>
      <c r="C45" s="201" t="str">
        <f>IFERROR(VLOOKUP($A45,자산목록!$B$1:$M$826,6,FALSE),"-")</f>
        <v>-</v>
      </c>
      <c r="D45" s="189"/>
      <c r="E45" s="60">
        <f t="shared" ca="1" si="1"/>
        <v>0</v>
      </c>
      <c r="F45" s="60">
        <f t="shared" ca="1" si="2"/>
        <v>0</v>
      </c>
      <c r="G45" s="60">
        <f t="shared" ca="1" si="3"/>
        <v>0</v>
      </c>
      <c r="H45" s="60">
        <f t="shared" ca="1" si="4"/>
        <v>0</v>
      </c>
      <c r="I45" s="60">
        <f t="shared" ca="1" si="5"/>
        <v>0</v>
      </c>
      <c r="J45" s="60">
        <f t="shared" ca="1" si="6"/>
        <v>0</v>
      </c>
      <c r="K45" s="60">
        <f t="shared" ca="1" si="6"/>
        <v>0</v>
      </c>
      <c r="L45" s="77">
        <f t="shared" ca="1" si="7"/>
        <v>0</v>
      </c>
    </row>
    <row r="46" spans="1:12" ht="13.5" customHeight="1">
      <c r="A46" s="199" t="str">
        <f>HYPERLINK("#'P-06'!A1", "P-06")</f>
        <v>P-06</v>
      </c>
      <c r="B46" s="200"/>
      <c r="C46" s="201" t="str">
        <f>IFERROR(VLOOKUP($A46,자산목록!$B$1:$M$826,6,FALSE),"-")</f>
        <v>-</v>
      </c>
      <c r="D46" s="189"/>
      <c r="E46" s="60">
        <f t="shared" ca="1" si="1"/>
        <v>0</v>
      </c>
      <c r="F46" s="60">
        <f t="shared" ca="1" si="2"/>
        <v>0</v>
      </c>
      <c r="G46" s="60">
        <f t="shared" ca="1" si="3"/>
        <v>0</v>
      </c>
      <c r="H46" s="60">
        <f t="shared" ca="1" si="4"/>
        <v>0</v>
      </c>
      <c r="I46" s="60">
        <f t="shared" ca="1" si="5"/>
        <v>0</v>
      </c>
      <c r="J46" s="60">
        <f t="shared" ca="1" si="6"/>
        <v>0</v>
      </c>
      <c r="K46" s="60">
        <f t="shared" ca="1" si="6"/>
        <v>0</v>
      </c>
      <c r="L46" s="77">
        <f t="shared" ca="1" si="7"/>
        <v>0</v>
      </c>
    </row>
    <row r="47" spans="1:12" ht="13.5" customHeight="1">
      <c r="A47" s="199" t="str">
        <f>HYPERLINK("#'P-07'!A1", "P-07")</f>
        <v>P-07</v>
      </c>
      <c r="B47" s="200"/>
      <c r="C47" s="201" t="str">
        <f>IFERROR(VLOOKUP($A47,자산목록!$B$1:$M$826,6,FALSE),"-")</f>
        <v>-</v>
      </c>
      <c r="D47" s="189"/>
      <c r="E47" s="60">
        <f t="shared" ca="1" si="1"/>
        <v>0</v>
      </c>
      <c r="F47" s="60">
        <f t="shared" ca="1" si="2"/>
        <v>0</v>
      </c>
      <c r="G47" s="60">
        <f t="shared" ca="1" si="3"/>
        <v>0</v>
      </c>
      <c r="H47" s="60">
        <f t="shared" ca="1" si="4"/>
        <v>0</v>
      </c>
      <c r="I47" s="60">
        <f t="shared" ca="1" si="5"/>
        <v>0</v>
      </c>
      <c r="J47" s="60">
        <f t="shared" ca="1" si="6"/>
        <v>0</v>
      </c>
      <c r="K47" s="60">
        <f t="shared" ca="1" si="6"/>
        <v>0</v>
      </c>
      <c r="L47" s="77">
        <f t="shared" ca="1" si="7"/>
        <v>0</v>
      </c>
    </row>
    <row r="48" spans="1:12" ht="13.5" customHeight="1">
      <c r="A48" s="199" t="str">
        <f>HYPERLINK("#'P-08'!A1", "P-08")</f>
        <v>P-08</v>
      </c>
      <c r="B48" s="200"/>
      <c r="C48" s="201" t="str">
        <f>IFERROR(VLOOKUP($A48,자산목록!$B$1:$M$826,6,FALSE),"-")</f>
        <v>-</v>
      </c>
      <c r="D48" s="189"/>
      <c r="E48" s="60">
        <f t="shared" ca="1" si="1"/>
        <v>0</v>
      </c>
      <c r="F48" s="60">
        <f t="shared" ca="1" si="2"/>
        <v>0</v>
      </c>
      <c r="G48" s="60">
        <f t="shared" ca="1" si="3"/>
        <v>0</v>
      </c>
      <c r="H48" s="60">
        <f t="shared" ca="1" si="4"/>
        <v>0</v>
      </c>
      <c r="I48" s="60">
        <f t="shared" ca="1" si="5"/>
        <v>0</v>
      </c>
      <c r="J48" s="60">
        <f t="shared" ca="1" si="6"/>
        <v>0</v>
      </c>
      <c r="K48" s="60">
        <f t="shared" ca="1" si="6"/>
        <v>0</v>
      </c>
      <c r="L48" s="77">
        <f t="shared" ca="1" si="7"/>
        <v>0</v>
      </c>
    </row>
    <row r="49" spans="1:12" ht="13.5" customHeight="1">
      <c r="A49" s="199" t="str">
        <f>HYPERLINK("#'P-09'!A1", "P-09")</f>
        <v>P-09</v>
      </c>
      <c r="B49" s="200"/>
      <c r="C49" s="201" t="str">
        <f>IFERROR(VLOOKUP($A49,자산목록!$B$1:$M$826,6,FALSE),"-")</f>
        <v>-</v>
      </c>
      <c r="D49" s="189"/>
      <c r="E49" s="60">
        <f t="shared" ca="1" si="1"/>
        <v>0</v>
      </c>
      <c r="F49" s="60">
        <f t="shared" ca="1" si="2"/>
        <v>0</v>
      </c>
      <c r="G49" s="60">
        <f t="shared" ca="1" si="3"/>
        <v>0</v>
      </c>
      <c r="H49" s="60">
        <f t="shared" ca="1" si="4"/>
        <v>0</v>
      </c>
      <c r="I49" s="60">
        <f t="shared" ca="1" si="5"/>
        <v>0</v>
      </c>
      <c r="J49" s="60">
        <f t="shared" ca="1" si="6"/>
        <v>0</v>
      </c>
      <c r="K49" s="60">
        <f t="shared" ca="1" si="6"/>
        <v>0</v>
      </c>
      <c r="L49" s="77">
        <f t="shared" ca="1" si="7"/>
        <v>0</v>
      </c>
    </row>
    <row r="50" spans="1:12" ht="13.5" customHeight="1">
      <c r="A50" s="199" t="str">
        <f>HYPERLINK("#'P-10'!A1", "P-10")</f>
        <v>P-10</v>
      </c>
      <c r="B50" s="200"/>
      <c r="C50" s="201" t="str">
        <f>IFERROR(VLOOKUP($A50,자산목록!$B$1:$M$826,6,FALSE),"-")</f>
        <v>-</v>
      </c>
      <c r="D50" s="189"/>
      <c r="E50" s="60">
        <f t="shared" ca="1" si="1"/>
        <v>0</v>
      </c>
      <c r="F50" s="60">
        <f t="shared" ca="1" si="2"/>
        <v>0</v>
      </c>
      <c r="G50" s="60">
        <f t="shared" ca="1" si="3"/>
        <v>0</v>
      </c>
      <c r="H50" s="60">
        <f t="shared" ca="1" si="4"/>
        <v>0</v>
      </c>
      <c r="I50" s="60">
        <f t="shared" ca="1" si="5"/>
        <v>0</v>
      </c>
      <c r="J50" s="60">
        <f t="shared" ca="1" si="6"/>
        <v>0</v>
      </c>
      <c r="K50" s="60">
        <f t="shared" ca="1" si="6"/>
        <v>0</v>
      </c>
      <c r="L50" s="77">
        <f t="shared" ca="1" si="7"/>
        <v>0</v>
      </c>
    </row>
    <row r="51" spans="1:12" ht="13.5" customHeight="1">
      <c r="A51" s="199" t="str">
        <f>HYPERLINK("#'P-11'!A1", "P-11")</f>
        <v>P-11</v>
      </c>
      <c r="B51" s="200"/>
      <c r="C51" s="201" t="str">
        <f>IFERROR(VLOOKUP($A51,자산목록!$B$1:$M$826,6,FALSE),"-")</f>
        <v>-</v>
      </c>
      <c r="D51" s="189"/>
      <c r="E51" s="60">
        <f t="shared" ca="1" si="1"/>
        <v>0</v>
      </c>
      <c r="F51" s="60">
        <f t="shared" ca="1" si="2"/>
        <v>0</v>
      </c>
      <c r="G51" s="60">
        <f t="shared" ca="1" si="3"/>
        <v>0</v>
      </c>
      <c r="H51" s="60">
        <f t="shared" ca="1" si="4"/>
        <v>0</v>
      </c>
      <c r="I51" s="60">
        <f t="shared" ca="1" si="5"/>
        <v>0</v>
      </c>
      <c r="J51" s="60">
        <f t="shared" ca="1" si="6"/>
        <v>0</v>
      </c>
      <c r="K51" s="60">
        <f t="shared" ca="1" si="6"/>
        <v>0</v>
      </c>
      <c r="L51" s="77">
        <f t="shared" ca="1" si="7"/>
        <v>0</v>
      </c>
    </row>
    <row r="52" spans="1:12" ht="13.5" customHeight="1">
      <c r="A52" s="199" t="str">
        <f>HYPERLINK("#'P-12'!A1", "P-12")</f>
        <v>P-12</v>
      </c>
      <c r="B52" s="200"/>
      <c r="C52" s="201" t="str">
        <f>IFERROR(VLOOKUP($A52,자산목록!$B$1:$M$826,6,FALSE),"-")</f>
        <v>-</v>
      </c>
      <c r="D52" s="189"/>
      <c r="E52" s="60">
        <f t="shared" ca="1" si="1"/>
        <v>0</v>
      </c>
      <c r="F52" s="60">
        <f t="shared" ca="1" si="2"/>
        <v>0</v>
      </c>
      <c r="G52" s="60">
        <f t="shared" ca="1" si="3"/>
        <v>0</v>
      </c>
      <c r="H52" s="60">
        <f t="shared" ca="1" si="4"/>
        <v>0</v>
      </c>
      <c r="I52" s="60">
        <f t="shared" ca="1" si="5"/>
        <v>0</v>
      </c>
      <c r="J52" s="60">
        <f t="shared" ca="1" si="6"/>
        <v>0</v>
      </c>
      <c r="K52" s="60">
        <f t="shared" ca="1" si="6"/>
        <v>0</v>
      </c>
      <c r="L52" s="77">
        <f t="shared" ca="1" si="7"/>
        <v>0</v>
      </c>
    </row>
    <row r="53" spans="1:12" ht="13.5" customHeight="1">
      <c r="A53" s="199" t="str">
        <f>HYPERLINK("#'P-13'!A1", "P-13")</f>
        <v>P-13</v>
      </c>
      <c r="B53" s="200"/>
      <c r="C53" s="201" t="str">
        <f>IFERROR(VLOOKUP($A53,자산목록!$B$1:$M$826,6,FALSE),"-")</f>
        <v>-</v>
      </c>
      <c r="D53" s="189"/>
      <c r="E53" s="60">
        <f t="shared" ca="1" si="1"/>
        <v>0</v>
      </c>
      <c r="F53" s="60">
        <f t="shared" ca="1" si="2"/>
        <v>0</v>
      </c>
      <c r="G53" s="60">
        <f t="shared" ca="1" si="3"/>
        <v>0</v>
      </c>
      <c r="H53" s="60">
        <f t="shared" ca="1" si="4"/>
        <v>0</v>
      </c>
      <c r="I53" s="60">
        <f t="shared" ca="1" si="5"/>
        <v>0</v>
      </c>
      <c r="J53" s="60">
        <f t="shared" ca="1" si="6"/>
        <v>0</v>
      </c>
      <c r="K53" s="60">
        <f t="shared" ca="1" si="6"/>
        <v>0</v>
      </c>
      <c r="L53" s="77">
        <f t="shared" ca="1" si="7"/>
        <v>0</v>
      </c>
    </row>
    <row r="54" spans="1:12" ht="13.5" customHeight="1">
      <c r="A54" s="199" t="str">
        <f>HYPERLINK("#'P-14'!A1", "P-14")</f>
        <v>P-14</v>
      </c>
      <c r="B54" s="200"/>
      <c r="C54" s="201" t="str">
        <f>IFERROR(VLOOKUP($A54,자산목록!$B$1:$M$826,6,FALSE),"-")</f>
        <v>-</v>
      </c>
      <c r="D54" s="189"/>
      <c r="E54" s="60">
        <f t="shared" ca="1" si="1"/>
        <v>0</v>
      </c>
      <c r="F54" s="60">
        <f t="shared" ca="1" si="2"/>
        <v>0</v>
      </c>
      <c r="G54" s="60">
        <f t="shared" ca="1" si="3"/>
        <v>0</v>
      </c>
      <c r="H54" s="60">
        <f t="shared" ca="1" si="4"/>
        <v>0</v>
      </c>
      <c r="I54" s="60">
        <f t="shared" ca="1" si="5"/>
        <v>0</v>
      </c>
      <c r="J54" s="60">
        <f t="shared" ca="1" si="6"/>
        <v>0</v>
      </c>
      <c r="K54" s="60">
        <f t="shared" ca="1" si="6"/>
        <v>0</v>
      </c>
      <c r="L54" s="77">
        <f t="shared" ca="1" si="7"/>
        <v>0</v>
      </c>
    </row>
    <row r="55" spans="1:12" ht="13.5" customHeight="1">
      <c r="A55" s="199" t="str">
        <f>HYPERLINK("#'P-15'!A1", "P-15")</f>
        <v>P-15</v>
      </c>
      <c r="B55" s="200"/>
      <c r="C55" s="201" t="str">
        <f>IFERROR(VLOOKUP($A55,자산목록!$B$1:$M$826,6,FALSE),"-")</f>
        <v>-</v>
      </c>
      <c r="D55" s="189"/>
      <c r="E55" s="60">
        <f t="shared" ca="1" si="1"/>
        <v>0</v>
      </c>
      <c r="F55" s="60">
        <f t="shared" ca="1" si="2"/>
        <v>0</v>
      </c>
      <c r="G55" s="60">
        <f t="shared" ca="1" si="3"/>
        <v>0</v>
      </c>
      <c r="H55" s="60">
        <f t="shared" ca="1" si="4"/>
        <v>0</v>
      </c>
      <c r="I55" s="60">
        <f t="shared" ca="1" si="5"/>
        <v>0</v>
      </c>
      <c r="J55" s="60">
        <f t="shared" ca="1" si="6"/>
        <v>0</v>
      </c>
      <c r="K55" s="60">
        <f t="shared" ca="1" si="6"/>
        <v>0</v>
      </c>
      <c r="L55" s="77">
        <f t="shared" ca="1" si="7"/>
        <v>0</v>
      </c>
    </row>
    <row r="56" spans="1:12" ht="13.5" customHeight="1">
      <c r="A56" s="199" t="str">
        <f>HYPERLINK("#'P-16'!A1", "P-16")</f>
        <v>P-16</v>
      </c>
      <c r="B56" s="200"/>
      <c r="C56" s="201" t="str">
        <f>IFERROR(VLOOKUP($A56,자산목록!$B$1:$M$826,6,FALSE),"-")</f>
        <v>-</v>
      </c>
      <c r="D56" s="189"/>
      <c r="E56" s="60">
        <f t="shared" ca="1" si="1"/>
        <v>0</v>
      </c>
      <c r="F56" s="60">
        <f t="shared" ca="1" si="2"/>
        <v>0</v>
      </c>
      <c r="G56" s="60">
        <f t="shared" ca="1" si="3"/>
        <v>0</v>
      </c>
      <c r="H56" s="60">
        <f t="shared" ca="1" si="4"/>
        <v>0</v>
      </c>
      <c r="I56" s="60">
        <f t="shared" ca="1" si="5"/>
        <v>0</v>
      </c>
      <c r="J56" s="60">
        <f t="shared" ca="1" si="6"/>
        <v>0</v>
      </c>
      <c r="K56" s="60">
        <f t="shared" ca="1" si="6"/>
        <v>0</v>
      </c>
      <c r="L56" s="77">
        <f t="shared" ca="1" si="7"/>
        <v>0</v>
      </c>
    </row>
    <row r="57" spans="1:12" ht="13.5" customHeight="1">
      <c r="A57" s="199" t="str">
        <f>HYPERLINK("#'P-17'!A1", "P-17")</f>
        <v>P-17</v>
      </c>
      <c r="B57" s="200"/>
      <c r="C57" s="201" t="str">
        <f>IFERROR(VLOOKUP($A57,자산목록!$B$1:$M$826,6,FALSE),"-")</f>
        <v>-</v>
      </c>
      <c r="D57" s="189"/>
      <c r="E57" s="60">
        <f t="shared" ca="1" si="1"/>
        <v>0</v>
      </c>
      <c r="F57" s="60">
        <f t="shared" ca="1" si="2"/>
        <v>0</v>
      </c>
      <c r="G57" s="60">
        <f t="shared" ca="1" si="3"/>
        <v>0</v>
      </c>
      <c r="H57" s="60">
        <f t="shared" ca="1" si="4"/>
        <v>0</v>
      </c>
      <c r="I57" s="60">
        <f t="shared" ca="1" si="5"/>
        <v>0</v>
      </c>
      <c r="J57" s="60">
        <f t="shared" ca="1" si="6"/>
        <v>0</v>
      </c>
      <c r="K57" s="60">
        <f t="shared" ca="1" si="6"/>
        <v>0</v>
      </c>
      <c r="L57" s="77">
        <f t="shared" ca="1" si="7"/>
        <v>0</v>
      </c>
    </row>
    <row r="58" spans="1:12" ht="13.5" customHeight="1">
      <c r="A58" s="199" t="str">
        <f>HYPERLINK("#'P-18'!A1", "P-18")</f>
        <v>P-18</v>
      </c>
      <c r="B58" s="200"/>
      <c r="C58" s="201" t="str">
        <f>IFERROR(VLOOKUP($A58,자산목록!$B$1:$M$826,6,FALSE),"-")</f>
        <v>-</v>
      </c>
      <c r="D58" s="189"/>
      <c r="E58" s="60">
        <f t="shared" ca="1" si="1"/>
        <v>0</v>
      </c>
      <c r="F58" s="60">
        <f t="shared" ca="1" si="2"/>
        <v>0</v>
      </c>
      <c r="G58" s="60">
        <f t="shared" ca="1" si="3"/>
        <v>0</v>
      </c>
      <c r="H58" s="60">
        <f t="shared" ca="1" si="4"/>
        <v>0</v>
      </c>
      <c r="I58" s="60">
        <f t="shared" ca="1" si="5"/>
        <v>0</v>
      </c>
      <c r="J58" s="60">
        <f t="shared" ca="1" si="6"/>
        <v>0</v>
      </c>
      <c r="K58" s="60">
        <f t="shared" ca="1" si="6"/>
        <v>0</v>
      </c>
      <c r="L58" s="77">
        <f t="shared" ca="1" si="7"/>
        <v>0</v>
      </c>
    </row>
    <row r="59" spans="1:12" ht="13.5" customHeight="1">
      <c r="A59" s="199" t="str">
        <f>HYPERLINK("#'P-19'!A1", "P-19")</f>
        <v>P-19</v>
      </c>
      <c r="B59" s="200"/>
      <c r="C59" s="201" t="str">
        <f>IFERROR(VLOOKUP($A59,자산목록!$B$1:$M$826,6,FALSE),"-")</f>
        <v>-</v>
      </c>
      <c r="D59" s="189"/>
      <c r="E59" s="60">
        <f t="shared" ca="1" si="1"/>
        <v>0</v>
      </c>
      <c r="F59" s="60">
        <f t="shared" ca="1" si="2"/>
        <v>0</v>
      </c>
      <c r="G59" s="60">
        <f t="shared" ca="1" si="3"/>
        <v>0</v>
      </c>
      <c r="H59" s="60">
        <f t="shared" ca="1" si="4"/>
        <v>0</v>
      </c>
      <c r="I59" s="60">
        <f t="shared" ca="1" si="5"/>
        <v>0</v>
      </c>
      <c r="J59" s="60">
        <f t="shared" ca="1" si="6"/>
        <v>0</v>
      </c>
      <c r="K59" s="60">
        <f t="shared" ca="1" si="6"/>
        <v>0</v>
      </c>
      <c r="L59" s="77">
        <f t="shared" ca="1" si="7"/>
        <v>0</v>
      </c>
    </row>
    <row r="60" spans="1:12" ht="13.5" customHeight="1">
      <c r="A60" s="199" t="str">
        <f>HYPERLINK("#'P-20'!A1", "P-20")</f>
        <v>P-20</v>
      </c>
      <c r="B60" s="200"/>
      <c r="C60" s="201" t="str">
        <f>IFERROR(VLOOKUP($A60,자산목록!$B$1:$M$826,6,FALSE),"-")</f>
        <v>-</v>
      </c>
      <c r="D60" s="189"/>
      <c r="E60" s="60">
        <f t="shared" ca="1" si="1"/>
        <v>0</v>
      </c>
      <c r="F60" s="60">
        <f t="shared" ca="1" si="2"/>
        <v>0</v>
      </c>
      <c r="G60" s="60">
        <f t="shared" ca="1" si="3"/>
        <v>0</v>
      </c>
      <c r="H60" s="60">
        <f t="shared" ca="1" si="4"/>
        <v>0</v>
      </c>
      <c r="I60" s="60">
        <f t="shared" ca="1" si="5"/>
        <v>0</v>
      </c>
      <c r="J60" s="60">
        <f t="shared" ca="1" si="6"/>
        <v>0</v>
      </c>
      <c r="K60" s="60">
        <f t="shared" ca="1" si="6"/>
        <v>0</v>
      </c>
      <c r="L60" s="77">
        <f t="shared" ca="1" si="7"/>
        <v>0</v>
      </c>
    </row>
    <row r="61" spans="1:12" ht="13.5" customHeight="1">
      <c r="A61" s="199" t="str">
        <f>HYPERLINK("#'P-21'!A1", "P-21")</f>
        <v>P-21</v>
      </c>
      <c r="B61" s="200"/>
      <c r="C61" s="201" t="str">
        <f>IFERROR(VLOOKUP($A61,자산목록!$B$1:$M$826,6,FALSE),"-")</f>
        <v>-</v>
      </c>
      <c r="D61" s="189"/>
      <c r="E61" s="60">
        <f t="shared" ca="1" si="1"/>
        <v>0</v>
      </c>
      <c r="F61" s="60">
        <f t="shared" ca="1" si="2"/>
        <v>0</v>
      </c>
      <c r="G61" s="60">
        <f t="shared" ca="1" si="3"/>
        <v>0</v>
      </c>
      <c r="H61" s="60">
        <f t="shared" ca="1" si="4"/>
        <v>0</v>
      </c>
      <c r="I61" s="60">
        <f t="shared" ca="1" si="5"/>
        <v>0</v>
      </c>
      <c r="J61" s="60">
        <f t="shared" ca="1" si="6"/>
        <v>0</v>
      </c>
      <c r="K61" s="60">
        <f t="shared" ca="1" si="6"/>
        <v>0</v>
      </c>
      <c r="L61" s="77">
        <f t="shared" ca="1" si="7"/>
        <v>0</v>
      </c>
    </row>
    <row r="62" spans="1:12" ht="13.5" customHeight="1">
      <c r="A62" s="199" t="str">
        <f>HYPERLINK("#'P-22'!A1", "P-22")</f>
        <v>P-22</v>
      </c>
      <c r="B62" s="200"/>
      <c r="C62" s="201" t="str">
        <f>IFERROR(VLOOKUP($A62,자산목록!$B$1:$M$826,6,FALSE),"-")</f>
        <v>-</v>
      </c>
      <c r="D62" s="189"/>
      <c r="E62" s="60">
        <f t="shared" ca="1" si="1"/>
        <v>0</v>
      </c>
      <c r="F62" s="60">
        <f t="shared" ca="1" si="2"/>
        <v>0</v>
      </c>
      <c r="G62" s="60">
        <f t="shared" ca="1" si="3"/>
        <v>0</v>
      </c>
      <c r="H62" s="60">
        <f t="shared" ca="1" si="4"/>
        <v>0</v>
      </c>
      <c r="I62" s="60">
        <f t="shared" ca="1" si="5"/>
        <v>0</v>
      </c>
      <c r="J62" s="60">
        <f t="shared" ca="1" si="6"/>
        <v>0</v>
      </c>
      <c r="K62" s="60">
        <f t="shared" ca="1" si="6"/>
        <v>0</v>
      </c>
      <c r="L62" s="77">
        <f t="shared" ca="1" si="7"/>
        <v>0</v>
      </c>
    </row>
    <row r="63" spans="1:12" ht="13.5" customHeight="1">
      <c r="A63" s="199" t="str">
        <f>HYPERLINK("#'P-23'!A1", "P-23")</f>
        <v>P-23</v>
      </c>
      <c r="B63" s="200"/>
      <c r="C63" s="201" t="str">
        <f>IFERROR(VLOOKUP($A63,자산목록!$B$1:$M$826,6,FALSE),"-")</f>
        <v>-</v>
      </c>
      <c r="D63" s="189"/>
      <c r="E63" s="60">
        <f t="shared" ca="1" si="1"/>
        <v>0</v>
      </c>
      <c r="F63" s="60">
        <f t="shared" ca="1" si="2"/>
        <v>0</v>
      </c>
      <c r="G63" s="60">
        <f t="shared" ca="1" si="3"/>
        <v>0</v>
      </c>
      <c r="H63" s="60">
        <f t="shared" ca="1" si="4"/>
        <v>0</v>
      </c>
      <c r="I63" s="60">
        <f t="shared" ca="1" si="5"/>
        <v>0</v>
      </c>
      <c r="J63" s="60">
        <f t="shared" ca="1" si="6"/>
        <v>0</v>
      </c>
      <c r="K63" s="60">
        <f t="shared" ca="1" si="6"/>
        <v>0</v>
      </c>
      <c r="L63" s="77">
        <f t="shared" ca="1" si="7"/>
        <v>0</v>
      </c>
    </row>
    <row r="64" spans="1:12" ht="13.5" customHeight="1">
      <c r="A64" s="199" t="str">
        <f>HYPERLINK("#'P-24'!A1", "P-24")</f>
        <v>P-24</v>
      </c>
      <c r="B64" s="200"/>
      <c r="C64" s="201" t="str">
        <f>IFERROR(VLOOKUP($A64,자산목록!$B$1:$M$826,6,FALSE),"-")</f>
        <v>-</v>
      </c>
      <c r="D64" s="189"/>
      <c r="E64" s="60">
        <f t="shared" ca="1" si="1"/>
        <v>0</v>
      </c>
      <c r="F64" s="60">
        <f t="shared" ca="1" si="2"/>
        <v>0</v>
      </c>
      <c r="G64" s="60">
        <f t="shared" ca="1" si="3"/>
        <v>0</v>
      </c>
      <c r="H64" s="60">
        <f t="shared" ca="1" si="4"/>
        <v>0</v>
      </c>
      <c r="I64" s="60">
        <f t="shared" ca="1" si="5"/>
        <v>0</v>
      </c>
      <c r="J64" s="60">
        <f t="shared" ca="1" si="6"/>
        <v>0</v>
      </c>
      <c r="K64" s="60">
        <f t="shared" ca="1" si="6"/>
        <v>0</v>
      </c>
      <c r="L64" s="77">
        <f t="shared" ca="1" si="7"/>
        <v>0</v>
      </c>
    </row>
    <row r="65" spans="1:12" ht="13.5" customHeight="1">
      <c r="A65" s="199" t="str">
        <f>HYPERLINK("#'P-25'!A1", "P-25")</f>
        <v>P-25</v>
      </c>
      <c r="B65" s="200"/>
      <c r="C65" s="201" t="str">
        <f>IFERROR(VLOOKUP($A65,자산목록!$B$1:$M$826,6,FALSE),"-")</f>
        <v>-</v>
      </c>
      <c r="D65" s="189"/>
      <c r="E65" s="60">
        <f t="shared" ca="1" si="1"/>
        <v>0</v>
      </c>
      <c r="F65" s="60">
        <f t="shared" ca="1" si="2"/>
        <v>0</v>
      </c>
      <c r="G65" s="60">
        <f t="shared" ca="1" si="3"/>
        <v>0</v>
      </c>
      <c r="H65" s="60">
        <f t="shared" ca="1" si="4"/>
        <v>0</v>
      </c>
      <c r="I65" s="60">
        <f t="shared" ca="1" si="5"/>
        <v>0</v>
      </c>
      <c r="J65" s="60">
        <f t="shared" ca="1" si="6"/>
        <v>0</v>
      </c>
      <c r="K65" s="60">
        <f t="shared" ca="1" si="6"/>
        <v>0</v>
      </c>
      <c r="L65" s="77">
        <f t="shared" ca="1" si="7"/>
        <v>0</v>
      </c>
    </row>
    <row r="66" spans="1:12" ht="13.5" customHeight="1">
      <c r="A66" s="199" t="str">
        <f>HYPERLINK("#'P-25'!A1", "P-25")</f>
        <v>P-25</v>
      </c>
      <c r="B66" s="200"/>
      <c r="C66" s="201" t="str">
        <f>IFERROR(VLOOKUP($A66,자산목록!$B$1:$M$826,6,FALSE),"-")</f>
        <v>-</v>
      </c>
      <c r="D66" s="189"/>
      <c r="E66" s="60">
        <f t="shared" ca="1" si="1"/>
        <v>0</v>
      </c>
      <c r="F66" s="60">
        <f t="shared" ca="1" si="2"/>
        <v>0</v>
      </c>
      <c r="G66" s="60">
        <f t="shared" ca="1" si="3"/>
        <v>0</v>
      </c>
      <c r="H66" s="60">
        <f t="shared" ca="1" si="4"/>
        <v>0</v>
      </c>
      <c r="I66" s="60">
        <f t="shared" ca="1" si="5"/>
        <v>0</v>
      </c>
      <c r="J66" s="60">
        <f t="shared" ca="1" si="6"/>
        <v>0</v>
      </c>
      <c r="K66" s="60">
        <f t="shared" ca="1" si="6"/>
        <v>0</v>
      </c>
      <c r="L66" s="77">
        <f t="shared" ca="1" si="7"/>
        <v>0</v>
      </c>
    </row>
    <row r="67" spans="1:12" ht="15.95" customHeight="1" thickBot="1">
      <c r="A67" s="217" t="s">
        <v>75</v>
      </c>
      <c r="B67" s="213"/>
      <c r="C67" s="213"/>
      <c r="D67" s="214"/>
      <c r="E67" s="79">
        <f t="shared" ref="E67:K67" ca="1" si="8">SUM(E41:E41)</f>
        <v>0</v>
      </c>
      <c r="F67" s="79">
        <f t="shared" ca="1" si="8"/>
        <v>0</v>
      </c>
      <c r="G67" s="79">
        <f t="shared" ca="1" si="8"/>
        <v>0</v>
      </c>
      <c r="H67" s="79">
        <f t="shared" ca="1" si="8"/>
        <v>0</v>
      </c>
      <c r="I67" s="79">
        <f t="shared" ca="1" si="8"/>
        <v>0</v>
      </c>
      <c r="J67" s="79">
        <f t="shared" ca="1" si="8"/>
        <v>0</v>
      </c>
      <c r="K67" s="79">
        <f t="shared" ca="1" si="8"/>
        <v>0</v>
      </c>
      <c r="L67" s="80">
        <f ca="1">IFERROR(K67/J67, 0)</f>
        <v>0</v>
      </c>
    </row>
    <row r="68" spans="1:12">
      <c r="A68" s="2"/>
    </row>
    <row r="69" spans="1:12">
      <c r="A69" s="6"/>
    </row>
    <row r="70" spans="1:12">
      <c r="A70" s="6"/>
    </row>
    <row r="71" spans="1:12">
      <c r="A71" s="6"/>
    </row>
    <row r="72" spans="1:12">
      <c r="A72" s="6"/>
    </row>
    <row r="73" spans="1:12">
      <c r="A73" s="6"/>
    </row>
    <row r="74" spans="1:12">
      <c r="A74" s="6"/>
    </row>
    <row r="75" spans="1:12">
      <c r="A75" s="6"/>
    </row>
    <row r="76" spans="1:12">
      <c r="A76" s="6"/>
    </row>
    <row r="77" spans="1:12">
      <c r="A77" s="6"/>
    </row>
    <row r="78" spans="1:12">
      <c r="A78" s="6"/>
    </row>
    <row r="79" spans="1:12">
      <c r="A79" s="6"/>
    </row>
    <row r="80" spans="1:12">
      <c r="A80" s="6"/>
    </row>
    <row r="81" spans="1:1">
      <c r="A81" s="6"/>
    </row>
  </sheetData>
  <mergeCells count="64">
    <mergeCell ref="C51:D51"/>
    <mergeCell ref="C53:D53"/>
    <mergeCell ref="C52:D52"/>
    <mergeCell ref="C54:D54"/>
    <mergeCell ref="C66:D66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42:D42"/>
    <mergeCell ref="C44:D44"/>
    <mergeCell ref="A41:B41"/>
    <mergeCell ref="C41:D41"/>
    <mergeCell ref="A67:D67"/>
    <mergeCell ref="A42:B42"/>
    <mergeCell ref="A44:B44"/>
    <mergeCell ref="A43:B43"/>
    <mergeCell ref="C43:D43"/>
    <mergeCell ref="C45:D45"/>
    <mergeCell ref="C46:D46"/>
    <mergeCell ref="C47:D47"/>
    <mergeCell ref="C48:D48"/>
    <mergeCell ref="C49:D49"/>
    <mergeCell ref="C50:D50"/>
    <mergeCell ref="C55:D55"/>
    <mergeCell ref="J4:L4"/>
    <mergeCell ref="J39:L39"/>
    <mergeCell ref="E39:I39"/>
    <mergeCell ref="A4:D5"/>
    <mergeCell ref="E4:I4"/>
    <mergeCell ref="A39:D40"/>
    <mergeCell ref="A6:D6"/>
    <mergeCell ref="A7:D7"/>
    <mergeCell ref="A8:D8"/>
    <mergeCell ref="A9:D9"/>
    <mergeCell ref="A10:D10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6:B66"/>
    <mergeCell ref="A65:B65"/>
    <mergeCell ref="C65:D65"/>
    <mergeCell ref="A60:B60"/>
    <mergeCell ref="A61:B61"/>
    <mergeCell ref="A62:B62"/>
    <mergeCell ref="A63:B63"/>
    <mergeCell ref="A64:B6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82"/>
  <sheetViews>
    <sheetView showGridLines="0" view="pageBreakPreview" zoomScale="85" zoomScaleNormal="70" zoomScaleSheetLayoutView="85" zoomScalePageLayoutView="85" workbookViewId="0"/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26" width="8.77734375" style="3" customWidth="1"/>
    <col min="27" max="16384" width="8.77734375" style="3"/>
  </cols>
  <sheetData>
    <row r="1" spans="1:25" ht="17.100000000000001" customHeight="1">
      <c r="A1" s="16" t="s">
        <v>64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95" customHeight="1" thickBot="1">
      <c r="A3" s="5" t="s">
        <v>65</v>
      </c>
    </row>
    <row r="4" spans="1:25" ht="15.95" customHeight="1" thickBot="1">
      <c r="A4" s="205" t="s">
        <v>60</v>
      </c>
      <c r="B4" s="181"/>
      <c r="C4" s="181"/>
      <c r="D4" s="182"/>
      <c r="E4" s="223" t="s">
        <v>66</v>
      </c>
      <c r="F4" s="181"/>
      <c r="G4" s="181"/>
      <c r="H4" s="181"/>
      <c r="I4" s="222"/>
      <c r="J4" s="226" t="s">
        <v>78</v>
      </c>
      <c r="K4" s="203"/>
      <c r="L4" s="203"/>
      <c r="M4" s="203"/>
      <c r="N4" s="204"/>
      <c r="O4" s="219" t="s">
        <v>67</v>
      </c>
      <c r="P4" s="203"/>
      <c r="Q4" s="203"/>
      <c r="R4" s="203"/>
      <c r="S4" s="203"/>
      <c r="T4" s="203"/>
      <c r="U4" s="220"/>
    </row>
    <row r="5" spans="1:25" ht="30.95" customHeight="1" thickBot="1">
      <c r="A5" s="206"/>
      <c r="B5" s="207"/>
      <c r="C5" s="207"/>
      <c r="D5" s="208"/>
      <c r="E5" s="81" t="s">
        <v>68</v>
      </c>
      <c r="F5" s="82" t="s">
        <v>61</v>
      </c>
      <c r="G5" s="83" t="s">
        <v>69</v>
      </c>
      <c r="H5" s="82" t="s">
        <v>70</v>
      </c>
      <c r="I5" s="82" t="s">
        <v>71</v>
      </c>
      <c r="J5" s="84" t="s">
        <v>79</v>
      </c>
      <c r="K5" s="85" t="s">
        <v>80</v>
      </c>
      <c r="L5" s="86" t="s">
        <v>81</v>
      </c>
      <c r="M5" s="86" t="s">
        <v>71</v>
      </c>
      <c r="N5" s="86" t="s">
        <v>82</v>
      </c>
      <c r="O5" s="87" t="s">
        <v>83</v>
      </c>
      <c r="P5" s="88" t="s">
        <v>84</v>
      </c>
      <c r="Q5" s="89" t="s">
        <v>85</v>
      </c>
      <c r="R5" s="89" t="s">
        <v>86</v>
      </c>
      <c r="S5" s="87" t="s">
        <v>87</v>
      </c>
      <c r="T5" s="88" t="s">
        <v>88</v>
      </c>
      <c r="U5" s="90" t="s">
        <v>89</v>
      </c>
    </row>
    <row r="6" spans="1:25">
      <c r="A6" s="211" t="str">
        <f>ChkList!A5</f>
        <v>계정 관리</v>
      </c>
      <c r="B6" s="188"/>
      <c r="C6" s="188"/>
      <c r="D6" s="189"/>
      <c r="E6" s="11">
        <f ca="1">SUMIF('취약점 진단 항목별 통계 (이행)'!$A:$A,$A6&amp;"*",'취약점 진단 항목별 통계 (이행)'!$F:$F)</f>
        <v>6</v>
      </c>
      <c r="F6" s="11">
        <f ca="1">E6-I6</f>
        <v>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2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0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29">
        <f ca="1">K6+L6</f>
        <v>0</v>
      </c>
      <c r="O6" s="11">
        <f ca="1">SUMIF('취약점 진단 항목별 통계 (이행)'!$A:$A,$A6&amp;"*",'취약점 진단 항목별 통계 (이행)'!$O:$O)</f>
        <v>18</v>
      </c>
      <c r="P6" s="11">
        <f ca="1">SUMIF('취약점 진단 항목별 통계 (이행)'!$A:$A,$A6&amp;"*",'취약점 진단 항목별 통계 (이행)'!$P:$P)</f>
        <v>18</v>
      </c>
      <c r="Q6" s="11">
        <f ca="1">SUMIF('취약점 진단 항목별 통계 (이행)'!$A:$A,$A6&amp;"*",'취약점 진단 항목별 통계 (이행)'!$Q:$Q)</f>
        <v>6</v>
      </c>
      <c r="R6" s="11">
        <f ca="1">SUMIF('취약점 진단 항목별 통계 (이행)'!$A:$A,$A6&amp;"*",'취약점 진단 항목별 통계 (이행)'!$R:$R)</f>
        <v>6</v>
      </c>
      <c r="S6" s="25" t="str">
        <f t="shared" ref="S6:S10" ca="1" si="0">IFERROR($J6/($H6-(M6-I6)),"N/A")</f>
        <v>N/A</v>
      </c>
      <c r="T6" s="25">
        <f t="shared" ref="T6:T10" ca="1" si="1">IF($I6=$E6, "N/A", (Q6/O6))</f>
        <v>0.33333333333333331</v>
      </c>
      <c r="U6" s="74">
        <f t="shared" ref="U6:U10" ca="1" si="2">IF(OR($I6=$E6,$E6=$M6),"N/A", ($R6/$P6))</f>
        <v>0.33333333333333331</v>
      </c>
      <c r="V6" s="2"/>
      <c r="W6" s="1"/>
    </row>
    <row r="7" spans="1:25">
      <c r="A7" s="211" t="str">
        <f>ChkList!A8</f>
        <v>서비스 관리</v>
      </c>
      <c r="B7" s="188"/>
      <c r="C7" s="188"/>
      <c r="D7" s="189"/>
      <c r="E7" s="11">
        <f ca="1">SUMIF('취약점 진단 항목별 통계 (이행)'!$A:$A,$A7&amp;"*",'취약점 진단 항목별 통계 (이행)'!$F:$F)</f>
        <v>18</v>
      </c>
      <c r="F7" s="11">
        <f ca="1">E7-I7</f>
        <v>18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0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29">
        <f ca="1">K7+L7</f>
        <v>0</v>
      </c>
      <c r="O7" s="11">
        <f ca="1">SUMIF('취약점 진단 항목별 통계 (이행)'!$A:$A,$A7&amp;"*",'취약점 진단 항목별 통계 (이행)'!$O:$O)</f>
        <v>42</v>
      </c>
      <c r="P7" s="11">
        <f ca="1">SUMIF('취약점 진단 항목별 통계 (이행)'!$A:$A,$A7&amp;"*",'취약점 진단 항목별 통계 (이행)'!$P:$P)</f>
        <v>42</v>
      </c>
      <c r="Q7" s="11">
        <f ca="1">SUMIF('취약점 진단 항목별 통계 (이행)'!$A:$A,$A7&amp;"*",'취약점 진단 항목별 통계 (이행)'!$Q:$Q)</f>
        <v>14</v>
      </c>
      <c r="R7" s="11">
        <f ca="1">SUMIF('취약점 진단 항목별 통계 (이행)'!$A:$A,$A7&amp;"*",'취약점 진단 항목별 통계 (이행)'!$R:$R)</f>
        <v>14</v>
      </c>
      <c r="S7" s="25" t="str">
        <f t="shared" ca="1" si="0"/>
        <v>N/A</v>
      </c>
      <c r="T7" s="25">
        <f t="shared" ca="1" si="1"/>
        <v>0.33333333333333331</v>
      </c>
      <c r="U7" s="74">
        <f t="shared" ca="1" si="2"/>
        <v>0.33333333333333331</v>
      </c>
      <c r="V7" s="2"/>
      <c r="W7" s="1"/>
    </row>
    <row r="8" spans="1:25">
      <c r="A8" s="211" t="str">
        <f>ChkList!A14</f>
        <v>패치 관리</v>
      </c>
      <c r="B8" s="188"/>
      <c r="C8" s="188"/>
      <c r="D8" s="189"/>
      <c r="E8" s="11">
        <f ca="1">SUMIF('취약점 진단 항목별 통계 (이행)'!$A:$A,$A8&amp;"*",'취약점 진단 항목별 통계 (이행)'!$F:$F)</f>
        <v>6</v>
      </c>
      <c r="F8" s="11">
        <f ca="1">E8-I8</f>
        <v>6</v>
      </c>
      <c r="G8" s="11">
        <f ca="1">SUMIF('취약점 진단 항목별 통계'!$A:$A,$A8&amp;"*",'취약점 진단 항목별 통계'!$G:$G)+SUMIF('취약점 진단 항목별 통계'!$A:$A,$A8&amp;"*",'취약점 진단 항목별 통계'!$H:$H)</f>
        <v>2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29">
        <f ca="1">K8+L8</f>
        <v>0</v>
      </c>
      <c r="O8" s="11">
        <f ca="1">SUMIF('취약점 진단 항목별 통계 (이행)'!$A:$A,$A8&amp;"*",'취약점 진단 항목별 통계 (이행)'!$O:$O)</f>
        <v>18</v>
      </c>
      <c r="P8" s="11">
        <f ca="1">SUMIF('취약점 진단 항목별 통계 (이행)'!$A:$A,$A8&amp;"*",'취약점 진단 항목별 통계 (이행)'!$P:$P)</f>
        <v>18</v>
      </c>
      <c r="Q8" s="11">
        <f ca="1">SUMIF('취약점 진단 항목별 통계 (이행)'!$A:$A,$A8&amp;"*",'취약점 진단 항목별 통계 (이행)'!$Q:$Q)</f>
        <v>6</v>
      </c>
      <c r="R8" s="11">
        <f ca="1">SUMIF('취약점 진단 항목별 통계 (이행)'!$A:$A,$A8&amp;"*",'취약점 진단 항목별 통계 (이행)'!$R:$R)</f>
        <v>6</v>
      </c>
      <c r="S8" s="25" t="str">
        <f t="shared" ca="1" si="0"/>
        <v>N/A</v>
      </c>
      <c r="T8" s="25">
        <f t="shared" ca="1" si="1"/>
        <v>0.33333333333333331</v>
      </c>
      <c r="U8" s="74">
        <f t="shared" ca="1" si="2"/>
        <v>0.33333333333333331</v>
      </c>
      <c r="V8" s="6"/>
      <c r="W8" s="6"/>
    </row>
    <row r="9" spans="1:25">
      <c r="A9" s="211" t="str">
        <f>ChkList!A17</f>
        <v>보안 관리</v>
      </c>
      <c r="B9" s="188"/>
      <c r="C9" s="188"/>
      <c r="D9" s="189"/>
      <c r="E9" s="11">
        <f ca="1">SUMIF('취약점 진단 항목별 통계 (이행)'!$A:$A,$A9&amp;"*",'취약점 진단 항목별 통계 (이행)'!$F:$F)</f>
        <v>21</v>
      </c>
      <c r="F9" s="11">
        <f ca="1">E9-I9</f>
        <v>21</v>
      </c>
      <c r="G9" s="11">
        <f ca="1">SUMIF('취약점 진단 항목별 통계'!$A:$A,$A9&amp;"*",'취약점 진단 항목별 통계'!$G:$G)+SUMIF('취약점 진단 항목별 통계'!$A:$A,$A9&amp;"*",'취약점 진단 항목별 통계'!$H:$H)</f>
        <v>7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29">
        <f ca="1">K9+L9</f>
        <v>0</v>
      </c>
      <c r="O9" s="11">
        <f ca="1">SUMIF('취약점 진단 항목별 통계 (이행)'!$A:$A,$A9&amp;"*",'취약점 진단 항목별 통계 (이행)'!$O:$O)</f>
        <v>57</v>
      </c>
      <c r="P9" s="11">
        <f ca="1">SUMIF('취약점 진단 항목별 통계 (이행)'!$A:$A,$A9&amp;"*",'취약점 진단 항목별 통계 (이행)'!$P:$P)</f>
        <v>57</v>
      </c>
      <c r="Q9" s="11">
        <f ca="1">SUMIF('취약점 진단 항목별 통계 (이행)'!$A:$A,$A9&amp;"*",'취약점 진단 항목별 통계 (이행)'!$Q:$Q)</f>
        <v>19</v>
      </c>
      <c r="R9" s="11">
        <f ca="1">SUMIF('취약점 진단 항목별 통계 (이행)'!$A:$A,$A9&amp;"*",'취약점 진단 항목별 통계 (이행)'!$R:$R)</f>
        <v>19</v>
      </c>
      <c r="S9" s="25" t="str">
        <f t="shared" ca="1" si="0"/>
        <v>N/A</v>
      </c>
      <c r="T9" s="25">
        <f t="shared" ca="1" si="1"/>
        <v>0.33333333333333331</v>
      </c>
      <c r="U9" s="74">
        <f t="shared" ca="1" si="2"/>
        <v>0.33333333333333331</v>
      </c>
      <c r="V9" s="6"/>
      <c r="W9" s="6"/>
    </row>
    <row r="10" spans="1:25" ht="15.95" customHeight="1" thickBot="1">
      <c r="A10" s="212" t="s">
        <v>75</v>
      </c>
      <c r="B10" s="213"/>
      <c r="C10" s="213"/>
      <c r="D10" s="214"/>
      <c r="E10" s="91">
        <f t="shared" ref="E10:R10" ca="1" si="3">SUM(E6:E9)</f>
        <v>51</v>
      </c>
      <c r="F10" s="91">
        <f t="shared" ca="1" si="3"/>
        <v>51</v>
      </c>
      <c r="G10" s="91">
        <f t="shared" ca="1" si="3"/>
        <v>17</v>
      </c>
      <c r="H10" s="91">
        <f t="shared" ca="1" si="3"/>
        <v>0</v>
      </c>
      <c r="I10" s="91">
        <f t="shared" ca="1" si="3"/>
        <v>0</v>
      </c>
      <c r="J10" s="91">
        <f t="shared" ca="1" si="3"/>
        <v>0</v>
      </c>
      <c r="K10" s="91">
        <f t="shared" ca="1" si="3"/>
        <v>0</v>
      </c>
      <c r="L10" s="91">
        <f t="shared" ca="1" si="3"/>
        <v>0</v>
      </c>
      <c r="M10" s="91">
        <f t="shared" ca="1" si="3"/>
        <v>0</v>
      </c>
      <c r="N10" s="91">
        <f t="shared" ca="1" si="3"/>
        <v>0</v>
      </c>
      <c r="O10" s="91">
        <f t="shared" ca="1" si="3"/>
        <v>135</v>
      </c>
      <c r="P10" s="91">
        <f t="shared" ca="1" si="3"/>
        <v>135</v>
      </c>
      <c r="Q10" s="91">
        <f t="shared" ca="1" si="3"/>
        <v>45</v>
      </c>
      <c r="R10" s="91">
        <f t="shared" ca="1" si="3"/>
        <v>45</v>
      </c>
      <c r="S10" s="92" t="str">
        <f t="shared" ca="1" si="0"/>
        <v>N/A</v>
      </c>
      <c r="T10" s="92">
        <f t="shared" ca="1" si="1"/>
        <v>0.33333333333333331</v>
      </c>
      <c r="U10" s="76">
        <f t="shared" ca="1" si="2"/>
        <v>0.33333333333333331</v>
      </c>
      <c r="V10" s="6"/>
      <c r="W10" s="6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8"/>
      <c r="S11" s="8"/>
      <c r="T11" s="8"/>
      <c r="U11" s="8"/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R37" s="6"/>
      <c r="S37" s="6"/>
      <c r="T37" s="6"/>
      <c r="U37" s="6"/>
      <c r="V37" s="6"/>
      <c r="W37" s="6"/>
    </row>
    <row r="38" spans="1:23" ht="15.95" customHeight="1" thickBot="1">
      <c r="A38" s="5" t="s">
        <v>76</v>
      </c>
      <c r="R38" s="6"/>
      <c r="S38" s="6"/>
      <c r="T38" s="6"/>
      <c r="U38" s="6"/>
      <c r="V38" s="6"/>
      <c r="W38" s="6"/>
    </row>
    <row r="39" spans="1:23" ht="15.95" customHeight="1" thickBot="1">
      <c r="A39" s="228" t="s">
        <v>77</v>
      </c>
      <c r="B39" s="181"/>
      <c r="C39" s="181"/>
      <c r="D39" s="222"/>
      <c r="E39" s="224" t="s">
        <v>66</v>
      </c>
      <c r="F39" s="203"/>
      <c r="G39" s="203"/>
      <c r="H39" s="203"/>
      <c r="I39" s="225"/>
      <c r="J39" s="227" t="s">
        <v>78</v>
      </c>
      <c r="K39" s="181"/>
      <c r="L39" s="181"/>
      <c r="M39" s="181"/>
      <c r="N39" s="181"/>
      <c r="O39" s="221" t="s">
        <v>67</v>
      </c>
      <c r="P39" s="181"/>
      <c r="Q39" s="181"/>
      <c r="R39" s="181"/>
      <c r="S39" s="181"/>
      <c r="T39" s="181"/>
      <c r="U39" s="222"/>
      <c r="V39" s="6"/>
      <c r="W39" s="6"/>
    </row>
    <row r="40" spans="1:23" ht="27.95" customHeight="1">
      <c r="A40" s="229"/>
      <c r="B40" s="230"/>
      <c r="C40" s="230"/>
      <c r="D40" s="231"/>
      <c r="E40" s="93" t="s">
        <v>68</v>
      </c>
      <c r="F40" s="94" t="s">
        <v>61</v>
      </c>
      <c r="G40" s="95" t="s">
        <v>69</v>
      </c>
      <c r="H40" s="96" t="s">
        <v>70</v>
      </c>
      <c r="I40" s="97" t="s">
        <v>71</v>
      </c>
      <c r="J40" s="96" t="s">
        <v>79</v>
      </c>
      <c r="K40" s="97" t="s">
        <v>80</v>
      </c>
      <c r="L40" s="96" t="s">
        <v>81</v>
      </c>
      <c r="M40" s="96" t="s">
        <v>71</v>
      </c>
      <c r="N40" s="96" t="s">
        <v>82</v>
      </c>
      <c r="O40" s="96" t="s">
        <v>83</v>
      </c>
      <c r="P40" s="96" t="s">
        <v>84</v>
      </c>
      <c r="Q40" s="96" t="s">
        <v>85</v>
      </c>
      <c r="R40" s="96" t="s">
        <v>86</v>
      </c>
      <c r="S40" s="97" t="s">
        <v>87</v>
      </c>
      <c r="T40" s="96" t="s">
        <v>88</v>
      </c>
      <c r="U40" s="98" t="s">
        <v>89</v>
      </c>
      <c r="V40" s="6"/>
      <c r="W40" s="6"/>
    </row>
    <row r="41" spans="1:23" ht="13.5" customHeight="1">
      <c r="A41" s="232" t="str">
        <f>자산목록!B9</f>
        <v>HQ_HR01</v>
      </c>
      <c r="B41" s="233"/>
      <c r="C41" s="234" t="str">
        <f>IFERROR(VLOOKUP($A41,자산목록!$B$1:$M$827,6,FALSE),"-")</f>
        <v>Windows 11 pro</v>
      </c>
      <c r="D41" s="233"/>
      <c r="E41" s="43">
        <f ca="1">IFERROR(INDIRECT(ADDRESS(16, 4, 1,TRUE,$A41)),0)</f>
        <v>0</v>
      </c>
      <c r="F41" s="44">
        <f ca="1">E41-I41</f>
        <v>0</v>
      </c>
      <c r="G41" s="43">
        <f ca="1">IFERROR(INDIRECT(ADDRESS(16,5, 1,TRUE,$A41)),0)</f>
        <v>0</v>
      </c>
      <c r="H41" s="43">
        <f ca="1">IFERROR(INDIRECT(ADDRESS(16,6, 1,TRUE,$A41)),0)</f>
        <v>0</v>
      </c>
      <c r="I41" s="43">
        <f ca="1">IFERROR(INDIRECT(ADDRESS(16,7, 1,TRUE,$A41)),0)</f>
        <v>0</v>
      </c>
      <c r="J41" s="43">
        <f ca="1">IFERROR(INDIRECT(ADDRESS(17,10, 1,TRUE,$A41)),0)</f>
        <v>0</v>
      </c>
      <c r="K41" s="55">
        <f ca="1">IFERROR(INDIRECT(ADDRESS(17,11, 1,TRUE,$A41)),0)</f>
        <v>0</v>
      </c>
      <c r="L41" s="43">
        <f ca="1">IFERROR(INDIRECT(ADDRESS(17,12, 1,TRUE,$A41)),0)</f>
        <v>0</v>
      </c>
      <c r="M41" s="43">
        <f ca="1">IFERROR(INDIRECT(ADDRESS(17,13, 1,TRUE,$A41)),0)</f>
        <v>0</v>
      </c>
      <c r="N41" s="43">
        <f ca="1">K41+L41</f>
        <v>0</v>
      </c>
      <c r="O41" s="43">
        <f ca="1">IFERROR(INDIRECT(ADDRESS(16,18, 1,TRUE,$A41)),0)</f>
        <v>0</v>
      </c>
      <c r="P41" s="43">
        <f ca="1">IFERROR(INDIRECT(ADDRESS(17,21, 1,TRUE,$A41)),0)</f>
        <v>0</v>
      </c>
      <c r="Q41" s="43">
        <f ca="1">IFERROR(INDIRECT(ADDRESS(16,19, 1,TRUE,$A41)),0)</f>
        <v>0</v>
      </c>
      <c r="R41" s="55">
        <f ca="1">IFERROR(INDIRECT(ADDRESS(17,20, 1,TRUE,$A41)),0)</f>
        <v>0</v>
      </c>
      <c r="S41" s="57">
        <f ca="1">IFERROR(INDIRECT(ADDRESS(17,14, 1,TRUE,$A41)),0)</f>
        <v>0</v>
      </c>
      <c r="T41" s="57">
        <f ca="1">IFERROR(INDIRECT(ADDRESS(16,8, 1,TRUE,$A41)),0)</f>
        <v>0</v>
      </c>
      <c r="U41" s="99">
        <f ca="1">IFERROR(INDIRECT(ADDRESS(17,15, 1,TRUE,$A41)),0)</f>
        <v>0</v>
      </c>
      <c r="V41" s="7"/>
    </row>
    <row r="42" spans="1:23" ht="13.5" customHeight="1">
      <c r="A42" s="232" t="str">
        <f>자산목록!B10</f>
        <v>HQ_HR02</v>
      </c>
      <c r="B42" s="233"/>
      <c r="C42" s="234" t="str">
        <f>IFERROR(VLOOKUP($A42,자산목록!$B$1:$M$827,6,FALSE),"-")</f>
        <v>Windows 11 pro</v>
      </c>
      <c r="D42" s="233"/>
      <c r="E42" s="43">
        <f t="shared" ref="E42" ca="1" si="4">IFERROR(INDIRECT(ADDRESS(16, 4, 1,TRUE,$A42)),0)</f>
        <v>0</v>
      </c>
      <c r="F42" s="44">
        <f t="shared" ref="F42" ca="1" si="5">E42-I42</f>
        <v>0</v>
      </c>
      <c r="G42" s="43">
        <f t="shared" ref="G42" ca="1" si="6">IFERROR(INDIRECT(ADDRESS(16,5, 1,TRUE,$A42)),0)</f>
        <v>0</v>
      </c>
      <c r="H42" s="43">
        <f t="shared" ref="H42" ca="1" si="7">IFERROR(INDIRECT(ADDRESS(16,6, 1,TRUE,$A42)),0)</f>
        <v>0</v>
      </c>
      <c r="I42" s="43">
        <f t="shared" ref="I42" ca="1" si="8">IFERROR(INDIRECT(ADDRESS(16,7, 1,TRUE,$A42)),0)</f>
        <v>0</v>
      </c>
      <c r="J42" s="43">
        <f ca="1">IFERROR(INDIRECT(ADDRESS(17,10, 1,TRUE,$A42)),0)</f>
        <v>0</v>
      </c>
      <c r="K42" s="55">
        <f ca="1">IFERROR(INDIRECT(ADDRESS(17,11, 1,TRUE,$A42)),0)</f>
        <v>0</v>
      </c>
      <c r="L42" s="43">
        <f ca="1">IFERROR(INDIRECT(ADDRESS(17,12, 1,TRUE,$A42)),0)</f>
        <v>0</v>
      </c>
      <c r="M42" s="43">
        <f ca="1">IFERROR(INDIRECT(ADDRESS(17,13, 1,TRUE,$A42)),0)</f>
        <v>0</v>
      </c>
      <c r="N42" s="43">
        <f ca="1">K42+L42</f>
        <v>0</v>
      </c>
      <c r="O42" s="43">
        <f t="shared" ref="O42" ca="1" si="9">IFERROR(INDIRECT(ADDRESS(16,18, 1,TRUE,$A42)),0)</f>
        <v>0</v>
      </c>
      <c r="P42" s="43">
        <f ca="1">IFERROR(INDIRECT(ADDRESS(17,21, 1,TRUE,$A42)),0)</f>
        <v>0</v>
      </c>
      <c r="Q42" s="43">
        <f t="shared" ref="Q42" ca="1" si="10">IFERROR(INDIRECT(ADDRESS(16,19, 1,TRUE,$A42)),0)</f>
        <v>0</v>
      </c>
      <c r="R42" s="55">
        <f ca="1">IFERROR(INDIRECT(ADDRESS(17,20, 1,TRUE,$A42)),0)</f>
        <v>0</v>
      </c>
      <c r="S42" s="57">
        <f ca="1">IFERROR(INDIRECT(ADDRESS(17,14, 1,TRUE,$A42)),0)</f>
        <v>0</v>
      </c>
      <c r="T42" s="57">
        <f t="shared" ref="T42" ca="1" si="11">IFERROR(INDIRECT(ADDRESS(16,8, 1,TRUE,$A42)),0)</f>
        <v>0</v>
      </c>
      <c r="U42" s="99">
        <f ca="1">IFERROR(INDIRECT(ADDRESS(17,15, 1,TRUE,$A42)),0)</f>
        <v>0</v>
      </c>
      <c r="V42" s="7"/>
    </row>
    <row r="43" spans="1:23" ht="13.5" customHeight="1">
      <c r="A43" s="232" t="str">
        <f>자산목록!B5</f>
        <v>HQ_DEV01</v>
      </c>
      <c r="B43" s="233"/>
      <c r="C43" s="234" t="str">
        <f>IFERROR(VLOOKUP($A43,자산목록!$B$1:$M$827,6,FALSE),"-")</f>
        <v>Windows 11 pro</v>
      </c>
      <c r="D43" s="233"/>
      <c r="E43" s="43">
        <f ca="1">IFERROR(INDIRECT(ADDRESS(16, 4, 1,TRUE,$A43)),0)</f>
        <v>17</v>
      </c>
      <c r="F43" s="44">
        <f ca="1">E43-I43</f>
        <v>17</v>
      </c>
      <c r="G43" s="43">
        <f ca="1">IFERROR(INDIRECT(ADDRESS(16,5, 1,TRUE,$A43)),0)</f>
        <v>17</v>
      </c>
      <c r="H43" s="43">
        <f ca="1">IFERROR(INDIRECT(ADDRESS(16,6, 1,TRUE,$A43)),0)</f>
        <v>0</v>
      </c>
      <c r="I43" s="43">
        <f ca="1">IFERROR(INDIRECT(ADDRESS(16,7, 1,TRUE,$A43)),0)</f>
        <v>0</v>
      </c>
      <c r="J43" s="43">
        <f ca="1">IFERROR(INDIRECT(ADDRESS(17,10, 1,TRUE,$A43)),0)</f>
        <v>0</v>
      </c>
      <c r="K43" s="55">
        <f ca="1">IFERROR(INDIRECT(ADDRESS(17,11, 1,TRUE,$A43)),0)</f>
        <v>0</v>
      </c>
      <c r="L43" s="43">
        <f ca="1">IFERROR(INDIRECT(ADDRESS(17,12, 1,TRUE,$A43)),0)</f>
        <v>0</v>
      </c>
      <c r="M43" s="43">
        <f ca="1">IFERROR(INDIRECT(ADDRESS(17,13, 1,TRUE,$A43)),0)</f>
        <v>0</v>
      </c>
      <c r="N43" s="43">
        <f ca="1">K43+L43</f>
        <v>0</v>
      </c>
      <c r="O43" s="43">
        <f ca="1">IFERROR(INDIRECT(ADDRESS(16,18, 1,TRUE,$A43)),0)</f>
        <v>0</v>
      </c>
      <c r="P43" s="43">
        <f ca="1">IFERROR(INDIRECT(ADDRESS(17,21, 1,TRUE,$A43)),0)</f>
        <v>0</v>
      </c>
      <c r="Q43" s="43">
        <f ca="1">IFERROR(INDIRECT(ADDRESS(16,19, 1,TRUE,$A43)),0)</f>
        <v>42</v>
      </c>
      <c r="R43" s="55">
        <f ca="1">IFERROR(INDIRECT(ADDRESS(17,20, 1,TRUE,$A43)),0)</f>
        <v>0</v>
      </c>
      <c r="S43" s="57">
        <f ca="1">IFERROR(INDIRECT(ADDRESS(17,14, 1,TRUE,$A43)),0)</f>
        <v>0</v>
      </c>
      <c r="T43" s="57">
        <f ca="1">IFERROR(INDIRECT(ADDRESS(16,8, 1,TRUE,$A43)),0)</f>
        <v>0</v>
      </c>
      <c r="U43" s="99">
        <f ca="1">IFERROR(INDIRECT(ADDRESS(17,15, 1,TRUE,$A43)),0)</f>
        <v>0</v>
      </c>
      <c r="V43" s="7"/>
    </row>
    <row r="44" spans="1:23" ht="13.5" customHeight="1">
      <c r="A44" s="232" t="str">
        <f>자산목록!B6</f>
        <v>HQ_DEV02</v>
      </c>
      <c r="B44" s="233"/>
      <c r="C44" s="234" t="str">
        <f>IFERROR(VLOOKUP($A44,자산목록!$B$1:$M$827,6,FALSE),"-")</f>
        <v>Windows 11 pro</v>
      </c>
      <c r="D44" s="233"/>
      <c r="E44" s="43">
        <f t="shared" ref="E44:E66" ca="1" si="12">IFERROR(INDIRECT(ADDRESS(16, 4, 1,TRUE,$A44)),0)</f>
        <v>0</v>
      </c>
      <c r="F44" s="44">
        <f t="shared" ref="F44:F66" ca="1" si="13">E44-I44</f>
        <v>0</v>
      </c>
      <c r="G44" s="43">
        <f t="shared" ref="G44:G66" ca="1" si="14">IFERROR(INDIRECT(ADDRESS(16,5, 1,TRUE,$A44)),0)</f>
        <v>0</v>
      </c>
      <c r="H44" s="43">
        <f t="shared" ref="H44:H66" ca="1" si="15">IFERROR(INDIRECT(ADDRESS(16,6, 1,TRUE,$A44)),0)</f>
        <v>0</v>
      </c>
      <c r="I44" s="43">
        <f t="shared" ref="I44:I66" ca="1" si="16">IFERROR(INDIRECT(ADDRESS(16,7, 1,TRUE,$A44)),0)</f>
        <v>0</v>
      </c>
      <c r="J44" s="43">
        <f t="shared" ref="J44:J66" ca="1" si="17">IFERROR(INDIRECT(ADDRESS(17,10, 1,TRUE,$A44)),0)</f>
        <v>0</v>
      </c>
      <c r="K44" s="55">
        <f t="shared" ref="K44:K66" ca="1" si="18">IFERROR(INDIRECT(ADDRESS(17,11, 1,TRUE,$A44)),0)</f>
        <v>0</v>
      </c>
      <c r="L44" s="43">
        <f t="shared" ref="L44:L66" ca="1" si="19">IFERROR(INDIRECT(ADDRESS(17,12, 1,TRUE,$A44)),0)</f>
        <v>0</v>
      </c>
      <c r="M44" s="43">
        <f t="shared" ref="M44:M66" ca="1" si="20">IFERROR(INDIRECT(ADDRESS(17,13, 1,TRUE,$A44)),0)</f>
        <v>0</v>
      </c>
      <c r="N44" s="43">
        <f t="shared" ref="N44:N66" ca="1" si="21">K44+L44</f>
        <v>0</v>
      </c>
      <c r="O44" s="43">
        <f t="shared" ref="O44:O66" ca="1" si="22">IFERROR(INDIRECT(ADDRESS(16,18, 1,TRUE,$A44)),0)</f>
        <v>0</v>
      </c>
      <c r="P44" s="43">
        <f t="shared" ref="P44:P66" ca="1" si="23">IFERROR(INDIRECT(ADDRESS(17,21, 1,TRUE,$A44)),0)</f>
        <v>0</v>
      </c>
      <c r="Q44" s="43">
        <f t="shared" ref="Q44:Q66" ca="1" si="24">IFERROR(INDIRECT(ADDRESS(16,19, 1,TRUE,$A44)),0)</f>
        <v>0</v>
      </c>
      <c r="R44" s="55">
        <f t="shared" ref="R44:R66" ca="1" si="25">IFERROR(INDIRECT(ADDRESS(17,20, 1,TRUE,$A44)),0)</f>
        <v>0</v>
      </c>
      <c r="S44" s="57">
        <f t="shared" ref="S44:S66" ca="1" si="26">IFERROR(INDIRECT(ADDRESS(17,14, 1,TRUE,$A44)),0)</f>
        <v>0</v>
      </c>
      <c r="T44" s="57">
        <f t="shared" ref="T44:T66" ca="1" si="27">IFERROR(INDIRECT(ADDRESS(16,8, 1,TRUE,$A44)),0)</f>
        <v>0</v>
      </c>
      <c r="U44" s="99">
        <f t="shared" ref="U44:U66" ca="1" si="28">IFERROR(INDIRECT(ADDRESS(17,15, 1,TRUE,$A44)),0)</f>
        <v>0</v>
      </c>
      <c r="V44" s="7"/>
    </row>
    <row r="45" spans="1:23" ht="13.5" customHeight="1">
      <c r="A45" s="232" t="str">
        <f>자산목록!B7</f>
        <v>HQ_DEV03</v>
      </c>
      <c r="B45" s="233"/>
      <c r="C45" s="234" t="str">
        <f>IFERROR(VLOOKUP($A45,자산목록!$B$1:$M$827,6,FALSE),"-")</f>
        <v>Windows 11 pro</v>
      </c>
      <c r="D45" s="233"/>
      <c r="E45" s="43">
        <f t="shared" ca="1" si="12"/>
        <v>0</v>
      </c>
      <c r="F45" s="44">
        <f t="shared" ca="1" si="13"/>
        <v>0</v>
      </c>
      <c r="G45" s="43">
        <f t="shared" ca="1" si="14"/>
        <v>0</v>
      </c>
      <c r="H45" s="43">
        <f t="shared" ca="1" si="15"/>
        <v>0</v>
      </c>
      <c r="I45" s="43">
        <f t="shared" ca="1" si="16"/>
        <v>0</v>
      </c>
      <c r="J45" s="43">
        <f t="shared" ca="1" si="17"/>
        <v>0</v>
      </c>
      <c r="K45" s="55">
        <f t="shared" ca="1" si="18"/>
        <v>0</v>
      </c>
      <c r="L45" s="43">
        <f t="shared" ca="1" si="19"/>
        <v>0</v>
      </c>
      <c r="M45" s="43">
        <f t="shared" ca="1" si="20"/>
        <v>0</v>
      </c>
      <c r="N45" s="43">
        <f t="shared" ca="1" si="21"/>
        <v>0</v>
      </c>
      <c r="O45" s="43">
        <f t="shared" ca="1" si="22"/>
        <v>0</v>
      </c>
      <c r="P45" s="43">
        <f t="shared" ca="1" si="23"/>
        <v>0</v>
      </c>
      <c r="Q45" s="43">
        <f t="shared" ca="1" si="24"/>
        <v>0</v>
      </c>
      <c r="R45" s="55">
        <f t="shared" ca="1" si="25"/>
        <v>0</v>
      </c>
      <c r="S45" s="57">
        <f t="shared" ca="1" si="26"/>
        <v>0</v>
      </c>
      <c r="T45" s="57">
        <f t="shared" ca="1" si="27"/>
        <v>0</v>
      </c>
      <c r="U45" s="99">
        <f t="shared" ca="1" si="28"/>
        <v>0</v>
      </c>
      <c r="V45" s="7"/>
    </row>
    <row r="46" spans="1:23" ht="13.5" customHeight="1">
      <c r="A46" s="232" t="str">
        <f>자산목록!B8</f>
        <v>HQ_DEV04</v>
      </c>
      <c r="B46" s="233"/>
      <c r="C46" s="234" t="str">
        <f>IFERROR(VLOOKUP($A46,자산목록!$B$1:$M$827,6,FALSE),"-")</f>
        <v>Windows 11 pro</v>
      </c>
      <c r="D46" s="233"/>
      <c r="E46" s="43">
        <f t="shared" ca="1" si="12"/>
        <v>0</v>
      </c>
      <c r="F46" s="44">
        <f t="shared" ca="1" si="13"/>
        <v>0</v>
      </c>
      <c r="G46" s="43">
        <f t="shared" ca="1" si="14"/>
        <v>0</v>
      </c>
      <c r="H46" s="43">
        <f t="shared" ca="1" si="15"/>
        <v>0</v>
      </c>
      <c r="I46" s="43">
        <f t="shared" ca="1" si="16"/>
        <v>0</v>
      </c>
      <c r="J46" s="43">
        <f t="shared" ca="1" si="17"/>
        <v>0</v>
      </c>
      <c r="K46" s="55">
        <f t="shared" ca="1" si="18"/>
        <v>0</v>
      </c>
      <c r="L46" s="43">
        <f t="shared" ca="1" si="19"/>
        <v>0</v>
      </c>
      <c r="M46" s="43">
        <f t="shared" ca="1" si="20"/>
        <v>0</v>
      </c>
      <c r="N46" s="43">
        <f t="shared" ca="1" si="21"/>
        <v>0</v>
      </c>
      <c r="O46" s="43">
        <f t="shared" ca="1" si="22"/>
        <v>0</v>
      </c>
      <c r="P46" s="43">
        <f t="shared" ca="1" si="23"/>
        <v>0</v>
      </c>
      <c r="Q46" s="43">
        <f t="shared" ca="1" si="24"/>
        <v>0</v>
      </c>
      <c r="R46" s="55">
        <f t="shared" ca="1" si="25"/>
        <v>0</v>
      </c>
      <c r="S46" s="57">
        <f t="shared" ca="1" si="26"/>
        <v>0</v>
      </c>
      <c r="T46" s="57">
        <f t="shared" ca="1" si="27"/>
        <v>0</v>
      </c>
      <c r="U46" s="99">
        <f t="shared" ca="1" si="28"/>
        <v>0</v>
      </c>
      <c r="V46" s="7"/>
    </row>
    <row r="47" spans="1:23" ht="13.5" customHeight="1">
      <c r="A47" s="232" t="str">
        <f>자산목록!B11</f>
        <v>HQ_OPS01</v>
      </c>
      <c r="B47" s="233"/>
      <c r="C47" s="234" t="str">
        <f>IFERROR(VLOOKUP($A47,자산목록!$B$1:$M$827,6,FALSE),"-")</f>
        <v>Windows 11 pro</v>
      </c>
      <c r="D47" s="233"/>
      <c r="E47" s="43">
        <f t="shared" ca="1" si="12"/>
        <v>0</v>
      </c>
      <c r="F47" s="44">
        <f t="shared" ca="1" si="13"/>
        <v>0</v>
      </c>
      <c r="G47" s="43">
        <f t="shared" ca="1" si="14"/>
        <v>0</v>
      </c>
      <c r="H47" s="43">
        <f t="shared" ca="1" si="15"/>
        <v>0</v>
      </c>
      <c r="I47" s="43">
        <f t="shared" ca="1" si="16"/>
        <v>0</v>
      </c>
      <c r="J47" s="43">
        <f t="shared" ca="1" si="17"/>
        <v>0</v>
      </c>
      <c r="K47" s="55">
        <f t="shared" ca="1" si="18"/>
        <v>0</v>
      </c>
      <c r="L47" s="43">
        <f t="shared" ca="1" si="19"/>
        <v>0</v>
      </c>
      <c r="M47" s="43">
        <f t="shared" ca="1" si="20"/>
        <v>0</v>
      </c>
      <c r="N47" s="43">
        <f t="shared" ca="1" si="21"/>
        <v>0</v>
      </c>
      <c r="O47" s="43">
        <f t="shared" ca="1" si="22"/>
        <v>0</v>
      </c>
      <c r="P47" s="43">
        <f t="shared" ca="1" si="23"/>
        <v>0</v>
      </c>
      <c r="Q47" s="43">
        <f t="shared" ca="1" si="24"/>
        <v>0</v>
      </c>
      <c r="R47" s="55">
        <f t="shared" ca="1" si="25"/>
        <v>0</v>
      </c>
      <c r="S47" s="57">
        <f t="shared" ca="1" si="26"/>
        <v>0</v>
      </c>
      <c r="T47" s="57">
        <f t="shared" ca="1" si="27"/>
        <v>0</v>
      </c>
      <c r="U47" s="99">
        <f t="shared" ca="1" si="28"/>
        <v>0</v>
      </c>
      <c r="V47" s="7"/>
    </row>
    <row r="48" spans="1:23" ht="13.5" customHeight="1">
      <c r="A48" s="232" t="str">
        <f>자산목록!B12</f>
        <v>HQ_OPS02</v>
      </c>
      <c r="B48" s="233"/>
      <c r="C48" s="234" t="str">
        <f>IFERROR(VLOOKUP($A48,자산목록!$B$1:$M$827,6,FALSE),"-")</f>
        <v>Windows 11 pro</v>
      </c>
      <c r="D48" s="233"/>
      <c r="E48" s="43">
        <f t="shared" ca="1" si="12"/>
        <v>0</v>
      </c>
      <c r="F48" s="44">
        <f t="shared" ca="1" si="13"/>
        <v>0</v>
      </c>
      <c r="G48" s="43">
        <f t="shared" ca="1" si="14"/>
        <v>0</v>
      </c>
      <c r="H48" s="43">
        <f t="shared" ca="1" si="15"/>
        <v>0</v>
      </c>
      <c r="I48" s="43">
        <f t="shared" ca="1" si="16"/>
        <v>0</v>
      </c>
      <c r="J48" s="43">
        <f t="shared" ca="1" si="17"/>
        <v>0</v>
      </c>
      <c r="K48" s="55">
        <f t="shared" ca="1" si="18"/>
        <v>0</v>
      </c>
      <c r="L48" s="43">
        <f t="shared" ca="1" si="19"/>
        <v>0</v>
      </c>
      <c r="M48" s="43">
        <f t="shared" ca="1" si="20"/>
        <v>0</v>
      </c>
      <c r="N48" s="43">
        <f t="shared" ca="1" si="21"/>
        <v>0</v>
      </c>
      <c r="O48" s="43">
        <f t="shared" ca="1" si="22"/>
        <v>0</v>
      </c>
      <c r="P48" s="43">
        <f t="shared" ca="1" si="23"/>
        <v>0</v>
      </c>
      <c r="Q48" s="43">
        <f t="shared" ca="1" si="24"/>
        <v>0</v>
      </c>
      <c r="R48" s="55">
        <f t="shared" ca="1" si="25"/>
        <v>0</v>
      </c>
      <c r="S48" s="57">
        <f t="shared" ca="1" si="26"/>
        <v>0</v>
      </c>
      <c r="T48" s="57">
        <f t="shared" ca="1" si="27"/>
        <v>0</v>
      </c>
      <c r="U48" s="99">
        <f t="shared" ca="1" si="28"/>
        <v>0</v>
      </c>
      <c r="V48" s="7"/>
    </row>
    <row r="49" spans="1:22" s="173" customFormat="1" ht="13.5" customHeight="1">
      <c r="A49" s="232" t="str">
        <f>자산목록!B13</f>
        <v>HQ_OPS03</v>
      </c>
      <c r="B49" s="233"/>
      <c r="C49" s="234" t="str">
        <f>IFERROR(VLOOKUP($A49,자산목록!$B$1:$M$827,6,FALSE),"-")</f>
        <v>Windows 11 pro</v>
      </c>
      <c r="D49" s="233"/>
      <c r="E49" s="43">
        <f t="shared" ca="1" si="12"/>
        <v>0</v>
      </c>
      <c r="F49" s="44">
        <f t="shared" ca="1" si="13"/>
        <v>0</v>
      </c>
      <c r="G49" s="43">
        <f t="shared" ca="1" si="14"/>
        <v>0</v>
      </c>
      <c r="H49" s="43">
        <f t="shared" ca="1" si="15"/>
        <v>0</v>
      </c>
      <c r="I49" s="43">
        <f t="shared" ca="1" si="16"/>
        <v>0</v>
      </c>
      <c r="J49" s="43">
        <f t="shared" ca="1" si="17"/>
        <v>0</v>
      </c>
      <c r="K49" s="55">
        <f t="shared" ca="1" si="18"/>
        <v>0</v>
      </c>
      <c r="L49" s="43">
        <f t="shared" ca="1" si="19"/>
        <v>0</v>
      </c>
      <c r="M49" s="43">
        <f t="shared" ca="1" si="20"/>
        <v>0</v>
      </c>
      <c r="N49" s="43">
        <f t="shared" ca="1" si="21"/>
        <v>0</v>
      </c>
      <c r="O49" s="43">
        <f t="shared" ca="1" si="22"/>
        <v>0</v>
      </c>
      <c r="P49" s="43">
        <f t="shared" ca="1" si="23"/>
        <v>0</v>
      </c>
      <c r="Q49" s="43">
        <f t="shared" ca="1" si="24"/>
        <v>0</v>
      </c>
      <c r="R49" s="55">
        <f t="shared" ca="1" si="25"/>
        <v>0</v>
      </c>
      <c r="S49" s="57">
        <f t="shared" ca="1" si="26"/>
        <v>0</v>
      </c>
      <c r="T49" s="57">
        <f t="shared" ca="1" si="27"/>
        <v>0</v>
      </c>
      <c r="U49" s="99">
        <f t="shared" ca="1" si="28"/>
        <v>0</v>
      </c>
      <c r="V49" s="172"/>
    </row>
    <row r="50" spans="1:22" s="173" customFormat="1" ht="13.5" customHeight="1">
      <c r="A50" s="232" t="str">
        <f>자산목록!B14</f>
        <v>HQ_OPS04</v>
      </c>
      <c r="B50" s="233"/>
      <c r="C50" s="234" t="str">
        <f>IFERROR(VLOOKUP($A50,자산목록!$B$1:$M$827,6,FALSE),"-")</f>
        <v>Windows 11 pro</v>
      </c>
      <c r="D50" s="233"/>
      <c r="E50" s="43">
        <f t="shared" ca="1" si="12"/>
        <v>0</v>
      </c>
      <c r="F50" s="44">
        <f t="shared" ca="1" si="13"/>
        <v>0</v>
      </c>
      <c r="G50" s="43">
        <f t="shared" ca="1" si="14"/>
        <v>0</v>
      </c>
      <c r="H50" s="43">
        <f t="shared" ca="1" si="15"/>
        <v>0</v>
      </c>
      <c r="I50" s="43">
        <f t="shared" ca="1" si="16"/>
        <v>0</v>
      </c>
      <c r="J50" s="43">
        <f t="shared" ca="1" si="17"/>
        <v>0</v>
      </c>
      <c r="K50" s="55">
        <f t="shared" ca="1" si="18"/>
        <v>0</v>
      </c>
      <c r="L50" s="43">
        <f t="shared" ca="1" si="19"/>
        <v>0</v>
      </c>
      <c r="M50" s="43">
        <f t="shared" ca="1" si="20"/>
        <v>0</v>
      </c>
      <c r="N50" s="43">
        <f t="shared" ca="1" si="21"/>
        <v>0</v>
      </c>
      <c r="O50" s="43">
        <f t="shared" ca="1" si="22"/>
        <v>0</v>
      </c>
      <c r="P50" s="43">
        <f t="shared" ca="1" si="23"/>
        <v>0</v>
      </c>
      <c r="Q50" s="43">
        <f t="shared" ca="1" si="24"/>
        <v>0</v>
      </c>
      <c r="R50" s="55">
        <f t="shared" ca="1" si="25"/>
        <v>0</v>
      </c>
      <c r="S50" s="57">
        <f t="shared" ca="1" si="26"/>
        <v>0</v>
      </c>
      <c r="T50" s="57">
        <f t="shared" ca="1" si="27"/>
        <v>0</v>
      </c>
      <c r="U50" s="99">
        <f t="shared" ca="1" si="28"/>
        <v>0</v>
      </c>
      <c r="V50" s="172"/>
    </row>
    <row r="51" spans="1:22" ht="13.5" customHeight="1">
      <c r="A51" s="232" t="str">
        <f>자산목록!B15</f>
        <v>HQ_CS01</v>
      </c>
      <c r="B51" s="233"/>
      <c r="C51" s="234" t="str">
        <f>IFERROR(VLOOKUP($A51,자산목록!$B$1:$M$827,6,FALSE),"-")</f>
        <v>Windows 11 pro</v>
      </c>
      <c r="D51" s="233"/>
      <c r="E51" s="43">
        <f t="shared" ca="1" si="12"/>
        <v>0</v>
      </c>
      <c r="F51" s="44">
        <f t="shared" ca="1" si="13"/>
        <v>0</v>
      </c>
      <c r="G51" s="43">
        <f t="shared" ca="1" si="14"/>
        <v>0</v>
      </c>
      <c r="H51" s="43">
        <f t="shared" ca="1" si="15"/>
        <v>0</v>
      </c>
      <c r="I51" s="43">
        <f t="shared" ca="1" si="16"/>
        <v>0</v>
      </c>
      <c r="J51" s="43">
        <f t="shared" ca="1" si="17"/>
        <v>0</v>
      </c>
      <c r="K51" s="55">
        <f t="shared" ca="1" si="18"/>
        <v>0</v>
      </c>
      <c r="L51" s="43">
        <f t="shared" ca="1" si="19"/>
        <v>0</v>
      </c>
      <c r="M51" s="43">
        <f t="shared" ca="1" si="20"/>
        <v>0</v>
      </c>
      <c r="N51" s="43">
        <f t="shared" ca="1" si="21"/>
        <v>0</v>
      </c>
      <c r="O51" s="43">
        <f t="shared" ca="1" si="22"/>
        <v>0</v>
      </c>
      <c r="P51" s="43">
        <f t="shared" ca="1" si="23"/>
        <v>0</v>
      </c>
      <c r="Q51" s="43">
        <f t="shared" ca="1" si="24"/>
        <v>0</v>
      </c>
      <c r="R51" s="55">
        <f t="shared" ca="1" si="25"/>
        <v>0</v>
      </c>
      <c r="S51" s="57">
        <f t="shared" ca="1" si="26"/>
        <v>0</v>
      </c>
      <c r="T51" s="57">
        <f t="shared" ca="1" si="27"/>
        <v>0</v>
      </c>
      <c r="U51" s="99">
        <f t="shared" ca="1" si="28"/>
        <v>0</v>
      </c>
      <c r="V51" s="7"/>
    </row>
    <row r="52" spans="1:22" ht="13.5" customHeight="1">
      <c r="A52" s="232" t="str">
        <f>자산목록!B16</f>
        <v>HQ_CS02</v>
      </c>
      <c r="B52" s="233"/>
      <c r="C52" s="234" t="str">
        <f>IFERROR(VLOOKUP($A52,자산목록!$B$1:$M$827,6,FALSE),"-")</f>
        <v>Windows 11 pro</v>
      </c>
      <c r="D52" s="233"/>
      <c r="E52" s="43">
        <f t="shared" ca="1" si="12"/>
        <v>0</v>
      </c>
      <c r="F52" s="44">
        <f t="shared" ca="1" si="13"/>
        <v>0</v>
      </c>
      <c r="G52" s="43">
        <f t="shared" ca="1" si="14"/>
        <v>0</v>
      </c>
      <c r="H52" s="43">
        <f t="shared" ca="1" si="15"/>
        <v>0</v>
      </c>
      <c r="I52" s="43">
        <f t="shared" ca="1" si="16"/>
        <v>0</v>
      </c>
      <c r="J52" s="43">
        <f t="shared" ca="1" si="17"/>
        <v>0</v>
      </c>
      <c r="K52" s="55">
        <f t="shared" ca="1" si="18"/>
        <v>0</v>
      </c>
      <c r="L52" s="43">
        <f t="shared" ca="1" si="19"/>
        <v>0</v>
      </c>
      <c r="M52" s="43">
        <f t="shared" ca="1" si="20"/>
        <v>0</v>
      </c>
      <c r="N52" s="43">
        <f t="shared" ca="1" si="21"/>
        <v>0</v>
      </c>
      <c r="O52" s="43">
        <f t="shared" ca="1" si="22"/>
        <v>0</v>
      </c>
      <c r="P52" s="43">
        <f t="shared" ca="1" si="23"/>
        <v>0</v>
      </c>
      <c r="Q52" s="43">
        <f t="shared" ca="1" si="24"/>
        <v>0</v>
      </c>
      <c r="R52" s="55">
        <f t="shared" ca="1" si="25"/>
        <v>0</v>
      </c>
      <c r="S52" s="57">
        <f t="shared" ca="1" si="26"/>
        <v>0</v>
      </c>
      <c r="T52" s="57">
        <f t="shared" ca="1" si="27"/>
        <v>0</v>
      </c>
      <c r="U52" s="99">
        <f t="shared" ca="1" si="28"/>
        <v>0</v>
      </c>
      <c r="V52" s="7"/>
    </row>
    <row r="53" spans="1:22" ht="13.5" customHeight="1">
      <c r="A53" s="232" t="str">
        <f>자산목록!B17</f>
        <v>BR_LOGI01</v>
      </c>
      <c r="B53" s="233"/>
      <c r="C53" s="234" t="str">
        <f>IFERROR(VLOOKUP($A53,자산목록!$B$1:$M$827,6,FALSE),"-")</f>
        <v>Windows 11 pro</v>
      </c>
      <c r="D53" s="233"/>
      <c r="E53" s="43">
        <f t="shared" ca="1" si="12"/>
        <v>0</v>
      </c>
      <c r="F53" s="44">
        <f t="shared" ca="1" si="13"/>
        <v>0</v>
      </c>
      <c r="G53" s="43">
        <f t="shared" ca="1" si="14"/>
        <v>0</v>
      </c>
      <c r="H53" s="43">
        <f t="shared" ca="1" si="15"/>
        <v>0</v>
      </c>
      <c r="I53" s="43">
        <f t="shared" ca="1" si="16"/>
        <v>0</v>
      </c>
      <c r="J53" s="43">
        <f t="shared" ca="1" si="17"/>
        <v>0</v>
      </c>
      <c r="K53" s="55">
        <f t="shared" ca="1" si="18"/>
        <v>0</v>
      </c>
      <c r="L53" s="43">
        <f t="shared" ca="1" si="19"/>
        <v>0</v>
      </c>
      <c r="M53" s="43">
        <f t="shared" ca="1" si="20"/>
        <v>0</v>
      </c>
      <c r="N53" s="43">
        <f t="shared" ca="1" si="21"/>
        <v>0</v>
      </c>
      <c r="O53" s="43">
        <f t="shared" ca="1" si="22"/>
        <v>0</v>
      </c>
      <c r="P53" s="43">
        <f t="shared" ca="1" si="23"/>
        <v>0</v>
      </c>
      <c r="Q53" s="43">
        <f t="shared" ca="1" si="24"/>
        <v>0</v>
      </c>
      <c r="R53" s="55">
        <f t="shared" ca="1" si="25"/>
        <v>0</v>
      </c>
      <c r="S53" s="57">
        <f t="shared" ca="1" si="26"/>
        <v>0</v>
      </c>
      <c r="T53" s="57">
        <f t="shared" ca="1" si="27"/>
        <v>0</v>
      </c>
      <c r="U53" s="99">
        <f t="shared" ca="1" si="28"/>
        <v>0</v>
      </c>
      <c r="V53" s="7"/>
    </row>
    <row r="54" spans="1:22" ht="13.5" customHeight="1">
      <c r="A54" s="232" t="str">
        <f>자산목록!B18</f>
        <v>BR_LOGI02</v>
      </c>
      <c r="B54" s="233"/>
      <c r="C54" s="234" t="str">
        <f>IFERROR(VLOOKUP($A54,자산목록!$B$1:$M$827,6,FALSE),"-")</f>
        <v>Windows 11 pro</v>
      </c>
      <c r="D54" s="233"/>
      <c r="E54" s="43">
        <f t="shared" ca="1" si="12"/>
        <v>0</v>
      </c>
      <c r="F54" s="44">
        <f t="shared" ca="1" si="13"/>
        <v>0</v>
      </c>
      <c r="G54" s="43">
        <f t="shared" ca="1" si="14"/>
        <v>0</v>
      </c>
      <c r="H54" s="43">
        <f t="shared" ca="1" si="15"/>
        <v>0</v>
      </c>
      <c r="I54" s="43">
        <f t="shared" ca="1" si="16"/>
        <v>0</v>
      </c>
      <c r="J54" s="43">
        <f t="shared" ca="1" si="17"/>
        <v>0</v>
      </c>
      <c r="K54" s="55">
        <f t="shared" ca="1" si="18"/>
        <v>0</v>
      </c>
      <c r="L54" s="43">
        <f t="shared" ca="1" si="19"/>
        <v>0</v>
      </c>
      <c r="M54" s="43">
        <f t="shared" ca="1" si="20"/>
        <v>0</v>
      </c>
      <c r="N54" s="43">
        <f t="shared" ca="1" si="21"/>
        <v>0</v>
      </c>
      <c r="O54" s="43">
        <f t="shared" ca="1" si="22"/>
        <v>0</v>
      </c>
      <c r="P54" s="43">
        <f t="shared" ca="1" si="23"/>
        <v>0</v>
      </c>
      <c r="Q54" s="43">
        <f t="shared" ca="1" si="24"/>
        <v>0</v>
      </c>
      <c r="R54" s="55">
        <f t="shared" ca="1" si="25"/>
        <v>0</v>
      </c>
      <c r="S54" s="57">
        <f t="shared" ca="1" si="26"/>
        <v>0</v>
      </c>
      <c r="T54" s="57">
        <f t="shared" ca="1" si="27"/>
        <v>0</v>
      </c>
      <c r="U54" s="99">
        <f t="shared" ca="1" si="28"/>
        <v>0</v>
      </c>
      <c r="V54" s="7"/>
    </row>
    <row r="55" spans="1:22" ht="13.5" customHeight="1">
      <c r="A55" s="232" t="str">
        <f>자산목록!B19</f>
        <v>BR_LOGI03</v>
      </c>
      <c r="B55" s="233"/>
      <c r="C55" s="234" t="str">
        <f>IFERROR(VLOOKUP($A55,자산목록!$B$1:$M$827,6,FALSE),"-")</f>
        <v>Windows 11 pro</v>
      </c>
      <c r="D55" s="233"/>
      <c r="E55" s="43">
        <f t="shared" ca="1" si="12"/>
        <v>0</v>
      </c>
      <c r="F55" s="44">
        <f t="shared" ca="1" si="13"/>
        <v>0</v>
      </c>
      <c r="G55" s="43">
        <f t="shared" ca="1" si="14"/>
        <v>0</v>
      </c>
      <c r="H55" s="43">
        <f t="shared" ca="1" si="15"/>
        <v>0</v>
      </c>
      <c r="I55" s="43">
        <f t="shared" ca="1" si="16"/>
        <v>0</v>
      </c>
      <c r="J55" s="43">
        <f t="shared" ca="1" si="17"/>
        <v>0</v>
      </c>
      <c r="K55" s="55">
        <f t="shared" ca="1" si="18"/>
        <v>0</v>
      </c>
      <c r="L55" s="43">
        <f t="shared" ca="1" si="19"/>
        <v>0</v>
      </c>
      <c r="M55" s="43">
        <f t="shared" ca="1" si="20"/>
        <v>0</v>
      </c>
      <c r="N55" s="43">
        <f t="shared" ca="1" si="21"/>
        <v>0</v>
      </c>
      <c r="O55" s="43">
        <f t="shared" ca="1" si="22"/>
        <v>0</v>
      </c>
      <c r="P55" s="43">
        <f t="shared" ca="1" si="23"/>
        <v>0</v>
      </c>
      <c r="Q55" s="43">
        <f t="shared" ca="1" si="24"/>
        <v>0</v>
      </c>
      <c r="R55" s="55">
        <f t="shared" ca="1" si="25"/>
        <v>0</v>
      </c>
      <c r="S55" s="57">
        <f t="shared" ca="1" si="26"/>
        <v>0</v>
      </c>
      <c r="T55" s="57">
        <f t="shared" ca="1" si="27"/>
        <v>0</v>
      </c>
      <c r="U55" s="99">
        <f t="shared" ca="1" si="28"/>
        <v>0</v>
      </c>
      <c r="V55" s="7"/>
    </row>
    <row r="56" spans="1:22" ht="13.5" customHeight="1">
      <c r="A56" s="232" t="str">
        <f>자산목록!B20</f>
        <v>BR_OPS01</v>
      </c>
      <c r="B56" s="233"/>
      <c r="C56" s="234" t="str">
        <f>IFERROR(VLOOKUP($A56,자산목록!$B$1:$M$827,6,FALSE),"-")</f>
        <v>Windows 11 pro</v>
      </c>
      <c r="D56" s="233"/>
      <c r="E56" s="43">
        <f t="shared" ca="1" si="12"/>
        <v>0</v>
      </c>
      <c r="F56" s="44">
        <f t="shared" ca="1" si="13"/>
        <v>0</v>
      </c>
      <c r="G56" s="43">
        <f t="shared" ca="1" si="14"/>
        <v>0</v>
      </c>
      <c r="H56" s="43">
        <f t="shared" ca="1" si="15"/>
        <v>0</v>
      </c>
      <c r="I56" s="43">
        <f t="shared" ca="1" si="16"/>
        <v>0</v>
      </c>
      <c r="J56" s="43">
        <f t="shared" ca="1" si="17"/>
        <v>0</v>
      </c>
      <c r="K56" s="55">
        <f t="shared" ca="1" si="18"/>
        <v>0</v>
      </c>
      <c r="L56" s="43">
        <f t="shared" ca="1" si="19"/>
        <v>0</v>
      </c>
      <c r="M56" s="43">
        <f t="shared" ca="1" si="20"/>
        <v>0</v>
      </c>
      <c r="N56" s="43">
        <f t="shared" ca="1" si="21"/>
        <v>0</v>
      </c>
      <c r="O56" s="43">
        <f t="shared" ca="1" si="22"/>
        <v>0</v>
      </c>
      <c r="P56" s="43">
        <f t="shared" ca="1" si="23"/>
        <v>0</v>
      </c>
      <c r="Q56" s="43">
        <f t="shared" ca="1" si="24"/>
        <v>0</v>
      </c>
      <c r="R56" s="55">
        <f t="shared" ca="1" si="25"/>
        <v>0</v>
      </c>
      <c r="S56" s="57">
        <f t="shared" ca="1" si="26"/>
        <v>0</v>
      </c>
      <c r="T56" s="57">
        <f t="shared" ca="1" si="27"/>
        <v>0</v>
      </c>
      <c r="U56" s="99">
        <f t="shared" ca="1" si="28"/>
        <v>0</v>
      </c>
      <c r="V56" s="7"/>
    </row>
    <row r="57" spans="1:22" ht="13.5" customHeight="1">
      <c r="A57" s="232" t="str">
        <f>자산목록!B21</f>
        <v>BR_OPS02</v>
      </c>
      <c r="B57" s="233"/>
      <c r="C57" s="234" t="str">
        <f>IFERROR(VLOOKUP($A57,자산목록!$B$1:$M$827,6,FALSE),"-")</f>
        <v>Windows 11 pro</v>
      </c>
      <c r="D57" s="233"/>
      <c r="E57" s="43">
        <f t="shared" ca="1" si="12"/>
        <v>0</v>
      </c>
      <c r="F57" s="44">
        <f t="shared" ca="1" si="13"/>
        <v>0</v>
      </c>
      <c r="G57" s="43">
        <f t="shared" ca="1" si="14"/>
        <v>0</v>
      </c>
      <c r="H57" s="43">
        <f t="shared" ca="1" si="15"/>
        <v>0</v>
      </c>
      <c r="I57" s="43">
        <f t="shared" ca="1" si="16"/>
        <v>0</v>
      </c>
      <c r="J57" s="43">
        <f t="shared" ca="1" si="17"/>
        <v>0</v>
      </c>
      <c r="K57" s="55">
        <f t="shared" ca="1" si="18"/>
        <v>0</v>
      </c>
      <c r="L57" s="43">
        <f t="shared" ca="1" si="19"/>
        <v>0</v>
      </c>
      <c r="M57" s="43">
        <f t="shared" ca="1" si="20"/>
        <v>0</v>
      </c>
      <c r="N57" s="43">
        <f t="shared" ca="1" si="21"/>
        <v>0</v>
      </c>
      <c r="O57" s="43">
        <f t="shared" ca="1" si="22"/>
        <v>0</v>
      </c>
      <c r="P57" s="43">
        <f t="shared" ca="1" si="23"/>
        <v>0</v>
      </c>
      <c r="Q57" s="43">
        <f t="shared" ca="1" si="24"/>
        <v>0</v>
      </c>
      <c r="R57" s="55">
        <f t="shared" ca="1" si="25"/>
        <v>0</v>
      </c>
      <c r="S57" s="57">
        <f t="shared" ca="1" si="26"/>
        <v>0</v>
      </c>
      <c r="T57" s="57">
        <f t="shared" ca="1" si="27"/>
        <v>0</v>
      </c>
      <c r="U57" s="99">
        <f t="shared" ca="1" si="28"/>
        <v>0</v>
      </c>
      <c r="V57" s="7"/>
    </row>
    <row r="58" spans="1:22" ht="13.5" customHeight="1">
      <c r="A58" s="232" t="str">
        <f>자산목록!B22</f>
        <v>BR_CS01</v>
      </c>
      <c r="B58" s="233"/>
      <c r="C58" s="234" t="str">
        <f>IFERROR(VLOOKUP($A58,자산목록!$B$1:$M$827,6,FALSE),"-")</f>
        <v>Windows 11 pro</v>
      </c>
      <c r="D58" s="233"/>
      <c r="E58" s="43">
        <f t="shared" ca="1" si="12"/>
        <v>0</v>
      </c>
      <c r="F58" s="44">
        <f t="shared" ca="1" si="13"/>
        <v>0</v>
      </c>
      <c r="G58" s="43">
        <f t="shared" ca="1" si="14"/>
        <v>0</v>
      </c>
      <c r="H58" s="43">
        <f t="shared" ca="1" si="15"/>
        <v>0</v>
      </c>
      <c r="I58" s="43">
        <f t="shared" ca="1" si="16"/>
        <v>0</v>
      </c>
      <c r="J58" s="43">
        <f t="shared" ca="1" si="17"/>
        <v>0</v>
      </c>
      <c r="K58" s="55">
        <f t="shared" ca="1" si="18"/>
        <v>0</v>
      </c>
      <c r="L58" s="43">
        <f t="shared" ca="1" si="19"/>
        <v>0</v>
      </c>
      <c r="M58" s="43">
        <f t="shared" ca="1" si="20"/>
        <v>0</v>
      </c>
      <c r="N58" s="43">
        <f t="shared" ca="1" si="21"/>
        <v>0</v>
      </c>
      <c r="O58" s="43">
        <f t="shared" ca="1" si="22"/>
        <v>0</v>
      </c>
      <c r="P58" s="43">
        <f t="shared" ca="1" si="23"/>
        <v>0</v>
      </c>
      <c r="Q58" s="43">
        <f t="shared" ca="1" si="24"/>
        <v>0</v>
      </c>
      <c r="R58" s="55">
        <f t="shared" ca="1" si="25"/>
        <v>0</v>
      </c>
      <c r="S58" s="57">
        <f t="shared" ca="1" si="26"/>
        <v>0</v>
      </c>
      <c r="T58" s="57">
        <f t="shared" ca="1" si="27"/>
        <v>0</v>
      </c>
      <c r="U58" s="99">
        <f t="shared" ca="1" si="28"/>
        <v>0</v>
      </c>
      <c r="V58" s="7"/>
    </row>
    <row r="59" spans="1:22" ht="13.5" customHeight="1">
      <c r="A59" s="232" t="str">
        <f>자산목록!B23</f>
        <v>BR_CS02</v>
      </c>
      <c r="B59" s="233"/>
      <c r="C59" s="234" t="str">
        <f>IFERROR(VLOOKUP($A59,자산목록!$B$1:$M$827,6,FALSE),"-")</f>
        <v>Windows 11 pro</v>
      </c>
      <c r="D59" s="233"/>
      <c r="E59" s="43">
        <f t="shared" ca="1" si="12"/>
        <v>0</v>
      </c>
      <c r="F59" s="44">
        <f t="shared" ca="1" si="13"/>
        <v>0</v>
      </c>
      <c r="G59" s="43">
        <f t="shared" ca="1" si="14"/>
        <v>0</v>
      </c>
      <c r="H59" s="43">
        <f t="shared" ca="1" si="15"/>
        <v>0</v>
      </c>
      <c r="I59" s="43">
        <f t="shared" ca="1" si="16"/>
        <v>0</v>
      </c>
      <c r="J59" s="43">
        <f t="shared" ca="1" si="17"/>
        <v>0</v>
      </c>
      <c r="K59" s="55">
        <f t="shared" ca="1" si="18"/>
        <v>0</v>
      </c>
      <c r="L59" s="43">
        <f t="shared" ca="1" si="19"/>
        <v>0</v>
      </c>
      <c r="M59" s="43">
        <f t="shared" ca="1" si="20"/>
        <v>0</v>
      </c>
      <c r="N59" s="43">
        <f t="shared" ca="1" si="21"/>
        <v>0</v>
      </c>
      <c r="O59" s="43">
        <f t="shared" ca="1" si="22"/>
        <v>0</v>
      </c>
      <c r="P59" s="43">
        <f t="shared" ca="1" si="23"/>
        <v>0</v>
      </c>
      <c r="Q59" s="43">
        <f t="shared" ca="1" si="24"/>
        <v>0</v>
      </c>
      <c r="R59" s="55">
        <f t="shared" ca="1" si="25"/>
        <v>0</v>
      </c>
      <c r="S59" s="57">
        <f t="shared" ca="1" si="26"/>
        <v>0</v>
      </c>
      <c r="T59" s="57">
        <f t="shared" ca="1" si="27"/>
        <v>0</v>
      </c>
      <c r="U59" s="99">
        <f t="shared" ca="1" si="28"/>
        <v>0</v>
      </c>
      <c r="V59" s="7"/>
    </row>
    <row r="60" spans="1:22" ht="13.5" customHeight="1">
      <c r="A60" s="232" t="e">
        <f>자산목록!#REF!</f>
        <v>#REF!</v>
      </c>
      <c r="B60" s="233"/>
      <c r="C60" s="234" t="str">
        <f>IFERROR(VLOOKUP($A60,자산목록!$B$1:$M$827,6,FALSE),"-")</f>
        <v>-</v>
      </c>
      <c r="D60" s="233"/>
      <c r="E60" s="43">
        <f t="shared" ca="1" si="12"/>
        <v>0</v>
      </c>
      <c r="F60" s="44">
        <f t="shared" ca="1" si="13"/>
        <v>0</v>
      </c>
      <c r="G60" s="43">
        <f t="shared" ca="1" si="14"/>
        <v>0</v>
      </c>
      <c r="H60" s="43">
        <f t="shared" ca="1" si="15"/>
        <v>0</v>
      </c>
      <c r="I60" s="43">
        <f t="shared" ca="1" si="16"/>
        <v>0</v>
      </c>
      <c r="J60" s="43">
        <f t="shared" ca="1" si="17"/>
        <v>0</v>
      </c>
      <c r="K60" s="55">
        <f t="shared" ca="1" si="18"/>
        <v>0</v>
      </c>
      <c r="L60" s="43">
        <f t="shared" ca="1" si="19"/>
        <v>0</v>
      </c>
      <c r="M60" s="43">
        <f t="shared" ca="1" si="20"/>
        <v>0</v>
      </c>
      <c r="N60" s="43">
        <f t="shared" ca="1" si="21"/>
        <v>0</v>
      </c>
      <c r="O60" s="43">
        <f t="shared" ca="1" si="22"/>
        <v>0</v>
      </c>
      <c r="P60" s="43">
        <f t="shared" ca="1" si="23"/>
        <v>0</v>
      </c>
      <c r="Q60" s="43">
        <f t="shared" ca="1" si="24"/>
        <v>0</v>
      </c>
      <c r="R60" s="55">
        <f t="shared" ca="1" si="25"/>
        <v>0</v>
      </c>
      <c r="S60" s="57">
        <f t="shared" ca="1" si="26"/>
        <v>0</v>
      </c>
      <c r="T60" s="57">
        <f t="shared" ca="1" si="27"/>
        <v>0</v>
      </c>
      <c r="U60" s="99">
        <f t="shared" ca="1" si="28"/>
        <v>0</v>
      </c>
      <c r="V60" s="7"/>
    </row>
    <row r="61" spans="1:22" ht="13.5" customHeight="1">
      <c r="A61" s="232" t="e">
        <f>자산목록!#REF!</f>
        <v>#REF!</v>
      </c>
      <c r="B61" s="233"/>
      <c r="C61" s="234" t="str">
        <f>IFERROR(VLOOKUP($A61,자산목록!$B$1:$M$827,6,FALSE),"-")</f>
        <v>-</v>
      </c>
      <c r="D61" s="233"/>
      <c r="E61" s="43">
        <f t="shared" ca="1" si="12"/>
        <v>0</v>
      </c>
      <c r="F61" s="44">
        <f t="shared" ca="1" si="13"/>
        <v>0</v>
      </c>
      <c r="G61" s="43">
        <f t="shared" ca="1" si="14"/>
        <v>0</v>
      </c>
      <c r="H61" s="43">
        <f t="shared" ca="1" si="15"/>
        <v>0</v>
      </c>
      <c r="I61" s="43">
        <f t="shared" ca="1" si="16"/>
        <v>0</v>
      </c>
      <c r="J61" s="43">
        <f t="shared" ca="1" si="17"/>
        <v>0</v>
      </c>
      <c r="K61" s="55">
        <f t="shared" ca="1" si="18"/>
        <v>0</v>
      </c>
      <c r="L61" s="43">
        <f t="shared" ca="1" si="19"/>
        <v>0</v>
      </c>
      <c r="M61" s="43">
        <f t="shared" ca="1" si="20"/>
        <v>0</v>
      </c>
      <c r="N61" s="43">
        <f t="shared" ca="1" si="21"/>
        <v>0</v>
      </c>
      <c r="O61" s="43">
        <f t="shared" ca="1" si="22"/>
        <v>0</v>
      </c>
      <c r="P61" s="43">
        <f t="shared" ca="1" si="23"/>
        <v>0</v>
      </c>
      <c r="Q61" s="43">
        <f t="shared" ca="1" si="24"/>
        <v>0</v>
      </c>
      <c r="R61" s="55">
        <f t="shared" ca="1" si="25"/>
        <v>0</v>
      </c>
      <c r="S61" s="57">
        <f t="shared" ca="1" si="26"/>
        <v>0</v>
      </c>
      <c r="T61" s="57">
        <f t="shared" ca="1" si="27"/>
        <v>0</v>
      </c>
      <c r="U61" s="99">
        <f t="shared" ca="1" si="28"/>
        <v>0</v>
      </c>
      <c r="V61" s="7"/>
    </row>
    <row r="62" spans="1:22" ht="13.5" customHeight="1">
      <c r="A62" s="232" t="e">
        <f>자산목록!#REF!</f>
        <v>#REF!</v>
      </c>
      <c r="B62" s="233"/>
      <c r="C62" s="234" t="str">
        <f>IFERROR(VLOOKUP($A62,자산목록!$B$1:$M$827,6,FALSE),"-")</f>
        <v>-</v>
      </c>
      <c r="D62" s="233"/>
      <c r="E62" s="43">
        <f t="shared" ca="1" si="12"/>
        <v>0</v>
      </c>
      <c r="F62" s="44">
        <f t="shared" ca="1" si="13"/>
        <v>0</v>
      </c>
      <c r="G62" s="43">
        <f t="shared" ca="1" si="14"/>
        <v>0</v>
      </c>
      <c r="H62" s="43">
        <f t="shared" ca="1" si="15"/>
        <v>0</v>
      </c>
      <c r="I62" s="43">
        <f t="shared" ca="1" si="16"/>
        <v>0</v>
      </c>
      <c r="J62" s="43">
        <f t="shared" ca="1" si="17"/>
        <v>0</v>
      </c>
      <c r="K62" s="55">
        <f t="shared" ca="1" si="18"/>
        <v>0</v>
      </c>
      <c r="L62" s="43">
        <f t="shared" ca="1" si="19"/>
        <v>0</v>
      </c>
      <c r="M62" s="43">
        <f t="shared" ca="1" si="20"/>
        <v>0</v>
      </c>
      <c r="N62" s="43">
        <f t="shared" ca="1" si="21"/>
        <v>0</v>
      </c>
      <c r="O62" s="43">
        <f t="shared" ca="1" si="22"/>
        <v>0</v>
      </c>
      <c r="P62" s="43">
        <f t="shared" ca="1" si="23"/>
        <v>0</v>
      </c>
      <c r="Q62" s="43">
        <f t="shared" ca="1" si="24"/>
        <v>0</v>
      </c>
      <c r="R62" s="55">
        <f t="shared" ca="1" si="25"/>
        <v>0</v>
      </c>
      <c r="S62" s="57">
        <f t="shared" ca="1" si="26"/>
        <v>0</v>
      </c>
      <c r="T62" s="57">
        <f t="shared" ca="1" si="27"/>
        <v>0</v>
      </c>
      <c r="U62" s="99">
        <f t="shared" ca="1" si="28"/>
        <v>0</v>
      </c>
      <c r="V62" s="7"/>
    </row>
    <row r="63" spans="1:22" ht="13.5" customHeight="1">
      <c r="A63" s="232" t="e">
        <f>자산목록!#REF!</f>
        <v>#REF!</v>
      </c>
      <c r="B63" s="233"/>
      <c r="C63" s="234" t="str">
        <f>IFERROR(VLOOKUP($A63,자산목록!$B$1:$M$827,6,FALSE),"-")</f>
        <v>-</v>
      </c>
      <c r="D63" s="233"/>
      <c r="E63" s="43">
        <f t="shared" ca="1" si="12"/>
        <v>0</v>
      </c>
      <c r="F63" s="44">
        <f t="shared" ca="1" si="13"/>
        <v>0</v>
      </c>
      <c r="G63" s="43">
        <f t="shared" ca="1" si="14"/>
        <v>0</v>
      </c>
      <c r="H63" s="43">
        <f t="shared" ca="1" si="15"/>
        <v>0</v>
      </c>
      <c r="I63" s="43">
        <f t="shared" ca="1" si="16"/>
        <v>0</v>
      </c>
      <c r="J63" s="43">
        <f t="shared" ca="1" si="17"/>
        <v>0</v>
      </c>
      <c r="K63" s="55">
        <f t="shared" ca="1" si="18"/>
        <v>0</v>
      </c>
      <c r="L63" s="43">
        <f t="shared" ca="1" si="19"/>
        <v>0</v>
      </c>
      <c r="M63" s="43">
        <f t="shared" ca="1" si="20"/>
        <v>0</v>
      </c>
      <c r="N63" s="43">
        <f t="shared" ca="1" si="21"/>
        <v>0</v>
      </c>
      <c r="O63" s="43">
        <f t="shared" ca="1" si="22"/>
        <v>0</v>
      </c>
      <c r="P63" s="43">
        <f t="shared" ca="1" si="23"/>
        <v>0</v>
      </c>
      <c r="Q63" s="43">
        <f t="shared" ca="1" si="24"/>
        <v>0</v>
      </c>
      <c r="R63" s="55">
        <f t="shared" ca="1" si="25"/>
        <v>0</v>
      </c>
      <c r="S63" s="57">
        <f t="shared" ca="1" si="26"/>
        <v>0</v>
      </c>
      <c r="T63" s="57">
        <f t="shared" ca="1" si="27"/>
        <v>0</v>
      </c>
      <c r="U63" s="99">
        <f t="shared" ca="1" si="28"/>
        <v>0</v>
      </c>
      <c r="V63" s="7"/>
    </row>
    <row r="64" spans="1:22" ht="13.5" customHeight="1">
      <c r="A64" s="232" t="e">
        <f>자산목록!#REF!</f>
        <v>#REF!</v>
      </c>
      <c r="B64" s="233"/>
      <c r="C64" s="234" t="str">
        <f>IFERROR(VLOOKUP($A64,자산목록!$B$1:$M$827,6,FALSE),"-")</f>
        <v>-</v>
      </c>
      <c r="D64" s="233"/>
      <c r="E64" s="43">
        <f t="shared" ca="1" si="12"/>
        <v>0</v>
      </c>
      <c r="F64" s="44">
        <f t="shared" ca="1" si="13"/>
        <v>0</v>
      </c>
      <c r="G64" s="43">
        <f t="shared" ca="1" si="14"/>
        <v>0</v>
      </c>
      <c r="H64" s="43">
        <f t="shared" ca="1" si="15"/>
        <v>0</v>
      </c>
      <c r="I64" s="43">
        <f t="shared" ca="1" si="16"/>
        <v>0</v>
      </c>
      <c r="J64" s="43">
        <f t="shared" ca="1" si="17"/>
        <v>0</v>
      </c>
      <c r="K64" s="55">
        <f t="shared" ca="1" si="18"/>
        <v>0</v>
      </c>
      <c r="L64" s="43">
        <f t="shared" ca="1" si="19"/>
        <v>0</v>
      </c>
      <c r="M64" s="43">
        <f t="shared" ca="1" si="20"/>
        <v>0</v>
      </c>
      <c r="N64" s="43">
        <f t="shared" ca="1" si="21"/>
        <v>0</v>
      </c>
      <c r="O64" s="43">
        <f t="shared" ca="1" si="22"/>
        <v>0</v>
      </c>
      <c r="P64" s="43">
        <f t="shared" ca="1" si="23"/>
        <v>0</v>
      </c>
      <c r="Q64" s="43">
        <f t="shared" ca="1" si="24"/>
        <v>0</v>
      </c>
      <c r="R64" s="55">
        <f t="shared" ca="1" si="25"/>
        <v>0</v>
      </c>
      <c r="S64" s="57">
        <f t="shared" ca="1" si="26"/>
        <v>0</v>
      </c>
      <c r="T64" s="57">
        <f t="shared" ca="1" si="27"/>
        <v>0</v>
      </c>
      <c r="U64" s="99">
        <f t="shared" ca="1" si="28"/>
        <v>0</v>
      </c>
      <c r="V64" s="7"/>
    </row>
    <row r="65" spans="1:22" ht="13.5" customHeight="1">
      <c r="A65" s="232" t="e">
        <f>자산목록!#REF!</f>
        <v>#REF!</v>
      </c>
      <c r="B65" s="233"/>
      <c r="C65" s="234" t="str">
        <f>IFERROR(VLOOKUP($A65,자산목록!$B$1:$M$827,6,FALSE),"-")</f>
        <v>-</v>
      </c>
      <c r="D65" s="233"/>
      <c r="E65" s="43">
        <f t="shared" ca="1" si="12"/>
        <v>0</v>
      </c>
      <c r="F65" s="44">
        <f t="shared" ca="1" si="13"/>
        <v>0</v>
      </c>
      <c r="G65" s="43">
        <f t="shared" ca="1" si="14"/>
        <v>0</v>
      </c>
      <c r="H65" s="43">
        <f t="shared" ca="1" si="15"/>
        <v>0</v>
      </c>
      <c r="I65" s="43">
        <f t="shared" ca="1" si="16"/>
        <v>0</v>
      </c>
      <c r="J65" s="43">
        <f t="shared" ca="1" si="17"/>
        <v>0</v>
      </c>
      <c r="K65" s="55">
        <f t="shared" ca="1" si="18"/>
        <v>0</v>
      </c>
      <c r="L65" s="43">
        <f t="shared" ca="1" si="19"/>
        <v>0</v>
      </c>
      <c r="M65" s="43">
        <f t="shared" ca="1" si="20"/>
        <v>0</v>
      </c>
      <c r="N65" s="43">
        <f t="shared" ca="1" si="21"/>
        <v>0</v>
      </c>
      <c r="O65" s="43">
        <f t="shared" ca="1" si="22"/>
        <v>0</v>
      </c>
      <c r="P65" s="43">
        <f t="shared" ca="1" si="23"/>
        <v>0</v>
      </c>
      <c r="Q65" s="43">
        <f t="shared" ca="1" si="24"/>
        <v>0</v>
      </c>
      <c r="R65" s="55">
        <f t="shared" ca="1" si="25"/>
        <v>0</v>
      </c>
      <c r="S65" s="57">
        <f t="shared" ca="1" si="26"/>
        <v>0</v>
      </c>
      <c r="T65" s="57">
        <f t="shared" ca="1" si="27"/>
        <v>0</v>
      </c>
      <c r="U65" s="99">
        <f t="shared" ca="1" si="28"/>
        <v>0</v>
      </c>
      <c r="V65" s="7"/>
    </row>
    <row r="66" spans="1:22" ht="13.5" customHeight="1">
      <c r="A66" s="232" t="e">
        <f>자산목록!#REF!</f>
        <v>#REF!</v>
      </c>
      <c r="B66" s="233"/>
      <c r="C66" s="234" t="str">
        <f>IFERROR(VLOOKUP($A66,자산목록!$B$1:$M$827,6,FALSE),"-")</f>
        <v>-</v>
      </c>
      <c r="D66" s="233"/>
      <c r="E66" s="43">
        <f t="shared" ca="1" si="12"/>
        <v>0</v>
      </c>
      <c r="F66" s="44">
        <f t="shared" ca="1" si="13"/>
        <v>0</v>
      </c>
      <c r="G66" s="43">
        <f t="shared" ca="1" si="14"/>
        <v>0</v>
      </c>
      <c r="H66" s="43">
        <f t="shared" ca="1" si="15"/>
        <v>0</v>
      </c>
      <c r="I66" s="43">
        <f t="shared" ca="1" si="16"/>
        <v>0</v>
      </c>
      <c r="J66" s="43">
        <f t="shared" ca="1" si="17"/>
        <v>0</v>
      </c>
      <c r="K66" s="55">
        <f t="shared" ca="1" si="18"/>
        <v>0</v>
      </c>
      <c r="L66" s="43">
        <f t="shared" ca="1" si="19"/>
        <v>0</v>
      </c>
      <c r="M66" s="43">
        <f t="shared" ca="1" si="20"/>
        <v>0</v>
      </c>
      <c r="N66" s="43">
        <f t="shared" ca="1" si="21"/>
        <v>0</v>
      </c>
      <c r="O66" s="43">
        <f t="shared" ca="1" si="22"/>
        <v>0</v>
      </c>
      <c r="P66" s="43">
        <f t="shared" ca="1" si="23"/>
        <v>0</v>
      </c>
      <c r="Q66" s="43">
        <f t="shared" ca="1" si="24"/>
        <v>0</v>
      </c>
      <c r="R66" s="55">
        <f t="shared" ca="1" si="25"/>
        <v>0</v>
      </c>
      <c r="S66" s="57">
        <f t="shared" ca="1" si="26"/>
        <v>0</v>
      </c>
      <c r="T66" s="57">
        <f t="shared" ca="1" si="27"/>
        <v>0</v>
      </c>
      <c r="U66" s="99">
        <f t="shared" ca="1" si="28"/>
        <v>0</v>
      </c>
      <c r="V66" s="7"/>
    </row>
    <row r="67" spans="1:22" ht="15.95" customHeight="1" thickBot="1">
      <c r="A67" s="217" t="s">
        <v>75</v>
      </c>
      <c r="B67" s="213"/>
      <c r="C67" s="213"/>
      <c r="D67" s="214"/>
      <c r="E67" s="79">
        <f t="shared" ref="E67:R67" ca="1" si="29">SUM(E41:E66)</f>
        <v>17</v>
      </c>
      <c r="F67" s="79">
        <f t="shared" ca="1" si="29"/>
        <v>17</v>
      </c>
      <c r="G67" s="79">
        <f t="shared" ca="1" si="29"/>
        <v>17</v>
      </c>
      <c r="H67" s="79">
        <f t="shared" ca="1" si="29"/>
        <v>0</v>
      </c>
      <c r="I67" s="79">
        <f t="shared" ca="1" si="29"/>
        <v>0</v>
      </c>
      <c r="J67" s="79">
        <f t="shared" ca="1" si="29"/>
        <v>0</v>
      </c>
      <c r="K67" s="79">
        <f t="shared" ca="1" si="29"/>
        <v>0</v>
      </c>
      <c r="L67" s="79">
        <f t="shared" ca="1" si="29"/>
        <v>0</v>
      </c>
      <c r="M67" s="79">
        <f t="shared" ca="1" si="29"/>
        <v>0</v>
      </c>
      <c r="N67" s="79">
        <f t="shared" ca="1" si="29"/>
        <v>0</v>
      </c>
      <c r="O67" s="79">
        <f t="shared" ca="1" si="29"/>
        <v>0</v>
      </c>
      <c r="P67" s="79">
        <f t="shared" ca="1" si="29"/>
        <v>0</v>
      </c>
      <c r="Q67" s="79">
        <f t="shared" ca="1" si="29"/>
        <v>42</v>
      </c>
      <c r="R67" s="79">
        <f t="shared" ca="1" si="29"/>
        <v>0</v>
      </c>
      <c r="S67" s="100" t="str">
        <f ca="1">IFERROR($J67/($H67-(M67-I67)),"N/A")</f>
        <v>N/A</v>
      </c>
      <c r="T67" s="100" t="e">
        <f ca="1">IF($I67=$E67, "N/A", (Q67/O67))</f>
        <v>#DIV/0!</v>
      </c>
      <c r="U67" s="101" t="e">
        <f ca="1">IF(OR($I67=$E67,$E67=$M67),"N/A", ($R67/$P67))</f>
        <v>#DIV/0!</v>
      </c>
      <c r="V67" s="7"/>
    </row>
    <row r="68" spans="1:22">
      <c r="A68" s="2"/>
    </row>
    <row r="69" spans="1:22">
      <c r="A69" s="2"/>
    </row>
    <row r="70" spans="1:22">
      <c r="A70" s="6"/>
    </row>
    <row r="71" spans="1:22">
      <c r="A71" s="6"/>
    </row>
    <row r="72" spans="1:22">
      <c r="A72" s="6"/>
    </row>
    <row r="73" spans="1:22">
      <c r="A73" s="6"/>
    </row>
    <row r="74" spans="1:22">
      <c r="A74" s="6"/>
    </row>
    <row r="75" spans="1:22">
      <c r="A75" s="6"/>
    </row>
    <row r="76" spans="1:22">
      <c r="A76" s="6"/>
    </row>
    <row r="77" spans="1:22">
      <c r="A77" s="6"/>
    </row>
    <row r="78" spans="1:22">
      <c r="A78" s="6"/>
    </row>
    <row r="79" spans="1:22">
      <c r="A79" s="6"/>
    </row>
    <row r="80" spans="1:22">
      <c r="A80" s="6"/>
    </row>
    <row r="81" spans="1:1">
      <c r="A81" s="6"/>
    </row>
    <row r="82" spans="1:1">
      <c r="A82" s="6"/>
    </row>
  </sheetData>
  <mergeCells count="66">
    <mergeCell ref="C64:D64"/>
    <mergeCell ref="C65:D65"/>
    <mergeCell ref="C66:D66"/>
    <mergeCell ref="C58:D58"/>
    <mergeCell ref="C59:D59"/>
    <mergeCell ref="C60:D60"/>
    <mergeCell ref="C61:D61"/>
    <mergeCell ref="C62:D62"/>
    <mergeCell ref="C54:D54"/>
    <mergeCell ref="C55:D55"/>
    <mergeCell ref="C56:D56"/>
    <mergeCell ref="C57:D57"/>
    <mergeCell ref="C63:D63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67:D67"/>
    <mergeCell ref="A39:D40"/>
    <mergeCell ref="A41:B41"/>
    <mergeCell ref="C41:D41"/>
    <mergeCell ref="A42:B42"/>
    <mergeCell ref="C42:D42"/>
    <mergeCell ref="A43:B43"/>
    <mergeCell ref="C43:D43"/>
    <mergeCell ref="A44:B44"/>
    <mergeCell ref="A45:B45"/>
    <mergeCell ref="A46:B46"/>
    <mergeCell ref="A47:B47"/>
    <mergeCell ref="A48:B48"/>
    <mergeCell ref="A49:B49"/>
    <mergeCell ref="A50:B50"/>
    <mergeCell ref="A51:B51"/>
    <mergeCell ref="O4:U4"/>
    <mergeCell ref="O39:U39"/>
    <mergeCell ref="A4:D5"/>
    <mergeCell ref="E4:I4"/>
    <mergeCell ref="E39:I39"/>
    <mergeCell ref="J4:N4"/>
    <mergeCell ref="J39:N39"/>
    <mergeCell ref="A6:D6"/>
    <mergeCell ref="A7:D7"/>
    <mergeCell ref="A8:D8"/>
    <mergeCell ref="A9:D9"/>
    <mergeCell ref="A10:D10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2" fitToHeight="0" orientation="portrait" r:id="rId1"/>
  <headerFooter alignWithMargins="0">
    <oddHeader>&amp;L
&amp;R&amp;F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O23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49.33203125" style="21" customWidth="1"/>
    <col min="4" max="4" width="5" style="20" bestFit="1" customWidth="1"/>
    <col min="5" max="5" width="7.44140625" style="20" customWidth="1"/>
    <col min="6" max="7" width="4.6640625" style="21" customWidth="1"/>
    <col min="8" max="8" width="6.109375" style="20" bestFit="1" customWidth="1"/>
    <col min="9" max="12" width="4.6640625" style="20" customWidth="1"/>
    <col min="13" max="15" width="12.44140625" style="38" bestFit="1" customWidth="1"/>
    <col min="16" max="16384" width="8.77734375" style="17"/>
  </cols>
  <sheetData>
    <row r="1" spans="1:15" s="19" customFormat="1" ht="17.100000000000001" customHeight="1">
      <c r="A1" s="16" t="s">
        <v>163</v>
      </c>
      <c r="C1" s="18"/>
      <c r="D1" s="14"/>
      <c r="E1" s="14"/>
      <c r="F1" s="18"/>
      <c r="G1" s="18"/>
      <c r="J1" s="23"/>
      <c r="L1" s="14"/>
      <c r="M1" s="37"/>
      <c r="N1" s="37"/>
      <c r="O1" s="37"/>
    </row>
    <row r="2" spans="1:15" s="19" customFormat="1" ht="14.1" customHeight="1" thickBot="1">
      <c r="A2" s="14"/>
      <c r="C2" s="18"/>
      <c r="D2" s="14"/>
      <c r="E2" s="14"/>
      <c r="F2" s="18"/>
      <c r="G2" s="18"/>
      <c r="H2" s="14"/>
      <c r="I2" s="14"/>
      <c r="J2" s="14"/>
      <c r="L2" s="14"/>
      <c r="M2" s="37"/>
      <c r="N2" s="37"/>
      <c r="O2" s="37"/>
    </row>
    <row r="3" spans="1:15" s="20" customFormat="1" ht="16.350000000000001" customHeight="1" thickBot="1">
      <c r="A3" s="240" t="str">
        <f>ChkList!A4</f>
        <v>분류</v>
      </c>
      <c r="B3" s="222"/>
      <c r="C3" s="243" t="str">
        <f>ChkList!C4</f>
        <v>진단항목</v>
      </c>
      <c r="D3" s="236" t="str">
        <f>ChkList!D4</f>
        <v>중요도</v>
      </c>
      <c r="E3" s="237"/>
      <c r="F3" s="242" t="s">
        <v>91</v>
      </c>
      <c r="G3" s="203"/>
      <c r="H3" s="203"/>
      <c r="I3" s="203"/>
      <c r="J3" s="203"/>
      <c r="K3" s="235" t="s">
        <v>92</v>
      </c>
      <c r="L3" s="181"/>
      <c r="M3" s="162" t="s">
        <v>93</v>
      </c>
      <c r="N3" s="162" t="s">
        <v>93</v>
      </c>
      <c r="O3" s="162" t="s">
        <v>93</v>
      </c>
    </row>
    <row r="4" spans="1:15" s="20" customFormat="1">
      <c r="A4" s="209"/>
      <c r="B4" s="241"/>
      <c r="C4" s="244"/>
      <c r="D4" s="238"/>
      <c r="E4" s="239"/>
      <c r="F4" s="145" t="s">
        <v>94</v>
      </c>
      <c r="G4" s="146" t="s">
        <v>69</v>
      </c>
      <c r="H4" s="147" t="s">
        <v>95</v>
      </c>
      <c r="I4" s="148" t="s">
        <v>70</v>
      </c>
      <c r="J4" s="148" t="s">
        <v>35</v>
      </c>
      <c r="K4" s="148" t="s">
        <v>94</v>
      </c>
      <c r="L4" s="164" t="s">
        <v>96</v>
      </c>
      <c r="M4" s="163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HQ_DEV01</v>
      </c>
      <c r="N4" s="163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HQ_DEV02</v>
      </c>
      <c r="O4" s="163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HQ_DEV03</v>
      </c>
    </row>
    <row r="5" spans="1:15" ht="14.1" customHeight="1">
      <c r="A5" s="27" t="str">
        <f>ChkList!A5</f>
        <v>계정 관리</v>
      </c>
      <c r="B5" s="27" t="str">
        <f>ChkList!B5</f>
        <v>PC-01</v>
      </c>
      <c r="C5" s="27" t="str">
        <f>ChkList!C5</f>
        <v>비밀번호의 주기적 변경</v>
      </c>
      <c r="D5" s="27" t="str">
        <f>ChkList!D5</f>
        <v>H</v>
      </c>
      <c r="E5" s="27">
        <f>ChkList!E5</f>
        <v>3</v>
      </c>
      <c r="F5" s="22">
        <f ca="1">COUNTA($M5:INDIRECT(ADDRESS(ROW(),MATCH("",$4:$4,-1),1,1)))</f>
        <v>3</v>
      </c>
      <c r="G5" s="22">
        <f ca="1">COUNTIF($M5:INDIRECT(ADDRESS(ROW(),MATCH("",$4:$4,-1),1,1)),"조치완료(Y)")+COUNTIF($M5:INDIRECT(ADDRESS(ROW(),MATCH("",$4:$4,-1),1,1)),"Y")</f>
        <v>1</v>
      </c>
      <c r="H5" s="22">
        <f ca="1">COUNTIF($M5:INDIRECT(ADDRESS(ROW(),MATCH("",$4:$4,-1),1,1)),"Y(즉시조치)")+COUNTIF($M5:INDIRECT(ADDRESS(ROW(),MATCH("",$4:$4,-1),1,1)),"조치완료(즉시조치)")</f>
        <v>0</v>
      </c>
      <c r="I5" s="22">
        <f ca="1">COUNTIF($M5:INDIRECT(ADDRESS(ROW(),MATCH("",$4:$4,-1),1,1)),"N")</f>
        <v>0</v>
      </c>
      <c r="J5" s="22">
        <f ca="1">COUNTIF($M5:INDIRECT(ADDRESS(ROW(),MATCH("",$4:$4,-1),1,1)),"N/A")+COUNTIF($M5:INDIRECT(ADDRESS(ROW(),MATCH("",$4:$4,-1),1,1)),"조치완료(N/A)")</f>
        <v>0</v>
      </c>
      <c r="K5" s="22">
        <f ca="1">VLOOKUP($D5,'parm(hidden)'!$B$8:$C$10,2,FALSE)*($F5-$J5)</f>
        <v>9</v>
      </c>
      <c r="L5" s="35">
        <f ca="1">VLOOKUP($D5,'parm(hidden)'!$B$8:$C$10,2,FALSE)*($G5+$H5)</f>
        <v>3</v>
      </c>
      <c r="M5" s="166" t="str">
        <f ca="1">HYPERLINK("#'" &amp; M$4 &amp; "'!" &amp; ADDRESS(ROW()+15, 8), INDIRECT("'" &amp; M$4 &amp; "'!" &amp; ADDRESS(ROW()+15, 8)))</f>
        <v>Y</v>
      </c>
      <c r="N5" s="166" t="e">
        <f t="shared" ref="N5:O5" ca="1" si="0">HYPERLINK("#'" &amp; N$4 &amp; "'!" &amp; ADDRESS(ROW()+15, 8), INDIRECT("'" &amp; N$4 &amp; "'!" &amp; ADDRESS(ROW()+15, 8)))</f>
        <v>#REF!</v>
      </c>
      <c r="O5" s="166" t="e">
        <f t="shared" ca="1" si="0"/>
        <v>#REF!</v>
      </c>
    </row>
    <row r="6" spans="1:15" ht="14.1" customHeight="1">
      <c r="A6" s="27" t="str">
        <f>ChkList!A6</f>
        <v>계정 관리</v>
      </c>
      <c r="B6" s="27" t="str">
        <f>ChkList!B6</f>
        <v>PC-02</v>
      </c>
      <c r="C6" s="27" t="str">
        <f>ChkList!C6</f>
        <v>비밀번호 관리정책 설정</v>
      </c>
      <c r="D6" s="27" t="str">
        <f>ChkList!D6</f>
        <v>H</v>
      </c>
      <c r="E6" s="27">
        <f>ChkList!E6</f>
        <v>3</v>
      </c>
      <c r="F6" s="22">
        <f ca="1">COUNTA($M6:INDIRECT(ADDRESS(ROW(),MATCH("",$4:$4,-1),1,1)))</f>
        <v>3</v>
      </c>
      <c r="G6" s="22">
        <f ca="1">COUNTIF($M6:INDIRECT(ADDRESS(ROW(),MATCH("",$4:$4,-1),1,1)),"조치완료(Y)")+COUNTIF($M6:INDIRECT(ADDRESS(ROW(),MATCH("",$4:$4,-1),1,1)),"Y")</f>
        <v>1</v>
      </c>
      <c r="H6" s="22">
        <f ca="1">COUNTIF($M6:INDIRECT(ADDRESS(ROW(),MATCH("",$4:$4,-1),1,1)),"Y(즉시조치)")+COUNTIF($M6:INDIRECT(ADDRESS(ROW(),MATCH("",$4:$4,-1),1,1)),"조치완료(즉시조치)")</f>
        <v>0</v>
      </c>
      <c r="I6" s="22">
        <f ca="1">COUNTIF($M6:INDIRECT(ADDRESS(ROW(),MATCH("",$4:$4,-1),1,1)),"N")</f>
        <v>0</v>
      </c>
      <c r="J6" s="22">
        <f ca="1">COUNTIF($M6:INDIRECT(ADDRESS(ROW(),MATCH("",$4:$4,-1),1,1)),"N/A")+COUNTIF($M6:INDIRECT(ADDRESS(ROW(),MATCH("",$4:$4,-1),1,1)),"조치완료(N/A)")</f>
        <v>0</v>
      </c>
      <c r="K6" s="22">
        <f ca="1">VLOOKUP($D6,'parm(hidden)'!$B$8:$C$10,2,FALSE)*($F6-$J6)</f>
        <v>9</v>
      </c>
      <c r="L6" s="35">
        <f ca="1">VLOOKUP($D6,'parm(hidden)'!$B$8:$C$10,2,FALSE)*($G6+$H6)</f>
        <v>3</v>
      </c>
      <c r="M6" s="166" t="str">
        <f t="shared" ref="M6:O22" ca="1" si="1">HYPERLINK("#'" &amp; M$4 &amp; "'!" &amp; ADDRESS(ROW()+15, 8), INDIRECT("'" &amp; M$4 &amp; "'!" &amp; ADDRESS(ROW()+15, 8)))</f>
        <v>Y</v>
      </c>
      <c r="N6" s="166" t="e">
        <f t="shared" ca="1" si="1"/>
        <v>#REF!</v>
      </c>
      <c r="O6" s="166" t="e">
        <f t="shared" ca="1" si="1"/>
        <v>#REF!</v>
      </c>
    </row>
    <row r="7" spans="1:15" ht="14.1" customHeight="1">
      <c r="A7" s="27" t="str">
        <f>ChkList!A7</f>
        <v>계정관리</v>
      </c>
      <c r="B7" s="27" t="str">
        <f>ChkList!B7</f>
        <v>PC-03</v>
      </c>
      <c r="C7" s="27" t="str">
        <f>ChkList!C7</f>
        <v>복구 콘솔에서 자동 로그온을 금지하도록 설정</v>
      </c>
      <c r="D7" s="27" t="str">
        <f>ChkList!D7</f>
        <v>M</v>
      </c>
      <c r="E7" s="27">
        <f>ChkList!E7</f>
        <v>2</v>
      </c>
      <c r="F7" s="22">
        <f ca="1">COUNTA($M7:INDIRECT(ADDRESS(ROW(),MATCH("",$4:$4,-1),1,1)))</f>
        <v>3</v>
      </c>
      <c r="G7" s="22">
        <f ca="1">COUNTIF($M7:INDIRECT(ADDRESS(ROW(),MATCH("",$4:$4,-1),1,1)),"조치완료(Y)")+COUNTIF($M7:INDIRECT(ADDRESS(ROW(),MATCH("",$4:$4,-1),1,1)),"Y")</f>
        <v>1</v>
      </c>
      <c r="H7" s="22">
        <f ca="1">COUNTIF($M7:INDIRECT(ADDRESS(ROW(),MATCH("",$4:$4,-1),1,1)),"Y(즉시조치)")+COUNTIF($M7:INDIRECT(ADDRESS(ROW(),MATCH("",$4:$4,-1),1,1)),"조치완료(즉시조치)")</f>
        <v>0</v>
      </c>
      <c r="I7" s="22">
        <f ca="1">COUNTIF($M7:INDIRECT(ADDRESS(ROW(),MATCH("",$4:$4,-1),1,1)),"N")</f>
        <v>0</v>
      </c>
      <c r="J7" s="22">
        <f ca="1">COUNTIF($M7:INDIRECT(ADDRESS(ROW(),MATCH("",$4:$4,-1),1,1)),"N/A")+COUNTIF($M7:INDIRECT(ADDRESS(ROW(),MATCH("",$4:$4,-1),1,1)),"조치완료(N/A)")</f>
        <v>0</v>
      </c>
      <c r="K7" s="22">
        <f ca="1">VLOOKUP($D7,'parm(hidden)'!$B$8:$C$10,2,FALSE)*($F7-$J7)</f>
        <v>6</v>
      </c>
      <c r="L7" s="35">
        <f ca="1">VLOOKUP($D7,'parm(hidden)'!$B$8:$C$10,2,FALSE)*($G7+$H7)</f>
        <v>2</v>
      </c>
      <c r="M7" s="166" t="str">
        <f t="shared" ca="1" si="1"/>
        <v>Y</v>
      </c>
      <c r="N7" s="166" t="e">
        <f t="shared" ca="1" si="1"/>
        <v>#REF!</v>
      </c>
      <c r="O7" s="166" t="e">
        <f t="shared" ca="1" si="1"/>
        <v>#REF!</v>
      </c>
    </row>
    <row r="8" spans="1:15" ht="14.1" customHeight="1">
      <c r="A8" s="27" t="str">
        <f>ChkList!A8</f>
        <v>서비스 관리</v>
      </c>
      <c r="B8" s="27" t="str">
        <f>ChkList!B8</f>
        <v>PC-04</v>
      </c>
      <c r="C8" s="27" t="str">
        <f>ChkList!C8</f>
        <v>공유 폴더 제거</v>
      </c>
      <c r="D8" s="27" t="str">
        <f>ChkList!D8</f>
        <v>H</v>
      </c>
      <c r="E8" s="27">
        <f>ChkList!E8</f>
        <v>3</v>
      </c>
      <c r="F8" s="22">
        <f ca="1">COUNTA($M8:INDIRECT(ADDRESS(ROW(),MATCH("",$4:$4,-1),1,1)))</f>
        <v>3</v>
      </c>
      <c r="G8" s="22">
        <f ca="1">COUNTIF($M8:INDIRECT(ADDRESS(ROW(),MATCH("",$4:$4,-1),1,1)),"조치완료(Y)")+COUNTIF($M8:INDIRECT(ADDRESS(ROW(),MATCH("",$4:$4,-1),1,1)),"Y")</f>
        <v>1</v>
      </c>
      <c r="H8" s="22">
        <f ca="1">COUNTIF($M8:INDIRECT(ADDRESS(ROW(),MATCH("",$4:$4,-1),1,1)),"Y(즉시조치)")+COUNTIF($M8:INDIRECT(ADDRESS(ROW(),MATCH("",$4:$4,-1),1,1)),"조치완료(즉시조치)")</f>
        <v>0</v>
      </c>
      <c r="I8" s="22">
        <f ca="1">COUNTIF($M8:INDIRECT(ADDRESS(ROW(),MATCH("",$4:$4,-1),1,1)),"N")</f>
        <v>0</v>
      </c>
      <c r="J8" s="22">
        <f ca="1">COUNTIF($M8:INDIRECT(ADDRESS(ROW(),MATCH("",$4:$4,-1),1,1)),"N/A")+COUNTIF($M8:INDIRECT(ADDRESS(ROW(),MATCH("",$4:$4,-1),1,1)),"조치완료(N/A)")</f>
        <v>0</v>
      </c>
      <c r="K8" s="22">
        <f ca="1">VLOOKUP($D8,'parm(hidden)'!$B$8:$C$10,2,FALSE)*($F8-$J8)</f>
        <v>9</v>
      </c>
      <c r="L8" s="35">
        <f ca="1">VLOOKUP($D8,'parm(hidden)'!$B$8:$C$10,2,FALSE)*($G8+$H8)</f>
        <v>3</v>
      </c>
      <c r="M8" s="166" t="str">
        <f t="shared" ca="1" si="1"/>
        <v>Y</v>
      </c>
      <c r="N8" s="166" t="e">
        <f t="shared" ca="1" si="1"/>
        <v>#REF!</v>
      </c>
      <c r="O8" s="166" t="e">
        <f t="shared" ca="1" si="1"/>
        <v>#REF!</v>
      </c>
    </row>
    <row r="9" spans="1:15" ht="14.1" customHeight="1">
      <c r="A9" s="27" t="str">
        <f>ChkList!A9</f>
        <v>서비스 관리</v>
      </c>
      <c r="B9" s="27" t="str">
        <f>ChkList!B9</f>
        <v>PC-05</v>
      </c>
      <c r="C9" s="27" t="str">
        <f>ChkList!C9</f>
        <v>항목의 불필요한 서비스 제거</v>
      </c>
      <c r="D9" s="27" t="str">
        <f>ChkList!D9</f>
        <v>H</v>
      </c>
      <c r="E9" s="27">
        <f>ChkList!E9</f>
        <v>3</v>
      </c>
      <c r="F9" s="22">
        <f ca="1">COUNTA($M9:INDIRECT(ADDRESS(ROW(),MATCH("",$4:$4,-1),1,1)))</f>
        <v>3</v>
      </c>
      <c r="G9" s="22">
        <f ca="1">COUNTIF($M9:INDIRECT(ADDRESS(ROW(),MATCH("",$4:$4,-1),1,1)),"조치완료(Y)")+COUNTIF($M9:INDIRECT(ADDRESS(ROW(),MATCH("",$4:$4,-1),1,1)),"Y")</f>
        <v>1</v>
      </c>
      <c r="H9" s="22">
        <f ca="1">COUNTIF($M9:INDIRECT(ADDRESS(ROW(),MATCH("",$4:$4,-1),1,1)),"Y(즉시조치)")+COUNTIF($M9:INDIRECT(ADDRESS(ROW(),MATCH("",$4:$4,-1),1,1)),"조치완료(즉시조치)")</f>
        <v>0</v>
      </c>
      <c r="I9" s="22">
        <f ca="1">COUNTIF($M9:INDIRECT(ADDRESS(ROW(),MATCH("",$4:$4,-1),1,1)),"N")</f>
        <v>0</v>
      </c>
      <c r="J9" s="22">
        <f ca="1">COUNTIF($M9:INDIRECT(ADDRESS(ROW(),MATCH("",$4:$4,-1),1,1)),"N/A")+COUNTIF($M9:INDIRECT(ADDRESS(ROW(),MATCH("",$4:$4,-1),1,1)),"조치완료(N/A)")</f>
        <v>0</v>
      </c>
      <c r="K9" s="22">
        <f ca="1">VLOOKUP($D9,'parm(hidden)'!$B$8:$C$10,2,FALSE)*($F9-$J9)</f>
        <v>9</v>
      </c>
      <c r="L9" s="35">
        <f ca="1">VLOOKUP($D9,'parm(hidden)'!$B$8:$C$10,2,FALSE)*($G9+$H9)</f>
        <v>3</v>
      </c>
      <c r="M9" s="166" t="str">
        <f t="shared" ca="1" si="1"/>
        <v>Y</v>
      </c>
      <c r="N9" s="166" t="e">
        <f t="shared" ca="1" si="1"/>
        <v>#REF!</v>
      </c>
      <c r="O9" s="166" t="e">
        <f t="shared" ca="1" si="1"/>
        <v>#REF!</v>
      </c>
    </row>
    <row r="10" spans="1:15" ht="14.1" customHeight="1">
      <c r="A10" s="27" t="str">
        <f>ChkList!A10</f>
        <v>서비스 관리</v>
      </c>
      <c r="B10" s="27" t="str">
        <f>ChkList!B10</f>
        <v>PC-06</v>
      </c>
      <c r="C10" s="27" t="str">
        <f>ChkList!C10</f>
        <v>비인가 상용 메신저 사용 금지</v>
      </c>
      <c r="D10" s="27" t="str">
        <f>ChkList!D10</f>
        <v>H</v>
      </c>
      <c r="E10" s="27">
        <f>ChkList!E10</f>
        <v>3</v>
      </c>
      <c r="F10" s="22">
        <f ca="1">COUNTA($M10:INDIRECT(ADDRESS(ROW(),MATCH("",$4:$4,-1),1,1)))</f>
        <v>3</v>
      </c>
      <c r="G10" s="22">
        <f ca="1">COUNTIF($M10:INDIRECT(ADDRESS(ROW(),MATCH("",$4:$4,-1),1,1)),"조치완료(Y)")+COUNTIF($M10:INDIRECT(ADDRESS(ROW(),MATCH("",$4:$4,-1),1,1)),"Y")</f>
        <v>1</v>
      </c>
      <c r="H10" s="22">
        <f ca="1">COUNTIF($M10:INDIRECT(ADDRESS(ROW(),MATCH("",$4:$4,-1),1,1)),"Y(즉시조치)")+COUNTIF($M10:INDIRECT(ADDRESS(ROW(),MATCH("",$4:$4,-1),1,1)),"조치완료(즉시조치)")</f>
        <v>0</v>
      </c>
      <c r="I10" s="22">
        <f ca="1">COUNTIF($M10:INDIRECT(ADDRESS(ROW(),MATCH("",$4:$4,-1),1,1)),"N")</f>
        <v>0</v>
      </c>
      <c r="J10" s="22">
        <f ca="1">COUNTIF($M10:INDIRECT(ADDRESS(ROW(),MATCH("",$4:$4,-1),1,1)),"N/A")+COUNTIF($M10:INDIRECT(ADDRESS(ROW(),MATCH("",$4:$4,-1),1,1)),"조치완료(N/A)")</f>
        <v>0</v>
      </c>
      <c r="K10" s="22">
        <f ca="1">VLOOKUP($D10,'parm(hidden)'!$B$8:$C$10,2,FALSE)*($F10-$J10)</f>
        <v>9</v>
      </c>
      <c r="L10" s="35">
        <f ca="1">VLOOKUP($D10,'parm(hidden)'!$B$8:$C$10,2,FALSE)*($G10+$H10)</f>
        <v>3</v>
      </c>
      <c r="M10" s="166" t="str">
        <f t="shared" ca="1" si="1"/>
        <v>Y</v>
      </c>
      <c r="N10" s="166" t="e">
        <f t="shared" ca="1" si="1"/>
        <v>#REF!</v>
      </c>
      <c r="O10" s="166" t="e">
        <f t="shared" ca="1" si="1"/>
        <v>#REF!</v>
      </c>
    </row>
    <row r="11" spans="1:15" ht="14.1" customHeight="1">
      <c r="A11" s="27" t="str">
        <f>ChkList!A11</f>
        <v>서비스 관리</v>
      </c>
      <c r="B11" s="27" t="str">
        <f>ChkList!B11</f>
        <v>PC-07</v>
      </c>
      <c r="C11" s="27" t="str">
        <f>ChkList!C11</f>
        <v>파일 시스템이 NTFS 포맷으로 설정</v>
      </c>
      <c r="D11" s="27" t="str">
        <f>ChkList!D11</f>
        <v>M</v>
      </c>
      <c r="E11" s="27">
        <f>ChkList!E11</f>
        <v>2</v>
      </c>
      <c r="F11" s="22">
        <f ca="1">COUNTA($M11:INDIRECT(ADDRESS(ROW(),MATCH("",$4:$4,-1),1,1)))</f>
        <v>3</v>
      </c>
      <c r="G11" s="22">
        <f ca="1">COUNTIF($M11:INDIRECT(ADDRESS(ROW(),MATCH("",$4:$4,-1),1,1)),"조치완료(Y)")+COUNTIF($M11:INDIRECT(ADDRESS(ROW(),MATCH("",$4:$4,-1),1,1)),"Y")</f>
        <v>1</v>
      </c>
      <c r="H11" s="22">
        <f ca="1">COUNTIF($M11:INDIRECT(ADDRESS(ROW(),MATCH("",$4:$4,-1),1,1)),"Y(즉시조치)")+COUNTIF($M11:INDIRECT(ADDRESS(ROW(),MATCH("",$4:$4,-1),1,1)),"조치완료(즉시조치)")</f>
        <v>0</v>
      </c>
      <c r="I11" s="22">
        <f ca="1">COUNTIF($M11:INDIRECT(ADDRESS(ROW(),MATCH("",$4:$4,-1),1,1)),"N")</f>
        <v>0</v>
      </c>
      <c r="J11" s="22">
        <f ca="1">COUNTIF($M11:INDIRECT(ADDRESS(ROW(),MATCH("",$4:$4,-1),1,1)),"N/A")+COUNTIF($M11:INDIRECT(ADDRESS(ROW(),MATCH("",$4:$4,-1),1,1)),"조치완료(N/A)")</f>
        <v>0</v>
      </c>
      <c r="K11" s="22">
        <f ca="1">VLOOKUP($D11,'parm(hidden)'!$B$8:$C$10,2,FALSE)*($F11-$J11)</f>
        <v>6</v>
      </c>
      <c r="L11" s="35">
        <f ca="1">VLOOKUP($D11,'parm(hidden)'!$B$8:$C$10,2,FALSE)*($G11+$H11)</f>
        <v>2</v>
      </c>
      <c r="M11" s="166" t="str">
        <f t="shared" ca="1" si="1"/>
        <v>Y</v>
      </c>
      <c r="N11" s="166" t="e">
        <f t="shared" ca="1" si="1"/>
        <v>#REF!</v>
      </c>
      <c r="O11" s="166" t="e">
        <f t="shared" ca="1" si="1"/>
        <v>#REF!</v>
      </c>
    </row>
    <row r="12" spans="1:15" ht="14.1" customHeight="1">
      <c r="A12" s="27" t="str">
        <f>ChkList!A12</f>
        <v>서비스 관리</v>
      </c>
      <c r="B12" s="27" t="str">
        <f>ChkList!B12</f>
        <v>PC-08</v>
      </c>
      <c r="C12" s="27" t="str">
        <f>ChkList!C12</f>
        <v>대상 시스템이 Windows 서버를 제외한 다른 OS로 멀티 부팅이 가능하지 않도록 설정</v>
      </c>
      <c r="D12" s="27" t="str">
        <f>ChkList!D12</f>
        <v>M</v>
      </c>
      <c r="E12" s="27">
        <f>ChkList!E12</f>
        <v>2</v>
      </c>
      <c r="F12" s="22">
        <f ca="1">COUNTA($M12:INDIRECT(ADDRESS(ROW(),MATCH("",$4:$4,-1),1,1)))</f>
        <v>3</v>
      </c>
      <c r="G12" s="22">
        <f ca="1">COUNTIF($M12:INDIRECT(ADDRESS(ROW(),MATCH("",$4:$4,-1),1,1)),"조치완료(Y)")+COUNTIF($M12:INDIRECT(ADDRESS(ROW(),MATCH("",$4:$4,-1),1,1)),"Y")</f>
        <v>1</v>
      </c>
      <c r="H12" s="22">
        <f ca="1">COUNTIF($M12:INDIRECT(ADDRESS(ROW(),MATCH("",$4:$4,-1),1,1)),"Y(즉시조치)")+COUNTIF($M12:INDIRECT(ADDRESS(ROW(),MATCH("",$4:$4,-1),1,1)),"조치완료(즉시조치)")</f>
        <v>0</v>
      </c>
      <c r="I12" s="22">
        <f ca="1">COUNTIF($M12:INDIRECT(ADDRESS(ROW(),MATCH("",$4:$4,-1),1,1)),"N")</f>
        <v>0</v>
      </c>
      <c r="J12" s="22">
        <f ca="1">COUNTIF($M12:INDIRECT(ADDRESS(ROW(),MATCH("",$4:$4,-1),1,1)),"N/A")+COUNTIF($M12:INDIRECT(ADDRESS(ROW(),MATCH("",$4:$4,-1),1,1)),"조치완료(N/A)")</f>
        <v>0</v>
      </c>
      <c r="K12" s="22">
        <f ca="1">VLOOKUP($D12,'parm(hidden)'!$B$8:$C$10,2,FALSE)*($F12-$J12)</f>
        <v>6</v>
      </c>
      <c r="L12" s="35">
        <f ca="1">VLOOKUP($D12,'parm(hidden)'!$B$8:$C$10,2,FALSE)*($G12+$H12)</f>
        <v>2</v>
      </c>
      <c r="M12" s="166" t="str">
        <f t="shared" ca="1" si="1"/>
        <v>Y</v>
      </c>
      <c r="N12" s="166" t="e">
        <f t="shared" ca="1" si="1"/>
        <v>#REF!</v>
      </c>
      <c r="O12" s="166" t="e">
        <f t="shared" ca="1" si="1"/>
        <v>#REF!</v>
      </c>
    </row>
    <row r="13" spans="1:15" ht="14.1" customHeight="1">
      <c r="A13" s="27" t="str">
        <f>ChkList!A13</f>
        <v>서비스 관리</v>
      </c>
      <c r="B13" s="27" t="str">
        <f>ChkList!B13</f>
        <v>PC-09</v>
      </c>
      <c r="C13" s="27" t="str">
        <f>ChkList!C13</f>
        <v>브라우저 종료 시 임시 인터넷 파일 폴더의 내용을 삭제하도록 설정</v>
      </c>
      <c r="D13" s="27" t="str">
        <f>ChkList!D13</f>
        <v>L</v>
      </c>
      <c r="E13" s="27">
        <f>ChkList!E13</f>
        <v>1</v>
      </c>
      <c r="F13" s="22">
        <f ca="1">COUNTA($M13:INDIRECT(ADDRESS(ROW(),MATCH("",$4:$4,-1),1,1)))</f>
        <v>3</v>
      </c>
      <c r="G13" s="22">
        <f ca="1">COUNTIF($M13:INDIRECT(ADDRESS(ROW(),MATCH("",$4:$4,-1),1,1)),"조치완료(Y)")+COUNTIF($M13:INDIRECT(ADDRESS(ROW(),MATCH("",$4:$4,-1),1,1)),"Y")</f>
        <v>1</v>
      </c>
      <c r="H13" s="22">
        <f ca="1">COUNTIF($M13:INDIRECT(ADDRESS(ROW(),MATCH("",$4:$4,-1),1,1)),"Y(즉시조치)")+COUNTIF($M13:INDIRECT(ADDRESS(ROW(),MATCH("",$4:$4,-1),1,1)),"조치완료(즉시조치)")</f>
        <v>0</v>
      </c>
      <c r="I13" s="22">
        <f ca="1">COUNTIF($M13:INDIRECT(ADDRESS(ROW(),MATCH("",$4:$4,-1),1,1)),"N")</f>
        <v>0</v>
      </c>
      <c r="J13" s="22">
        <f ca="1">COUNTIF($M13:INDIRECT(ADDRESS(ROW(),MATCH("",$4:$4,-1),1,1)),"N/A")+COUNTIF($M13:INDIRECT(ADDRESS(ROW(),MATCH("",$4:$4,-1),1,1)),"조치완료(N/A)")</f>
        <v>0</v>
      </c>
      <c r="K13" s="22">
        <f ca="1">VLOOKUP($D13,'parm(hidden)'!$B$8:$C$10,2,FALSE)*($F13-$J13)</f>
        <v>3</v>
      </c>
      <c r="L13" s="35">
        <f ca="1">VLOOKUP($D13,'parm(hidden)'!$B$8:$C$10,2,FALSE)*($G13+$H13)</f>
        <v>1</v>
      </c>
      <c r="M13" s="166" t="str">
        <f t="shared" ca="1" si="1"/>
        <v>Y</v>
      </c>
      <c r="N13" s="166" t="e">
        <f t="shared" ca="1" si="1"/>
        <v>#REF!</v>
      </c>
      <c r="O13" s="166" t="e">
        <f t="shared" ca="1" si="1"/>
        <v>#REF!</v>
      </c>
    </row>
    <row r="14" spans="1:15" ht="14.1" customHeight="1">
      <c r="A14" s="27" t="str">
        <f>ChkList!A14</f>
        <v>패치 관리</v>
      </c>
      <c r="B14" s="27" t="str">
        <f>ChkList!B14</f>
        <v>PC-10</v>
      </c>
      <c r="C14" s="27" t="str">
        <f>ChkList!C14</f>
        <v>주기적 보안 패치 및 벤더 권고사항 적용</v>
      </c>
      <c r="D14" s="27" t="str">
        <f>ChkList!D14</f>
        <v>H</v>
      </c>
      <c r="E14" s="27">
        <f>ChkList!E14</f>
        <v>3</v>
      </c>
      <c r="F14" s="22">
        <f ca="1">COUNTA($M14:INDIRECT(ADDRESS(ROW(),MATCH("",$4:$4,-1),1,1)))</f>
        <v>3</v>
      </c>
      <c r="G14" s="22">
        <f ca="1">COUNTIF($M14:INDIRECT(ADDRESS(ROW(),MATCH("",$4:$4,-1),1,1)),"조치완료(Y)")+COUNTIF($M14:INDIRECT(ADDRESS(ROW(),MATCH("",$4:$4,-1),1,1)),"Y")</f>
        <v>1</v>
      </c>
      <c r="H14" s="22">
        <f ca="1">COUNTIF($M14:INDIRECT(ADDRESS(ROW(),MATCH("",$4:$4,-1),1,1)),"Y(즉시조치)")+COUNTIF($M14:INDIRECT(ADDRESS(ROW(),MATCH("",$4:$4,-1),1,1)),"조치완료(즉시조치)")</f>
        <v>0</v>
      </c>
      <c r="I14" s="22">
        <f ca="1">COUNTIF($M14:INDIRECT(ADDRESS(ROW(),MATCH("",$4:$4,-1),1,1)),"N")</f>
        <v>0</v>
      </c>
      <c r="J14" s="22">
        <f ca="1">COUNTIF($M14:INDIRECT(ADDRESS(ROW(),MATCH("",$4:$4,-1),1,1)),"N/A")+COUNTIF($M14:INDIRECT(ADDRESS(ROW(),MATCH("",$4:$4,-1),1,1)),"조치완료(N/A)")</f>
        <v>0</v>
      </c>
      <c r="K14" s="22">
        <f ca="1">VLOOKUP($D14,'parm(hidden)'!$B$8:$C$10,2,FALSE)*($F14-$J14)</f>
        <v>9</v>
      </c>
      <c r="L14" s="35">
        <f ca="1">VLOOKUP($D14,'parm(hidden)'!$B$8:$C$10,2,FALSE)*($G14+$H14)</f>
        <v>3</v>
      </c>
      <c r="M14" s="166" t="str">
        <f t="shared" ca="1" si="1"/>
        <v>Y</v>
      </c>
      <c r="N14" s="166" t="e">
        <f t="shared" ca="1" si="1"/>
        <v>#REF!</v>
      </c>
      <c r="O14" s="166" t="e">
        <f t="shared" ca="1" si="1"/>
        <v>#REF!</v>
      </c>
    </row>
    <row r="15" spans="1:15" ht="14.1" customHeight="1">
      <c r="A15" s="27" t="str">
        <f>ChkList!A15</f>
        <v>패치 관리</v>
      </c>
      <c r="B15" s="27" t="str">
        <f>ChkList!B15</f>
        <v>PC-11</v>
      </c>
      <c r="C15" s="27" t="str">
        <f>ChkList!C15</f>
        <v>지원이 종료되지 않은 Windows OS Build 적용</v>
      </c>
      <c r="D15" s="27" t="str">
        <f>ChkList!D15</f>
        <v>H</v>
      </c>
      <c r="E15" s="27">
        <f>ChkList!E15</f>
        <v>3</v>
      </c>
      <c r="F15" s="22">
        <f ca="1">COUNTA($M15:INDIRECT(ADDRESS(ROW(),MATCH("",$4:$4,-1),1,1)))</f>
        <v>3</v>
      </c>
      <c r="G15" s="22">
        <f ca="1">COUNTIF($M15:INDIRECT(ADDRESS(ROW(),MATCH("",$4:$4,-1),1,1)),"조치완료(Y)")+COUNTIF($M15:INDIRECT(ADDRESS(ROW(),MATCH("",$4:$4,-1),1,1)),"Y")</f>
        <v>1</v>
      </c>
      <c r="H15" s="22">
        <f ca="1">COUNTIF($M15:INDIRECT(ADDRESS(ROW(),MATCH("",$4:$4,-1),1,1)),"Y(즉시조치)")+COUNTIF($M15:INDIRECT(ADDRESS(ROW(),MATCH("",$4:$4,-1),1,1)),"조치완료(즉시조치)")</f>
        <v>0</v>
      </c>
      <c r="I15" s="22">
        <f ca="1">COUNTIF($M15:INDIRECT(ADDRESS(ROW(),MATCH("",$4:$4,-1),1,1)),"N")</f>
        <v>0</v>
      </c>
      <c r="J15" s="22">
        <f ca="1">COUNTIF($M15:INDIRECT(ADDRESS(ROW(),MATCH("",$4:$4,-1),1,1)),"N/A")+COUNTIF($M15:INDIRECT(ADDRESS(ROW(),MATCH("",$4:$4,-1),1,1)),"조치완료(N/A)")</f>
        <v>0</v>
      </c>
      <c r="K15" s="22">
        <f ca="1">VLOOKUP($D15,'parm(hidden)'!$B$8:$C$10,2,FALSE)*($F15-$J15)</f>
        <v>9</v>
      </c>
      <c r="L15" s="35">
        <f ca="1">VLOOKUP($D15,'parm(hidden)'!$B$8:$C$10,2,FALSE)*($G15+$H15)</f>
        <v>3</v>
      </c>
      <c r="M15" s="166" t="str">
        <f t="shared" ca="1" si="1"/>
        <v>Y</v>
      </c>
      <c r="N15" s="166" t="e">
        <f t="shared" ca="1" si="1"/>
        <v>#REF!</v>
      </c>
      <c r="O15" s="166" t="e">
        <f t="shared" ca="1" si="1"/>
        <v>#REF!</v>
      </c>
    </row>
    <row r="16" spans="1:15" ht="14.1" customHeight="1">
      <c r="A16" s="27" t="str">
        <f>ChkList!A16</f>
        <v>보안 관리</v>
      </c>
      <c r="B16" s="27" t="str">
        <f>ChkList!B16</f>
        <v>PC-12</v>
      </c>
      <c r="C16" s="27" t="str">
        <f>ChkList!C16</f>
        <v>Windows 자동 로그인 점검</v>
      </c>
      <c r="D16" s="27" t="str">
        <f>ChkList!D16</f>
        <v>M</v>
      </c>
      <c r="E16" s="27">
        <f>ChkList!E16</f>
        <v>2</v>
      </c>
      <c r="F16" s="22">
        <f ca="1">COUNTA($M16:INDIRECT(ADDRESS(ROW(),MATCH("",$4:$4,-1),1,1)))</f>
        <v>3</v>
      </c>
      <c r="G16" s="22">
        <f ca="1">COUNTIF($M16:INDIRECT(ADDRESS(ROW(),MATCH("",$4:$4,-1),1,1)),"조치완료(Y)")+COUNTIF($M16:INDIRECT(ADDRESS(ROW(),MATCH("",$4:$4,-1),1,1)),"Y")</f>
        <v>1</v>
      </c>
      <c r="H16" s="22">
        <f ca="1">COUNTIF($M16:INDIRECT(ADDRESS(ROW(),MATCH("",$4:$4,-1),1,1)),"Y(즉시조치)")+COUNTIF($M16:INDIRECT(ADDRESS(ROW(),MATCH("",$4:$4,-1),1,1)),"조치완료(즉시조치)")</f>
        <v>0</v>
      </c>
      <c r="I16" s="22">
        <f ca="1">COUNTIF($M16:INDIRECT(ADDRESS(ROW(),MATCH("",$4:$4,-1),1,1)),"N")</f>
        <v>0</v>
      </c>
      <c r="J16" s="22">
        <f ca="1">COUNTIF($M16:INDIRECT(ADDRESS(ROW(),MATCH("",$4:$4,-1),1,1)),"N/A")+COUNTIF($M16:INDIRECT(ADDRESS(ROW(),MATCH("",$4:$4,-1),1,1)),"조치완료(N/A)")</f>
        <v>0</v>
      </c>
      <c r="K16" s="22">
        <f ca="1">VLOOKUP($D16,'parm(hidden)'!$B$8:$C$10,2,FALSE)*($F16-$J16)</f>
        <v>6</v>
      </c>
      <c r="L16" s="35">
        <f ca="1">VLOOKUP($D16,'parm(hidden)'!$B$8:$C$10,2,FALSE)*($G16+$H16)</f>
        <v>2</v>
      </c>
      <c r="M16" s="166" t="str">
        <f t="shared" ca="1" si="1"/>
        <v>Y</v>
      </c>
      <c r="N16" s="166" t="e">
        <f t="shared" ca="1" si="1"/>
        <v>#REF!</v>
      </c>
      <c r="O16" s="166" t="e">
        <f t="shared" ca="1" si="1"/>
        <v>#REF!</v>
      </c>
    </row>
    <row r="17" spans="1:15" ht="14.1" customHeight="1">
      <c r="A17" s="27" t="str">
        <f>ChkList!A17</f>
        <v>보안 관리</v>
      </c>
      <c r="B17" s="27" t="str">
        <f>ChkList!B17</f>
        <v>PC-13</v>
      </c>
      <c r="C17" s="27" t="str">
        <f>ChkList!C17</f>
        <v>바이러스 백신 프로그램 설치 및 주기적 업데이트</v>
      </c>
      <c r="D17" s="27" t="str">
        <f>ChkList!D17</f>
        <v>H</v>
      </c>
      <c r="E17" s="27">
        <f>ChkList!E17</f>
        <v>3</v>
      </c>
      <c r="F17" s="22">
        <f ca="1">COUNTA($M17:INDIRECT(ADDRESS(ROW(),MATCH("",$4:$4,-1),1,1)))</f>
        <v>3</v>
      </c>
      <c r="G17" s="22">
        <f ca="1">COUNTIF($M17:INDIRECT(ADDRESS(ROW(),MATCH("",$4:$4,-1),1,1)),"조치완료(Y)")+COUNTIF($M17:INDIRECT(ADDRESS(ROW(),MATCH("",$4:$4,-1),1,1)),"Y")</f>
        <v>1</v>
      </c>
      <c r="H17" s="22">
        <f ca="1">COUNTIF($M17:INDIRECT(ADDRESS(ROW(),MATCH("",$4:$4,-1),1,1)),"Y(즉시조치)")+COUNTIF($M17:INDIRECT(ADDRESS(ROW(),MATCH("",$4:$4,-1),1,1)),"조치완료(즉시조치)")</f>
        <v>0</v>
      </c>
      <c r="I17" s="22">
        <f ca="1">COUNTIF($M17:INDIRECT(ADDRESS(ROW(),MATCH("",$4:$4,-1),1,1)),"N")</f>
        <v>0</v>
      </c>
      <c r="J17" s="22">
        <f ca="1">COUNTIF($M17:INDIRECT(ADDRESS(ROW(),MATCH("",$4:$4,-1),1,1)),"N/A")+COUNTIF($M17:INDIRECT(ADDRESS(ROW(),MATCH("",$4:$4,-1),1,1)),"조치완료(N/A)")</f>
        <v>0</v>
      </c>
      <c r="K17" s="22">
        <f ca="1">VLOOKUP($D17,'parm(hidden)'!$B$8:$C$10,2,FALSE)*($F17-$J17)</f>
        <v>9</v>
      </c>
      <c r="L17" s="35">
        <f ca="1">VLOOKUP($D17,'parm(hidden)'!$B$8:$C$10,2,FALSE)*($G17+$H17)</f>
        <v>3</v>
      </c>
      <c r="M17" s="166" t="str">
        <f t="shared" ca="1" si="1"/>
        <v>Y</v>
      </c>
      <c r="N17" s="166" t="e">
        <f t="shared" ca="1" si="1"/>
        <v>#REF!</v>
      </c>
      <c r="O17" s="166" t="e">
        <f t="shared" ca="1" si="1"/>
        <v>#REF!</v>
      </c>
    </row>
    <row r="18" spans="1:15" ht="14.1" customHeight="1">
      <c r="A18" s="27" t="str">
        <f>ChkList!A18</f>
        <v>보안 관리</v>
      </c>
      <c r="B18" s="27" t="str">
        <f>ChkList!B18</f>
        <v>PC-14</v>
      </c>
      <c r="C18" s="27" t="str">
        <f>ChkList!C18</f>
        <v>바이러스 백신 프로그램에서 제공하는 실시간 감시 기능 활성화</v>
      </c>
      <c r="D18" s="27" t="str">
        <f>ChkList!D18</f>
        <v>H</v>
      </c>
      <c r="E18" s="27">
        <f>ChkList!E18</f>
        <v>3</v>
      </c>
      <c r="F18" s="22">
        <f ca="1">COUNTA($M18:INDIRECT(ADDRESS(ROW(),MATCH("",$4:$4,-1),1,1)))</f>
        <v>3</v>
      </c>
      <c r="G18" s="22">
        <f ca="1">COUNTIF($M18:INDIRECT(ADDRESS(ROW(),MATCH("",$4:$4,-1),1,1)),"조치완료(Y)")+COUNTIF($M18:INDIRECT(ADDRESS(ROW(),MATCH("",$4:$4,-1),1,1)),"Y")</f>
        <v>1</v>
      </c>
      <c r="H18" s="22">
        <f ca="1">COUNTIF($M18:INDIRECT(ADDRESS(ROW(),MATCH("",$4:$4,-1),1,1)),"Y(즉시조치)")+COUNTIF($M18:INDIRECT(ADDRESS(ROW(),MATCH("",$4:$4,-1),1,1)),"조치완료(즉시조치)")</f>
        <v>0</v>
      </c>
      <c r="I18" s="22">
        <f ca="1">COUNTIF($M18:INDIRECT(ADDRESS(ROW(),MATCH("",$4:$4,-1),1,1)),"N")</f>
        <v>0</v>
      </c>
      <c r="J18" s="22">
        <f ca="1">COUNTIF($M18:INDIRECT(ADDRESS(ROW(),MATCH("",$4:$4,-1),1,1)),"N/A")+COUNTIF($M18:INDIRECT(ADDRESS(ROW(),MATCH("",$4:$4,-1),1,1)),"조치완료(N/A)")</f>
        <v>0</v>
      </c>
      <c r="K18" s="22">
        <f ca="1">VLOOKUP($D18,'parm(hidden)'!$B$8:$C$10,2,FALSE)*($F18-$J18)</f>
        <v>9</v>
      </c>
      <c r="L18" s="35">
        <f ca="1">VLOOKUP($D18,'parm(hidden)'!$B$8:$C$10,2,FALSE)*($G18+$H18)</f>
        <v>3</v>
      </c>
      <c r="M18" s="166" t="str">
        <f t="shared" ca="1" si="1"/>
        <v>Y</v>
      </c>
      <c r="N18" s="166" t="e">
        <f t="shared" ca="1" si="1"/>
        <v>#REF!</v>
      </c>
      <c r="O18" s="166" t="e">
        <f t="shared" ca="1" si="1"/>
        <v>#REF!</v>
      </c>
    </row>
    <row r="19" spans="1:15" ht="14.1" customHeight="1">
      <c r="A19" s="27" t="str">
        <f>ChkList!A19</f>
        <v>보안 관리</v>
      </c>
      <c r="B19" s="27" t="str">
        <f>ChkList!B19</f>
        <v>PC-15</v>
      </c>
      <c r="C19" s="27" t="str">
        <f>ChkList!C19</f>
        <v>OS에서 제공하는 침입차단 기능 활성화</v>
      </c>
      <c r="D19" s="27" t="str">
        <f>ChkList!D19</f>
        <v>H</v>
      </c>
      <c r="E19" s="27">
        <f>ChkList!E19</f>
        <v>3</v>
      </c>
      <c r="F19" s="22">
        <f ca="1">COUNTA($M19:INDIRECT(ADDRESS(ROW(),MATCH("",$4:$4,-1),1,1)))</f>
        <v>3</v>
      </c>
      <c r="G19" s="22">
        <f ca="1">COUNTIF($M19:INDIRECT(ADDRESS(ROW(),MATCH("",$4:$4,-1),1,1)),"조치완료(Y)")+COUNTIF($M19:INDIRECT(ADDRESS(ROW(),MATCH("",$4:$4,-1),1,1)),"Y")</f>
        <v>1</v>
      </c>
      <c r="H19" s="22">
        <f ca="1">COUNTIF($M19:INDIRECT(ADDRESS(ROW(),MATCH("",$4:$4,-1),1,1)),"Y(즉시조치)")+COUNTIF($M19:INDIRECT(ADDRESS(ROW(),MATCH("",$4:$4,-1),1,1)),"조치완료(즉시조치)")</f>
        <v>0</v>
      </c>
      <c r="I19" s="22">
        <f ca="1">COUNTIF($M19:INDIRECT(ADDRESS(ROW(),MATCH("",$4:$4,-1),1,1)),"N")</f>
        <v>0</v>
      </c>
      <c r="J19" s="22">
        <f ca="1">COUNTIF($M19:INDIRECT(ADDRESS(ROW(),MATCH("",$4:$4,-1),1,1)),"N/A")+COUNTIF($M19:INDIRECT(ADDRESS(ROW(),MATCH("",$4:$4,-1),1,1)),"조치완료(N/A)")</f>
        <v>0</v>
      </c>
      <c r="K19" s="22">
        <f ca="1">VLOOKUP($D19,'parm(hidden)'!$B$8:$C$10,2,FALSE)*($F19-$J19)</f>
        <v>9</v>
      </c>
      <c r="L19" s="35">
        <f ca="1">VLOOKUP($D19,'parm(hidden)'!$B$8:$C$10,2,FALSE)*($G19+$H19)</f>
        <v>3</v>
      </c>
      <c r="M19" s="166" t="str">
        <f t="shared" ca="1" si="1"/>
        <v>Y</v>
      </c>
      <c r="N19" s="166" t="e">
        <f t="shared" ca="1" si="1"/>
        <v>#REF!</v>
      </c>
      <c r="O19" s="166" t="e">
        <f t="shared" ca="1" si="1"/>
        <v>#REF!</v>
      </c>
    </row>
    <row r="20" spans="1:15" ht="14.1" customHeight="1">
      <c r="A20" s="27" t="str">
        <f>ChkList!A20</f>
        <v>보안 관리</v>
      </c>
      <c r="B20" s="27" t="str">
        <f>ChkList!B20</f>
        <v>PC-16</v>
      </c>
      <c r="C20" s="27" t="str">
        <f>ChkList!C20</f>
        <v>화면보호기 대기 시간 설정 및 재시작 시 암호 보호 설정</v>
      </c>
      <c r="D20" s="27" t="str">
        <f>ChkList!D20</f>
        <v>H</v>
      </c>
      <c r="E20" s="27">
        <f>ChkList!E20</f>
        <v>3</v>
      </c>
      <c r="F20" s="22">
        <f ca="1">COUNTA($M20:INDIRECT(ADDRESS(ROW(),MATCH("",$4:$4,-1),1,1)))</f>
        <v>3</v>
      </c>
      <c r="G20" s="22">
        <f ca="1">COUNTIF($M20:INDIRECT(ADDRESS(ROW(),MATCH("",$4:$4,-1),1,1)),"조치완료(Y)")+COUNTIF($M20:INDIRECT(ADDRESS(ROW(),MATCH("",$4:$4,-1),1,1)),"Y")</f>
        <v>1</v>
      </c>
      <c r="H20" s="22">
        <f ca="1">COUNTIF($M20:INDIRECT(ADDRESS(ROW(),MATCH("",$4:$4,-1),1,1)),"Y(즉시조치)")+COUNTIF($M20:INDIRECT(ADDRESS(ROW(),MATCH("",$4:$4,-1),1,1)),"조치완료(즉시조치)")</f>
        <v>0</v>
      </c>
      <c r="I20" s="22">
        <f ca="1">COUNTIF($M20:INDIRECT(ADDRESS(ROW(),MATCH("",$4:$4,-1),1,1)),"N")</f>
        <v>0</v>
      </c>
      <c r="J20" s="22">
        <f ca="1">COUNTIF($M20:INDIRECT(ADDRESS(ROW(),MATCH("",$4:$4,-1),1,1)),"N/A")+COUNTIF($M20:INDIRECT(ADDRESS(ROW(),MATCH("",$4:$4,-1),1,1)),"조치완료(N/A)")</f>
        <v>0</v>
      </c>
      <c r="K20" s="22">
        <f ca="1">VLOOKUP($D20,'parm(hidden)'!$B$8:$C$10,2,FALSE)*($F20-$J20)</f>
        <v>9</v>
      </c>
      <c r="L20" s="35">
        <f ca="1">VLOOKUP($D20,'parm(hidden)'!$B$8:$C$10,2,FALSE)*($G20+$H20)</f>
        <v>3</v>
      </c>
      <c r="M20" s="166" t="str">
        <f t="shared" ca="1" si="1"/>
        <v>Y</v>
      </c>
      <c r="N20" s="166" t="e">
        <f t="shared" ca="1" si="1"/>
        <v>#REF!</v>
      </c>
      <c r="O20" s="166" t="e">
        <f t="shared" ca="1" si="1"/>
        <v>#REF!</v>
      </c>
    </row>
    <row r="21" spans="1:15" ht="14.1" customHeight="1">
      <c r="A21" s="27" t="str">
        <f>ChkList!A21</f>
        <v>보안 관리</v>
      </c>
      <c r="B21" s="27" t="str">
        <f>ChkList!B21</f>
        <v>PC-17</v>
      </c>
      <c r="C21" s="27" t="str">
        <f>ChkList!C21</f>
        <v>CD, DVD, USB 메모리 등과 같은 미디어의 자동 실행 방지 등 이동식 미디어에 대한 보안대책 수립</v>
      </c>
      <c r="D21" s="27" t="str">
        <f>ChkList!D21</f>
        <v>H</v>
      </c>
      <c r="E21" s="27">
        <f>ChkList!E21</f>
        <v>3</v>
      </c>
      <c r="F21" s="22">
        <f ca="1">COUNTA($M21:INDIRECT(ADDRESS(ROW(),MATCH("",$4:$4,-1),1,1)))</f>
        <v>3</v>
      </c>
      <c r="G21" s="22">
        <f ca="1">COUNTIF($M21:INDIRECT(ADDRESS(ROW(),MATCH("",$4:$4,-1),1,1)),"조치완료(Y)")+COUNTIF($M21:INDIRECT(ADDRESS(ROW(),MATCH("",$4:$4,-1),1,1)),"Y")</f>
        <v>1</v>
      </c>
      <c r="H21" s="22">
        <f ca="1">COUNTIF($M21:INDIRECT(ADDRESS(ROW(),MATCH("",$4:$4,-1),1,1)),"Y(즉시조치)")+COUNTIF($M21:INDIRECT(ADDRESS(ROW(),MATCH("",$4:$4,-1),1,1)),"조치완료(즉시조치)")</f>
        <v>0</v>
      </c>
      <c r="I21" s="22">
        <f ca="1">COUNTIF($M21:INDIRECT(ADDRESS(ROW(),MATCH("",$4:$4,-1),1,1)),"N")</f>
        <v>0</v>
      </c>
      <c r="J21" s="22">
        <f ca="1">COUNTIF($M21:INDIRECT(ADDRESS(ROW(),MATCH("",$4:$4,-1),1,1)),"N/A")+COUNTIF($M21:INDIRECT(ADDRESS(ROW(),MATCH("",$4:$4,-1),1,1)),"조치완료(N/A)")</f>
        <v>0</v>
      </c>
      <c r="K21" s="22">
        <f ca="1">VLOOKUP($D21,'parm(hidden)'!$B$8:$C$10,2,FALSE)*($F21-$J21)</f>
        <v>9</v>
      </c>
      <c r="L21" s="35">
        <f ca="1">VLOOKUP($D21,'parm(hidden)'!$B$8:$C$10,2,FALSE)*($G21+$H21)</f>
        <v>3</v>
      </c>
      <c r="M21" s="166" t="str">
        <f t="shared" ca="1" si="1"/>
        <v>Y</v>
      </c>
      <c r="N21" s="166" t="e">
        <f t="shared" ca="1" si="1"/>
        <v>#REF!</v>
      </c>
      <c r="O21" s="166" t="e">
        <f t="shared" ca="1" si="1"/>
        <v>#REF!</v>
      </c>
    </row>
    <row r="22" spans="1:15" ht="14.1" customHeight="1">
      <c r="A22" s="27" t="str">
        <f>ChkList!A22</f>
        <v>보안 관리</v>
      </c>
      <c r="B22" s="27" t="str">
        <f>ChkList!B22</f>
        <v>PC-18</v>
      </c>
      <c r="C22" s="27" t="str">
        <f>ChkList!C22</f>
        <v>원격 지원을 금지하도록 정책이 설정</v>
      </c>
      <c r="D22" s="27" t="str">
        <f>ChkList!D22</f>
        <v>M</v>
      </c>
      <c r="E22" s="27">
        <f>ChkList!E22</f>
        <v>2</v>
      </c>
      <c r="F22" s="22">
        <f ca="1">COUNTA($M22:INDIRECT(ADDRESS(ROW(),MATCH("",$4:$4,-1),1,1)))</f>
        <v>3</v>
      </c>
      <c r="G22" s="22">
        <f ca="1">COUNTIF($M22:INDIRECT(ADDRESS(ROW(),MATCH("",$4:$4,-1),1,1)),"조치완료(Y)")+COUNTIF($M22:INDIRECT(ADDRESS(ROW(),MATCH("",$4:$4,-1),1,1)),"Y")</f>
        <v>1</v>
      </c>
      <c r="H22" s="22">
        <f ca="1">COUNTIF($M22:INDIRECT(ADDRESS(ROW(),MATCH("",$4:$4,-1),1,1)),"Y(즉시조치)")+COUNTIF($M22:INDIRECT(ADDRESS(ROW(),MATCH("",$4:$4,-1),1,1)),"조치완료(즉시조치)")</f>
        <v>0</v>
      </c>
      <c r="I22" s="22">
        <f ca="1">COUNTIF($M22:INDIRECT(ADDRESS(ROW(),MATCH("",$4:$4,-1),1,1)),"N")</f>
        <v>0</v>
      </c>
      <c r="J22" s="22">
        <f ca="1">COUNTIF($M22:INDIRECT(ADDRESS(ROW(),MATCH("",$4:$4,-1),1,1)),"N/A")+COUNTIF($M22:INDIRECT(ADDRESS(ROW(),MATCH("",$4:$4,-1),1,1)),"조치완료(N/A)")</f>
        <v>0</v>
      </c>
      <c r="K22" s="22">
        <f ca="1">VLOOKUP($D22,'parm(hidden)'!$B$8:$C$10,2,FALSE)*($F22-$J22)</f>
        <v>6</v>
      </c>
      <c r="L22" s="35">
        <f ca="1">VLOOKUP($D22,'parm(hidden)'!$B$8:$C$10,2,FALSE)*($G22+$H22)</f>
        <v>2</v>
      </c>
      <c r="M22" s="166" t="str">
        <f t="shared" ca="1" si="1"/>
        <v>Y</v>
      </c>
      <c r="N22" s="166" t="e">
        <f t="shared" ca="1" si="1"/>
        <v>#REF!</v>
      </c>
      <c r="O22" s="166" t="e">
        <f t="shared" ca="1" si="1"/>
        <v>#REF!</v>
      </c>
    </row>
    <row r="23" spans="1:15" ht="14.1" customHeight="1">
      <c r="A23" s="149"/>
      <c r="B23" s="150"/>
      <c r="C23" s="151"/>
      <c r="D23" s="152"/>
      <c r="E23" s="152"/>
      <c r="F23" s="152">
        <f t="shared" ref="F23:L23" ca="1" si="2">SUM(F5:F22)</f>
        <v>54</v>
      </c>
      <c r="G23" s="152">
        <f t="shared" ca="1" si="2"/>
        <v>18</v>
      </c>
      <c r="H23" s="152">
        <f t="shared" ca="1" si="2"/>
        <v>0</v>
      </c>
      <c r="I23" s="152">
        <f t="shared" ca="1" si="2"/>
        <v>0</v>
      </c>
      <c r="J23" s="152">
        <f t="shared" ca="1" si="2"/>
        <v>0</v>
      </c>
      <c r="K23" s="152">
        <f t="shared" ca="1" si="2"/>
        <v>141</v>
      </c>
      <c r="L23" s="165">
        <f t="shared" ca="1" si="2"/>
        <v>47</v>
      </c>
      <c r="M23" s="153">
        <f ca="1">COUNTIFS(M$5:M$22,"&lt;&gt;",M$5:M$22,"&lt;&gt;0")</f>
        <v>18</v>
      </c>
      <c r="N23" s="153">
        <f ca="1">COUNTIFS(N$5:N$22,"&lt;&gt;",N$5:N$22,"&lt;&gt;0")</f>
        <v>18</v>
      </c>
      <c r="O23" s="153">
        <f ca="1">COUNTIFS(O$5:O$22,"&lt;&gt;",O$5:O$22,"&lt;&gt;0")</f>
        <v>18</v>
      </c>
    </row>
  </sheetData>
  <mergeCells count="5">
    <mergeCell ref="K3:L3"/>
    <mergeCell ref="D3:E4"/>
    <mergeCell ref="A3:B4"/>
    <mergeCell ref="F3:J3"/>
    <mergeCell ref="C3:C4"/>
  </mergeCells>
  <phoneticPr fontId="3" type="noConversion"/>
  <conditionalFormatting sqref="M3:O3">
    <cfRule type="cellIs" dxfId="37" priority="1" operator="equal">
      <formula>"Y"</formula>
    </cfRule>
    <cfRule type="cellIs" dxfId="36" priority="2" stopIfTrue="1" operator="equal">
      <formula>"인터뷰"</formula>
    </cfRule>
  </conditionalFormatting>
  <conditionalFormatting sqref="M5:O22">
    <cfRule type="cellIs" dxfId="35" priority="29" operator="equal">
      <formula>"N"</formula>
    </cfRule>
    <cfRule type="cellIs" dxfId="34" priority="30" operator="equal">
      <formula>"기존 취약점"</formula>
    </cfRule>
    <cfRule type="cellIs" dxfId="33" priority="31" stopIfTrue="1" operator="equal">
      <formula>"인터뷰"</formula>
    </cfRule>
    <cfRule type="cellIs" dxfId="32" priority="32" stopIfTrue="1" operator="equal">
      <formula>"N/A"</formula>
    </cfRule>
    <cfRule type="cellIs" dxfId="31" priority="33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23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1" bestFit="1" customWidth="1"/>
    <col min="4" max="4" width="5" style="21" bestFit="1" customWidth="1"/>
    <col min="5" max="5" width="7.44140625" style="21" customWidth="1"/>
    <col min="6" max="7" width="4.6640625" style="21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1" width="9.77734375" style="38" customWidth="1"/>
    <col min="22" max="22" width="8.77734375" style="17" customWidth="1"/>
    <col min="23" max="16384" width="8.77734375" style="17"/>
  </cols>
  <sheetData>
    <row r="1" spans="1:21" s="19" customFormat="1" ht="17.100000000000001" customHeight="1">
      <c r="A1" s="16" t="s">
        <v>90</v>
      </c>
      <c r="F1" s="18"/>
      <c r="G1" s="18"/>
      <c r="J1" s="23"/>
      <c r="K1" s="23"/>
      <c r="L1" s="23"/>
      <c r="M1" s="23"/>
      <c r="N1" s="23"/>
      <c r="Q1" s="14"/>
      <c r="R1" s="14"/>
      <c r="S1" s="37"/>
      <c r="T1" s="37"/>
      <c r="U1" s="37"/>
    </row>
    <row r="2" spans="1:21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7"/>
      <c r="T2" s="37"/>
      <c r="U2" s="37"/>
    </row>
    <row r="3" spans="1:21" s="20" customFormat="1" ht="16.350000000000001" customHeight="1" thickBot="1">
      <c r="A3" s="240" t="str">
        <f>ChkList!A4</f>
        <v>분류</v>
      </c>
      <c r="B3" s="222"/>
      <c r="C3" s="245" t="str">
        <f>ChkList!C4</f>
        <v>진단항목</v>
      </c>
      <c r="D3" s="247" t="str">
        <f>ChkList!D4</f>
        <v>중요도</v>
      </c>
      <c r="E3" s="181"/>
      <c r="F3" s="242" t="s">
        <v>91</v>
      </c>
      <c r="G3" s="203"/>
      <c r="H3" s="203"/>
      <c r="I3" s="203"/>
      <c r="J3" s="203"/>
      <c r="K3" s="242" t="s">
        <v>97</v>
      </c>
      <c r="L3" s="203"/>
      <c r="M3" s="203"/>
      <c r="N3" s="203"/>
      <c r="O3" s="242" t="s">
        <v>92</v>
      </c>
      <c r="P3" s="203"/>
      <c r="Q3" s="203"/>
      <c r="R3" s="203"/>
      <c r="S3" s="106" t="s">
        <v>93</v>
      </c>
      <c r="T3" s="116" t="s">
        <v>93</v>
      </c>
      <c r="U3" s="117" t="s">
        <v>93</v>
      </c>
    </row>
    <row r="4" spans="1:21" s="20" customFormat="1" ht="15.6" customHeight="1">
      <c r="A4" s="229"/>
      <c r="B4" s="231"/>
      <c r="C4" s="246"/>
      <c r="D4" s="248"/>
      <c r="E4" s="230"/>
      <c r="F4" s="102" t="s">
        <v>94</v>
      </c>
      <c r="G4" s="105" t="s">
        <v>69</v>
      </c>
      <c r="H4" s="104" t="s">
        <v>95</v>
      </c>
      <c r="I4" s="105" t="s">
        <v>70</v>
      </c>
      <c r="J4" s="105" t="s">
        <v>35</v>
      </c>
      <c r="K4" s="104" t="s">
        <v>79</v>
      </c>
      <c r="L4" s="114" t="s">
        <v>80</v>
      </c>
      <c r="M4" s="105" t="s">
        <v>81</v>
      </c>
      <c r="N4" s="105" t="s">
        <v>35</v>
      </c>
      <c r="O4" s="103" t="s">
        <v>98</v>
      </c>
      <c r="P4" s="105" t="s">
        <v>99</v>
      </c>
      <c r="Q4" s="105" t="s">
        <v>100</v>
      </c>
      <c r="R4" s="105" t="s">
        <v>101</v>
      </c>
      <c r="S4" s="115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HQ_DEV01</v>
      </c>
      <c r="T4" s="115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HQ_DEV02</v>
      </c>
      <c r="U4" s="107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HQ_DEV03</v>
      </c>
    </row>
    <row r="5" spans="1:21" ht="14.1" customHeight="1">
      <c r="A5" s="108" t="str">
        <f>ChkList!A5</f>
        <v>계정 관리</v>
      </c>
      <c r="B5" s="108" t="str">
        <f>ChkList!B5</f>
        <v>PC-01</v>
      </c>
      <c r="C5" s="108" t="str">
        <f>ChkList!C5</f>
        <v>비밀번호의 주기적 변경</v>
      </c>
      <c r="D5" s="30" t="str">
        <f>ChkList!$D5</f>
        <v>H</v>
      </c>
      <c r="E5" s="30">
        <f>ChkList!$E5</f>
        <v>3</v>
      </c>
      <c r="F5" s="22">
        <f ca="1">COUNTA($S5:INDIRECT(ADDRESS(ROW(),MATCH("",$4:$4,-1),1,1)))</f>
        <v>3</v>
      </c>
      <c r="G5" s="22">
        <f ca="1">'취약점 진단 항목별 통계'!G5</f>
        <v>1</v>
      </c>
      <c r="H5" s="22">
        <f ca="1">'취약점 진단 항목별 통계'!H5</f>
        <v>0</v>
      </c>
      <c r="I5" s="22">
        <f ca="1">'취약점 진단 항목별 통계'!I5</f>
        <v>0</v>
      </c>
      <c r="J5" s="22">
        <f ca="1">'취약점 진단 항목별 통계'!J5</f>
        <v>0</v>
      </c>
      <c r="K5" s="22">
        <f ca="1">COUNTIF($S5:INDIRECT(ADDRESS(ROW(),MATCH("",$4:$4,-1),1,1)),"조치")</f>
        <v>0</v>
      </c>
      <c r="L5" s="22">
        <f ca="1">COUNTIF($S5:INDIRECT(ADDRESS(ROW(),MATCH("",$4:$4,-1),1,1)),"미조치")</f>
        <v>0</v>
      </c>
      <c r="M5" s="22">
        <f ca="1">COUNTIF($S5:INDIRECT(ADDRESS(ROW(),MATCH("",$4:$4,-1),1,1)),"위험수용")</f>
        <v>0</v>
      </c>
      <c r="N5" s="22">
        <f ca="1">COUNTIF($S5:INDIRECT(ADDRESS(ROW(),MATCH("",$4:$4,-1),1,1)),"N/A")</f>
        <v>0</v>
      </c>
      <c r="O5" s="22">
        <f ca="1">VLOOKUP($D5,'parm(hidden)'!$B$8:$C$10,2,FALSE)*($F5-$J5)</f>
        <v>9</v>
      </c>
      <c r="P5" s="22">
        <f ca="1">VLOOKUP($D5,'parm(hidden)'!$B$8:$C$10,2,FALSE)*($F5-$N5)</f>
        <v>9</v>
      </c>
      <c r="Q5" s="35">
        <f ca="1">VLOOKUP($D5,'parm(hidden)'!$B$8:$C$10,2,FALSE)*($G5+$H5)</f>
        <v>3</v>
      </c>
      <c r="R5" s="22">
        <f ca="1">VLOOKUP($D5,'parm(hidden)'!$B$8:$C$10,2,FALSE)*($G5+$H5+$K5)</f>
        <v>3</v>
      </c>
      <c r="S5" s="166" t="str">
        <f ca="1">HYPERLINK("[" &amp; MID(CELL("filename"),SEARCH("[",CELL("filename"))+1, SEARCH("]",CELL("filename"))-SEARCH("[",CELL("filename"))-1) &amp; "]" &amp; ADDRESS(ROW()+15,11,1,TRUE,S$4),INDIRECT(ADDRESS(ROW()+15,11,1,TRUE,S$4)))</f>
        <v>Y</v>
      </c>
      <c r="T5" s="166" t="e">
        <f t="shared" ref="T5:U20" ca="1" si="0">HYPERLINK("[" &amp; MID(CELL("filename"),SEARCH("[",CELL("filename"))+1, SEARCH("]",CELL("filename"))-SEARCH("[",CELL("filename"))-1) &amp; "]" &amp; ADDRESS(ROW()+15,11,1,TRUE,T$4),INDIRECT(ADDRESS(ROW()+15,11,1,TRUE,T$4)))</f>
        <v>#REF!</v>
      </c>
      <c r="U5" s="166" t="e">
        <f t="shared" ca="1" si="0"/>
        <v>#REF!</v>
      </c>
    </row>
    <row r="6" spans="1:21" ht="14.1" customHeight="1">
      <c r="A6" s="108" t="str">
        <f>ChkList!A6</f>
        <v>계정 관리</v>
      </c>
      <c r="B6" s="108" t="str">
        <f>ChkList!B6</f>
        <v>PC-02</v>
      </c>
      <c r="C6" s="108" t="str">
        <f>ChkList!C6</f>
        <v>비밀번호 관리정책 설정</v>
      </c>
      <c r="D6" s="30" t="str">
        <f>ChkList!$D6</f>
        <v>H</v>
      </c>
      <c r="E6" s="30">
        <f>ChkList!$E6</f>
        <v>3</v>
      </c>
      <c r="F6" s="22">
        <f ca="1">COUNTA($S6:INDIRECT(ADDRESS(ROW(),MATCH("",$4:$4,-1),1,1)))</f>
        <v>3</v>
      </c>
      <c r="G6" s="22">
        <f ca="1">'취약점 진단 항목별 통계'!G6</f>
        <v>1</v>
      </c>
      <c r="H6" s="22">
        <f ca="1">'취약점 진단 항목별 통계'!H6</f>
        <v>0</v>
      </c>
      <c r="I6" s="22">
        <f ca="1">'취약점 진단 항목별 통계'!I6</f>
        <v>0</v>
      </c>
      <c r="J6" s="22">
        <f ca="1">'취약점 진단 항목별 통계'!J6</f>
        <v>0</v>
      </c>
      <c r="K6" s="22">
        <f ca="1">COUNTIF($S6:INDIRECT(ADDRESS(ROW(),MATCH("",$4:$4,-1),1,1)),"조치")</f>
        <v>0</v>
      </c>
      <c r="L6" s="22">
        <f ca="1">COUNTIF($S6:INDIRECT(ADDRESS(ROW(),MATCH("",$4:$4,-1),1,1)),"미조치")</f>
        <v>0</v>
      </c>
      <c r="M6" s="22">
        <f ca="1">COUNTIF($S6:INDIRECT(ADDRESS(ROW(),MATCH("",$4:$4,-1),1,1)),"위험수용")</f>
        <v>0</v>
      </c>
      <c r="N6" s="22">
        <f ca="1">COUNTIF($S6:INDIRECT(ADDRESS(ROW(),MATCH("",$4:$4,-1),1,1)),"N/A")</f>
        <v>0</v>
      </c>
      <c r="O6" s="22">
        <f ca="1">VLOOKUP($D6,'parm(hidden)'!$B$8:$C$10,2,FALSE)*($F6-$J6)</f>
        <v>9</v>
      </c>
      <c r="P6" s="22">
        <f ca="1">VLOOKUP($D6,'parm(hidden)'!$B$8:$C$10,2,FALSE)*($F6-$N6)</f>
        <v>9</v>
      </c>
      <c r="Q6" s="35">
        <f ca="1">VLOOKUP($D6,'parm(hidden)'!$B$8:$C$10,2,FALSE)*($G6+$H6)</f>
        <v>3</v>
      </c>
      <c r="R6" s="22">
        <f ca="1">VLOOKUP($D6,'parm(hidden)'!$B$8:$C$10,2,FALSE)*($G6+$H6+$K6)</f>
        <v>3</v>
      </c>
      <c r="S6" s="166" t="str">
        <f t="shared" ref="S6:U22" ca="1" si="1">HYPERLINK("[" &amp; MID(CELL("filename"),SEARCH("[",CELL("filename"))+1, SEARCH("]",CELL("filename"))-SEARCH("[",CELL("filename"))-1) &amp; "]" &amp; ADDRESS(ROW()+15,11,1,TRUE,S$4),INDIRECT(ADDRESS(ROW()+15,11,1,TRUE,S$4)))</f>
        <v>Y</v>
      </c>
      <c r="T6" s="166" t="e">
        <f t="shared" ca="1" si="0"/>
        <v>#REF!</v>
      </c>
      <c r="U6" s="166" t="e">
        <f t="shared" ca="1" si="0"/>
        <v>#REF!</v>
      </c>
    </row>
    <row r="7" spans="1:21" ht="14.1" customHeight="1">
      <c r="A7" s="108" t="str">
        <f>ChkList!A7</f>
        <v>계정관리</v>
      </c>
      <c r="B7" s="108" t="str">
        <f>ChkList!B7</f>
        <v>PC-03</v>
      </c>
      <c r="C7" s="108" t="str">
        <f>ChkList!C7</f>
        <v>복구 콘솔에서 자동 로그온을 금지하도록 설정</v>
      </c>
      <c r="D7" s="30" t="str">
        <f>ChkList!$D7</f>
        <v>M</v>
      </c>
      <c r="E7" s="30">
        <f>ChkList!$E7</f>
        <v>2</v>
      </c>
      <c r="F7" s="22">
        <f ca="1">COUNTA($S7:INDIRECT(ADDRESS(ROW(),MATCH("",$4:$4,-1),1,1)))</f>
        <v>3</v>
      </c>
      <c r="G7" s="22">
        <f ca="1">'취약점 진단 항목별 통계'!G7</f>
        <v>1</v>
      </c>
      <c r="H7" s="22">
        <f ca="1">'취약점 진단 항목별 통계'!H7</f>
        <v>0</v>
      </c>
      <c r="I7" s="22">
        <f ca="1">'취약점 진단 항목별 통계'!I7</f>
        <v>0</v>
      </c>
      <c r="J7" s="22">
        <f ca="1">'취약점 진단 항목별 통계'!J7</f>
        <v>0</v>
      </c>
      <c r="K7" s="22">
        <f ca="1">COUNTIF($S7:INDIRECT(ADDRESS(ROW(),MATCH("",$4:$4,-1),1,1)),"조치")</f>
        <v>0</v>
      </c>
      <c r="L7" s="22">
        <f ca="1">COUNTIF($S7:INDIRECT(ADDRESS(ROW(),MATCH("",$4:$4,-1),1,1)),"미조치")</f>
        <v>0</v>
      </c>
      <c r="M7" s="22">
        <f ca="1">COUNTIF($S7:INDIRECT(ADDRESS(ROW(),MATCH("",$4:$4,-1),1,1)),"위험수용")</f>
        <v>0</v>
      </c>
      <c r="N7" s="22">
        <f ca="1">COUNTIF($S7:INDIRECT(ADDRESS(ROW(),MATCH("",$4:$4,-1),1,1)),"N/A")</f>
        <v>0</v>
      </c>
      <c r="O7" s="22">
        <f ca="1">VLOOKUP($D7,'parm(hidden)'!$B$8:$C$10,2,FALSE)*($F7-$J7)</f>
        <v>6</v>
      </c>
      <c r="P7" s="22">
        <f ca="1">VLOOKUP($D7,'parm(hidden)'!$B$8:$C$10,2,FALSE)*($F7-$N7)</f>
        <v>6</v>
      </c>
      <c r="Q7" s="35">
        <f ca="1">VLOOKUP($D7,'parm(hidden)'!$B$8:$C$10,2,FALSE)*($G7+$H7)</f>
        <v>2</v>
      </c>
      <c r="R7" s="22">
        <f ca="1">VLOOKUP($D7,'parm(hidden)'!$B$8:$C$10,2,FALSE)*($G7+$H7+$K7)</f>
        <v>2</v>
      </c>
      <c r="S7" s="166" t="str">
        <f t="shared" ca="1" si="1"/>
        <v>Y</v>
      </c>
      <c r="T7" s="166" t="e">
        <f t="shared" ca="1" si="0"/>
        <v>#REF!</v>
      </c>
      <c r="U7" s="166" t="e">
        <f t="shared" ca="1" si="0"/>
        <v>#REF!</v>
      </c>
    </row>
    <row r="8" spans="1:21" ht="14.1" customHeight="1">
      <c r="A8" s="108" t="str">
        <f>ChkList!A8</f>
        <v>서비스 관리</v>
      </c>
      <c r="B8" s="108" t="str">
        <f>ChkList!B8</f>
        <v>PC-04</v>
      </c>
      <c r="C8" s="108" t="str">
        <f>ChkList!C8</f>
        <v>공유 폴더 제거</v>
      </c>
      <c r="D8" s="30" t="str">
        <f>ChkList!$D8</f>
        <v>H</v>
      </c>
      <c r="E8" s="30">
        <f>ChkList!$E8</f>
        <v>3</v>
      </c>
      <c r="F8" s="22">
        <f ca="1">COUNTA($S8:INDIRECT(ADDRESS(ROW(),MATCH("",$4:$4,-1),1,1)))</f>
        <v>3</v>
      </c>
      <c r="G8" s="22">
        <f ca="1">'취약점 진단 항목별 통계'!G8</f>
        <v>1</v>
      </c>
      <c r="H8" s="22">
        <f ca="1">'취약점 진단 항목별 통계'!H8</f>
        <v>0</v>
      </c>
      <c r="I8" s="22">
        <f ca="1">'취약점 진단 항목별 통계'!I8</f>
        <v>0</v>
      </c>
      <c r="J8" s="22">
        <f ca="1">'취약점 진단 항목별 통계'!J8</f>
        <v>0</v>
      </c>
      <c r="K8" s="22">
        <f ca="1">COUNTIF($S8:INDIRECT(ADDRESS(ROW(),MATCH("",$4:$4,-1),1,1)),"조치")</f>
        <v>0</v>
      </c>
      <c r="L8" s="22">
        <f ca="1">COUNTIF($S8:INDIRECT(ADDRESS(ROW(),MATCH("",$4:$4,-1),1,1)),"미조치")</f>
        <v>0</v>
      </c>
      <c r="M8" s="22">
        <f ca="1">COUNTIF($S8:INDIRECT(ADDRESS(ROW(),MATCH("",$4:$4,-1),1,1)),"위험수용")</f>
        <v>0</v>
      </c>
      <c r="N8" s="22">
        <f ca="1">COUNTIF($S8:INDIRECT(ADDRESS(ROW(),MATCH("",$4:$4,-1),1,1)),"N/A")</f>
        <v>0</v>
      </c>
      <c r="O8" s="22">
        <f ca="1">VLOOKUP($D8,'parm(hidden)'!$B$8:$C$10,2,FALSE)*($F8-$J8)</f>
        <v>9</v>
      </c>
      <c r="P8" s="22">
        <f ca="1">VLOOKUP($D8,'parm(hidden)'!$B$8:$C$10,2,FALSE)*($F8-$N8)</f>
        <v>9</v>
      </c>
      <c r="Q8" s="35">
        <f ca="1">VLOOKUP($D8,'parm(hidden)'!$B$8:$C$10,2,FALSE)*($G8+$H8)</f>
        <v>3</v>
      </c>
      <c r="R8" s="22">
        <f ca="1">VLOOKUP($D8,'parm(hidden)'!$B$8:$C$10,2,FALSE)*($G8+$H8+$K8)</f>
        <v>3</v>
      </c>
      <c r="S8" s="166" t="str">
        <f t="shared" ca="1" si="1"/>
        <v>Y</v>
      </c>
      <c r="T8" s="166" t="e">
        <f t="shared" ca="1" si="0"/>
        <v>#REF!</v>
      </c>
      <c r="U8" s="166" t="e">
        <f t="shared" ca="1" si="0"/>
        <v>#REF!</v>
      </c>
    </row>
    <row r="9" spans="1:21" ht="14.1" customHeight="1">
      <c r="A9" s="108" t="str">
        <f>ChkList!A9</f>
        <v>서비스 관리</v>
      </c>
      <c r="B9" s="108" t="str">
        <f>ChkList!B9</f>
        <v>PC-05</v>
      </c>
      <c r="C9" s="108" t="str">
        <f>ChkList!C9</f>
        <v>항목의 불필요한 서비스 제거</v>
      </c>
      <c r="D9" s="30" t="str">
        <f>ChkList!$D9</f>
        <v>H</v>
      </c>
      <c r="E9" s="30">
        <f>ChkList!$E9</f>
        <v>3</v>
      </c>
      <c r="F9" s="22">
        <f ca="1">COUNTA($S9:INDIRECT(ADDRESS(ROW(),MATCH("",$4:$4,-1),1,1)))</f>
        <v>3</v>
      </c>
      <c r="G9" s="22">
        <f ca="1">'취약점 진단 항목별 통계'!G9</f>
        <v>1</v>
      </c>
      <c r="H9" s="22">
        <f ca="1">'취약점 진단 항목별 통계'!H9</f>
        <v>0</v>
      </c>
      <c r="I9" s="22">
        <f ca="1">'취약점 진단 항목별 통계'!I9</f>
        <v>0</v>
      </c>
      <c r="J9" s="22">
        <f ca="1">'취약점 진단 항목별 통계'!J9</f>
        <v>0</v>
      </c>
      <c r="K9" s="22">
        <f ca="1">COUNTIF($S9:INDIRECT(ADDRESS(ROW(),MATCH("",$4:$4,-1),1,1)),"조치")</f>
        <v>0</v>
      </c>
      <c r="L9" s="22">
        <f ca="1">COUNTIF($S9:INDIRECT(ADDRESS(ROW(),MATCH("",$4:$4,-1),1,1)),"미조치")</f>
        <v>0</v>
      </c>
      <c r="M9" s="22">
        <f ca="1">COUNTIF($S9:INDIRECT(ADDRESS(ROW(),MATCH("",$4:$4,-1),1,1)),"위험수용")</f>
        <v>0</v>
      </c>
      <c r="N9" s="22">
        <f ca="1">COUNTIF($S9:INDIRECT(ADDRESS(ROW(),MATCH("",$4:$4,-1),1,1)),"N/A")</f>
        <v>0</v>
      </c>
      <c r="O9" s="22">
        <f ca="1">VLOOKUP($D9,'parm(hidden)'!$B$8:$C$10,2,FALSE)*($F9-$J9)</f>
        <v>9</v>
      </c>
      <c r="P9" s="22">
        <f ca="1">VLOOKUP($D9,'parm(hidden)'!$B$8:$C$10,2,FALSE)*($F9-$N9)</f>
        <v>9</v>
      </c>
      <c r="Q9" s="35">
        <f ca="1">VLOOKUP($D9,'parm(hidden)'!$B$8:$C$10,2,FALSE)*($G9+$H9)</f>
        <v>3</v>
      </c>
      <c r="R9" s="22">
        <f ca="1">VLOOKUP($D9,'parm(hidden)'!$B$8:$C$10,2,FALSE)*($G9+$H9+$K9)</f>
        <v>3</v>
      </c>
      <c r="S9" s="166" t="str">
        <f t="shared" ca="1" si="1"/>
        <v>Y</v>
      </c>
      <c r="T9" s="166" t="e">
        <f t="shared" ca="1" si="0"/>
        <v>#REF!</v>
      </c>
      <c r="U9" s="166" t="e">
        <f t="shared" ca="1" si="0"/>
        <v>#REF!</v>
      </c>
    </row>
    <row r="10" spans="1:21" ht="14.1" customHeight="1">
      <c r="A10" s="108" t="str">
        <f>ChkList!A10</f>
        <v>서비스 관리</v>
      </c>
      <c r="B10" s="108" t="str">
        <f>ChkList!B10</f>
        <v>PC-06</v>
      </c>
      <c r="C10" s="108" t="str">
        <f>ChkList!C10</f>
        <v>비인가 상용 메신저 사용 금지</v>
      </c>
      <c r="D10" s="30" t="str">
        <f>ChkList!$D10</f>
        <v>H</v>
      </c>
      <c r="E10" s="30">
        <f>ChkList!$E10</f>
        <v>3</v>
      </c>
      <c r="F10" s="22">
        <f ca="1">COUNTA($S10:INDIRECT(ADDRESS(ROW(),MATCH("",$4:$4,-1),1,1)))</f>
        <v>3</v>
      </c>
      <c r="G10" s="22">
        <f ca="1">'취약점 진단 항목별 통계'!G10</f>
        <v>1</v>
      </c>
      <c r="H10" s="22">
        <f ca="1">'취약점 진단 항목별 통계'!H10</f>
        <v>0</v>
      </c>
      <c r="I10" s="22">
        <f ca="1">'취약점 진단 항목별 통계'!I10</f>
        <v>0</v>
      </c>
      <c r="J10" s="22">
        <f ca="1">'취약점 진단 항목별 통계'!J10</f>
        <v>0</v>
      </c>
      <c r="K10" s="22">
        <f ca="1">COUNTIF($S10:INDIRECT(ADDRESS(ROW(),MATCH("",$4:$4,-1),1,1)),"조치")</f>
        <v>0</v>
      </c>
      <c r="L10" s="22">
        <f ca="1">COUNTIF($S10:INDIRECT(ADDRESS(ROW(),MATCH("",$4:$4,-1),1,1)),"미조치")</f>
        <v>0</v>
      </c>
      <c r="M10" s="22">
        <f ca="1">COUNTIF($S10:INDIRECT(ADDRESS(ROW(),MATCH("",$4:$4,-1),1,1)),"위험수용")</f>
        <v>0</v>
      </c>
      <c r="N10" s="22">
        <f ca="1">COUNTIF($S10:INDIRECT(ADDRESS(ROW(),MATCH("",$4:$4,-1),1,1)),"N/A")</f>
        <v>0</v>
      </c>
      <c r="O10" s="22">
        <f ca="1">VLOOKUP($D10,'parm(hidden)'!$B$8:$C$10,2,FALSE)*($F10-$J10)</f>
        <v>9</v>
      </c>
      <c r="P10" s="22">
        <f ca="1">VLOOKUP($D10,'parm(hidden)'!$B$8:$C$10,2,FALSE)*($F10-$N10)</f>
        <v>9</v>
      </c>
      <c r="Q10" s="35">
        <f ca="1">VLOOKUP($D10,'parm(hidden)'!$B$8:$C$10,2,FALSE)*($G10+$H10)</f>
        <v>3</v>
      </c>
      <c r="R10" s="22">
        <f ca="1">VLOOKUP($D10,'parm(hidden)'!$B$8:$C$10,2,FALSE)*($G10+$H10+$K10)</f>
        <v>3</v>
      </c>
      <c r="S10" s="166" t="str">
        <f t="shared" ca="1" si="1"/>
        <v>Y</v>
      </c>
      <c r="T10" s="166" t="e">
        <f t="shared" ca="1" si="0"/>
        <v>#REF!</v>
      </c>
      <c r="U10" s="166" t="e">
        <f t="shared" ca="1" si="0"/>
        <v>#REF!</v>
      </c>
    </row>
    <row r="11" spans="1:21" ht="14.1" customHeight="1">
      <c r="A11" s="108" t="str">
        <f>ChkList!A11</f>
        <v>서비스 관리</v>
      </c>
      <c r="B11" s="108" t="str">
        <f>ChkList!B11</f>
        <v>PC-07</v>
      </c>
      <c r="C11" s="108" t="str">
        <f>ChkList!C11</f>
        <v>파일 시스템이 NTFS 포맷으로 설정</v>
      </c>
      <c r="D11" s="30" t="str">
        <f>ChkList!$D11</f>
        <v>M</v>
      </c>
      <c r="E11" s="30">
        <f>ChkList!$E11</f>
        <v>2</v>
      </c>
      <c r="F11" s="22">
        <f ca="1">COUNTA($S11:INDIRECT(ADDRESS(ROW(),MATCH("",$4:$4,-1),1,1)))</f>
        <v>3</v>
      </c>
      <c r="G11" s="22">
        <f ca="1">'취약점 진단 항목별 통계'!G11</f>
        <v>1</v>
      </c>
      <c r="H11" s="22">
        <f ca="1">'취약점 진단 항목별 통계'!H11</f>
        <v>0</v>
      </c>
      <c r="I11" s="22">
        <f ca="1">'취약점 진단 항목별 통계'!I11</f>
        <v>0</v>
      </c>
      <c r="J11" s="22">
        <f ca="1">'취약점 진단 항목별 통계'!J11</f>
        <v>0</v>
      </c>
      <c r="K11" s="22">
        <f ca="1">COUNTIF($S11:INDIRECT(ADDRESS(ROW(),MATCH("",$4:$4,-1),1,1)),"조치")</f>
        <v>0</v>
      </c>
      <c r="L11" s="22">
        <f ca="1">COUNTIF($S11:INDIRECT(ADDRESS(ROW(),MATCH("",$4:$4,-1),1,1)),"미조치")</f>
        <v>0</v>
      </c>
      <c r="M11" s="22">
        <f ca="1">COUNTIF($S11:INDIRECT(ADDRESS(ROW(),MATCH("",$4:$4,-1),1,1)),"위험수용")</f>
        <v>0</v>
      </c>
      <c r="N11" s="22">
        <f ca="1">COUNTIF($S11:INDIRECT(ADDRESS(ROW(),MATCH("",$4:$4,-1),1,1)),"N/A")</f>
        <v>0</v>
      </c>
      <c r="O11" s="22">
        <f ca="1">VLOOKUP($D11,'parm(hidden)'!$B$8:$C$10,2,FALSE)*($F11-$J11)</f>
        <v>6</v>
      </c>
      <c r="P11" s="22">
        <f ca="1">VLOOKUP($D11,'parm(hidden)'!$B$8:$C$10,2,FALSE)*($F11-$N11)</f>
        <v>6</v>
      </c>
      <c r="Q11" s="35">
        <f ca="1">VLOOKUP($D11,'parm(hidden)'!$B$8:$C$10,2,FALSE)*($G11+$H11)</f>
        <v>2</v>
      </c>
      <c r="R11" s="22">
        <f ca="1">VLOOKUP($D11,'parm(hidden)'!$B$8:$C$10,2,FALSE)*($G11+$H11+$K11)</f>
        <v>2</v>
      </c>
      <c r="S11" s="166" t="str">
        <f t="shared" ca="1" si="1"/>
        <v>Y</v>
      </c>
      <c r="T11" s="166" t="e">
        <f t="shared" ca="1" si="0"/>
        <v>#REF!</v>
      </c>
      <c r="U11" s="166" t="e">
        <f t="shared" ca="1" si="0"/>
        <v>#REF!</v>
      </c>
    </row>
    <row r="12" spans="1:21" ht="14.1" customHeight="1">
      <c r="A12" s="108" t="str">
        <f>ChkList!A12</f>
        <v>서비스 관리</v>
      </c>
      <c r="B12" s="108" t="str">
        <f>ChkList!B12</f>
        <v>PC-08</v>
      </c>
      <c r="C12" s="108" t="str">
        <f>ChkList!C12</f>
        <v>대상 시스템이 Windows 서버를 제외한 다른 OS로 멀티 부팅이 가능하지 않도록 설정</v>
      </c>
      <c r="D12" s="30" t="str">
        <f>ChkList!$D12</f>
        <v>M</v>
      </c>
      <c r="E12" s="30">
        <f>ChkList!$E12</f>
        <v>2</v>
      </c>
      <c r="F12" s="22">
        <f ca="1">COUNTA($S12:INDIRECT(ADDRESS(ROW(),MATCH("",$4:$4,-1),1,1)))</f>
        <v>3</v>
      </c>
      <c r="G12" s="22">
        <f ca="1">'취약점 진단 항목별 통계'!G12</f>
        <v>1</v>
      </c>
      <c r="H12" s="22">
        <f ca="1">'취약점 진단 항목별 통계'!H12</f>
        <v>0</v>
      </c>
      <c r="I12" s="22">
        <f ca="1">'취약점 진단 항목별 통계'!I12</f>
        <v>0</v>
      </c>
      <c r="J12" s="22">
        <f ca="1">'취약점 진단 항목별 통계'!J12</f>
        <v>0</v>
      </c>
      <c r="K12" s="22">
        <f ca="1">COUNTIF($S12:INDIRECT(ADDRESS(ROW(),MATCH("",$4:$4,-1),1,1)),"조치")</f>
        <v>0</v>
      </c>
      <c r="L12" s="22">
        <f ca="1">COUNTIF($S12:INDIRECT(ADDRESS(ROW(),MATCH("",$4:$4,-1),1,1)),"미조치")</f>
        <v>0</v>
      </c>
      <c r="M12" s="22">
        <f ca="1">COUNTIF($S12:INDIRECT(ADDRESS(ROW(),MATCH("",$4:$4,-1),1,1)),"위험수용")</f>
        <v>0</v>
      </c>
      <c r="N12" s="22">
        <f ca="1">COUNTIF($S12:INDIRECT(ADDRESS(ROW(),MATCH("",$4:$4,-1),1,1)),"N/A")</f>
        <v>0</v>
      </c>
      <c r="O12" s="22">
        <f ca="1">VLOOKUP($D12,'parm(hidden)'!$B$8:$C$10,2,FALSE)*($F12-$J12)</f>
        <v>6</v>
      </c>
      <c r="P12" s="22">
        <f ca="1">VLOOKUP($D12,'parm(hidden)'!$B$8:$C$10,2,FALSE)*($F12-$N12)</f>
        <v>6</v>
      </c>
      <c r="Q12" s="35">
        <f ca="1">VLOOKUP($D12,'parm(hidden)'!$B$8:$C$10,2,FALSE)*($G12+$H12)</f>
        <v>2</v>
      </c>
      <c r="R12" s="22">
        <f ca="1">VLOOKUP($D12,'parm(hidden)'!$B$8:$C$10,2,FALSE)*($G12+$H12+$K12)</f>
        <v>2</v>
      </c>
      <c r="S12" s="166" t="str">
        <f t="shared" ca="1" si="1"/>
        <v>Y</v>
      </c>
      <c r="T12" s="166" t="e">
        <f t="shared" ca="1" si="0"/>
        <v>#REF!</v>
      </c>
      <c r="U12" s="166" t="e">
        <f t="shared" ca="1" si="0"/>
        <v>#REF!</v>
      </c>
    </row>
    <row r="13" spans="1:21" ht="14.1" customHeight="1">
      <c r="A13" s="108" t="str">
        <f>ChkList!A13</f>
        <v>서비스 관리</v>
      </c>
      <c r="B13" s="108" t="str">
        <f>ChkList!B13</f>
        <v>PC-09</v>
      </c>
      <c r="C13" s="108" t="str">
        <f>ChkList!C13</f>
        <v>브라우저 종료 시 임시 인터넷 파일 폴더의 내용을 삭제하도록 설정</v>
      </c>
      <c r="D13" s="30" t="str">
        <f>ChkList!$D13</f>
        <v>L</v>
      </c>
      <c r="E13" s="30">
        <f>ChkList!$E13</f>
        <v>1</v>
      </c>
      <c r="F13" s="22">
        <f ca="1">COUNTA($S13:INDIRECT(ADDRESS(ROW(),MATCH("",$4:$4,-1),1,1)))</f>
        <v>3</v>
      </c>
      <c r="G13" s="22">
        <f ca="1">'취약점 진단 항목별 통계'!G13</f>
        <v>1</v>
      </c>
      <c r="H13" s="22">
        <f ca="1">'취약점 진단 항목별 통계'!H13</f>
        <v>0</v>
      </c>
      <c r="I13" s="22">
        <f ca="1">'취약점 진단 항목별 통계'!I13</f>
        <v>0</v>
      </c>
      <c r="J13" s="22">
        <f ca="1">'취약점 진단 항목별 통계'!J13</f>
        <v>0</v>
      </c>
      <c r="K13" s="22">
        <f ca="1">COUNTIF($S13:INDIRECT(ADDRESS(ROW(),MATCH("",$4:$4,-1),1,1)),"조치")</f>
        <v>0</v>
      </c>
      <c r="L13" s="22">
        <f ca="1">COUNTIF($S13:INDIRECT(ADDRESS(ROW(),MATCH("",$4:$4,-1),1,1)),"미조치")</f>
        <v>0</v>
      </c>
      <c r="M13" s="22">
        <f ca="1">COUNTIF($S13:INDIRECT(ADDRESS(ROW(),MATCH("",$4:$4,-1),1,1)),"위험수용")</f>
        <v>0</v>
      </c>
      <c r="N13" s="22">
        <f ca="1">COUNTIF($S13:INDIRECT(ADDRESS(ROW(),MATCH("",$4:$4,-1),1,1)),"N/A")</f>
        <v>0</v>
      </c>
      <c r="O13" s="22">
        <f ca="1">VLOOKUP($D13,'parm(hidden)'!$B$8:$C$10,2,FALSE)*($F13-$J13)</f>
        <v>3</v>
      </c>
      <c r="P13" s="22">
        <f ca="1">VLOOKUP($D13,'parm(hidden)'!$B$8:$C$10,2,FALSE)*($F13-$N13)</f>
        <v>3</v>
      </c>
      <c r="Q13" s="35">
        <f ca="1">VLOOKUP($D13,'parm(hidden)'!$B$8:$C$10,2,FALSE)*($G13+$H13)</f>
        <v>1</v>
      </c>
      <c r="R13" s="22">
        <f ca="1">VLOOKUP($D13,'parm(hidden)'!$B$8:$C$10,2,FALSE)*($G13+$H13+$K13)</f>
        <v>1</v>
      </c>
      <c r="S13" s="166" t="str">
        <f t="shared" ca="1" si="1"/>
        <v>Y</v>
      </c>
      <c r="T13" s="166" t="e">
        <f t="shared" ca="1" si="0"/>
        <v>#REF!</v>
      </c>
      <c r="U13" s="166" t="e">
        <f t="shared" ca="1" si="0"/>
        <v>#REF!</v>
      </c>
    </row>
    <row r="14" spans="1:21" ht="14.1" customHeight="1">
      <c r="A14" s="108" t="str">
        <f>ChkList!A14</f>
        <v>패치 관리</v>
      </c>
      <c r="B14" s="108" t="str">
        <f>ChkList!B14</f>
        <v>PC-10</v>
      </c>
      <c r="C14" s="108" t="str">
        <f>ChkList!C14</f>
        <v>주기적 보안 패치 및 벤더 권고사항 적용</v>
      </c>
      <c r="D14" s="30" t="str">
        <f>ChkList!$D14</f>
        <v>H</v>
      </c>
      <c r="E14" s="30">
        <f>ChkList!$E14</f>
        <v>3</v>
      </c>
      <c r="F14" s="22">
        <f ca="1">COUNTA($S14:INDIRECT(ADDRESS(ROW(),MATCH("",$4:$4,-1),1,1)))</f>
        <v>3</v>
      </c>
      <c r="G14" s="22">
        <f ca="1">'취약점 진단 항목별 통계'!G14</f>
        <v>1</v>
      </c>
      <c r="H14" s="22">
        <f ca="1">'취약점 진단 항목별 통계'!H14</f>
        <v>0</v>
      </c>
      <c r="I14" s="22">
        <f ca="1">'취약점 진단 항목별 통계'!I14</f>
        <v>0</v>
      </c>
      <c r="J14" s="22">
        <f ca="1">'취약점 진단 항목별 통계'!J14</f>
        <v>0</v>
      </c>
      <c r="K14" s="22">
        <f ca="1">COUNTIF($S14:INDIRECT(ADDRESS(ROW(),MATCH("",$4:$4,-1),1,1)),"조치")</f>
        <v>0</v>
      </c>
      <c r="L14" s="22">
        <f ca="1">COUNTIF($S14:INDIRECT(ADDRESS(ROW(),MATCH("",$4:$4,-1),1,1)),"미조치")</f>
        <v>0</v>
      </c>
      <c r="M14" s="22">
        <f ca="1">COUNTIF($S14:INDIRECT(ADDRESS(ROW(),MATCH("",$4:$4,-1),1,1)),"위험수용")</f>
        <v>0</v>
      </c>
      <c r="N14" s="22">
        <f ca="1">COUNTIF($S14:INDIRECT(ADDRESS(ROW(),MATCH("",$4:$4,-1),1,1)),"N/A")</f>
        <v>0</v>
      </c>
      <c r="O14" s="22">
        <f ca="1">VLOOKUP($D14,'parm(hidden)'!$B$8:$C$10,2,FALSE)*($F14-$J14)</f>
        <v>9</v>
      </c>
      <c r="P14" s="22">
        <f ca="1">VLOOKUP($D14,'parm(hidden)'!$B$8:$C$10,2,FALSE)*($F14-$N14)</f>
        <v>9</v>
      </c>
      <c r="Q14" s="35">
        <f ca="1">VLOOKUP($D14,'parm(hidden)'!$B$8:$C$10,2,FALSE)*($G14+$H14)</f>
        <v>3</v>
      </c>
      <c r="R14" s="22">
        <f ca="1">VLOOKUP($D14,'parm(hidden)'!$B$8:$C$10,2,FALSE)*($G14+$H14+$K14)</f>
        <v>3</v>
      </c>
      <c r="S14" s="166" t="str">
        <f t="shared" ca="1" si="1"/>
        <v>Y</v>
      </c>
      <c r="T14" s="166" t="e">
        <f t="shared" ca="1" si="0"/>
        <v>#REF!</v>
      </c>
      <c r="U14" s="166" t="e">
        <f t="shared" ca="1" si="0"/>
        <v>#REF!</v>
      </c>
    </row>
    <row r="15" spans="1:21" ht="14.1" customHeight="1">
      <c r="A15" s="108" t="str">
        <f>ChkList!A15</f>
        <v>패치 관리</v>
      </c>
      <c r="B15" s="108" t="str">
        <f>ChkList!B15</f>
        <v>PC-11</v>
      </c>
      <c r="C15" s="108" t="str">
        <f>ChkList!C15</f>
        <v>지원이 종료되지 않은 Windows OS Build 적용</v>
      </c>
      <c r="D15" s="30" t="str">
        <f>ChkList!$D15</f>
        <v>H</v>
      </c>
      <c r="E15" s="30">
        <f>ChkList!$E15</f>
        <v>3</v>
      </c>
      <c r="F15" s="22">
        <f ca="1">COUNTA($S15:INDIRECT(ADDRESS(ROW(),MATCH("",$4:$4,-1),1,1)))</f>
        <v>3</v>
      </c>
      <c r="G15" s="22">
        <f ca="1">'취약점 진단 항목별 통계'!G15</f>
        <v>1</v>
      </c>
      <c r="H15" s="22">
        <f ca="1">'취약점 진단 항목별 통계'!H15</f>
        <v>0</v>
      </c>
      <c r="I15" s="22">
        <f ca="1">'취약점 진단 항목별 통계'!I15</f>
        <v>0</v>
      </c>
      <c r="J15" s="22">
        <f ca="1">'취약점 진단 항목별 통계'!J15</f>
        <v>0</v>
      </c>
      <c r="K15" s="22">
        <f ca="1">COUNTIF($S15:INDIRECT(ADDRESS(ROW(),MATCH("",$4:$4,-1),1,1)),"조치")</f>
        <v>0</v>
      </c>
      <c r="L15" s="22">
        <f ca="1">COUNTIF($S15:INDIRECT(ADDRESS(ROW(),MATCH("",$4:$4,-1),1,1)),"미조치")</f>
        <v>0</v>
      </c>
      <c r="M15" s="22">
        <f ca="1">COUNTIF($S15:INDIRECT(ADDRESS(ROW(),MATCH("",$4:$4,-1),1,1)),"위험수용")</f>
        <v>0</v>
      </c>
      <c r="N15" s="22">
        <f ca="1">COUNTIF($S15:INDIRECT(ADDRESS(ROW(),MATCH("",$4:$4,-1),1,1)),"N/A")</f>
        <v>0</v>
      </c>
      <c r="O15" s="22">
        <f ca="1">VLOOKUP($D15,'parm(hidden)'!$B$8:$C$10,2,FALSE)*($F15-$J15)</f>
        <v>9</v>
      </c>
      <c r="P15" s="22">
        <f ca="1">VLOOKUP($D15,'parm(hidden)'!$B$8:$C$10,2,FALSE)*($F15-$N15)</f>
        <v>9</v>
      </c>
      <c r="Q15" s="35">
        <f ca="1">VLOOKUP($D15,'parm(hidden)'!$B$8:$C$10,2,FALSE)*($G15+$H15)</f>
        <v>3</v>
      </c>
      <c r="R15" s="22">
        <f ca="1">VLOOKUP($D15,'parm(hidden)'!$B$8:$C$10,2,FALSE)*($G15+$H15+$K15)</f>
        <v>3</v>
      </c>
      <c r="S15" s="166" t="str">
        <f t="shared" ca="1" si="1"/>
        <v>Y</v>
      </c>
      <c r="T15" s="166" t="e">
        <f t="shared" ca="1" si="0"/>
        <v>#REF!</v>
      </c>
      <c r="U15" s="166" t="e">
        <f t="shared" ca="1" si="0"/>
        <v>#REF!</v>
      </c>
    </row>
    <row r="16" spans="1:21" ht="14.1" customHeight="1">
      <c r="A16" s="108" t="str">
        <f>ChkList!A16</f>
        <v>보안 관리</v>
      </c>
      <c r="B16" s="108" t="str">
        <f>ChkList!B16</f>
        <v>PC-12</v>
      </c>
      <c r="C16" s="108" t="str">
        <f>ChkList!C16</f>
        <v>Windows 자동 로그인 점검</v>
      </c>
      <c r="D16" s="30" t="str">
        <f>ChkList!$D16</f>
        <v>M</v>
      </c>
      <c r="E16" s="30">
        <f>ChkList!$E16</f>
        <v>2</v>
      </c>
      <c r="F16" s="22">
        <f ca="1">COUNTA($S16:INDIRECT(ADDRESS(ROW(),MATCH("",$4:$4,-1),1,1)))</f>
        <v>3</v>
      </c>
      <c r="G16" s="22">
        <f ca="1">'취약점 진단 항목별 통계'!G16</f>
        <v>1</v>
      </c>
      <c r="H16" s="22">
        <f ca="1">'취약점 진단 항목별 통계'!H16</f>
        <v>0</v>
      </c>
      <c r="I16" s="22">
        <f ca="1">'취약점 진단 항목별 통계'!I16</f>
        <v>0</v>
      </c>
      <c r="J16" s="22">
        <f ca="1">'취약점 진단 항목별 통계'!J16</f>
        <v>0</v>
      </c>
      <c r="K16" s="22">
        <f ca="1">COUNTIF($S16:INDIRECT(ADDRESS(ROW(),MATCH("",$4:$4,-1),1,1)),"조치")</f>
        <v>0</v>
      </c>
      <c r="L16" s="22">
        <f ca="1">COUNTIF($S16:INDIRECT(ADDRESS(ROW(),MATCH("",$4:$4,-1),1,1)),"미조치")</f>
        <v>0</v>
      </c>
      <c r="M16" s="22">
        <f ca="1">COUNTIF($S16:INDIRECT(ADDRESS(ROW(),MATCH("",$4:$4,-1),1,1)),"위험수용")</f>
        <v>0</v>
      </c>
      <c r="N16" s="22">
        <f ca="1">COUNTIF($S16:INDIRECT(ADDRESS(ROW(),MATCH("",$4:$4,-1),1,1)),"N/A")</f>
        <v>0</v>
      </c>
      <c r="O16" s="22">
        <f ca="1">VLOOKUP($D16,'parm(hidden)'!$B$8:$C$10,2,FALSE)*($F16-$J16)</f>
        <v>6</v>
      </c>
      <c r="P16" s="22">
        <f ca="1">VLOOKUP($D16,'parm(hidden)'!$B$8:$C$10,2,FALSE)*($F16-$N16)</f>
        <v>6</v>
      </c>
      <c r="Q16" s="35">
        <f ca="1">VLOOKUP($D16,'parm(hidden)'!$B$8:$C$10,2,FALSE)*($G16+$H16)</f>
        <v>2</v>
      </c>
      <c r="R16" s="22">
        <f ca="1">VLOOKUP($D16,'parm(hidden)'!$B$8:$C$10,2,FALSE)*($G16+$H16+$K16)</f>
        <v>2</v>
      </c>
      <c r="S16" s="166" t="str">
        <f t="shared" ca="1" si="1"/>
        <v>Y</v>
      </c>
      <c r="T16" s="166" t="e">
        <f t="shared" ca="1" si="0"/>
        <v>#REF!</v>
      </c>
      <c r="U16" s="166" t="e">
        <f t="shared" ca="1" si="0"/>
        <v>#REF!</v>
      </c>
    </row>
    <row r="17" spans="1:21" ht="14.1" customHeight="1">
      <c r="A17" s="108" t="str">
        <f>ChkList!A17</f>
        <v>보안 관리</v>
      </c>
      <c r="B17" s="108" t="str">
        <f>ChkList!B17</f>
        <v>PC-13</v>
      </c>
      <c r="C17" s="108" t="str">
        <f>ChkList!C17</f>
        <v>바이러스 백신 프로그램 설치 및 주기적 업데이트</v>
      </c>
      <c r="D17" s="30" t="str">
        <f>ChkList!$D17</f>
        <v>H</v>
      </c>
      <c r="E17" s="30">
        <f>ChkList!$E17</f>
        <v>3</v>
      </c>
      <c r="F17" s="22">
        <f ca="1">COUNTA($S17:INDIRECT(ADDRESS(ROW(),MATCH("",$4:$4,-1),1,1)))</f>
        <v>3</v>
      </c>
      <c r="G17" s="22">
        <f ca="1">'취약점 진단 항목별 통계'!G17</f>
        <v>1</v>
      </c>
      <c r="H17" s="22">
        <f ca="1">'취약점 진단 항목별 통계'!H17</f>
        <v>0</v>
      </c>
      <c r="I17" s="22">
        <f ca="1">'취약점 진단 항목별 통계'!I17</f>
        <v>0</v>
      </c>
      <c r="J17" s="22">
        <f ca="1">'취약점 진단 항목별 통계'!J17</f>
        <v>0</v>
      </c>
      <c r="K17" s="22">
        <f ca="1">COUNTIF($S17:INDIRECT(ADDRESS(ROW(),MATCH("",$4:$4,-1),1,1)),"조치")</f>
        <v>0</v>
      </c>
      <c r="L17" s="22">
        <f ca="1">COUNTIF($S17:INDIRECT(ADDRESS(ROW(),MATCH("",$4:$4,-1),1,1)),"미조치")</f>
        <v>0</v>
      </c>
      <c r="M17" s="22">
        <f ca="1">COUNTIF($S17:INDIRECT(ADDRESS(ROW(),MATCH("",$4:$4,-1),1,1)),"위험수용")</f>
        <v>0</v>
      </c>
      <c r="N17" s="22">
        <f ca="1">COUNTIF($S17:INDIRECT(ADDRESS(ROW(),MATCH("",$4:$4,-1),1,1)),"N/A")</f>
        <v>0</v>
      </c>
      <c r="O17" s="22">
        <f ca="1">VLOOKUP($D17,'parm(hidden)'!$B$8:$C$10,2,FALSE)*($F17-$J17)</f>
        <v>9</v>
      </c>
      <c r="P17" s="22">
        <f ca="1">VLOOKUP($D17,'parm(hidden)'!$B$8:$C$10,2,FALSE)*($F17-$N17)</f>
        <v>9</v>
      </c>
      <c r="Q17" s="35">
        <f ca="1">VLOOKUP($D17,'parm(hidden)'!$B$8:$C$10,2,FALSE)*($G17+$H17)</f>
        <v>3</v>
      </c>
      <c r="R17" s="22">
        <f ca="1">VLOOKUP($D17,'parm(hidden)'!$B$8:$C$10,2,FALSE)*($G17+$H17+$K17)</f>
        <v>3</v>
      </c>
      <c r="S17" s="166" t="str">
        <f t="shared" ca="1" si="1"/>
        <v>Y</v>
      </c>
      <c r="T17" s="166" t="e">
        <f t="shared" ca="1" si="0"/>
        <v>#REF!</v>
      </c>
      <c r="U17" s="166" t="e">
        <f t="shared" ca="1" si="0"/>
        <v>#REF!</v>
      </c>
    </row>
    <row r="18" spans="1:21" ht="14.1" customHeight="1">
      <c r="A18" s="108" t="str">
        <f>ChkList!A18</f>
        <v>보안 관리</v>
      </c>
      <c r="B18" s="108" t="str">
        <f>ChkList!B18</f>
        <v>PC-14</v>
      </c>
      <c r="C18" s="108" t="str">
        <f>ChkList!C18</f>
        <v>바이러스 백신 프로그램에서 제공하는 실시간 감시 기능 활성화</v>
      </c>
      <c r="D18" s="30" t="str">
        <f>ChkList!$D18</f>
        <v>H</v>
      </c>
      <c r="E18" s="30">
        <f>ChkList!$E18</f>
        <v>3</v>
      </c>
      <c r="F18" s="22">
        <f ca="1">COUNTA($S18:INDIRECT(ADDRESS(ROW(),MATCH("",$4:$4,-1),1,1)))</f>
        <v>3</v>
      </c>
      <c r="G18" s="22">
        <f ca="1">'취약점 진단 항목별 통계'!G18</f>
        <v>1</v>
      </c>
      <c r="H18" s="22">
        <f ca="1">'취약점 진단 항목별 통계'!H18</f>
        <v>0</v>
      </c>
      <c r="I18" s="22">
        <f ca="1">'취약점 진단 항목별 통계'!I18</f>
        <v>0</v>
      </c>
      <c r="J18" s="22">
        <f ca="1">'취약점 진단 항목별 통계'!J18</f>
        <v>0</v>
      </c>
      <c r="K18" s="22">
        <f ca="1">COUNTIF($S18:INDIRECT(ADDRESS(ROW(),MATCH("",$4:$4,-1),1,1)),"조치")</f>
        <v>0</v>
      </c>
      <c r="L18" s="22">
        <f ca="1">COUNTIF($S18:INDIRECT(ADDRESS(ROW(),MATCH("",$4:$4,-1),1,1)),"미조치")</f>
        <v>0</v>
      </c>
      <c r="M18" s="22">
        <f ca="1">COUNTIF($S18:INDIRECT(ADDRESS(ROW(),MATCH("",$4:$4,-1),1,1)),"위험수용")</f>
        <v>0</v>
      </c>
      <c r="N18" s="22">
        <f ca="1">COUNTIF($S18:INDIRECT(ADDRESS(ROW(),MATCH("",$4:$4,-1),1,1)),"N/A")</f>
        <v>0</v>
      </c>
      <c r="O18" s="22">
        <f ca="1">VLOOKUP($D18,'parm(hidden)'!$B$8:$C$10,2,FALSE)*($F18-$J18)</f>
        <v>9</v>
      </c>
      <c r="P18" s="22">
        <f ca="1">VLOOKUP($D18,'parm(hidden)'!$B$8:$C$10,2,FALSE)*($F18-$N18)</f>
        <v>9</v>
      </c>
      <c r="Q18" s="35">
        <f ca="1">VLOOKUP($D18,'parm(hidden)'!$B$8:$C$10,2,FALSE)*($G18+$H18)</f>
        <v>3</v>
      </c>
      <c r="R18" s="22">
        <f ca="1">VLOOKUP($D18,'parm(hidden)'!$B$8:$C$10,2,FALSE)*($G18+$H18+$K18)</f>
        <v>3</v>
      </c>
      <c r="S18" s="166" t="str">
        <f t="shared" ca="1" si="1"/>
        <v>Y</v>
      </c>
      <c r="T18" s="166" t="e">
        <f t="shared" ca="1" si="0"/>
        <v>#REF!</v>
      </c>
      <c r="U18" s="166" t="e">
        <f t="shared" ca="1" si="0"/>
        <v>#REF!</v>
      </c>
    </row>
    <row r="19" spans="1:21" ht="14.1" customHeight="1">
      <c r="A19" s="108" t="str">
        <f>ChkList!A19</f>
        <v>보안 관리</v>
      </c>
      <c r="B19" s="108" t="str">
        <f>ChkList!B19</f>
        <v>PC-15</v>
      </c>
      <c r="C19" s="108" t="str">
        <f>ChkList!C19</f>
        <v>OS에서 제공하는 침입차단 기능 활성화</v>
      </c>
      <c r="D19" s="30" t="str">
        <f>ChkList!$D19</f>
        <v>H</v>
      </c>
      <c r="E19" s="30">
        <f>ChkList!$E19</f>
        <v>3</v>
      </c>
      <c r="F19" s="22">
        <f ca="1">COUNTA($S19:INDIRECT(ADDRESS(ROW(),MATCH("",$4:$4,-1),1,1)))</f>
        <v>3</v>
      </c>
      <c r="G19" s="22">
        <f ca="1">'취약점 진단 항목별 통계'!G19</f>
        <v>1</v>
      </c>
      <c r="H19" s="22">
        <f ca="1">'취약점 진단 항목별 통계'!H19</f>
        <v>0</v>
      </c>
      <c r="I19" s="22">
        <f ca="1">'취약점 진단 항목별 통계'!I19</f>
        <v>0</v>
      </c>
      <c r="J19" s="22">
        <f ca="1">'취약점 진단 항목별 통계'!J19</f>
        <v>0</v>
      </c>
      <c r="K19" s="22">
        <f ca="1">COUNTIF($S19:INDIRECT(ADDRESS(ROW(),MATCH("",$4:$4,-1),1,1)),"조치")</f>
        <v>0</v>
      </c>
      <c r="L19" s="22">
        <f ca="1">COUNTIF($S19:INDIRECT(ADDRESS(ROW(),MATCH("",$4:$4,-1),1,1)),"미조치")</f>
        <v>0</v>
      </c>
      <c r="M19" s="22">
        <f ca="1">COUNTIF($S19:INDIRECT(ADDRESS(ROW(),MATCH("",$4:$4,-1),1,1)),"위험수용")</f>
        <v>0</v>
      </c>
      <c r="N19" s="22">
        <f ca="1">COUNTIF($S19:INDIRECT(ADDRESS(ROW(),MATCH("",$4:$4,-1),1,1)),"N/A")</f>
        <v>0</v>
      </c>
      <c r="O19" s="22">
        <f ca="1">VLOOKUP($D19,'parm(hidden)'!$B$8:$C$10,2,FALSE)*($F19-$J19)</f>
        <v>9</v>
      </c>
      <c r="P19" s="22">
        <f ca="1">VLOOKUP($D19,'parm(hidden)'!$B$8:$C$10,2,FALSE)*($F19-$N19)</f>
        <v>9</v>
      </c>
      <c r="Q19" s="35">
        <f ca="1">VLOOKUP($D19,'parm(hidden)'!$B$8:$C$10,2,FALSE)*($G19+$H19)</f>
        <v>3</v>
      </c>
      <c r="R19" s="22">
        <f ca="1">VLOOKUP($D19,'parm(hidden)'!$B$8:$C$10,2,FALSE)*($G19+$H19+$K19)</f>
        <v>3</v>
      </c>
      <c r="S19" s="166" t="str">
        <f t="shared" ca="1" si="1"/>
        <v>Y</v>
      </c>
      <c r="T19" s="166" t="e">
        <f t="shared" ca="1" si="0"/>
        <v>#REF!</v>
      </c>
      <c r="U19" s="166" t="e">
        <f t="shared" ca="1" si="0"/>
        <v>#REF!</v>
      </c>
    </row>
    <row r="20" spans="1:21" ht="14.1" customHeight="1">
      <c r="A20" s="108" t="str">
        <f>ChkList!A20</f>
        <v>보안 관리</v>
      </c>
      <c r="B20" s="108" t="str">
        <f>ChkList!B20</f>
        <v>PC-16</v>
      </c>
      <c r="C20" s="108" t="str">
        <f>ChkList!C20</f>
        <v>화면보호기 대기 시간 설정 및 재시작 시 암호 보호 설정</v>
      </c>
      <c r="D20" s="30" t="str">
        <f>ChkList!$D20</f>
        <v>H</v>
      </c>
      <c r="E20" s="30">
        <f>ChkList!$E20</f>
        <v>3</v>
      </c>
      <c r="F20" s="22">
        <f ca="1">COUNTA($S20:INDIRECT(ADDRESS(ROW(),MATCH("",$4:$4,-1),1,1)))</f>
        <v>3</v>
      </c>
      <c r="G20" s="22">
        <f ca="1">'취약점 진단 항목별 통계'!G20</f>
        <v>1</v>
      </c>
      <c r="H20" s="22">
        <f ca="1">'취약점 진단 항목별 통계'!H20</f>
        <v>0</v>
      </c>
      <c r="I20" s="22">
        <f ca="1">'취약점 진단 항목별 통계'!I20</f>
        <v>0</v>
      </c>
      <c r="J20" s="22">
        <f ca="1">'취약점 진단 항목별 통계'!J20</f>
        <v>0</v>
      </c>
      <c r="K20" s="22">
        <f ca="1">COUNTIF($S20:INDIRECT(ADDRESS(ROW(),MATCH("",$4:$4,-1),1,1)),"조치")</f>
        <v>0</v>
      </c>
      <c r="L20" s="22">
        <f ca="1">COUNTIF($S20:INDIRECT(ADDRESS(ROW(),MATCH("",$4:$4,-1),1,1)),"미조치")</f>
        <v>0</v>
      </c>
      <c r="M20" s="22">
        <f ca="1">COUNTIF($S20:INDIRECT(ADDRESS(ROW(),MATCH("",$4:$4,-1),1,1)),"위험수용")</f>
        <v>0</v>
      </c>
      <c r="N20" s="22">
        <f ca="1">COUNTIF($S20:INDIRECT(ADDRESS(ROW(),MATCH("",$4:$4,-1),1,1)),"N/A")</f>
        <v>0</v>
      </c>
      <c r="O20" s="22">
        <f ca="1">VLOOKUP($D20,'parm(hidden)'!$B$8:$C$10,2,FALSE)*($F20-$J20)</f>
        <v>9</v>
      </c>
      <c r="P20" s="22">
        <f ca="1">VLOOKUP($D20,'parm(hidden)'!$B$8:$C$10,2,FALSE)*($F20-$N20)</f>
        <v>9</v>
      </c>
      <c r="Q20" s="35">
        <f ca="1">VLOOKUP($D20,'parm(hidden)'!$B$8:$C$10,2,FALSE)*($G20+$H20)</f>
        <v>3</v>
      </c>
      <c r="R20" s="22">
        <f ca="1">VLOOKUP($D20,'parm(hidden)'!$B$8:$C$10,2,FALSE)*($G20+$H20+$K20)</f>
        <v>3</v>
      </c>
      <c r="S20" s="166" t="str">
        <f t="shared" ca="1" si="1"/>
        <v>Y</v>
      </c>
      <c r="T20" s="166" t="e">
        <f t="shared" ca="1" si="0"/>
        <v>#REF!</v>
      </c>
      <c r="U20" s="166" t="e">
        <f t="shared" ca="1" si="0"/>
        <v>#REF!</v>
      </c>
    </row>
    <row r="21" spans="1:21" ht="14.1" customHeight="1">
      <c r="A21" s="108" t="str">
        <f>ChkList!A21</f>
        <v>보안 관리</v>
      </c>
      <c r="B21" s="108" t="str">
        <f>ChkList!B21</f>
        <v>PC-17</v>
      </c>
      <c r="C21" s="108" t="str">
        <f>ChkList!C21</f>
        <v>CD, DVD, USB 메모리 등과 같은 미디어의 자동 실행 방지 등 이동식 미디어에 대한 보안대책 수립</v>
      </c>
      <c r="D21" s="30" t="str">
        <f>ChkList!$D21</f>
        <v>H</v>
      </c>
      <c r="E21" s="30">
        <f>ChkList!$E21</f>
        <v>3</v>
      </c>
      <c r="F21" s="22">
        <f ca="1">COUNTA($S21:INDIRECT(ADDRESS(ROW(),MATCH("",$4:$4,-1),1,1)))</f>
        <v>3</v>
      </c>
      <c r="G21" s="22">
        <f ca="1">'취약점 진단 항목별 통계'!G21</f>
        <v>1</v>
      </c>
      <c r="H21" s="22">
        <f ca="1">'취약점 진단 항목별 통계'!H21</f>
        <v>0</v>
      </c>
      <c r="I21" s="22">
        <f ca="1">'취약점 진단 항목별 통계'!I21</f>
        <v>0</v>
      </c>
      <c r="J21" s="22">
        <f ca="1">'취약점 진단 항목별 통계'!J21</f>
        <v>0</v>
      </c>
      <c r="K21" s="22">
        <f ca="1">COUNTIF($S21:INDIRECT(ADDRESS(ROW(),MATCH("",$4:$4,-1),1,1)),"조치")</f>
        <v>0</v>
      </c>
      <c r="L21" s="22">
        <f ca="1">COUNTIF($S21:INDIRECT(ADDRESS(ROW(),MATCH("",$4:$4,-1),1,1)),"미조치")</f>
        <v>0</v>
      </c>
      <c r="M21" s="22">
        <f ca="1">COUNTIF($S21:INDIRECT(ADDRESS(ROW(),MATCH("",$4:$4,-1),1,1)),"위험수용")</f>
        <v>0</v>
      </c>
      <c r="N21" s="22">
        <f ca="1">COUNTIF($S21:INDIRECT(ADDRESS(ROW(),MATCH("",$4:$4,-1),1,1)),"N/A")</f>
        <v>0</v>
      </c>
      <c r="O21" s="22">
        <f ca="1">VLOOKUP($D21,'parm(hidden)'!$B$8:$C$10,2,FALSE)*($F21-$J21)</f>
        <v>9</v>
      </c>
      <c r="P21" s="22">
        <f ca="1">VLOOKUP($D21,'parm(hidden)'!$B$8:$C$10,2,FALSE)*($F21-$N21)</f>
        <v>9</v>
      </c>
      <c r="Q21" s="35">
        <f ca="1">VLOOKUP($D21,'parm(hidden)'!$B$8:$C$10,2,FALSE)*($G21+$H21)</f>
        <v>3</v>
      </c>
      <c r="R21" s="22">
        <f ca="1">VLOOKUP($D21,'parm(hidden)'!$B$8:$C$10,2,FALSE)*($G21+$H21+$K21)</f>
        <v>3</v>
      </c>
      <c r="S21" s="166" t="str">
        <f t="shared" ca="1" si="1"/>
        <v>Y</v>
      </c>
      <c r="T21" s="166" t="e">
        <f t="shared" ca="1" si="1"/>
        <v>#REF!</v>
      </c>
      <c r="U21" s="166" t="e">
        <f t="shared" ca="1" si="1"/>
        <v>#REF!</v>
      </c>
    </row>
    <row r="22" spans="1:21" ht="14.1" customHeight="1">
      <c r="A22" s="108" t="str">
        <f>ChkList!A22</f>
        <v>보안 관리</v>
      </c>
      <c r="B22" s="108" t="str">
        <f>ChkList!B22</f>
        <v>PC-18</v>
      </c>
      <c r="C22" s="108" t="str">
        <f>ChkList!C22</f>
        <v>원격 지원을 금지하도록 정책이 설정</v>
      </c>
      <c r="D22" s="30" t="str">
        <f>ChkList!$D22</f>
        <v>M</v>
      </c>
      <c r="E22" s="30">
        <f>ChkList!$E22</f>
        <v>2</v>
      </c>
      <c r="F22" s="22">
        <f ca="1">COUNTA($S22:INDIRECT(ADDRESS(ROW(),MATCH("",$4:$4,-1),1,1)))</f>
        <v>3</v>
      </c>
      <c r="G22" s="22">
        <f ca="1">'취약점 진단 항목별 통계'!G22</f>
        <v>1</v>
      </c>
      <c r="H22" s="22">
        <f ca="1">'취약점 진단 항목별 통계'!H22</f>
        <v>0</v>
      </c>
      <c r="I22" s="22">
        <f ca="1">'취약점 진단 항목별 통계'!I22</f>
        <v>0</v>
      </c>
      <c r="J22" s="22">
        <f ca="1">'취약점 진단 항목별 통계'!J22</f>
        <v>0</v>
      </c>
      <c r="K22" s="22">
        <f ca="1">COUNTIF($S22:INDIRECT(ADDRESS(ROW(),MATCH("",$4:$4,-1),1,1)),"조치")</f>
        <v>0</v>
      </c>
      <c r="L22" s="22">
        <f ca="1">COUNTIF($S22:INDIRECT(ADDRESS(ROW(),MATCH("",$4:$4,-1),1,1)),"미조치")</f>
        <v>0</v>
      </c>
      <c r="M22" s="22">
        <f ca="1">COUNTIF($S22:INDIRECT(ADDRESS(ROW(),MATCH("",$4:$4,-1),1,1)),"위험수용")</f>
        <v>0</v>
      </c>
      <c r="N22" s="22">
        <f ca="1">COUNTIF($S22:INDIRECT(ADDRESS(ROW(),MATCH("",$4:$4,-1),1,1)),"N/A")</f>
        <v>0</v>
      </c>
      <c r="O22" s="22">
        <f ca="1">VLOOKUP($D22,'parm(hidden)'!$B$8:$C$10,2,FALSE)*($F22-$J22)</f>
        <v>6</v>
      </c>
      <c r="P22" s="22">
        <f ca="1">VLOOKUP($D22,'parm(hidden)'!$B$8:$C$10,2,FALSE)*($F22-$N22)</f>
        <v>6</v>
      </c>
      <c r="Q22" s="35">
        <f ca="1">VLOOKUP($D22,'parm(hidden)'!$B$8:$C$10,2,FALSE)*($G22+$H22)</f>
        <v>2</v>
      </c>
      <c r="R22" s="22">
        <f ca="1">VLOOKUP($D22,'parm(hidden)'!$B$8:$C$10,2,FALSE)*($G22+$H22+$K22)</f>
        <v>2</v>
      </c>
      <c r="S22" s="166" t="str">
        <f t="shared" ca="1" si="1"/>
        <v>Y</v>
      </c>
      <c r="T22" s="166" t="e">
        <f t="shared" ca="1" si="1"/>
        <v>#REF!</v>
      </c>
      <c r="U22" s="166" t="e">
        <f t="shared" ca="1" si="1"/>
        <v>#REF!</v>
      </c>
    </row>
    <row r="23" spans="1:21" ht="14.1" customHeight="1" thickBot="1">
      <c r="A23" s="78"/>
      <c r="B23" s="109"/>
      <c r="C23" s="110"/>
      <c r="D23" s="110"/>
      <c r="E23" s="110"/>
      <c r="F23" s="111">
        <f t="shared" ref="F23:R23" ca="1" si="2">SUM(F5:F22)</f>
        <v>54</v>
      </c>
      <c r="G23" s="111">
        <f t="shared" ca="1" si="2"/>
        <v>18</v>
      </c>
      <c r="H23" s="111">
        <f t="shared" ca="1" si="2"/>
        <v>0</v>
      </c>
      <c r="I23" s="111">
        <f t="shared" ca="1" si="2"/>
        <v>0</v>
      </c>
      <c r="J23" s="111">
        <f t="shared" ca="1" si="2"/>
        <v>0</v>
      </c>
      <c r="K23" s="111">
        <f t="shared" ca="1" si="2"/>
        <v>0</v>
      </c>
      <c r="L23" s="111">
        <f t="shared" ca="1" si="2"/>
        <v>0</v>
      </c>
      <c r="M23" s="111">
        <f t="shared" ca="1" si="2"/>
        <v>0</v>
      </c>
      <c r="N23" s="111">
        <f t="shared" ca="1" si="2"/>
        <v>0</v>
      </c>
      <c r="O23" s="111">
        <f t="shared" ca="1" si="2"/>
        <v>141</v>
      </c>
      <c r="P23" s="111">
        <f t="shared" ca="1" si="2"/>
        <v>141</v>
      </c>
      <c r="Q23" s="111">
        <f t="shared" ca="1" si="2"/>
        <v>47</v>
      </c>
      <c r="R23" s="111">
        <f t="shared" ca="1" si="2"/>
        <v>47</v>
      </c>
      <c r="S23" s="112">
        <f ca="1">COUNTIFS(S$5:S$22,"&lt;&gt;",S$5:S$22,"&lt;&gt;0")</f>
        <v>18</v>
      </c>
      <c r="T23" s="112">
        <f ca="1">COUNTIFS(T$5:T$22,"&lt;&gt;",T$5:T$22,"&lt;&gt;0")</f>
        <v>18</v>
      </c>
      <c r="U23" s="113">
        <f ca="1">COUNTIFS(U$5:U$22,"&lt;&gt;",U$5:U$22,"&lt;&gt;0")</f>
        <v>18</v>
      </c>
    </row>
  </sheetData>
  <mergeCells count="6">
    <mergeCell ref="O3:R3"/>
    <mergeCell ref="F3:J3"/>
    <mergeCell ref="A3:B4"/>
    <mergeCell ref="C3:C4"/>
    <mergeCell ref="D3:E4"/>
    <mergeCell ref="K3:N3"/>
  </mergeCells>
  <phoneticPr fontId="3" type="noConversion"/>
  <conditionalFormatting sqref="S1:U3">
    <cfRule type="cellIs" dxfId="30" priority="1" operator="equal">
      <formula>"Y"</formula>
    </cfRule>
    <cfRule type="cellIs" dxfId="29" priority="2" stopIfTrue="1" operator="equal">
      <formula>"인터뷰"</formula>
    </cfRule>
  </conditionalFormatting>
  <conditionalFormatting sqref="S5:U22">
    <cfRule type="containsText" dxfId="28" priority="45" operator="containsText" text="위험수용">
      <formula>NOT(ISERROR(SEARCH("위험수용",S5)))</formula>
    </cfRule>
    <cfRule type="containsText" dxfId="27" priority="46" operator="containsText" text="미조치">
      <formula>NOT(ISERROR(SEARCH("미조치",S5)))</formula>
    </cfRule>
    <cfRule type="cellIs" dxfId="26" priority="47" stopIfTrue="1" operator="equal">
      <formula>"인터뷰"</formula>
    </cfRule>
    <cfRule type="cellIs" dxfId="25" priority="48" stopIfTrue="1" operator="equal">
      <formula>"N/A"</formula>
    </cfRule>
    <cfRule type="cellIs" dxfId="24" priority="49" stopIfTrue="1" operator="equal">
      <formula>"N"</formula>
    </cfRule>
  </conditionalFormatting>
  <conditionalFormatting sqref="S23:U1048576">
    <cfRule type="cellIs" dxfId="23" priority="50" operator="equal">
      <formula>"Y"</formula>
    </cfRule>
    <cfRule type="cellIs" dxfId="22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7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HQ_DEV01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52" t="str">
        <f ca="1">REPLACE(CELL("filename",A1),1,FIND("]",CELL("filename",A1)),"")</f>
        <v>HQ_DEV01</v>
      </c>
      <c r="C4" s="222"/>
      <c r="D4" s="253" t="s">
        <v>105</v>
      </c>
      <c r="E4" s="225"/>
      <c r="F4" s="254" t="str">
        <f ca="1">IFERROR(VLOOKUP($B$4,자산목록!$B$1:$Q$827,8,FALSE),"N/A")</f>
        <v>사원 PC</v>
      </c>
      <c r="G4" s="255"/>
      <c r="H4" s="58"/>
      <c r="I4" s="50"/>
      <c r="R4" s="24" t="s">
        <v>14</v>
      </c>
      <c r="S4" s="39">
        <f ca="1">IFERROR(VLOOKUP($B$4,자산목록!$B$1:$Q$827,13,FALSE),"N/A")</f>
        <v>3</v>
      </c>
      <c r="T4" s="256" t="s">
        <v>106</v>
      </c>
      <c r="U4" s="257" t="str">
        <f ca="1">IFERROR(VLOOKUP($B$4,자산목록!$B$1:$Q$827,16,FALSE),"N/A")</f>
        <v>H</v>
      </c>
      <c r="X4" s="5"/>
      <c r="Y4" s="5"/>
    </row>
    <row r="5" spans="1:25" ht="17.100000000000001" customHeight="1" thickBot="1">
      <c r="A5" s="119" t="s">
        <v>107</v>
      </c>
      <c r="B5" s="258" t="str">
        <f ca="1">IFERROR(VLOOKUP($B$4,자산목록!$B$1:$Q$827,6,FALSE)&amp;" "&amp;VLOOKUP($B$4,자산목록!$B$1:$Q$827,7,FALSE),"N/A")</f>
        <v>Windows 11 pro 25H2</v>
      </c>
      <c r="C5" s="189"/>
      <c r="D5" s="259" t="s">
        <v>108</v>
      </c>
      <c r="E5" s="260"/>
      <c r="F5" s="258" t="str">
        <f ca="1">IFERROR(VLOOKUP($B$4,자산목록!$B$1:$Q$827,2,FALSE),"N/A")</f>
        <v>10.10.40.81/28</v>
      </c>
      <c r="G5" s="189"/>
      <c r="H5" s="58"/>
      <c r="I5" s="50"/>
      <c r="R5" s="24" t="s">
        <v>15</v>
      </c>
      <c r="S5" s="39">
        <f ca="1">IFERROR(VLOOKUP($B$4,자산목록!$B$1:$Q$827,14,FALSE),"N/A")</f>
        <v>3</v>
      </c>
      <c r="T5" s="193"/>
      <c r="U5" s="193"/>
      <c r="X5" s="5"/>
      <c r="Y5" s="5"/>
    </row>
    <row r="6" spans="1:25" ht="17.100000000000001" customHeight="1" thickBot="1">
      <c r="A6" s="120" t="s">
        <v>11</v>
      </c>
      <c r="B6" s="261" t="str">
        <f ca="1">IFERROR(VLOOKUP($B$4,자산목록!$B$1:$Q$827,11,FALSE),"N/A")</f>
        <v>홍길동</v>
      </c>
      <c r="C6" s="214"/>
      <c r="D6" s="262" t="s">
        <v>109</v>
      </c>
      <c r="E6" s="263"/>
      <c r="F6" s="261" t="str">
        <f ca="1">IFERROR(VLOOKUP($B$4,자산목록!$B$1:$Q$827,9,FALSE),"N/A")</f>
        <v>본사</v>
      </c>
      <c r="G6" s="214"/>
      <c r="H6" s="58"/>
      <c r="I6" s="50"/>
      <c r="R6" s="24" t="s">
        <v>16</v>
      </c>
      <c r="S6" s="39">
        <f ca="1">IFERROR(VLOOKUP($B$4,자산목록!$B$1:$Q$827,15,FALSE),"N/A")</f>
        <v>3</v>
      </c>
      <c r="T6" s="192"/>
      <c r="U6" s="192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7" t="s">
        <v>60</v>
      </c>
      <c r="B10" s="181"/>
      <c r="C10" s="181"/>
      <c r="D10" s="278" t="s">
        <v>112</v>
      </c>
      <c r="E10" s="203"/>
      <c r="F10" s="203"/>
      <c r="G10" s="203"/>
      <c r="H10" s="203"/>
      <c r="I10" s="249" t="s">
        <v>113</v>
      </c>
      <c r="J10" s="251" t="s">
        <v>78</v>
      </c>
      <c r="K10" s="203"/>
      <c r="L10" s="203"/>
      <c r="M10" s="203"/>
      <c r="N10" s="203"/>
      <c r="O10" s="220"/>
      <c r="R10" s="276" t="s">
        <v>114</v>
      </c>
      <c r="S10" s="188"/>
      <c r="T10" s="188"/>
      <c r="U10" s="189"/>
      <c r="V10" s="264" t="s">
        <v>113</v>
      </c>
      <c r="W10" s="188"/>
      <c r="X10" s="188"/>
      <c r="Y10" s="189"/>
    </row>
    <row r="11" spans="1:25" ht="20.100000000000001" customHeight="1">
      <c r="A11" s="229"/>
      <c r="B11" s="230"/>
      <c r="C11" s="230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50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65" t="s">
        <v>60</v>
      </c>
      <c r="W11" s="189"/>
      <c r="X11" s="11" t="s">
        <v>112</v>
      </c>
      <c r="Y11" s="11" t="s">
        <v>78</v>
      </c>
    </row>
    <row r="12" spans="1:25" ht="45.95" customHeight="1">
      <c r="A12" s="266" t="str">
        <f>ChkList!A5</f>
        <v>계정 관리</v>
      </c>
      <c r="B12" s="267"/>
      <c r="C12" s="268"/>
      <c r="D12" s="39">
        <f>COUNTIF($A$20:$A$944, $A12)</f>
        <v>2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 t="e">
        <f t="shared" ref="H12:H16" ca="1" si="0">IF($G12=$D12, "N/A", (S12/R12))</f>
        <v>#REF!</v>
      </c>
      <c r="I12" s="269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0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 t="e">
        <f ca="1">IF(OR($G12=$D12,$D12=$M12),"N/A", ($T12/$U12))</f>
        <v>#REF!</v>
      </c>
      <c r="R12" s="39" t="e">
        <f>SUMIF($A$20:$A$944, $A12, $R$20:$R$944)</f>
        <v>#REF!</v>
      </c>
      <c r="S12" s="39">
        <f>SUMIF($A$20:$A$944, $A12, $S$20:$S$944)</f>
        <v>3</v>
      </c>
      <c r="T12" s="39" t="e">
        <f t="shared" ref="T12:U15" si="1">SUMIF($A$20:$A$944, $A12, $R$20:$R$944)</f>
        <v>#REF!</v>
      </c>
      <c r="U12" s="39" t="e">
        <f t="shared" si="1"/>
        <v>#REF!</v>
      </c>
      <c r="V12" s="257">
        <f>B12</f>
        <v>0</v>
      </c>
      <c r="W12" s="189"/>
      <c r="X12" s="59" t="e">
        <f ca="1">H12</f>
        <v>#REF!</v>
      </c>
      <c r="Y12" s="59" t="e">
        <f t="shared" ref="Y12:Y16" ca="1" si="2">O12</f>
        <v>#REF!</v>
      </c>
    </row>
    <row r="13" spans="1:25" ht="45.95" customHeight="1">
      <c r="A13" s="266" t="str">
        <f>ChkList!A8</f>
        <v>서비스 관리</v>
      </c>
      <c r="B13" s="267"/>
      <c r="C13" s="268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6</v>
      </c>
      <c r="F13" s="39">
        <f ca="1">COUNTIFS($A$20:INDIRECT(ADDRESS(MATCH("",$A:$A,-1),1,1,1)),$A13&amp;"*",$H$20:INDIRECT(ADDRESS(MATCH("",$A:$A,-1),8,1,1)),"N")</f>
        <v>0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1</v>
      </c>
      <c r="I13" s="270"/>
      <c r="J13" s="56">
        <f ca="1">COUNTIFS($A$20:INDIRECT(ADDRESS(MATCH("",$A:$A,-1),1,1,1)),$A13,$K$20:INDIRECT(ADDRESS(MATCH("",$B:$B,-1),11,1,1)),"조치")</f>
        <v>0</v>
      </c>
      <c r="K13" s="27">
        <f ca="1">COUNTIFS($A$20:INDIRECT(ADDRESS(MATCH("",$A:$A,-1),1,1,1)),$A13,$K$20:INDIRECT(ADDRESS(MATCH("",$B:$B,-1),11,1,1)),"미조치")</f>
        <v>0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 t="str">
        <f ca="1">IFERROR($J13/($F13-(M13-G13)),"N/A")</f>
        <v>N/A</v>
      </c>
      <c r="O13" s="128">
        <f ca="1">IF(OR($G13=$D13,$D13=$M13),"N/A", ($T13/$U13))</f>
        <v>1</v>
      </c>
      <c r="R13" s="39">
        <f>SUMIF($A$20:$A$944, $A13, $R$20:$R$944)</f>
        <v>14</v>
      </c>
      <c r="S13" s="39">
        <f>SUMIF($A$20:$A$944, $A13, $S$20:$S$944)</f>
        <v>14</v>
      </c>
      <c r="T13" s="39">
        <f t="shared" si="1"/>
        <v>14</v>
      </c>
      <c r="U13" s="39">
        <f t="shared" si="1"/>
        <v>14</v>
      </c>
      <c r="V13" s="257">
        <f>B13</f>
        <v>0</v>
      </c>
      <c r="W13" s="189"/>
      <c r="X13" s="59">
        <f t="shared" ref="X13:X16" ca="1" si="3">H13</f>
        <v>1</v>
      </c>
      <c r="Y13" s="59">
        <f t="shared" ca="1" si="2"/>
        <v>1</v>
      </c>
    </row>
    <row r="14" spans="1:25" ht="45.95" customHeight="1">
      <c r="A14" s="266" t="str">
        <f>ChkList!A14</f>
        <v>패치 관리</v>
      </c>
      <c r="B14" s="267"/>
      <c r="C14" s="268"/>
      <c r="D14" s="39">
        <f ca="1">COUNTIF($A$20:INDIRECT(ADDRESS(MATCH("",$A:$A,-1),1,1,1)),$A14)</f>
        <v>2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2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0</v>
      </c>
      <c r="H14" s="61">
        <f ca="1">IF($G14=$D14, "N/A", (S14/R14))</f>
        <v>1</v>
      </c>
      <c r="I14" s="270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0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 t="str">
        <f ca="1">IFERROR($J14/($F14-(M14-G14)),"N/A")</f>
        <v>N/A</v>
      </c>
      <c r="O14" s="128" t="e">
        <f ca="1">IF(OR($G16=$D16, $D16=$M16), 1, $T16/$U16)</f>
        <v>#REF!</v>
      </c>
      <c r="R14" s="39">
        <f>SUMIF($A$20:$A$944, $A14, $R$20:$R$944)</f>
        <v>6</v>
      </c>
      <c r="S14" s="39">
        <f>SUMIF($A$20:$A$944, $A14, $S$20:$S$944)</f>
        <v>6</v>
      </c>
      <c r="T14" s="39">
        <f t="shared" si="1"/>
        <v>6</v>
      </c>
      <c r="U14" s="39">
        <f t="shared" si="1"/>
        <v>6</v>
      </c>
      <c r="V14" s="257">
        <f>B14</f>
        <v>0</v>
      </c>
      <c r="W14" s="189"/>
      <c r="X14" s="59">
        <f t="shared" ca="1" si="3"/>
        <v>1</v>
      </c>
      <c r="Y14" s="59" t="e">
        <f t="shared" ca="1" si="2"/>
        <v>#REF!</v>
      </c>
    </row>
    <row r="15" spans="1:25" ht="45.95" customHeight="1" thickBot="1">
      <c r="A15" s="266" t="str">
        <f>ChkList!A17</f>
        <v>보안 관리</v>
      </c>
      <c r="B15" s="267"/>
      <c r="C15" s="268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7</v>
      </c>
      <c r="F15" s="39">
        <f ca="1">COUNTIFS($A$20:INDIRECT(ADDRESS(MATCH("",$A:$A,-1),1,1,1)),$A15&amp;"*",$H$20:INDIRECT(ADDRESS(MATCH("",$A:$A,-1),8,1,1)),"N")</f>
        <v>0</v>
      </c>
      <c r="G15" s="27">
        <f ca="1">COUNTIFS($A$20:INDIRECT(ADDRESS(MATCH("",$A:$A,-1),1,1,1)),$A15&amp;"*",$H$20:INDIRECT(ADDRESS(MATCH("",$A:$A,-1),8,1,1)),"N/A")</f>
        <v>0</v>
      </c>
      <c r="H15" s="61">
        <f t="shared" ca="1" si="0"/>
        <v>1</v>
      </c>
      <c r="I15" s="270"/>
      <c r="J15" s="56">
        <f ca="1">COUNTIFS($A$20:INDIRECT(ADDRESS(MATCH("",$A:$A,-1),1,1,1)),$A15,$K$20:INDIRECT(ADDRESS(MATCH("",$B:$B,-1),11,1,1)),"조치")</f>
        <v>0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 t="str">
        <f ca="1">IFERROR($J15/($F15-(M15-G15)),"N/A")</f>
        <v>N/A</v>
      </c>
      <c r="O15" s="128">
        <f ca="1">IF(OR($G15=$D15,$D15=$M15),"N/A", ($T15/$U15))</f>
        <v>1</v>
      </c>
      <c r="R15" s="39">
        <f>SUMIF($A$20:$A$944, $A15, $R$20:$R$944)</f>
        <v>19</v>
      </c>
      <c r="S15" s="39">
        <f>SUMIF($A$20:$A$944, $A15, $S$20:$S$944)</f>
        <v>19</v>
      </c>
      <c r="T15" s="39">
        <f t="shared" si="1"/>
        <v>19</v>
      </c>
      <c r="U15" s="39">
        <f t="shared" si="1"/>
        <v>19</v>
      </c>
      <c r="V15" s="257">
        <f>B15</f>
        <v>0</v>
      </c>
      <c r="W15" s="189"/>
      <c r="X15" s="59">
        <f t="shared" ca="1" si="3"/>
        <v>1</v>
      </c>
      <c r="Y15" s="59">
        <f t="shared" ca="1" si="2"/>
        <v>1</v>
      </c>
    </row>
    <row r="16" spans="1:25" ht="30.95" customHeight="1" thickTop="1" thickBot="1">
      <c r="A16" s="272" t="s">
        <v>120</v>
      </c>
      <c r="B16" s="273"/>
      <c r="C16" s="274"/>
      <c r="D16" s="130">
        <f ca="1">SUM(D12:D15)</f>
        <v>17</v>
      </c>
      <c r="E16" s="130">
        <f ca="1">SUM(E12:E15)</f>
        <v>17</v>
      </c>
      <c r="F16" s="130">
        <f ca="1">SUM(F12:F15)</f>
        <v>0</v>
      </c>
      <c r="G16" s="131">
        <f ca="1">SUM(G12:G15)</f>
        <v>0</v>
      </c>
      <c r="H16" s="132" t="e">
        <f t="shared" ca="1" si="0"/>
        <v>#REF!</v>
      </c>
      <c r="I16" s="271"/>
      <c r="J16" s="129">
        <f ca="1">SUM(J12:J15)</f>
        <v>0</v>
      </c>
      <c r="K16" s="130">
        <f ca="1">SUM(K12:K15)</f>
        <v>0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42</v>
      </c>
      <c r="T16" s="42" t="e">
        <f>SUM(T12:T15)</f>
        <v>#REF!</v>
      </c>
      <c r="U16" s="41" t="e">
        <f>SUM(U12:U15)</f>
        <v>#REF!</v>
      </c>
      <c r="V16" s="275" t="s">
        <v>121</v>
      </c>
      <c r="W16" s="231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79" t="s">
        <v>60</v>
      </c>
      <c r="B19" s="280"/>
      <c r="C19" s="281" t="s">
        <v>124</v>
      </c>
      <c r="D19" s="282"/>
      <c r="E19" s="282"/>
      <c r="F19" s="283" t="s">
        <v>23</v>
      </c>
      <c r="G19" s="282"/>
      <c r="H19" s="142" t="s">
        <v>166</v>
      </c>
      <c r="I19" s="143" t="s">
        <v>125</v>
      </c>
      <c r="J19" s="141" t="s">
        <v>78</v>
      </c>
      <c r="K19" s="143" t="s">
        <v>126</v>
      </c>
      <c r="L19" s="284" t="s">
        <v>127</v>
      </c>
      <c r="M19" s="282"/>
      <c r="N19" s="282"/>
      <c r="O19" s="282"/>
      <c r="P19" s="280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85" t="s">
        <v>78</v>
      </c>
      <c r="W19" s="189"/>
      <c r="Y19" s="63"/>
    </row>
    <row r="20" spans="1:25" ht="36" customHeight="1">
      <c r="A20" s="11" t="str">
        <f>ChkList!A5</f>
        <v>계정 관리</v>
      </c>
      <c r="B20" s="174" t="str">
        <f>ChkList!B5</f>
        <v>PC-01</v>
      </c>
      <c r="C20" s="286" t="str">
        <f>ChkList!C5</f>
        <v>비밀번호의 주기적 변경</v>
      </c>
      <c r="D20" s="287"/>
      <c r="E20" s="288"/>
      <c r="F20" s="174" t="str">
        <f>ChkList!D5</f>
        <v>H</v>
      </c>
      <c r="G20" s="174">
        <f>ChkList!E5</f>
        <v>3</v>
      </c>
      <c r="H20" s="160" t="s">
        <v>32</v>
      </c>
      <c r="I20" s="161" t="s">
        <v>261</v>
      </c>
      <c r="J20" s="11" t="s">
        <v>32</v>
      </c>
      <c r="K20" s="11" t="str">
        <f t="shared" ref="K20:K37" si="4">IF($J20="", "", IF(OR($H20="Y", $H20="N/A",$H20="Y(즉시조치)"), $H20, IF(AND($H20="N", $J20="Y"), "조치", IF(AND($H20="N",$J20="N/A"), "N/A", IF(IFERROR(FIND("위험수용", $L20), 0), "위험수용", "미조치")))))</f>
        <v>Y</v>
      </c>
      <c r="L20" s="289" t="s">
        <v>175</v>
      </c>
      <c r="M20" s="290"/>
      <c r="N20" s="290"/>
      <c r="O20" s="290"/>
      <c r="P20" s="290"/>
      <c r="Q20" s="155" t="str">
        <f>IF($J20="",IF(OR($H20="N",$H20="인터뷰"), ChkList!$F5, ""), IF(OR($J20="N",$J20="인터뷰"), ChkList!$F5, ""))</f>
        <v/>
      </c>
      <c r="R20" s="154" t="e">
        <f>IF($H20="N/A",0,VLOOKUP(#REF!,'parm(hidden)'!$B$8:$C$10,2,FALSE))*1</f>
        <v>#REF!</v>
      </c>
      <c r="S20" s="154">
        <f>IFERROR(VLOOKUP(#REF!,'parm(hidden)'!$B$8:$C$10,2,FALSE)*VLOOKUP($H20,'parm(hidden)'!$B$15:$C$19,2,FALSE),0)</f>
        <v>0</v>
      </c>
      <c r="T20" s="154">
        <f>IFERROR(VLOOKUP(#REF!,'parm(hidden)'!$B$8:$C$10,2,FALSE)*VLOOKUP($K20,$V$21:$W$26,2,FALSE),0)</f>
        <v>0</v>
      </c>
      <c r="U20" s="11" t="e">
        <f>IF($J20="N/A",0,VLOOKUP(#REF!,'parm(hidden)'!$B$8:$C$10,2,FALSE))*1</f>
        <v>#REF!</v>
      </c>
      <c r="V20" s="54" t="s">
        <v>129</v>
      </c>
      <c r="W20" s="40" t="s">
        <v>24</v>
      </c>
      <c r="Y20" s="10"/>
    </row>
    <row r="21" spans="1:25" ht="36" customHeight="1">
      <c r="A21" s="174" t="str">
        <f>ChkList!A6</f>
        <v>계정 관리</v>
      </c>
      <c r="B21" s="174" t="str">
        <f>ChkList!B6</f>
        <v>PC-02</v>
      </c>
      <c r="C21" s="286" t="str">
        <f>ChkList!C6</f>
        <v>비밀번호 관리정책 설정</v>
      </c>
      <c r="D21" s="287"/>
      <c r="E21" s="288"/>
      <c r="F21" s="174" t="str">
        <f>ChkList!D6</f>
        <v>H</v>
      </c>
      <c r="G21" s="174">
        <f>ChkList!E6</f>
        <v>3</v>
      </c>
      <c r="H21" s="160" t="s">
        <v>32</v>
      </c>
      <c r="I21" s="161" t="s">
        <v>262</v>
      </c>
      <c r="J21" s="11" t="str">
        <f t="shared" ref="J21:J23" si="5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1" t="str">
        <f t="shared" si="4"/>
        <v>Y</v>
      </c>
      <c r="L21" s="289" t="s">
        <v>176</v>
      </c>
      <c r="M21" s="290"/>
      <c r="N21" s="290"/>
      <c r="O21" s="290"/>
      <c r="P21" s="29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3</v>
      </c>
      <c r="T21" s="154">
        <f>IFERROR(VLOOKUP($F21,'parm(hidden)'!$B$8:$C$10,2,FALSE)*VLOOKUP($K21,$V$21:$W$26,2,FALSE),0)</f>
        <v>3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 customHeight="1">
      <c r="A22" s="174" t="str">
        <f>ChkList!A7</f>
        <v>계정관리</v>
      </c>
      <c r="B22" s="174" t="str">
        <f>ChkList!B7</f>
        <v>PC-03</v>
      </c>
      <c r="C22" s="286" t="str">
        <f>ChkList!C7</f>
        <v>복구 콘솔에서 자동 로그온을 금지하도록 설정</v>
      </c>
      <c r="D22" s="287"/>
      <c r="E22" s="288"/>
      <c r="F22" s="174" t="str">
        <f>ChkList!D7</f>
        <v>M</v>
      </c>
      <c r="G22" s="174">
        <f>ChkList!E7</f>
        <v>2</v>
      </c>
      <c r="H22" s="160" t="s">
        <v>32</v>
      </c>
      <c r="I22" s="161" t="s">
        <v>263</v>
      </c>
      <c r="J22" s="11" t="str">
        <f t="shared" si="5"/>
        <v>Y</v>
      </c>
      <c r="K22" s="11" t="str">
        <f>IF($J22="", "", IF(OR($H22="Y", $H22="N/A",$H22="Y(즉시조치)"), $H22, IF(AND($H22="N", $J22="Y"), "조치", IF(AND($H22="N",$J22="N/A"), "N/A", IF(IFERROR(FIND("위험수용", $L22), 0), "위험수용", "미조치")))))</f>
        <v>Y</v>
      </c>
      <c r="L22" s="289" t="s">
        <v>174</v>
      </c>
      <c r="M22" s="290"/>
      <c r="N22" s="290"/>
      <c r="O22" s="290"/>
      <c r="P22" s="29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74" t="str">
        <f>ChkList!A8</f>
        <v>서비스 관리</v>
      </c>
      <c r="B23" s="174" t="str">
        <f>ChkList!B8</f>
        <v>PC-04</v>
      </c>
      <c r="C23" s="286" t="str">
        <f>ChkList!C8</f>
        <v>공유 폴더 제거</v>
      </c>
      <c r="D23" s="287"/>
      <c r="E23" s="288"/>
      <c r="F23" s="174" t="str">
        <f>ChkList!D8</f>
        <v>H</v>
      </c>
      <c r="G23" s="174">
        <f>ChkList!E8</f>
        <v>3</v>
      </c>
      <c r="H23" s="160" t="s">
        <v>32</v>
      </c>
      <c r="I23" s="161" t="s">
        <v>264</v>
      </c>
      <c r="J23" s="11" t="str">
        <f t="shared" si="5"/>
        <v>Y</v>
      </c>
      <c r="K23" s="11" t="str">
        <f t="shared" si="4"/>
        <v>Y</v>
      </c>
      <c r="L23" s="289" t="s">
        <v>179</v>
      </c>
      <c r="M23" s="290"/>
      <c r="N23" s="290"/>
      <c r="O23" s="290"/>
      <c r="P23" s="29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3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36" customHeight="1">
      <c r="A24" s="174" t="str">
        <f>ChkList!A9</f>
        <v>서비스 관리</v>
      </c>
      <c r="B24" s="174" t="str">
        <f>ChkList!B9</f>
        <v>PC-05</v>
      </c>
      <c r="C24" s="286" t="str">
        <f>ChkList!C9</f>
        <v>항목의 불필요한 서비스 제거</v>
      </c>
      <c r="D24" s="287"/>
      <c r="E24" s="288"/>
      <c r="F24" s="174" t="str">
        <f>ChkList!D9</f>
        <v>H</v>
      </c>
      <c r="G24" s="174">
        <f>ChkList!E9</f>
        <v>3</v>
      </c>
      <c r="H24" s="160" t="s">
        <v>32</v>
      </c>
      <c r="I24" s="161" t="s">
        <v>265</v>
      </c>
      <c r="J24" s="11" t="s">
        <v>32</v>
      </c>
      <c r="K24" s="11" t="str">
        <f t="shared" si="4"/>
        <v>Y</v>
      </c>
      <c r="L24" s="289" t="s">
        <v>177</v>
      </c>
      <c r="M24" s="290"/>
      <c r="N24" s="290"/>
      <c r="O24" s="290"/>
      <c r="P24" s="29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3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 customHeight="1">
      <c r="A25" s="174" t="str">
        <f>ChkList!A10</f>
        <v>서비스 관리</v>
      </c>
      <c r="B25" s="174" t="str">
        <f>ChkList!B10</f>
        <v>PC-06</v>
      </c>
      <c r="C25" s="286" t="str">
        <f>ChkList!C10</f>
        <v>비인가 상용 메신저 사용 금지</v>
      </c>
      <c r="D25" s="287"/>
      <c r="E25" s="288"/>
      <c r="F25" s="174" t="str">
        <f>ChkList!D10</f>
        <v>H</v>
      </c>
      <c r="G25" s="174">
        <f>ChkList!E10</f>
        <v>3</v>
      </c>
      <c r="H25" s="160" t="s">
        <v>32</v>
      </c>
      <c r="I25" s="161" t="s">
        <v>266</v>
      </c>
      <c r="J25" s="11" t="s">
        <v>32</v>
      </c>
      <c r="K25" s="11" t="str">
        <f t="shared" si="4"/>
        <v>Y</v>
      </c>
      <c r="L25" s="289" t="s">
        <v>178</v>
      </c>
      <c r="M25" s="290"/>
      <c r="N25" s="290"/>
      <c r="O25" s="290"/>
      <c r="P25" s="29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36" customHeight="1">
      <c r="A26" s="174" t="str">
        <f>ChkList!A11</f>
        <v>서비스 관리</v>
      </c>
      <c r="B26" s="174" t="str">
        <f>ChkList!B11</f>
        <v>PC-07</v>
      </c>
      <c r="C26" s="286" t="str">
        <f>ChkList!C11</f>
        <v>파일 시스템이 NTFS 포맷으로 설정</v>
      </c>
      <c r="D26" s="287"/>
      <c r="E26" s="288"/>
      <c r="F26" s="174" t="str">
        <f>ChkList!D11</f>
        <v>M</v>
      </c>
      <c r="G26" s="174">
        <f>ChkList!E11</f>
        <v>2</v>
      </c>
      <c r="H26" s="160" t="s">
        <v>32</v>
      </c>
      <c r="I26" s="161" t="s">
        <v>267</v>
      </c>
      <c r="J26" s="11" t="s">
        <v>32</v>
      </c>
      <c r="K26" s="11" t="str">
        <f t="shared" si="4"/>
        <v>Y</v>
      </c>
      <c r="L26" s="289" t="s">
        <v>173</v>
      </c>
      <c r="M26" s="290"/>
      <c r="N26" s="290"/>
      <c r="O26" s="290"/>
      <c r="P26" s="29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2</v>
      </c>
      <c r="T26" s="154">
        <f>IFERROR(VLOOKUP($F26,'parm(hidden)'!$B$8:$C$10,2,FALSE)*VLOOKUP($K26,$V$21:$W$26,2,FALSE),0)</f>
        <v>2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 customHeight="1">
      <c r="A27" s="174" t="str">
        <f>ChkList!A12</f>
        <v>서비스 관리</v>
      </c>
      <c r="B27" s="174" t="str">
        <f>ChkList!B12</f>
        <v>PC-08</v>
      </c>
      <c r="C27" s="286" t="str">
        <f>ChkList!C12</f>
        <v>대상 시스템이 Windows 서버를 제외한 다른 OS로 멀티 부팅이 가능하지 않도록 설정</v>
      </c>
      <c r="D27" s="287"/>
      <c r="E27" s="288"/>
      <c r="F27" s="174" t="str">
        <f>ChkList!D12</f>
        <v>M</v>
      </c>
      <c r="G27" s="174">
        <f>ChkList!E12</f>
        <v>2</v>
      </c>
      <c r="H27" s="160" t="s">
        <v>32</v>
      </c>
      <c r="I27" s="161" t="s">
        <v>268</v>
      </c>
      <c r="J27" s="11" t="s">
        <v>32</v>
      </c>
      <c r="K27" s="11" t="str">
        <f t="shared" si="4"/>
        <v>Y</v>
      </c>
      <c r="L27" s="289" t="s">
        <v>181</v>
      </c>
      <c r="M27" s="290"/>
      <c r="N27" s="290"/>
      <c r="O27" s="290"/>
      <c r="P27" s="29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 customHeight="1">
      <c r="A28" s="174" t="str">
        <f>ChkList!A13</f>
        <v>서비스 관리</v>
      </c>
      <c r="B28" s="174" t="str">
        <f>ChkList!B13</f>
        <v>PC-09</v>
      </c>
      <c r="C28" s="286" t="str">
        <f>ChkList!C13</f>
        <v>브라우저 종료 시 임시 인터넷 파일 폴더의 내용을 삭제하도록 설정</v>
      </c>
      <c r="D28" s="287"/>
      <c r="E28" s="288"/>
      <c r="F28" s="174" t="str">
        <f>ChkList!D13</f>
        <v>L</v>
      </c>
      <c r="G28" s="174">
        <f>ChkList!E13</f>
        <v>1</v>
      </c>
      <c r="H28" s="160" t="s">
        <v>32</v>
      </c>
      <c r="I28" s="161" t="s">
        <v>269</v>
      </c>
      <c r="J28" s="11" t="s">
        <v>32</v>
      </c>
      <c r="K28" s="11" t="str">
        <f t="shared" si="4"/>
        <v>Y</v>
      </c>
      <c r="L28" s="289" t="s">
        <v>182</v>
      </c>
      <c r="M28" s="290"/>
      <c r="N28" s="290"/>
      <c r="O28" s="290"/>
      <c r="P28" s="29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 ht="36" customHeight="1">
      <c r="A29" s="174" t="str">
        <f>ChkList!A14</f>
        <v>패치 관리</v>
      </c>
      <c r="B29" s="174" t="str">
        <f>ChkList!B14</f>
        <v>PC-10</v>
      </c>
      <c r="C29" s="286" t="str">
        <f>ChkList!C14</f>
        <v>주기적 보안 패치 및 벤더 권고사항 적용</v>
      </c>
      <c r="D29" s="287"/>
      <c r="E29" s="288"/>
      <c r="F29" s="174" t="str">
        <f>ChkList!D14</f>
        <v>H</v>
      </c>
      <c r="G29" s="174">
        <f>ChkList!E14</f>
        <v>3</v>
      </c>
      <c r="H29" s="160" t="s">
        <v>32</v>
      </c>
      <c r="I29" s="161" t="s">
        <v>278</v>
      </c>
      <c r="J29" s="11" t="s">
        <v>32</v>
      </c>
      <c r="K29" s="11" t="str">
        <f t="shared" si="4"/>
        <v>Y</v>
      </c>
      <c r="L29" s="289" t="s">
        <v>173</v>
      </c>
      <c r="M29" s="290"/>
      <c r="N29" s="290"/>
      <c r="O29" s="290"/>
      <c r="P29" s="29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3</v>
      </c>
      <c r="T29" s="154">
        <f>IFERROR(VLOOKUP($F29,'parm(hidden)'!$B$8:$C$10,2,FALSE)*VLOOKUP($K29,$V$21:$W$26,2,FALSE),0)</f>
        <v>3</v>
      </c>
      <c r="U29" s="11">
        <f>IF($J29="N/A",0,VLOOKUP($F29,'parm(hidden)'!$B$8:$C$10,2,FALSE))*1</f>
        <v>3</v>
      </c>
      <c r="Y29" s="10"/>
    </row>
    <row r="30" spans="1:25" ht="36" customHeight="1">
      <c r="A30" s="174" t="str">
        <f>ChkList!A15</f>
        <v>패치 관리</v>
      </c>
      <c r="B30" s="174" t="str">
        <f>ChkList!B15</f>
        <v>PC-11</v>
      </c>
      <c r="C30" s="286" t="str">
        <f>ChkList!C15</f>
        <v>지원이 종료되지 않은 Windows OS Build 적용</v>
      </c>
      <c r="D30" s="287"/>
      <c r="E30" s="288"/>
      <c r="F30" s="174" t="str">
        <f>ChkList!D15</f>
        <v>H</v>
      </c>
      <c r="G30" s="174">
        <f>ChkList!E15</f>
        <v>3</v>
      </c>
      <c r="H30" s="160" t="s">
        <v>32</v>
      </c>
      <c r="I30" s="161" t="s">
        <v>278</v>
      </c>
      <c r="J30" s="11" t="s">
        <v>32</v>
      </c>
      <c r="K30" s="11" t="str">
        <f t="shared" si="4"/>
        <v>Y</v>
      </c>
      <c r="L30" s="289" t="s">
        <v>180</v>
      </c>
      <c r="M30" s="290"/>
      <c r="N30" s="290"/>
      <c r="O30" s="290"/>
      <c r="P30" s="29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3</v>
      </c>
      <c r="T30" s="154">
        <f>IFERROR(VLOOKUP($F30,'parm(hidden)'!$B$8:$C$10,2,FALSE)*VLOOKUP($K30,$V$21:$W$26,2,FALSE),0)</f>
        <v>3</v>
      </c>
      <c r="U30" s="11">
        <f>IF($J30="N/A",0,VLOOKUP($F30,'parm(hidden)'!$B$8:$C$10,2,FALSE))*1</f>
        <v>3</v>
      </c>
      <c r="Y30" s="10"/>
    </row>
    <row r="31" spans="1:25" ht="36" customHeight="1">
      <c r="A31" s="174" t="str">
        <f>ChkList!A16</f>
        <v>보안 관리</v>
      </c>
      <c r="B31" s="174" t="str">
        <f>ChkList!B16</f>
        <v>PC-12</v>
      </c>
      <c r="C31" s="286" t="str">
        <f>ChkList!C16</f>
        <v>Windows 자동 로그인 점검</v>
      </c>
      <c r="D31" s="287"/>
      <c r="E31" s="288"/>
      <c r="F31" s="174" t="str">
        <f>ChkList!D16</f>
        <v>M</v>
      </c>
      <c r="G31" s="174">
        <f>ChkList!E16</f>
        <v>2</v>
      </c>
      <c r="H31" s="160" t="s">
        <v>32</v>
      </c>
      <c r="I31" s="161" t="s">
        <v>271</v>
      </c>
      <c r="J31" s="11" t="s">
        <v>32</v>
      </c>
      <c r="K31" s="11" t="str">
        <f t="shared" si="4"/>
        <v>Y</v>
      </c>
      <c r="L31" s="289"/>
      <c r="M31" s="290"/>
      <c r="N31" s="290"/>
      <c r="O31" s="290"/>
      <c r="P31" s="29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2</v>
      </c>
      <c r="S31" s="154">
        <f>IFERROR(VLOOKUP($F31,'parm(hidden)'!$B$8:$C$10,2,FALSE)*VLOOKUP($H31,'parm(hidden)'!$B$15:$C$19,2,FALSE),0)</f>
        <v>2</v>
      </c>
      <c r="T31" s="154">
        <f>IFERROR(VLOOKUP($F31,'parm(hidden)'!$B$8:$C$10,2,FALSE)*VLOOKUP($K31,$V$21:$W$26,2,FALSE),0)</f>
        <v>2</v>
      </c>
      <c r="U31" s="11">
        <f>IF($J31="N/A",0,VLOOKUP($F31,'parm(hidden)'!$B$8:$C$10,2,FALSE))*1</f>
        <v>2</v>
      </c>
      <c r="Y31" s="10"/>
    </row>
    <row r="32" spans="1:25" ht="36" customHeight="1">
      <c r="A32" s="174" t="str">
        <f>ChkList!A17</f>
        <v>보안 관리</v>
      </c>
      <c r="B32" s="174" t="str">
        <f>ChkList!B17</f>
        <v>PC-13</v>
      </c>
      <c r="C32" s="286" t="str">
        <f>ChkList!C17</f>
        <v>바이러스 백신 프로그램 설치 및 주기적 업데이트</v>
      </c>
      <c r="D32" s="287"/>
      <c r="E32" s="288"/>
      <c r="F32" s="174" t="str">
        <f>ChkList!D17</f>
        <v>H</v>
      </c>
      <c r="G32" s="174">
        <f>ChkList!E17</f>
        <v>3</v>
      </c>
      <c r="H32" s="160" t="s">
        <v>32</v>
      </c>
      <c r="I32" s="161" t="s">
        <v>272</v>
      </c>
      <c r="J32" s="11" t="s">
        <v>32</v>
      </c>
      <c r="K32" s="11" t="str">
        <f t="shared" si="4"/>
        <v>Y</v>
      </c>
      <c r="L32" s="289" t="s">
        <v>188</v>
      </c>
      <c r="M32" s="290"/>
      <c r="N32" s="290"/>
      <c r="O32" s="290"/>
      <c r="P32" s="29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3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174" t="str">
        <f>ChkList!A18</f>
        <v>보안 관리</v>
      </c>
      <c r="B33" s="174" t="str">
        <f>ChkList!B18</f>
        <v>PC-14</v>
      </c>
      <c r="C33" s="286" t="str">
        <f>ChkList!C18</f>
        <v>바이러스 백신 프로그램에서 제공하는 실시간 감시 기능 활성화</v>
      </c>
      <c r="D33" s="287"/>
      <c r="E33" s="288"/>
      <c r="F33" s="174" t="str">
        <f>ChkList!D18</f>
        <v>H</v>
      </c>
      <c r="G33" s="174">
        <f>ChkList!E18</f>
        <v>3</v>
      </c>
      <c r="H33" s="160" t="s">
        <v>32</v>
      </c>
      <c r="I33" s="161" t="s">
        <v>273</v>
      </c>
      <c r="J33" s="11" t="s">
        <v>32</v>
      </c>
      <c r="K33" s="11" t="str">
        <f t="shared" si="4"/>
        <v>Y</v>
      </c>
      <c r="L33" s="289" t="s">
        <v>187</v>
      </c>
      <c r="M33" s="290"/>
      <c r="N33" s="290"/>
      <c r="O33" s="290"/>
      <c r="P33" s="29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3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 customHeight="1">
      <c r="A34" s="174" t="str">
        <f>ChkList!A19</f>
        <v>보안 관리</v>
      </c>
      <c r="B34" s="174" t="str">
        <f>ChkList!B19</f>
        <v>PC-15</v>
      </c>
      <c r="C34" s="286" t="str">
        <f>ChkList!C19</f>
        <v>OS에서 제공하는 침입차단 기능 활성화</v>
      </c>
      <c r="D34" s="287"/>
      <c r="E34" s="288"/>
      <c r="F34" s="174" t="str">
        <f>ChkList!D19</f>
        <v>H</v>
      </c>
      <c r="G34" s="174">
        <f>ChkList!E19</f>
        <v>3</v>
      </c>
      <c r="H34" s="160" t="s">
        <v>172</v>
      </c>
      <c r="I34" s="161" t="s">
        <v>274</v>
      </c>
      <c r="J34" s="11" t="s">
        <v>32</v>
      </c>
      <c r="K34" s="11" t="str">
        <f t="shared" si="4"/>
        <v>Y</v>
      </c>
      <c r="L34" s="289" t="s">
        <v>183</v>
      </c>
      <c r="M34" s="290"/>
      <c r="N34" s="290"/>
      <c r="O34" s="290"/>
      <c r="P34" s="29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174" t="str">
        <f>ChkList!A20</f>
        <v>보안 관리</v>
      </c>
      <c r="B35" s="174" t="str">
        <f>ChkList!B20</f>
        <v>PC-16</v>
      </c>
      <c r="C35" s="286" t="str">
        <f>ChkList!C20</f>
        <v>화면보호기 대기 시간 설정 및 재시작 시 암호 보호 설정</v>
      </c>
      <c r="D35" s="287"/>
      <c r="E35" s="288"/>
      <c r="F35" s="174" t="str">
        <f>ChkList!D20</f>
        <v>H</v>
      </c>
      <c r="G35" s="174">
        <f>ChkList!E20</f>
        <v>3</v>
      </c>
      <c r="H35" s="160" t="s">
        <v>32</v>
      </c>
      <c r="I35" s="161" t="s">
        <v>277</v>
      </c>
      <c r="J35" s="11" t="s">
        <v>32</v>
      </c>
      <c r="K35" s="11" t="str">
        <f t="shared" si="4"/>
        <v>Y</v>
      </c>
      <c r="L35" s="289" t="s">
        <v>184</v>
      </c>
      <c r="M35" s="290"/>
      <c r="N35" s="290"/>
      <c r="O35" s="290"/>
      <c r="P35" s="29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3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174" t="str">
        <f>ChkList!A21</f>
        <v>보안 관리</v>
      </c>
      <c r="B36" s="174" t="str">
        <f>ChkList!B21</f>
        <v>PC-17</v>
      </c>
      <c r="C36" s="286" t="str">
        <f>ChkList!C21</f>
        <v>CD, DVD, USB 메모리 등과 같은 미디어의 자동 실행 방지 등 이동식 미디어에 대한 보안대책 수립</v>
      </c>
      <c r="D36" s="287"/>
      <c r="E36" s="288"/>
      <c r="F36" s="174" t="str">
        <f>ChkList!D21</f>
        <v>H</v>
      </c>
      <c r="G36" s="174">
        <f>ChkList!E21</f>
        <v>3</v>
      </c>
      <c r="H36" s="160" t="s">
        <v>32</v>
      </c>
      <c r="I36" s="161" t="s">
        <v>275</v>
      </c>
      <c r="J36" s="11" t="s">
        <v>32</v>
      </c>
      <c r="K36" s="11" t="str">
        <f t="shared" si="4"/>
        <v>Y</v>
      </c>
      <c r="L36" s="289" t="s">
        <v>185</v>
      </c>
      <c r="M36" s="290"/>
      <c r="N36" s="290"/>
      <c r="O36" s="290"/>
      <c r="P36" s="29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 customHeight="1">
      <c r="A37" s="174" t="str">
        <f>ChkList!A22</f>
        <v>보안 관리</v>
      </c>
      <c r="B37" s="174" t="str">
        <f>ChkList!B22</f>
        <v>PC-18</v>
      </c>
      <c r="C37" s="286" t="str">
        <f>ChkList!C22</f>
        <v>원격 지원을 금지하도록 정책이 설정</v>
      </c>
      <c r="D37" s="287"/>
      <c r="E37" s="288"/>
      <c r="F37" s="174" t="str">
        <f>ChkList!D22</f>
        <v>M</v>
      </c>
      <c r="G37" s="174">
        <f>ChkList!E22</f>
        <v>2</v>
      </c>
      <c r="H37" s="160" t="s">
        <v>32</v>
      </c>
      <c r="I37" s="161" t="s">
        <v>276</v>
      </c>
      <c r="J37" s="11" t="s">
        <v>32</v>
      </c>
      <c r="K37" s="11" t="str">
        <f t="shared" si="4"/>
        <v>Y</v>
      </c>
      <c r="L37" s="289" t="s">
        <v>186</v>
      </c>
      <c r="M37" s="290"/>
      <c r="N37" s="290"/>
      <c r="O37" s="290"/>
      <c r="P37" s="29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</sheetData>
  <mergeCells count="70"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20:E20"/>
    <mergeCell ref="L20:P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A19:B19"/>
    <mergeCell ref="C19:E19"/>
    <mergeCell ref="F19:G19"/>
    <mergeCell ref="L19:P19"/>
    <mergeCell ref="V19:W19"/>
    <mergeCell ref="V10:Y10"/>
    <mergeCell ref="V11:W11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R10:U10"/>
    <mergeCell ref="A10:C11"/>
    <mergeCell ref="D10:H10"/>
    <mergeCell ref="T4:T6"/>
    <mergeCell ref="U4:U6"/>
    <mergeCell ref="B5:C5"/>
    <mergeCell ref="D5:E5"/>
    <mergeCell ref="F5:G5"/>
    <mergeCell ref="B6:C6"/>
    <mergeCell ref="D6:E6"/>
    <mergeCell ref="F6:G6"/>
    <mergeCell ref="I10:I11"/>
    <mergeCell ref="J10:O10"/>
    <mergeCell ref="B4:C4"/>
    <mergeCell ref="D4:E4"/>
    <mergeCell ref="F4:G4"/>
  </mergeCells>
  <phoneticPr fontId="3" type="noConversion"/>
  <conditionalFormatting sqref="H20:H37">
    <cfRule type="cellIs" priority="1" operator="equal">
      <formula>"양호"</formula>
    </cfRule>
    <cfRule type="cellIs" dxfId="21" priority="2" operator="equal">
      <formula>"취약"</formula>
    </cfRule>
  </conditionalFormatting>
  <conditionalFormatting sqref="J20:K37">
    <cfRule type="cellIs" dxfId="20" priority="26" stopIfTrue="1" operator="equal">
      <formula>"인터뷰"</formula>
    </cfRule>
    <cfRule type="cellIs" dxfId="19" priority="27" stopIfTrue="1" operator="equal">
      <formula>"R/A"</formula>
    </cfRule>
    <cfRule type="cellIs" dxfId="18" priority="28" stopIfTrue="1" operator="equal">
      <formula>"N/A"</formula>
    </cfRule>
    <cfRule type="cellIs" dxfId="17" priority="29" stopIfTrue="1" operator="equal">
      <formula>"N"</formula>
    </cfRule>
    <cfRule type="expression" dxfId="16" priority="30">
      <formula>OR(IF(J20=0,1,0),IF(J20="-",1,0))</formula>
    </cfRule>
  </conditionalFormatting>
  <conditionalFormatting sqref="K20:K37">
    <cfRule type="cellIs" dxfId="15" priority="23" operator="equal">
      <formula>"위험수용"</formula>
    </cfRule>
    <cfRule type="cellIs" dxfId="14" priority="24" operator="equal">
      <formula>"미조치"</formula>
    </cfRule>
    <cfRule type="cellIs" dxfId="13" priority="25" operator="equal">
      <formula>"조치"</formula>
    </cfRule>
  </conditionalFormatting>
  <conditionalFormatting sqref="L20:L37">
    <cfRule type="cellIs" dxfId="12" priority="13" stopIfTrue="1" operator="equal">
      <formula>"인터뷰"</formula>
    </cfRule>
    <cfRule type="cellIs" dxfId="11" priority="14" stopIfTrue="1" operator="equal">
      <formula>"R/A"</formula>
    </cfRule>
    <cfRule type="cellIs" dxfId="10" priority="15" stopIfTrue="1" operator="equal">
      <formula>"N/A"</formula>
    </cfRule>
    <cfRule type="cellIs" dxfId="9" priority="16" stopIfTrue="1" operator="equal">
      <formula>"N"</formula>
    </cfRule>
    <cfRule type="expression" dxfId="8" priority="17">
      <formula>OR(IF(L20=0,1,0),IF(L20="-",1,0))</formula>
    </cfRule>
  </conditionalFormatting>
  <conditionalFormatting sqref="Y20:Y37">
    <cfRule type="cellIs" dxfId="7" priority="36" operator="equal">
      <formula>"신규 취약점(즉시조치)"</formula>
    </cfRule>
    <cfRule type="cellIs" dxfId="6" priority="37" operator="equal">
      <formula>"기존 취약점(즉시조치)"</formula>
    </cfRule>
    <cfRule type="cellIs" dxfId="5" priority="38" operator="equal">
      <formula>"기존 취약점"</formula>
    </cfRule>
    <cfRule type="cellIs" dxfId="4" priority="39" operator="equal">
      <formula>"신규 취약점"</formula>
    </cfRule>
    <cfRule type="cellIs" dxfId="3" priority="40" operator="equal">
      <formula>"확인필요"</formula>
    </cfRule>
    <cfRule type="cellIs" dxfId="2" priority="41" operator="equal">
      <formula>"확인필요"</formula>
    </cfRule>
    <cfRule type="cellIs" dxfId="1" priority="42" operator="equal">
      <formula>"신규취약점"</formula>
    </cfRule>
    <cfRule type="cellIs" dxfId="0" priority="43" operator="equal">
      <formula>"조치완료"</formula>
    </cfRule>
  </conditionalFormatting>
  <dataValidations count="4">
    <dataValidation errorStyle="warning" allowBlank="1" showInputMessage="1" showErrorMessage="1" sqref="K20:K37"/>
    <dataValidation type="list" errorStyle="warning" showInputMessage="1" showErrorMessage="1" errorTitle="오류!" error="Y, N, N/A 중에 선택" sqref="J20:J37">
      <formula1>"Y,N,N/A,인터뷰,Y(즉시조치)"</formula1>
    </dataValidation>
    <dataValidation type="list" errorStyle="warning" allowBlank="1" showInputMessage="1" showErrorMessage="1" errorTitle="오류!" error="Y, N, N/A 중에 선택" sqref="H20:H37">
      <formula1>"Y,N,N/A,인터뷰,Y(즉시조치)"</formula1>
    </dataValidation>
    <dataValidation allowBlank="1" showInputMessage="1" showErrorMessage="1" errorTitle="오류!" error="Y, N, N/A 중에 선택" sqref="L20:L37 I20:I37"/>
  </dataValidations>
  <printOptions horizontalCentered="1"/>
  <pageMargins left="0.39370078740157483" right="0.39370078740157483" top="0.59055118110236227" bottom="0.59055118110236227" header="0.39370078740157483" footer="0.39370078740157483"/>
  <pageSetup paperSize="0" fitToHeight="0" orientation="portrait" horizontalDpi="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10</vt:i4>
      </vt:variant>
    </vt:vector>
  </HeadingPairs>
  <TitlesOfParts>
    <vt:vector size="19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HQ_DEV01</vt:lpstr>
      <vt:lpstr>ChkList!Print_Area</vt:lpstr>
      <vt:lpstr>HQ_DEV01!Print_Area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2005-07-28T00:20:00Z</dcterms:created>
  <dcterms:modified xsi:type="dcterms:W3CDTF">2026-07-03T02:26:50Z</dcterms:modified>
</cp:coreProperties>
</file>
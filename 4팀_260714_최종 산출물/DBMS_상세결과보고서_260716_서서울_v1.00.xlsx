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secure_0900\final_project\0.산출물\5.상세보고서\"/>
    </mc:Choice>
  </mc:AlternateContent>
  <bookViews>
    <workbookView xWindow="-90" yWindow="0" windowWidth="12975" windowHeight="15375" tabRatio="852"/>
  </bookViews>
  <sheets>
    <sheet name="표지" sheetId="222" r:id="rId1"/>
    <sheet name="자산목록" sheetId="83" r:id="rId2"/>
    <sheet name="parm(hidden)" sheetId="200" state="hidden" r:id="rId3"/>
    <sheet name="ChkList" sheetId="87" r:id="rId4"/>
    <sheet name="취약점 진단 통계" sheetId="45" r:id="rId5"/>
    <sheet name="취약점 진단 항목별 통계" sheetId="81" r:id="rId6"/>
    <sheet name="취약점 진단 통계 (이행)" sheetId="205" r:id="rId7"/>
    <sheet name="취약점 진단 항목별 통계 (이행)" sheetId="204" r:id="rId8"/>
    <sheet name="DB_HQ_Rocky" sheetId="212" r:id="rId9"/>
    <sheet name="DB_BR_Rocky" sheetId="223" r:id="rId10"/>
    <sheet name="BDB_HQ_Rocky" sheetId="225" r:id="rId11"/>
    <sheet name="BDB_BR_Rocky" sheetId="224" r:id="rId12"/>
  </sheets>
  <externalReferences>
    <externalReference r:id="rId13"/>
  </externalReferences>
  <definedNames>
    <definedName name="_10월_변동내역_메모_확인" localSheetId="10">#REF!</definedName>
    <definedName name="_10월_변동내역_메모_확인" localSheetId="9">#REF!</definedName>
    <definedName name="_10월_변동내역_메모_확인">#REF!</definedName>
    <definedName name="_xlnm._FilterDatabase" localSheetId="11" hidden="1">BDB_BR_Rocky!$A$20:$X$44</definedName>
    <definedName name="_xlnm._FilterDatabase" localSheetId="10" hidden="1">BDB_HQ_Rocky!$A$20:$X$44</definedName>
    <definedName name="_xlnm._FilterDatabase" localSheetId="3" hidden="1">ChkList!$A$4:$F$28</definedName>
    <definedName name="_xlnm._FilterDatabase" localSheetId="9" hidden="1">DB_BR_Rocky!$A$20:$X$44</definedName>
    <definedName name="_xlnm._FilterDatabase" localSheetId="8" hidden="1">DB_HQ_Rocky!$A$20:$X$44</definedName>
    <definedName name="_xlnm._FilterDatabase" localSheetId="5" hidden="1">'취약점 진단 항목별 통계'!$F$4:$J$28</definedName>
    <definedName name="_xlnm._FilterDatabase" localSheetId="7" hidden="1">'취약점 진단 항목별 통계 (이행)'!$F$4:$J$31</definedName>
    <definedName name="_Order1">255</definedName>
    <definedName name="_Order2">255</definedName>
    <definedName name="asd" localSheetId="10">#REF!</definedName>
    <definedName name="asd" localSheetId="9">#REF!</definedName>
    <definedName name="asd">#REF!</definedName>
    <definedName name="HTML_CodePage">949</definedName>
    <definedName name="HTML_Control">{"'손익현황'!$A$1:$J$29"}</definedName>
    <definedName name="HTML_Description">""</definedName>
    <definedName name="HTML_Email">""</definedName>
    <definedName name="HTML_Header">"손익현황"</definedName>
    <definedName name="HTML_LastUpdate">"99-04-13"</definedName>
    <definedName name="HTML_LineAfter">FALSE</definedName>
    <definedName name="HTML_LineBefore">FALSE</definedName>
    <definedName name="HTML_Name">"윤찬영"</definedName>
    <definedName name="HTML_OBDlg2">TRUE</definedName>
    <definedName name="HTML_OBDlg4">TRUE</definedName>
    <definedName name="HTML_OS">0</definedName>
    <definedName name="HTML_PathFile">"C:\d7100\MyHTML.htm"</definedName>
    <definedName name="HTML_Title">"결산요약보고3월"</definedName>
    <definedName name="MPLS" localSheetId="10">#REF!</definedName>
    <definedName name="MPLS" localSheetId="9">#REF!</definedName>
    <definedName name="MPLS">#REF!</definedName>
    <definedName name="MPLS2" localSheetId="10">#REF!</definedName>
    <definedName name="MPLS2" localSheetId="9">#REF!</definedName>
    <definedName name="MPLS2">#REF!</definedName>
    <definedName name="MPLSLine" localSheetId="10">#REF!</definedName>
    <definedName name="MPLSLine" localSheetId="9">#REF!</definedName>
    <definedName name="MPLSLine">#REF!</definedName>
    <definedName name="N_A" localSheetId="10">#REF!</definedName>
    <definedName name="N_A" localSheetId="9">#REF!</definedName>
    <definedName name="N_A">#REF!</definedName>
    <definedName name="O" localSheetId="10">#REF!</definedName>
    <definedName name="O" localSheetId="9">#REF!</definedName>
    <definedName name="O">#REF!</definedName>
    <definedName name="P" localSheetId="10">#REF!</definedName>
    <definedName name="P" localSheetId="9">#REF!</definedName>
    <definedName name="P">#REF!</definedName>
    <definedName name="PC">[1]목록!$T$7:$T$9</definedName>
    <definedName name="_xlnm.Print_Area" localSheetId="11">BDB_BR_Rocky!$A$1:$Q$46</definedName>
    <definedName name="_xlnm.Print_Area" localSheetId="10">BDB_HQ_Rocky!$A$1:$Q$46</definedName>
    <definedName name="_xlnm.Print_Area" localSheetId="3">ChkList!$A$1:$E$30</definedName>
    <definedName name="_xlnm.Print_Area" localSheetId="9">DB_BR_Rocky!$A$1:$Q$46</definedName>
    <definedName name="_xlnm.Print_Area" localSheetId="8">DB_HQ_Rocky!$A$1:$Q$46</definedName>
    <definedName name="_xlnm.Print_Area" localSheetId="4">'취약점 진단 통계'!$A$1:$L$46</definedName>
    <definedName name="_xlnm.Print_Area" localSheetId="6">'취약점 진단 통계 (이행)'!$A$1:$U$46</definedName>
    <definedName name="_xlnm.Print_Area" localSheetId="5">'취약점 진단 항목별 통계'!$A$1:$P$31</definedName>
    <definedName name="_xlnm.Print_Area" localSheetId="7">'취약점 진단 항목별 통계 (이행)'!$A$1:$V$31</definedName>
    <definedName name="_xlnm.Print_Area" localSheetId="0">표지!$A$1:$K$14</definedName>
    <definedName name="_xlnm.Print_Titles" localSheetId="5">'취약점 진단 항목별 통계'!$A:$L</definedName>
    <definedName name="_xlnm.Print_Titles" localSheetId="7">'취약점 진단 항목별 통계 (이행)'!$A:$Q</definedName>
    <definedName name="X" localSheetId="10">#REF!</definedName>
    <definedName name="X" localSheetId="9">#REF!</definedName>
    <definedName name="X">#REF!</definedName>
    <definedName name="건물">{"'손익현황'!$A$1:$J$29"}</definedName>
    <definedName name="건물임.">{"'손익현황'!$A$1:$J$29"}</definedName>
    <definedName name="공">{"'손익현황'!$A$1:$J$29"}</definedName>
    <definedName name="공구">{"'손익현황'!$A$1:$J$29"}</definedName>
    <definedName name="공구기구">{"'손익현황'!$A$1:$J$29"}</definedName>
    <definedName name="구">{"'손익현황'!$A$1:$J$29"}</definedName>
    <definedName name="구축물">{"'손익현황'!$A$1:$J$29"}</definedName>
    <definedName name="구축물임">{"'손익현황'!$A$1:$J$29"}</definedName>
    <definedName name="기계장치">{"'손익현황'!$A$1:$J$29"}</definedName>
    <definedName name="기술2팀" localSheetId="10">#REF!</definedName>
    <definedName name="기술2팀" localSheetId="9">#REF!</definedName>
    <definedName name="기술2팀">#REF!</definedName>
    <definedName name="기준반영" localSheetId="10">#REF!</definedName>
    <definedName name="기준반영" localSheetId="9">#REF!</definedName>
    <definedName name="기준반영">#REF!</definedName>
    <definedName name="네트워크">[1]목록!$R$7:$R$9</definedName>
    <definedName name="담당자">[1]목록!$A$36:$A$66</definedName>
    <definedName name="동의여부" localSheetId="10">#REF!</definedName>
    <definedName name="동의여부" localSheetId="9">#REF!</definedName>
    <definedName name="동의여부">#REF!</definedName>
    <definedName name="보안시스템">[1]목록!$S$7:$S$10</definedName>
    <definedName name="ㅅㅅㅅ">{"'손익현황'!$A$1:$J$29"}</definedName>
    <definedName name="서버">[1]목록!$Q$7:$Q$8</definedName>
    <definedName name="적정성" localSheetId="10">#REF!</definedName>
    <definedName name="적정성" localSheetId="9">#REF!</definedName>
    <definedName name="적정성">#REF!</definedName>
    <definedName name="종류">[1]목록!$P$7:$P$10</definedName>
    <definedName name="차량운반구">{"'손익현황'!$A$1:$J$29"}</definedName>
    <definedName name="훈">255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204" l="1"/>
  <c r="D30" i="204"/>
  <c r="C30" i="204"/>
  <c r="B30" i="204"/>
  <c r="A30" i="204"/>
  <c r="E29" i="204"/>
  <c r="D29" i="204"/>
  <c r="C29" i="204"/>
  <c r="B29" i="204"/>
  <c r="A29" i="204"/>
  <c r="E28" i="204"/>
  <c r="D28" i="204"/>
  <c r="C28" i="204"/>
  <c r="B28" i="204"/>
  <c r="A28" i="204"/>
  <c r="E27" i="204"/>
  <c r="D27" i="204"/>
  <c r="C27" i="204"/>
  <c r="B27" i="204"/>
  <c r="A27" i="204"/>
  <c r="E26" i="204"/>
  <c r="D26" i="204"/>
  <c r="C26" i="204"/>
  <c r="B26" i="204"/>
  <c r="A26" i="204"/>
  <c r="E25" i="204"/>
  <c r="D25" i="204"/>
  <c r="C25" i="204"/>
  <c r="B25" i="204"/>
  <c r="A25" i="204"/>
  <c r="E24" i="204"/>
  <c r="D24" i="204"/>
  <c r="C24" i="204"/>
  <c r="B24" i="204"/>
  <c r="A24" i="204"/>
  <c r="E23" i="204"/>
  <c r="D23" i="204"/>
  <c r="C23" i="204"/>
  <c r="B23" i="204"/>
  <c r="A23" i="204"/>
  <c r="E22" i="204"/>
  <c r="D22" i="204"/>
  <c r="C22" i="204"/>
  <c r="B22" i="204"/>
  <c r="A22" i="204"/>
  <c r="E21" i="204"/>
  <c r="D21" i="204"/>
  <c r="C21" i="204"/>
  <c r="B21" i="204"/>
  <c r="A21" i="204"/>
  <c r="E20" i="204"/>
  <c r="D20" i="204"/>
  <c r="C20" i="204"/>
  <c r="B20" i="204"/>
  <c r="A20" i="204"/>
  <c r="E19" i="204"/>
  <c r="D19" i="204"/>
  <c r="C19" i="204"/>
  <c r="B19" i="204"/>
  <c r="A19" i="204"/>
  <c r="E18" i="204"/>
  <c r="D18" i="204"/>
  <c r="C18" i="204"/>
  <c r="B18" i="204"/>
  <c r="A18" i="204"/>
  <c r="E17" i="204"/>
  <c r="D17" i="204"/>
  <c r="C17" i="204"/>
  <c r="B17" i="204"/>
  <c r="A17" i="204"/>
  <c r="E16" i="204"/>
  <c r="D16" i="204"/>
  <c r="C16" i="204"/>
  <c r="B16" i="204"/>
  <c r="A16" i="204"/>
  <c r="E15" i="204"/>
  <c r="D15" i="204"/>
  <c r="C15" i="204"/>
  <c r="B15" i="204"/>
  <c r="A15" i="204"/>
  <c r="E14" i="204"/>
  <c r="D14" i="204"/>
  <c r="C14" i="204"/>
  <c r="B14" i="204"/>
  <c r="A14" i="204"/>
  <c r="E13" i="204"/>
  <c r="D13" i="204"/>
  <c r="C13" i="204"/>
  <c r="B13" i="204"/>
  <c r="A13" i="204"/>
  <c r="E12" i="204"/>
  <c r="D12" i="204"/>
  <c r="C12" i="204"/>
  <c r="B12" i="204"/>
  <c r="A12" i="204"/>
  <c r="E11" i="204"/>
  <c r="D11" i="204"/>
  <c r="C11" i="204"/>
  <c r="B11" i="204"/>
  <c r="A11" i="204"/>
  <c r="E10" i="204"/>
  <c r="D10" i="204"/>
  <c r="C10" i="204"/>
  <c r="B10" i="204"/>
  <c r="A10" i="204"/>
  <c r="E9" i="204"/>
  <c r="D9" i="204"/>
  <c r="C9" i="204"/>
  <c r="B9" i="204"/>
  <c r="A9" i="204"/>
  <c r="E8" i="204"/>
  <c r="D8" i="204"/>
  <c r="C8" i="204"/>
  <c r="B8" i="204"/>
  <c r="A8" i="204"/>
  <c r="E7" i="204"/>
  <c r="D7" i="204"/>
  <c r="C7" i="204"/>
  <c r="B7" i="204"/>
  <c r="A7" i="204"/>
  <c r="E6" i="204"/>
  <c r="D6" i="204"/>
  <c r="C6" i="204"/>
  <c r="B6" i="204"/>
  <c r="A6" i="204"/>
  <c r="A6" i="81"/>
  <c r="B6" i="81"/>
  <c r="C6" i="81"/>
  <c r="D6" i="81"/>
  <c r="E6" i="81" s="1"/>
  <c r="A7" i="81"/>
  <c r="B7" i="81"/>
  <c r="C7" i="81"/>
  <c r="D7" i="81"/>
  <c r="E7" i="81" s="1"/>
  <c r="A8" i="81"/>
  <c r="B8" i="81"/>
  <c r="C8" i="81"/>
  <c r="D8" i="81"/>
  <c r="E8" i="81" s="1"/>
  <c r="A9" i="81"/>
  <c r="B9" i="81"/>
  <c r="C9" i="81"/>
  <c r="D9" i="81"/>
  <c r="E9" i="81"/>
  <c r="A10" i="81"/>
  <c r="B10" i="81"/>
  <c r="C10" i="81"/>
  <c r="D10" i="81"/>
  <c r="E10" i="81"/>
  <c r="A11" i="81"/>
  <c r="B11" i="81"/>
  <c r="C11" i="81"/>
  <c r="D11" i="81"/>
  <c r="E11" i="81" s="1"/>
  <c r="A12" i="81"/>
  <c r="B12" i="81"/>
  <c r="C12" i="81"/>
  <c r="D12" i="81"/>
  <c r="E12" i="81" s="1"/>
  <c r="A13" i="81"/>
  <c r="B13" i="81"/>
  <c r="C13" i="81"/>
  <c r="D13" i="81"/>
  <c r="E13" i="81"/>
  <c r="A14" i="81"/>
  <c r="B14" i="81"/>
  <c r="C14" i="81"/>
  <c r="D14" i="81"/>
  <c r="E14" i="81"/>
  <c r="A15" i="81"/>
  <c r="B15" i="81"/>
  <c r="C15" i="81"/>
  <c r="D15" i="81"/>
  <c r="E15" i="81"/>
  <c r="A16" i="81"/>
  <c r="B16" i="81"/>
  <c r="C16" i="81"/>
  <c r="D16" i="81"/>
  <c r="E16" i="81" s="1"/>
  <c r="A17" i="81"/>
  <c r="B17" i="81"/>
  <c r="C17" i="81"/>
  <c r="D17" i="81"/>
  <c r="E17" i="81" s="1"/>
  <c r="A18" i="81"/>
  <c r="B18" i="81"/>
  <c r="C18" i="81"/>
  <c r="D18" i="81"/>
  <c r="E18" i="81" s="1"/>
  <c r="A19" i="81"/>
  <c r="B19" i="81"/>
  <c r="C19" i="81"/>
  <c r="D19" i="81"/>
  <c r="E19" i="81"/>
  <c r="A20" i="81"/>
  <c r="B20" i="81"/>
  <c r="C20" i="81"/>
  <c r="D20" i="81"/>
  <c r="E20" i="81" s="1"/>
  <c r="A21" i="81"/>
  <c r="B21" i="81"/>
  <c r="C21" i="81"/>
  <c r="D21" i="81"/>
  <c r="E21" i="81"/>
  <c r="A22" i="81"/>
  <c r="B22" i="81"/>
  <c r="C22" i="81"/>
  <c r="D22" i="81"/>
  <c r="E22" i="81"/>
  <c r="A23" i="81"/>
  <c r="B23" i="81"/>
  <c r="C23" i="81"/>
  <c r="D23" i="81"/>
  <c r="E23" i="81" s="1"/>
  <c r="A24" i="81"/>
  <c r="B24" i="81"/>
  <c r="C24" i="81"/>
  <c r="D24" i="81"/>
  <c r="E24" i="81" s="1"/>
  <c r="A25" i="81"/>
  <c r="B25" i="81"/>
  <c r="C25" i="81"/>
  <c r="D25" i="81"/>
  <c r="E25" i="81" s="1"/>
  <c r="A26" i="81"/>
  <c r="B26" i="81"/>
  <c r="C26" i="81"/>
  <c r="D26" i="81"/>
  <c r="E26" i="81"/>
  <c r="A27" i="81"/>
  <c r="B27" i="81"/>
  <c r="C27" i="81"/>
  <c r="D27" i="81"/>
  <c r="E27" i="81" s="1"/>
  <c r="A28" i="81"/>
  <c r="B28" i="81"/>
  <c r="C28" i="81"/>
  <c r="D28" i="81"/>
  <c r="E28" i="81" s="1"/>
  <c r="A29" i="81"/>
  <c r="B29" i="81"/>
  <c r="C29" i="81"/>
  <c r="D29" i="81"/>
  <c r="E29" i="81"/>
  <c r="A30" i="81"/>
  <c r="B30" i="81"/>
  <c r="C30" i="81"/>
  <c r="D30" i="81"/>
  <c r="E30" i="81"/>
  <c r="G46" i="224"/>
  <c r="F46" i="224"/>
  <c r="C46" i="224"/>
  <c r="B46" i="224"/>
  <c r="A46" i="224"/>
  <c r="G45" i="224"/>
  <c r="F45" i="224"/>
  <c r="C45" i="224"/>
  <c r="B45" i="224"/>
  <c r="A45" i="224"/>
  <c r="G44" i="224"/>
  <c r="F44" i="224"/>
  <c r="C44" i="224"/>
  <c r="B44" i="224"/>
  <c r="A44" i="224"/>
  <c r="G43" i="224"/>
  <c r="F43" i="224"/>
  <c r="C43" i="224"/>
  <c r="B43" i="224"/>
  <c r="A43" i="224"/>
  <c r="G42" i="224"/>
  <c r="F42" i="224"/>
  <c r="C42" i="224"/>
  <c r="B42" i="224"/>
  <c r="A42" i="224"/>
  <c r="G41" i="224"/>
  <c r="F41" i="224"/>
  <c r="C41" i="224"/>
  <c r="B41" i="224"/>
  <c r="A41" i="224"/>
  <c r="G40" i="224"/>
  <c r="F40" i="224"/>
  <c r="C40" i="224"/>
  <c r="B40" i="224"/>
  <c r="A40" i="224"/>
  <c r="G39" i="224"/>
  <c r="F39" i="224"/>
  <c r="C39" i="224"/>
  <c r="B39" i="224"/>
  <c r="A39" i="224"/>
  <c r="G38" i="224"/>
  <c r="F38" i="224"/>
  <c r="C38" i="224"/>
  <c r="B38" i="224"/>
  <c r="A38" i="224"/>
  <c r="G37" i="224"/>
  <c r="F37" i="224"/>
  <c r="C37" i="224"/>
  <c r="B37" i="224"/>
  <c r="A37" i="224"/>
  <c r="G36" i="224"/>
  <c r="F36" i="224"/>
  <c r="C36" i="224"/>
  <c r="B36" i="224"/>
  <c r="A36" i="224"/>
  <c r="G35" i="224"/>
  <c r="F35" i="224"/>
  <c r="C35" i="224"/>
  <c r="B35" i="224"/>
  <c r="A35" i="224"/>
  <c r="G34" i="224"/>
  <c r="F34" i="224"/>
  <c r="C34" i="224"/>
  <c r="B34" i="224"/>
  <c r="A34" i="224"/>
  <c r="G33" i="224"/>
  <c r="F33" i="224"/>
  <c r="C33" i="224"/>
  <c r="B33" i="224"/>
  <c r="A33" i="224"/>
  <c r="G32" i="224"/>
  <c r="F32" i="224"/>
  <c r="C32" i="224"/>
  <c r="B32" i="224"/>
  <c r="A32" i="224"/>
  <c r="G31" i="224"/>
  <c r="F31" i="224"/>
  <c r="C31" i="224"/>
  <c r="B31" i="224"/>
  <c r="A31" i="224"/>
  <c r="G30" i="224"/>
  <c r="F30" i="224"/>
  <c r="C30" i="224"/>
  <c r="B30" i="224"/>
  <c r="A30" i="224"/>
  <c r="G29" i="224"/>
  <c r="F29" i="224"/>
  <c r="C29" i="224"/>
  <c r="B29" i="224"/>
  <c r="A29" i="224"/>
  <c r="G28" i="224"/>
  <c r="F28" i="224"/>
  <c r="C28" i="224"/>
  <c r="B28" i="224"/>
  <c r="A28" i="224"/>
  <c r="G27" i="224"/>
  <c r="F27" i="224"/>
  <c r="C27" i="224"/>
  <c r="B27" i="224"/>
  <c r="A27" i="224"/>
  <c r="G26" i="224"/>
  <c r="F26" i="224"/>
  <c r="C26" i="224"/>
  <c r="B26" i="224"/>
  <c r="A26" i="224"/>
  <c r="G25" i="224"/>
  <c r="F25" i="224"/>
  <c r="C25" i="224"/>
  <c r="B25" i="224"/>
  <c r="A25" i="224"/>
  <c r="G24" i="224"/>
  <c r="F24" i="224"/>
  <c r="C24" i="224"/>
  <c r="B24" i="224"/>
  <c r="A24" i="224"/>
  <c r="G23" i="224"/>
  <c r="F23" i="224"/>
  <c r="C23" i="224"/>
  <c r="B23" i="224"/>
  <c r="A23" i="224"/>
  <c r="G22" i="224"/>
  <c r="F22" i="224"/>
  <c r="C22" i="224"/>
  <c r="B22" i="224"/>
  <c r="A22" i="224"/>
  <c r="G21" i="224"/>
  <c r="F21" i="224"/>
  <c r="C21" i="224"/>
  <c r="B21" i="224"/>
  <c r="A21" i="224"/>
  <c r="G46" i="225"/>
  <c r="F46" i="225"/>
  <c r="C46" i="225"/>
  <c r="B46" i="225"/>
  <c r="A46" i="225"/>
  <c r="G45" i="225"/>
  <c r="F45" i="225"/>
  <c r="C45" i="225"/>
  <c r="B45" i="225"/>
  <c r="A45" i="225"/>
  <c r="G44" i="225"/>
  <c r="F44" i="225"/>
  <c r="C44" i="225"/>
  <c r="B44" i="225"/>
  <c r="A44" i="225"/>
  <c r="G43" i="225"/>
  <c r="F43" i="225"/>
  <c r="C43" i="225"/>
  <c r="B43" i="225"/>
  <c r="A43" i="225"/>
  <c r="G42" i="225"/>
  <c r="F42" i="225"/>
  <c r="C42" i="225"/>
  <c r="B42" i="225"/>
  <c r="A42" i="225"/>
  <c r="G41" i="225"/>
  <c r="F41" i="225"/>
  <c r="C41" i="225"/>
  <c r="B41" i="225"/>
  <c r="A41" i="225"/>
  <c r="G40" i="225"/>
  <c r="F40" i="225"/>
  <c r="C40" i="225"/>
  <c r="B40" i="225"/>
  <c r="A40" i="225"/>
  <c r="G39" i="225"/>
  <c r="F39" i="225"/>
  <c r="C39" i="225"/>
  <c r="B39" i="225"/>
  <c r="A39" i="225"/>
  <c r="G38" i="225"/>
  <c r="F38" i="225"/>
  <c r="C38" i="225"/>
  <c r="B38" i="225"/>
  <c r="A38" i="225"/>
  <c r="G37" i="225"/>
  <c r="F37" i="225"/>
  <c r="C37" i="225"/>
  <c r="B37" i="225"/>
  <c r="A37" i="225"/>
  <c r="G36" i="225"/>
  <c r="F36" i="225"/>
  <c r="C36" i="225"/>
  <c r="B36" i="225"/>
  <c r="A36" i="225"/>
  <c r="G35" i="225"/>
  <c r="F35" i="225"/>
  <c r="C35" i="225"/>
  <c r="B35" i="225"/>
  <c r="A35" i="225"/>
  <c r="G34" i="225"/>
  <c r="F34" i="225"/>
  <c r="C34" i="225"/>
  <c r="B34" i="225"/>
  <c r="A34" i="225"/>
  <c r="G33" i="225"/>
  <c r="F33" i="225"/>
  <c r="C33" i="225"/>
  <c r="B33" i="225"/>
  <c r="A33" i="225"/>
  <c r="G32" i="225"/>
  <c r="F32" i="225"/>
  <c r="C32" i="225"/>
  <c r="B32" i="225"/>
  <c r="A32" i="225"/>
  <c r="G31" i="225"/>
  <c r="F31" i="225"/>
  <c r="C31" i="225"/>
  <c r="B31" i="225"/>
  <c r="A31" i="225"/>
  <c r="G30" i="225"/>
  <c r="F30" i="225"/>
  <c r="C30" i="225"/>
  <c r="B30" i="225"/>
  <c r="A30" i="225"/>
  <c r="G29" i="225"/>
  <c r="F29" i="225"/>
  <c r="C29" i="225"/>
  <c r="B29" i="225"/>
  <c r="A29" i="225"/>
  <c r="G28" i="225"/>
  <c r="F28" i="225"/>
  <c r="C28" i="225"/>
  <c r="B28" i="225"/>
  <c r="A28" i="225"/>
  <c r="G27" i="225"/>
  <c r="F27" i="225"/>
  <c r="C27" i="225"/>
  <c r="B27" i="225"/>
  <c r="A27" i="225"/>
  <c r="G26" i="225"/>
  <c r="F26" i="225"/>
  <c r="C26" i="225"/>
  <c r="B26" i="225"/>
  <c r="A26" i="225"/>
  <c r="G25" i="225"/>
  <c r="F25" i="225"/>
  <c r="C25" i="225"/>
  <c r="B25" i="225"/>
  <c r="A25" i="225"/>
  <c r="G24" i="225"/>
  <c r="F24" i="225"/>
  <c r="C24" i="225"/>
  <c r="B24" i="225"/>
  <c r="A24" i="225"/>
  <c r="G23" i="225"/>
  <c r="F23" i="225"/>
  <c r="C23" i="225"/>
  <c r="B23" i="225"/>
  <c r="A23" i="225"/>
  <c r="G22" i="225"/>
  <c r="F22" i="225"/>
  <c r="C22" i="225"/>
  <c r="B22" i="225"/>
  <c r="A22" i="225"/>
  <c r="G21" i="225"/>
  <c r="F21" i="225"/>
  <c r="C21" i="225"/>
  <c r="B21" i="225"/>
  <c r="A21" i="225"/>
  <c r="G46" i="223"/>
  <c r="F46" i="223"/>
  <c r="C46" i="223"/>
  <c r="B46" i="223"/>
  <c r="A46" i="223"/>
  <c r="G45" i="223"/>
  <c r="F45" i="223"/>
  <c r="C45" i="223"/>
  <c r="B45" i="223"/>
  <c r="A45" i="223"/>
  <c r="G44" i="223"/>
  <c r="F44" i="223"/>
  <c r="C44" i="223"/>
  <c r="B44" i="223"/>
  <c r="A44" i="223"/>
  <c r="G43" i="223"/>
  <c r="F43" i="223"/>
  <c r="C43" i="223"/>
  <c r="B43" i="223"/>
  <c r="A43" i="223"/>
  <c r="G42" i="223"/>
  <c r="F42" i="223"/>
  <c r="C42" i="223"/>
  <c r="B42" i="223"/>
  <c r="A42" i="223"/>
  <c r="G41" i="223"/>
  <c r="F41" i="223"/>
  <c r="C41" i="223"/>
  <c r="B41" i="223"/>
  <c r="A41" i="223"/>
  <c r="G40" i="223"/>
  <c r="F40" i="223"/>
  <c r="C40" i="223"/>
  <c r="B40" i="223"/>
  <c r="A40" i="223"/>
  <c r="G39" i="223"/>
  <c r="F39" i="223"/>
  <c r="C39" i="223"/>
  <c r="B39" i="223"/>
  <c r="A39" i="223"/>
  <c r="G38" i="223"/>
  <c r="F38" i="223"/>
  <c r="C38" i="223"/>
  <c r="B38" i="223"/>
  <c r="A38" i="223"/>
  <c r="G37" i="223"/>
  <c r="F37" i="223"/>
  <c r="C37" i="223"/>
  <c r="B37" i="223"/>
  <c r="A37" i="223"/>
  <c r="G36" i="223"/>
  <c r="F36" i="223"/>
  <c r="C36" i="223"/>
  <c r="B36" i="223"/>
  <c r="A36" i="223"/>
  <c r="G35" i="223"/>
  <c r="F35" i="223"/>
  <c r="C35" i="223"/>
  <c r="B35" i="223"/>
  <c r="A35" i="223"/>
  <c r="G34" i="223"/>
  <c r="F34" i="223"/>
  <c r="C34" i="223"/>
  <c r="B34" i="223"/>
  <c r="A34" i="223"/>
  <c r="G33" i="223"/>
  <c r="F33" i="223"/>
  <c r="C33" i="223"/>
  <c r="B33" i="223"/>
  <c r="A33" i="223"/>
  <c r="G32" i="223"/>
  <c r="F32" i="223"/>
  <c r="C32" i="223"/>
  <c r="B32" i="223"/>
  <c r="A32" i="223"/>
  <c r="G31" i="223"/>
  <c r="F31" i="223"/>
  <c r="C31" i="223"/>
  <c r="B31" i="223"/>
  <c r="A31" i="223"/>
  <c r="G30" i="223"/>
  <c r="F30" i="223"/>
  <c r="C30" i="223"/>
  <c r="B30" i="223"/>
  <c r="A30" i="223"/>
  <c r="G29" i="223"/>
  <c r="F29" i="223"/>
  <c r="C29" i="223"/>
  <c r="B29" i="223"/>
  <c r="A29" i="223"/>
  <c r="G28" i="223"/>
  <c r="F28" i="223"/>
  <c r="C28" i="223"/>
  <c r="B28" i="223"/>
  <c r="A28" i="223"/>
  <c r="G27" i="223"/>
  <c r="F27" i="223"/>
  <c r="C27" i="223"/>
  <c r="B27" i="223"/>
  <c r="A27" i="223"/>
  <c r="G26" i="223"/>
  <c r="F26" i="223"/>
  <c r="C26" i="223"/>
  <c r="B26" i="223"/>
  <c r="A26" i="223"/>
  <c r="G25" i="223"/>
  <c r="F25" i="223"/>
  <c r="C25" i="223"/>
  <c r="B25" i="223"/>
  <c r="A25" i="223"/>
  <c r="G24" i="223"/>
  <c r="F24" i="223"/>
  <c r="C24" i="223"/>
  <c r="B24" i="223"/>
  <c r="A24" i="223"/>
  <c r="G23" i="223"/>
  <c r="F23" i="223"/>
  <c r="C23" i="223"/>
  <c r="B23" i="223"/>
  <c r="A23" i="223"/>
  <c r="G22" i="223"/>
  <c r="F22" i="223"/>
  <c r="C22" i="223"/>
  <c r="B22" i="223"/>
  <c r="A22" i="223"/>
  <c r="G21" i="223"/>
  <c r="F21" i="223"/>
  <c r="C21" i="223"/>
  <c r="B21" i="223"/>
  <c r="A21" i="223"/>
  <c r="Q45" i="212"/>
  <c r="Q46" i="212"/>
  <c r="A45" i="212"/>
  <c r="B45" i="212"/>
  <c r="C45" i="212"/>
  <c r="F45" i="212"/>
  <c r="G45" i="212"/>
  <c r="K45" i="212"/>
  <c r="A46" i="212"/>
  <c r="B46" i="212"/>
  <c r="C46" i="212"/>
  <c r="F46" i="212"/>
  <c r="G46" i="212"/>
  <c r="K46" i="212"/>
  <c r="F22" i="212"/>
  <c r="G22" i="212"/>
  <c r="F23" i="212"/>
  <c r="G23" i="212"/>
  <c r="F24" i="212"/>
  <c r="G24" i="212"/>
  <c r="F25" i="212"/>
  <c r="G25" i="212"/>
  <c r="F26" i="212"/>
  <c r="G26" i="212"/>
  <c r="F27" i="212"/>
  <c r="G27" i="212"/>
  <c r="F28" i="212"/>
  <c r="G28" i="212"/>
  <c r="F29" i="212"/>
  <c r="G29" i="212"/>
  <c r="F30" i="212"/>
  <c r="G30" i="212"/>
  <c r="F31" i="212"/>
  <c r="G31" i="212"/>
  <c r="F32" i="212"/>
  <c r="G32" i="212"/>
  <c r="F33" i="212"/>
  <c r="G33" i="212"/>
  <c r="F34" i="212"/>
  <c r="G34" i="212"/>
  <c r="F35" i="212"/>
  <c r="G35" i="212"/>
  <c r="F36" i="212"/>
  <c r="G36" i="212"/>
  <c r="F37" i="212"/>
  <c r="G37" i="212"/>
  <c r="F38" i="212"/>
  <c r="G38" i="212"/>
  <c r="F39" i="212"/>
  <c r="G39" i="212"/>
  <c r="F40" i="212"/>
  <c r="G40" i="212"/>
  <c r="F41" i="212"/>
  <c r="G41" i="212"/>
  <c r="F42" i="212"/>
  <c r="G42" i="212"/>
  <c r="F43" i="212"/>
  <c r="G43" i="212"/>
  <c r="F44" i="212"/>
  <c r="G44" i="212"/>
  <c r="C22" i="212"/>
  <c r="C23" i="212"/>
  <c r="C24" i="212"/>
  <c r="C25" i="212"/>
  <c r="C26" i="212"/>
  <c r="C27" i="212"/>
  <c r="C28" i="212"/>
  <c r="C29" i="212"/>
  <c r="C30" i="212"/>
  <c r="C31" i="212"/>
  <c r="C32" i="212"/>
  <c r="C33" i="212"/>
  <c r="C34" i="212"/>
  <c r="C35" i="212"/>
  <c r="C36" i="212"/>
  <c r="C37" i="212"/>
  <c r="C38" i="212"/>
  <c r="C39" i="212"/>
  <c r="C40" i="212"/>
  <c r="C41" i="212"/>
  <c r="C42" i="212"/>
  <c r="C43" i="212"/>
  <c r="C44" i="212"/>
  <c r="C21" i="212"/>
  <c r="J21" i="225" l="1"/>
  <c r="J22" i="225"/>
  <c r="J23" i="225"/>
  <c r="J24" i="225"/>
  <c r="J25" i="225"/>
  <c r="J26" i="225"/>
  <c r="Q26" i="225" s="1"/>
  <c r="J27" i="225"/>
  <c r="J28" i="225"/>
  <c r="Q28" i="225" s="1"/>
  <c r="J29" i="225"/>
  <c r="J30" i="225"/>
  <c r="J31" i="225"/>
  <c r="J32" i="225"/>
  <c r="Q32" i="225" s="1"/>
  <c r="J33" i="225"/>
  <c r="Q33" i="225" s="1"/>
  <c r="J34" i="225"/>
  <c r="J35" i="225"/>
  <c r="U35" i="225" s="1"/>
  <c r="J36" i="225"/>
  <c r="Q36" i="225" s="1"/>
  <c r="J37" i="225"/>
  <c r="J38" i="225"/>
  <c r="Q38" i="225" s="1"/>
  <c r="J39" i="225"/>
  <c r="J40" i="225"/>
  <c r="Q40" i="225" s="1"/>
  <c r="J41" i="225"/>
  <c r="J42" i="225"/>
  <c r="J43" i="225"/>
  <c r="J44" i="225"/>
  <c r="R44" i="225"/>
  <c r="S43" i="225"/>
  <c r="Q43" i="225"/>
  <c r="R43" i="225"/>
  <c r="R42" i="225"/>
  <c r="Q42" i="225"/>
  <c r="S41" i="225"/>
  <c r="Q41" i="225"/>
  <c r="R41" i="225"/>
  <c r="R40" i="225"/>
  <c r="S40" i="225"/>
  <c r="R39" i="225"/>
  <c r="S38" i="225"/>
  <c r="R38" i="225"/>
  <c r="R37" i="225"/>
  <c r="R36" i="225"/>
  <c r="S36" i="225"/>
  <c r="R35" i="225"/>
  <c r="S35" i="225"/>
  <c r="R34" i="225"/>
  <c r="S33" i="225"/>
  <c r="R33" i="225"/>
  <c r="R32" i="225"/>
  <c r="R31" i="225"/>
  <c r="S31" i="225"/>
  <c r="R30" i="225"/>
  <c r="S30" i="225"/>
  <c r="R29" i="225"/>
  <c r="U29" i="225"/>
  <c r="S28" i="225"/>
  <c r="R28" i="225"/>
  <c r="R27" i="225"/>
  <c r="R26" i="225"/>
  <c r="R25" i="225"/>
  <c r="K25" i="225"/>
  <c r="T25" i="225"/>
  <c r="R24" i="225"/>
  <c r="R23" i="225"/>
  <c r="Q22" i="225"/>
  <c r="S22" i="225"/>
  <c r="Q21" i="225"/>
  <c r="U21" i="225"/>
  <c r="V16" i="225"/>
  <c r="V15" i="225"/>
  <c r="V14" i="225"/>
  <c r="V13" i="225"/>
  <c r="V12" i="225"/>
  <c r="B4" i="225"/>
  <c r="B5" i="225" s="1"/>
  <c r="R44" i="224"/>
  <c r="J44" i="224"/>
  <c r="J43" i="224"/>
  <c r="Q43" i="224" s="1"/>
  <c r="S43" i="224"/>
  <c r="R42" i="224"/>
  <c r="J42" i="224"/>
  <c r="K42" i="224" s="1"/>
  <c r="T42" i="224"/>
  <c r="R41" i="224"/>
  <c r="J41" i="224"/>
  <c r="Q41" i="224" s="1"/>
  <c r="S41" i="224"/>
  <c r="R40" i="224"/>
  <c r="J40" i="224"/>
  <c r="K40" i="224" s="1"/>
  <c r="S40" i="224"/>
  <c r="J39" i="224"/>
  <c r="R38" i="224"/>
  <c r="J38" i="224"/>
  <c r="K38" i="224" s="1"/>
  <c r="S38" i="224"/>
  <c r="R37" i="224"/>
  <c r="J37" i="224"/>
  <c r="S37" i="224"/>
  <c r="R36" i="224"/>
  <c r="J36" i="224"/>
  <c r="Q36" i="224" s="1"/>
  <c r="S36" i="224"/>
  <c r="R35" i="224"/>
  <c r="J35" i="224"/>
  <c r="Q35" i="224" s="1"/>
  <c r="R34" i="224"/>
  <c r="J34" i="224"/>
  <c r="J33" i="224"/>
  <c r="K33" i="224" s="1"/>
  <c r="S33" i="224"/>
  <c r="J32" i="224"/>
  <c r="K32" i="224" s="1"/>
  <c r="S32" i="224"/>
  <c r="R31" i="224"/>
  <c r="J31" i="224"/>
  <c r="Q31" i="224" s="1"/>
  <c r="S31" i="224"/>
  <c r="R30" i="224"/>
  <c r="J30" i="224"/>
  <c r="K30" i="224" s="1"/>
  <c r="R29" i="224"/>
  <c r="J29" i="224"/>
  <c r="J28" i="224"/>
  <c r="Q28" i="224" s="1"/>
  <c r="R28" i="224"/>
  <c r="J27" i="224"/>
  <c r="S27" i="224"/>
  <c r="J26" i="224"/>
  <c r="Q26" i="224" s="1"/>
  <c r="S26" i="224"/>
  <c r="R25" i="224"/>
  <c r="J25" i="224"/>
  <c r="Q25" i="224" s="1"/>
  <c r="S25" i="224"/>
  <c r="J24" i="224"/>
  <c r="R24" i="224"/>
  <c r="J23" i="224"/>
  <c r="Q23" i="224" s="1"/>
  <c r="S23" i="224"/>
  <c r="J22" i="224"/>
  <c r="U22" i="224" s="1"/>
  <c r="S22" i="224"/>
  <c r="J21" i="224"/>
  <c r="Q21" i="224" s="1"/>
  <c r="S21" i="224"/>
  <c r="V16" i="224"/>
  <c r="V15" i="224"/>
  <c r="V14" i="224"/>
  <c r="V13" i="224"/>
  <c r="V12" i="224"/>
  <c r="B4" i="224"/>
  <c r="B5" i="224" s="1"/>
  <c r="R6" i="83"/>
  <c r="Q6" i="83" s="1"/>
  <c r="R7" i="83"/>
  <c r="Q7" i="83" s="1"/>
  <c r="R8" i="83"/>
  <c r="Q8" i="83" s="1"/>
  <c r="A5" i="204"/>
  <c r="C5" i="204"/>
  <c r="B5" i="81"/>
  <c r="D5" i="204"/>
  <c r="E5" i="204"/>
  <c r="R25" i="223"/>
  <c r="R29" i="223"/>
  <c r="R30" i="223"/>
  <c r="R31" i="223"/>
  <c r="R34" i="223"/>
  <c r="R35" i="223"/>
  <c r="R36" i="223"/>
  <c r="R37" i="223"/>
  <c r="R38" i="223"/>
  <c r="R40" i="223"/>
  <c r="R42" i="223"/>
  <c r="R44" i="223"/>
  <c r="Q22" i="223"/>
  <c r="Q23" i="223"/>
  <c r="Q24" i="223"/>
  <c r="Q25" i="223"/>
  <c r="Q26" i="223"/>
  <c r="Q27" i="223"/>
  <c r="Q28" i="223"/>
  <c r="Q29" i="223"/>
  <c r="Q30" i="223"/>
  <c r="Q31" i="223"/>
  <c r="Q32" i="223"/>
  <c r="Q33" i="223"/>
  <c r="Q34" i="223"/>
  <c r="Q35" i="223"/>
  <c r="Q36" i="223"/>
  <c r="Q37" i="223"/>
  <c r="Q38" i="223"/>
  <c r="Q39" i="223"/>
  <c r="Q40" i="223"/>
  <c r="Q41" i="223"/>
  <c r="Q42" i="223"/>
  <c r="Q43" i="223"/>
  <c r="Q44" i="223"/>
  <c r="Q25" i="212"/>
  <c r="Q26" i="212"/>
  <c r="Q28" i="212"/>
  <c r="Q29" i="212"/>
  <c r="Q30" i="212"/>
  <c r="Q31" i="212"/>
  <c r="Q32" i="212"/>
  <c r="Q34" i="212"/>
  <c r="Q35" i="212"/>
  <c r="Q36" i="212"/>
  <c r="Q37" i="212"/>
  <c r="Q38" i="212"/>
  <c r="Q39" i="212"/>
  <c r="Q40" i="212"/>
  <c r="Q41" i="212"/>
  <c r="Q42" i="212"/>
  <c r="Q43" i="212"/>
  <c r="Q44" i="212"/>
  <c r="R25" i="212"/>
  <c r="R29" i="212"/>
  <c r="R30" i="212"/>
  <c r="R31" i="212"/>
  <c r="R34" i="212"/>
  <c r="R35" i="212"/>
  <c r="R36" i="212"/>
  <c r="R37" i="212"/>
  <c r="R38" i="212"/>
  <c r="R40" i="212"/>
  <c r="R42" i="212"/>
  <c r="R44" i="212"/>
  <c r="A22" i="212"/>
  <c r="A23" i="212"/>
  <c r="A24" i="212"/>
  <c r="A25" i="212"/>
  <c r="A26" i="212"/>
  <c r="A27" i="212"/>
  <c r="A28" i="212"/>
  <c r="A29" i="212"/>
  <c r="A30" i="212"/>
  <c r="A31" i="212"/>
  <c r="A32" i="212"/>
  <c r="A33" i="212"/>
  <c r="A34" i="212"/>
  <c r="A35" i="212"/>
  <c r="A36" i="212"/>
  <c r="A37" i="212"/>
  <c r="A38" i="212"/>
  <c r="A39" i="212"/>
  <c r="A40" i="212"/>
  <c r="A41" i="212"/>
  <c r="A42" i="212"/>
  <c r="A43" i="212"/>
  <c r="A44" i="212"/>
  <c r="B22" i="212"/>
  <c r="B23" i="212"/>
  <c r="B24" i="212"/>
  <c r="B25" i="212"/>
  <c r="B26" i="212"/>
  <c r="B27" i="212"/>
  <c r="B28" i="212"/>
  <c r="B29" i="212"/>
  <c r="B30" i="212"/>
  <c r="B31" i="212"/>
  <c r="B32" i="212"/>
  <c r="B33" i="212"/>
  <c r="B34" i="212"/>
  <c r="B35" i="212"/>
  <c r="B36" i="212"/>
  <c r="B37" i="212"/>
  <c r="B38" i="212"/>
  <c r="B39" i="212"/>
  <c r="B40" i="212"/>
  <c r="B41" i="212"/>
  <c r="B42" i="212"/>
  <c r="B43" i="212"/>
  <c r="B44" i="212"/>
  <c r="A43" i="205"/>
  <c r="A44" i="205"/>
  <c r="N4" i="81"/>
  <c r="O4" i="81"/>
  <c r="P4" i="81"/>
  <c r="U4" i="204"/>
  <c r="A45" i="45"/>
  <c r="A43" i="45"/>
  <c r="V4" i="204"/>
  <c r="A44" i="45"/>
  <c r="A45" i="205"/>
  <c r="U29" i="224" l="1"/>
  <c r="R43" i="224"/>
  <c r="S23" i="225"/>
  <c r="U34" i="224"/>
  <c r="U37" i="224"/>
  <c r="R21" i="225"/>
  <c r="S26" i="225"/>
  <c r="S21" i="225"/>
  <c r="R23" i="224"/>
  <c r="U44" i="225"/>
  <c r="S28" i="224"/>
  <c r="T33" i="224"/>
  <c r="R26" i="224"/>
  <c r="U26" i="225"/>
  <c r="U41" i="225"/>
  <c r="T38" i="224"/>
  <c r="U24" i="225"/>
  <c r="U34" i="225"/>
  <c r="U27" i="224"/>
  <c r="U31" i="225"/>
  <c r="U30" i="225"/>
  <c r="R21" i="224"/>
  <c r="U27" i="225"/>
  <c r="U39" i="224"/>
  <c r="U23" i="225"/>
  <c r="U39" i="225"/>
  <c r="U24" i="224"/>
  <c r="R33" i="224"/>
  <c r="U44" i="224"/>
  <c r="U37" i="225"/>
  <c r="U31" i="224"/>
  <c r="U41" i="224"/>
  <c r="U26" i="224"/>
  <c r="U21" i="224"/>
  <c r="U36" i="224"/>
  <c r="T30" i="224"/>
  <c r="Q31" i="225"/>
  <c r="U36" i="225"/>
  <c r="C45" i="45"/>
  <c r="C44" i="45"/>
  <c r="C43" i="45"/>
  <c r="F5" i="225"/>
  <c r="S5" i="225"/>
  <c r="F6" i="225"/>
  <c r="S6" i="225"/>
  <c r="B6" i="225"/>
  <c r="K23" i="225"/>
  <c r="T23" i="225" s="1"/>
  <c r="K28" i="225"/>
  <c r="T28" i="225" s="1"/>
  <c r="K33" i="225"/>
  <c r="T33" i="225" s="1"/>
  <c r="K30" i="225"/>
  <c r="K40" i="225"/>
  <c r="T40" i="225" s="1"/>
  <c r="U28" i="225"/>
  <c r="U33" i="225"/>
  <c r="Q35" i="225"/>
  <c r="U38" i="225"/>
  <c r="T30" i="225"/>
  <c r="R22" i="225"/>
  <c r="S27" i="225"/>
  <c r="S32" i="225"/>
  <c r="S37" i="225"/>
  <c r="S42" i="225"/>
  <c r="A1" i="225"/>
  <c r="K24" i="225"/>
  <c r="K29" i="225"/>
  <c r="T29" i="225" s="1"/>
  <c r="K34" i="225"/>
  <c r="T34" i="225" s="1"/>
  <c r="K39" i="225"/>
  <c r="T39" i="225" s="1"/>
  <c r="K44" i="225"/>
  <c r="T44" i="225" s="1"/>
  <c r="K38" i="225"/>
  <c r="T38" i="225" s="1"/>
  <c r="U43" i="225"/>
  <c r="K32" i="225"/>
  <c r="T32" i="225" s="1"/>
  <c r="T35" i="225"/>
  <c r="K37" i="225"/>
  <c r="T37" i="225" s="1"/>
  <c r="K42" i="225"/>
  <c r="T42" i="225" s="1"/>
  <c r="U25" i="225"/>
  <c r="Q37" i="225"/>
  <c r="U32" i="225"/>
  <c r="S4" i="225"/>
  <c r="S24" i="225"/>
  <c r="S29" i="225"/>
  <c r="S34" i="225"/>
  <c r="S39" i="225"/>
  <c r="S44" i="225"/>
  <c r="K43" i="225"/>
  <c r="T43" i="225" s="1"/>
  <c r="Q25" i="225"/>
  <c r="K22" i="225"/>
  <c r="T22" i="225" s="1"/>
  <c r="K27" i="225"/>
  <c r="T27" i="225" s="1"/>
  <c r="Q27" i="225"/>
  <c r="U40" i="225"/>
  <c r="U22" i="225"/>
  <c r="U42" i="225"/>
  <c r="U4" i="225"/>
  <c r="K21" i="225"/>
  <c r="T21" i="225" s="1"/>
  <c r="T24" i="225"/>
  <c r="K26" i="225"/>
  <c r="T26" i="225" s="1"/>
  <c r="K31" i="225"/>
  <c r="T31" i="225" s="1"/>
  <c r="K36" i="225"/>
  <c r="T36" i="225" s="1"/>
  <c r="K41" i="225"/>
  <c r="T41" i="225" s="1"/>
  <c r="Q23" i="225"/>
  <c r="K35" i="225"/>
  <c r="Q30" i="225"/>
  <c r="S25" i="225"/>
  <c r="Q24" i="225"/>
  <c r="Q29" i="225"/>
  <c r="Q34" i="225"/>
  <c r="Q39" i="225"/>
  <c r="Q44" i="225"/>
  <c r="F4" i="225"/>
  <c r="F5" i="224"/>
  <c r="S5" i="224"/>
  <c r="F4" i="224"/>
  <c r="B6" i="224"/>
  <c r="F6" i="224"/>
  <c r="S6" i="224"/>
  <c r="A1" i="224"/>
  <c r="T34" i="224"/>
  <c r="Q33" i="224"/>
  <c r="U23" i="224"/>
  <c r="U28" i="224"/>
  <c r="U33" i="224"/>
  <c r="U43" i="224"/>
  <c r="K22" i="224"/>
  <c r="T22" i="224" s="1"/>
  <c r="Q42" i="224"/>
  <c r="Q40" i="224"/>
  <c r="S30" i="224"/>
  <c r="K27" i="224"/>
  <c r="T40" i="224"/>
  <c r="Q22" i="224"/>
  <c r="U25" i="224"/>
  <c r="Q27" i="224"/>
  <c r="U30" i="224"/>
  <c r="Q32" i="224"/>
  <c r="U35" i="224"/>
  <c r="Q37" i="224"/>
  <c r="U40" i="224"/>
  <c r="R22" i="224"/>
  <c r="R27" i="224"/>
  <c r="R32" i="224"/>
  <c r="K23" i="224"/>
  <c r="T23" i="224" s="1"/>
  <c r="K43" i="224"/>
  <c r="T43" i="224" s="1"/>
  <c r="Q30" i="224"/>
  <c r="U38" i="224"/>
  <c r="K37" i="224"/>
  <c r="S42" i="224"/>
  <c r="K24" i="224"/>
  <c r="T24" i="224" s="1"/>
  <c r="T27" i="224"/>
  <c r="K29" i="224"/>
  <c r="T29" i="224" s="1"/>
  <c r="T37" i="224"/>
  <c r="K39" i="224"/>
  <c r="T39" i="224" s="1"/>
  <c r="K44" i="224"/>
  <c r="T44" i="224" s="1"/>
  <c r="Q24" i="224"/>
  <c r="Q29" i="224"/>
  <c r="U32" i="224"/>
  <c r="Q34" i="224"/>
  <c r="Q39" i="224"/>
  <c r="U42" i="224"/>
  <c r="Q44" i="224"/>
  <c r="K35" i="224"/>
  <c r="T35" i="224" s="1"/>
  <c r="S35" i="224"/>
  <c r="K28" i="224"/>
  <c r="T28" i="224" s="1"/>
  <c r="K25" i="224"/>
  <c r="T25" i="224" s="1"/>
  <c r="T32" i="224"/>
  <c r="R39" i="224"/>
  <c r="S4" i="224"/>
  <c r="S24" i="224"/>
  <c r="S29" i="224"/>
  <c r="S34" i="224"/>
  <c r="S39" i="224"/>
  <c r="S44" i="224"/>
  <c r="Q38" i="224"/>
  <c r="K34" i="224"/>
  <c r="U4" i="224"/>
  <c r="K21" i="224"/>
  <c r="T21" i="224" s="1"/>
  <c r="K26" i="224"/>
  <c r="T26" i="224" s="1"/>
  <c r="K31" i="224"/>
  <c r="T31" i="224" s="1"/>
  <c r="K36" i="224"/>
  <c r="T36" i="224" s="1"/>
  <c r="K41" i="224"/>
  <c r="C45" i="205"/>
  <c r="C44" i="205"/>
  <c r="C43" i="205"/>
  <c r="R14" i="224"/>
  <c r="O7" i="81"/>
  <c r="V19" i="204"/>
  <c r="U12" i="204"/>
  <c r="N22" i="81"/>
  <c r="O12" i="81"/>
  <c r="U16" i="224"/>
  <c r="O14" i="81"/>
  <c r="F15" i="224"/>
  <c r="U20" i="204"/>
  <c r="O26" i="81"/>
  <c r="N28" i="81"/>
  <c r="P23" i="81"/>
  <c r="N12" i="81"/>
  <c r="V24" i="204"/>
  <c r="O5" i="81"/>
  <c r="P26" i="81"/>
  <c r="R13" i="224"/>
  <c r="O11" i="81"/>
  <c r="K12" i="224"/>
  <c r="N5" i="81"/>
  <c r="T12" i="224"/>
  <c r="N23" i="81"/>
  <c r="F12" i="224"/>
  <c r="O23" i="81"/>
  <c r="V11" i="204"/>
  <c r="S12" i="224"/>
  <c r="G13" i="224"/>
  <c r="E12" i="224"/>
  <c r="G16" i="224"/>
  <c r="U24" i="204"/>
  <c r="M14" i="224"/>
  <c r="U21" i="204"/>
  <c r="O16" i="81"/>
  <c r="U15" i="204"/>
  <c r="U30" i="204"/>
  <c r="L12" i="224"/>
  <c r="O10" i="81"/>
  <c r="O6" i="81"/>
  <c r="K14" i="224"/>
  <c r="L16" i="224"/>
  <c r="M12" i="224"/>
  <c r="D16" i="224"/>
  <c r="V17" i="204"/>
  <c r="O21" i="81"/>
  <c r="U27" i="204"/>
  <c r="U5" i="204"/>
  <c r="P18" i="81"/>
  <c r="P9" i="81"/>
  <c r="N11" i="81"/>
  <c r="P8" i="81"/>
  <c r="O22" i="81"/>
  <c r="P28" i="81"/>
  <c r="P25" i="81"/>
  <c r="U14" i="204"/>
  <c r="U13" i="224"/>
  <c r="T13" i="224"/>
  <c r="T16" i="224"/>
  <c r="P22" i="81"/>
  <c r="V22" i="204"/>
  <c r="O28" i="81"/>
  <c r="U7" i="204"/>
  <c r="U14" i="224"/>
  <c r="U6" i="204"/>
  <c r="J15" i="224"/>
  <c r="V13" i="204"/>
  <c r="U17" i="204"/>
  <c r="V20" i="204"/>
  <c r="N13" i="81"/>
  <c r="P20" i="81"/>
  <c r="U29" i="204"/>
  <c r="R12" i="224"/>
  <c r="U23" i="204"/>
  <c r="O13" i="81"/>
  <c r="O18" i="81"/>
  <c r="O20" i="81"/>
  <c r="D13" i="224"/>
  <c r="N6" i="81"/>
  <c r="U19" i="204"/>
  <c r="P19" i="81"/>
  <c r="V12" i="204"/>
  <c r="V16" i="204"/>
  <c r="P21" i="81"/>
  <c r="V9" i="204"/>
  <c r="V7" i="204"/>
  <c r="V26" i="204"/>
  <c r="P13" i="81"/>
  <c r="V15" i="204"/>
  <c r="K15" i="224"/>
  <c r="E13" i="224"/>
  <c r="D14" i="224"/>
  <c r="P17" i="81"/>
  <c r="U15" i="224"/>
  <c r="U26" i="204"/>
  <c r="O30" i="81"/>
  <c r="V30" i="204"/>
  <c r="V29" i="204"/>
  <c r="P24" i="81"/>
  <c r="V25" i="204"/>
  <c r="F13" i="224"/>
  <c r="F16" i="224"/>
  <c r="U18" i="204"/>
  <c r="U25" i="204"/>
  <c r="N9" i="81"/>
  <c r="E14" i="224"/>
  <c r="V18" i="204"/>
  <c r="U12" i="224"/>
  <c r="K13" i="224"/>
  <c r="N7" i="81"/>
  <c r="L13" i="224"/>
  <c r="V21" i="204"/>
  <c r="S13" i="224"/>
  <c r="N17" i="81"/>
  <c r="U13" i="204"/>
  <c r="P12" i="81"/>
  <c r="P6" i="81"/>
  <c r="P11" i="81"/>
  <c r="O15" i="81"/>
  <c r="O27" i="81"/>
  <c r="N18" i="81"/>
  <c r="O25" i="81"/>
  <c r="V8" i="204"/>
  <c r="P14" i="81"/>
  <c r="N10" i="81"/>
  <c r="U10" i="204"/>
  <c r="D15" i="224"/>
  <c r="N29" i="81"/>
  <c r="N26" i="81"/>
  <c r="M15" i="224"/>
  <c r="M13" i="224"/>
  <c r="F14" i="224"/>
  <c r="N14" i="81"/>
  <c r="O9" i="81"/>
  <c r="O19" i="81"/>
  <c r="L15" i="224"/>
  <c r="J13" i="224"/>
  <c r="P30" i="81"/>
  <c r="E15" i="224"/>
  <c r="N30" i="81"/>
  <c r="P5" i="81"/>
  <c r="V14" i="204"/>
  <c r="S14" i="224"/>
  <c r="V28" i="204"/>
  <c r="J14" i="224"/>
  <c r="D12" i="224"/>
  <c r="U9" i="204"/>
  <c r="V5" i="204"/>
  <c r="K16" i="224"/>
  <c r="E16" i="224"/>
  <c r="U28" i="204"/>
  <c r="P27" i="81"/>
  <c r="N15" i="81"/>
  <c r="P7" i="81"/>
  <c r="S16" i="224"/>
  <c r="S15" i="224"/>
  <c r="V10" i="204"/>
  <c r="V27" i="204"/>
  <c r="P15" i="81"/>
  <c r="L14" i="224"/>
  <c r="R16" i="224"/>
  <c r="G14" i="224"/>
  <c r="N8" i="81"/>
  <c r="N16" i="81"/>
  <c r="V6" i="204"/>
  <c r="N19" i="81"/>
  <c r="M16" i="224"/>
  <c r="R15" i="224"/>
  <c r="P29" i="81"/>
  <c r="J12" i="224"/>
  <c r="O8" i="81"/>
  <c r="G12" i="224"/>
  <c r="G15" i="224"/>
  <c r="U11" i="204"/>
  <c r="V23" i="204"/>
  <c r="U8" i="204"/>
  <c r="O17" i="81"/>
  <c r="O29" i="81"/>
  <c r="P10" i="81"/>
  <c r="N24" i="81"/>
  <c r="N27" i="81"/>
  <c r="U16" i="204"/>
  <c r="J16" i="224"/>
  <c r="N21" i="81"/>
  <c r="N20" i="81"/>
  <c r="P16" i="81"/>
  <c r="N25" i="81"/>
  <c r="O24" i="81"/>
  <c r="U22" i="204"/>
  <c r="O31" i="81" l="1"/>
  <c r="N31" i="81"/>
  <c r="P31" i="81"/>
  <c r="U31" i="204"/>
  <c r="V31" i="204"/>
  <c r="D17" i="224"/>
  <c r="E17" i="224"/>
  <c r="N15" i="224"/>
  <c r="N14" i="224"/>
  <c r="S17" i="224"/>
  <c r="H15" i="224"/>
  <c r="X15" i="224" s="1"/>
  <c r="U17" i="224"/>
  <c r="H16" i="224"/>
  <c r="X16" i="224" s="1"/>
  <c r="O16" i="224"/>
  <c r="Y16" i="224" s="1"/>
  <c r="N13" i="224"/>
  <c r="K17" i="224"/>
  <c r="M17" i="224"/>
  <c r="H14" i="224"/>
  <c r="X14" i="224" s="1"/>
  <c r="R17" i="224"/>
  <c r="O13" i="224"/>
  <c r="Y13" i="224" s="1"/>
  <c r="H13" i="224"/>
  <c r="X13" i="224" s="1"/>
  <c r="G17" i="224"/>
  <c r="O12" i="224"/>
  <c r="Y12" i="224" s="1"/>
  <c r="H12" i="224"/>
  <c r="X12" i="224" s="1"/>
  <c r="N12" i="224"/>
  <c r="J17" i="224"/>
  <c r="L17" i="224"/>
  <c r="F17" i="224"/>
  <c r="N16" i="224"/>
  <c r="T41" i="224"/>
  <c r="R39" i="212"/>
  <c r="R28" i="212"/>
  <c r="K25" i="212"/>
  <c r="K26" i="212"/>
  <c r="K28" i="212"/>
  <c r="K29" i="212"/>
  <c r="K30" i="212"/>
  <c r="K31" i="212"/>
  <c r="K32" i="212"/>
  <c r="K34" i="212"/>
  <c r="K35" i="212"/>
  <c r="K36" i="212"/>
  <c r="K37" i="212"/>
  <c r="K38" i="212"/>
  <c r="K39" i="212"/>
  <c r="K40" i="212"/>
  <c r="K41" i="212"/>
  <c r="K42" i="212"/>
  <c r="K43" i="212"/>
  <c r="K44" i="212"/>
  <c r="K44" i="223"/>
  <c r="K25" i="223"/>
  <c r="K26" i="223"/>
  <c r="K32" i="223"/>
  <c r="K34" i="223"/>
  <c r="K35" i="223"/>
  <c r="K40" i="223"/>
  <c r="K28" i="223"/>
  <c r="K24" i="223"/>
  <c r="V16" i="223"/>
  <c r="V15" i="223"/>
  <c r="V14" i="223"/>
  <c r="V13" i="223"/>
  <c r="V12" i="223"/>
  <c r="B4" i="223"/>
  <c r="B5" i="223" s="1"/>
  <c r="F13" i="225"/>
  <c r="K14" i="225"/>
  <c r="R16" i="225"/>
  <c r="M16" i="225"/>
  <c r="T12" i="225"/>
  <c r="I45" i="45"/>
  <c r="H45" i="45"/>
  <c r="K16" i="225"/>
  <c r="G15" i="225"/>
  <c r="P45" i="205"/>
  <c r="E16" i="225"/>
  <c r="S16" i="225"/>
  <c r="I45" i="205"/>
  <c r="F12" i="225"/>
  <c r="U12" i="225"/>
  <c r="F14" i="225"/>
  <c r="G45" i="45"/>
  <c r="J15" i="225"/>
  <c r="E15" i="225"/>
  <c r="T16" i="225"/>
  <c r="D15" i="225"/>
  <c r="L45" i="205"/>
  <c r="K45" i="205"/>
  <c r="T15" i="224"/>
  <c r="J16" i="225"/>
  <c r="L12" i="225"/>
  <c r="J12" i="225"/>
  <c r="S14" i="225"/>
  <c r="T14" i="224"/>
  <c r="J13" i="225"/>
  <c r="R13" i="225"/>
  <c r="D14" i="225"/>
  <c r="H45" i="205"/>
  <c r="U15" i="225"/>
  <c r="G45" i="205"/>
  <c r="G14" i="225"/>
  <c r="R15" i="225"/>
  <c r="R14" i="225"/>
  <c r="J45" i="205"/>
  <c r="M12" i="225"/>
  <c r="O45" i="205"/>
  <c r="T14" i="225"/>
  <c r="K45" i="45"/>
  <c r="U14" i="225"/>
  <c r="K15" i="225"/>
  <c r="J14" i="225"/>
  <c r="S12" i="225"/>
  <c r="E12" i="225"/>
  <c r="S13" i="225"/>
  <c r="S15" i="225"/>
  <c r="Q45" i="205"/>
  <c r="E14" i="225"/>
  <c r="E45" i="45"/>
  <c r="L14" i="225"/>
  <c r="K13" i="225"/>
  <c r="L15" i="225"/>
  <c r="L13" i="225"/>
  <c r="J45" i="45"/>
  <c r="G16" i="225"/>
  <c r="F15" i="225"/>
  <c r="F16" i="225"/>
  <c r="U16" i="225"/>
  <c r="M45" i="205"/>
  <c r="E45" i="205"/>
  <c r="G12" i="225"/>
  <c r="T13" i="225"/>
  <c r="R12" i="225"/>
  <c r="D16" i="225"/>
  <c r="M14" i="225"/>
  <c r="T15" i="225"/>
  <c r="U13" i="225"/>
  <c r="M13" i="225"/>
  <c r="L16" i="225"/>
  <c r="D12" i="225"/>
  <c r="G13" i="225"/>
  <c r="M15" i="225"/>
  <c r="K12" i="225"/>
  <c r="D13" i="225"/>
  <c r="E13" i="225"/>
  <c r="O14" i="224" l="1"/>
  <c r="Y14" i="224" s="1"/>
  <c r="K33" i="212"/>
  <c r="Q33" i="212"/>
  <c r="K27" i="212"/>
  <c r="Q27" i="212"/>
  <c r="K24" i="212"/>
  <c r="Q24" i="212"/>
  <c r="K23" i="212"/>
  <c r="Q23" i="212"/>
  <c r="K22" i="212"/>
  <c r="Q22" i="212"/>
  <c r="F45" i="45"/>
  <c r="N14" i="225"/>
  <c r="L17" i="225"/>
  <c r="O16" i="225"/>
  <c r="Y16" i="225" s="1"/>
  <c r="H16" i="225"/>
  <c r="X16" i="225" s="1"/>
  <c r="F17" i="225"/>
  <c r="T17" i="225"/>
  <c r="N15" i="225"/>
  <c r="R17" i="225"/>
  <c r="S17" i="225"/>
  <c r="O12" i="225"/>
  <c r="Y12" i="225" s="1"/>
  <c r="H12" i="225"/>
  <c r="X12" i="225" s="1"/>
  <c r="G17" i="225"/>
  <c r="M17" i="225"/>
  <c r="O14" i="225"/>
  <c r="Y14" i="225" s="1"/>
  <c r="H14" i="225"/>
  <c r="X14" i="225" s="1"/>
  <c r="D17" i="225"/>
  <c r="O13" i="225"/>
  <c r="Y13" i="225" s="1"/>
  <c r="H13" i="225"/>
  <c r="X13" i="225" s="1"/>
  <c r="O15" i="225"/>
  <c r="Y15" i="225" s="1"/>
  <c r="H15" i="225"/>
  <c r="X15" i="225" s="1"/>
  <c r="E17" i="225"/>
  <c r="K17" i="225"/>
  <c r="U17" i="225"/>
  <c r="N16" i="225"/>
  <c r="N13" i="225"/>
  <c r="N12" i="225"/>
  <c r="J17" i="225"/>
  <c r="N45" i="205"/>
  <c r="F45" i="205"/>
  <c r="O15" i="224"/>
  <c r="Y15" i="224" s="1"/>
  <c r="T17" i="224"/>
  <c r="O17" i="224" s="1"/>
  <c r="H17" i="224"/>
  <c r="U39" i="223"/>
  <c r="R39" i="223"/>
  <c r="S39" i="223"/>
  <c r="U29" i="223"/>
  <c r="S29" i="223"/>
  <c r="U28" i="223"/>
  <c r="T28" i="223"/>
  <c r="S28" i="223"/>
  <c r="R28" i="223"/>
  <c r="R33" i="212"/>
  <c r="R32" i="212"/>
  <c r="R26" i="212"/>
  <c r="R24" i="212"/>
  <c r="R27" i="212"/>
  <c r="R23" i="212"/>
  <c r="R41" i="212"/>
  <c r="R22" i="212"/>
  <c r="K42" i="223"/>
  <c r="R43" i="212"/>
  <c r="K39" i="223"/>
  <c r="T39" i="223" s="1"/>
  <c r="K30" i="223"/>
  <c r="K29" i="223"/>
  <c r="T29" i="223" s="1"/>
  <c r="K38" i="223"/>
  <c r="K37" i="223"/>
  <c r="K36" i="223"/>
  <c r="K43" i="223"/>
  <c r="K41" i="223"/>
  <c r="K31" i="223"/>
  <c r="K27" i="223"/>
  <c r="K23" i="223"/>
  <c r="K22" i="223"/>
  <c r="K33" i="223"/>
  <c r="F5" i="223"/>
  <c r="B6" i="223"/>
  <c r="F6" i="223"/>
  <c r="S6" i="223"/>
  <c r="K21" i="223"/>
  <c r="Q21" i="223"/>
  <c r="A1" i="223"/>
  <c r="S5" i="223"/>
  <c r="F4" i="223"/>
  <c r="S4" i="223"/>
  <c r="B4" i="212"/>
  <c r="F4" i="212" s="1"/>
  <c r="I44" i="45"/>
  <c r="E44" i="45"/>
  <c r="M44" i="205"/>
  <c r="H44" i="205"/>
  <c r="E44" i="205"/>
  <c r="K44" i="45"/>
  <c r="Q44" i="205"/>
  <c r="O44" i="205"/>
  <c r="K44" i="205"/>
  <c r="H44" i="45"/>
  <c r="G44" i="45"/>
  <c r="L44" i="205"/>
  <c r="R45" i="205"/>
  <c r="L45" i="45"/>
  <c r="J44" i="45"/>
  <c r="T45" i="205"/>
  <c r="P44" i="205"/>
  <c r="R44" i="205"/>
  <c r="J44" i="205"/>
  <c r="G44" i="205"/>
  <c r="I44" i="205"/>
  <c r="F44" i="45" l="1"/>
  <c r="F44" i="205"/>
  <c r="N44" i="205"/>
  <c r="H17" i="225"/>
  <c r="O17" i="225"/>
  <c r="X17" i="224"/>
  <c r="N17" i="224"/>
  <c r="Y17" i="224"/>
  <c r="S44" i="223"/>
  <c r="U44" i="223"/>
  <c r="T44" i="223"/>
  <c r="S43" i="223"/>
  <c r="R43" i="223"/>
  <c r="U43" i="223"/>
  <c r="T43" i="223"/>
  <c r="T42" i="223"/>
  <c r="S42" i="223"/>
  <c r="U42" i="223"/>
  <c r="R41" i="223"/>
  <c r="T41" i="223"/>
  <c r="S41" i="223"/>
  <c r="U41" i="223"/>
  <c r="T40" i="223"/>
  <c r="S40" i="223"/>
  <c r="U40" i="223"/>
  <c r="U38" i="223"/>
  <c r="T38" i="223"/>
  <c r="S38" i="223"/>
  <c r="U37" i="223"/>
  <c r="S37" i="223"/>
  <c r="T37" i="223"/>
  <c r="S36" i="223"/>
  <c r="U36" i="223"/>
  <c r="T36" i="223"/>
  <c r="S35" i="223"/>
  <c r="T35" i="223"/>
  <c r="U35" i="223"/>
  <c r="U34" i="223"/>
  <c r="S34" i="223"/>
  <c r="T34" i="223"/>
  <c r="R33" i="223"/>
  <c r="T33" i="223"/>
  <c r="U33" i="223"/>
  <c r="S33" i="223"/>
  <c r="S32" i="223"/>
  <c r="T32" i="223"/>
  <c r="R32" i="223"/>
  <c r="U32" i="223"/>
  <c r="T31" i="223"/>
  <c r="S31" i="223"/>
  <c r="U31" i="223"/>
  <c r="T30" i="223"/>
  <c r="U30" i="223"/>
  <c r="S30" i="223"/>
  <c r="R27" i="223"/>
  <c r="T27" i="223"/>
  <c r="U27" i="223"/>
  <c r="S27" i="223"/>
  <c r="S26" i="223"/>
  <c r="R26" i="223"/>
  <c r="U26" i="223"/>
  <c r="T26" i="223"/>
  <c r="T25" i="223"/>
  <c r="S25" i="223"/>
  <c r="U25" i="223"/>
  <c r="T24" i="223"/>
  <c r="U24" i="223"/>
  <c r="S24" i="223"/>
  <c r="R24" i="223"/>
  <c r="S23" i="223"/>
  <c r="R23" i="223"/>
  <c r="U23" i="223"/>
  <c r="T23" i="223"/>
  <c r="T22" i="223"/>
  <c r="R22" i="223"/>
  <c r="U22" i="223"/>
  <c r="S22" i="223"/>
  <c r="B6" i="212"/>
  <c r="F5" i="212"/>
  <c r="B5" i="212"/>
  <c r="F6" i="212"/>
  <c r="E13" i="223"/>
  <c r="L15" i="223"/>
  <c r="F14" i="223"/>
  <c r="M13" i="223"/>
  <c r="K14" i="223"/>
  <c r="L12" i="223"/>
  <c r="D12" i="223"/>
  <c r="K16" i="223"/>
  <c r="R14" i="223"/>
  <c r="D13" i="223"/>
  <c r="G12" i="223"/>
  <c r="M14" i="223"/>
  <c r="K12" i="223"/>
  <c r="J13" i="223"/>
  <c r="K13" i="223"/>
  <c r="L16" i="223"/>
  <c r="M16" i="223"/>
  <c r="L13" i="223"/>
  <c r="M15" i="223"/>
  <c r="F15" i="223"/>
  <c r="T44" i="205"/>
  <c r="T13" i="223"/>
  <c r="S14" i="223"/>
  <c r="D16" i="223"/>
  <c r="T14" i="223"/>
  <c r="S16" i="223"/>
  <c r="G16" i="223"/>
  <c r="T16" i="223"/>
  <c r="G13" i="223"/>
  <c r="E15" i="223"/>
  <c r="U14" i="223"/>
  <c r="E16" i="223"/>
  <c r="F13" i="223"/>
  <c r="G15" i="223"/>
  <c r="L44" i="45"/>
  <c r="J15" i="223"/>
  <c r="L14" i="223"/>
  <c r="R16" i="223"/>
  <c r="S45" i="205"/>
  <c r="E14" i="223"/>
  <c r="E12" i="223"/>
  <c r="J14" i="223"/>
  <c r="U15" i="223"/>
  <c r="D15" i="223"/>
  <c r="F12" i="223"/>
  <c r="K15" i="223"/>
  <c r="R13" i="223"/>
  <c r="T15" i="223"/>
  <c r="S15" i="223"/>
  <c r="G14" i="223"/>
  <c r="U13" i="223"/>
  <c r="F16" i="223"/>
  <c r="S13" i="223"/>
  <c r="D14" i="223"/>
  <c r="U16" i="223"/>
  <c r="J16" i="223"/>
  <c r="M12" i="223"/>
  <c r="J12" i="223"/>
  <c r="R15" i="223"/>
  <c r="X17" i="225" l="1"/>
  <c r="N17" i="225"/>
  <c r="Y17" i="225"/>
  <c r="H13" i="223"/>
  <c r="X13" i="223" s="1"/>
  <c r="H15" i="223"/>
  <c r="X15" i="223" s="1"/>
  <c r="H14" i="223"/>
  <c r="X14" i="223" s="1"/>
  <c r="H16" i="223"/>
  <c r="X16" i="223" s="1"/>
  <c r="G17" i="223"/>
  <c r="N13" i="223"/>
  <c r="M17" i="223"/>
  <c r="O14" i="223"/>
  <c r="Y14" i="223" s="1"/>
  <c r="E17" i="223"/>
  <c r="N12" i="223"/>
  <c r="J17" i="223"/>
  <c r="N15" i="223"/>
  <c r="O13" i="223"/>
  <c r="Y13" i="223" s="1"/>
  <c r="N14" i="223"/>
  <c r="O16" i="223"/>
  <c r="Y16" i="223" s="1"/>
  <c r="O15" i="223"/>
  <c r="Y15" i="223" s="1"/>
  <c r="D17" i="223"/>
  <c r="K17" i="223"/>
  <c r="F17" i="223"/>
  <c r="N16" i="223"/>
  <c r="L17" i="223"/>
  <c r="V15" i="212"/>
  <c r="J43" i="205"/>
  <c r="A42" i="205"/>
  <c r="K43" i="205"/>
  <c r="S44" i="205"/>
  <c r="A42" i="45"/>
  <c r="H43" i="205"/>
  <c r="G43" i="45"/>
  <c r="E43" i="45"/>
  <c r="G43" i="205"/>
  <c r="I43" i="45"/>
  <c r="H43" i="45"/>
  <c r="S4" i="204"/>
  <c r="M4" i="81"/>
  <c r="E43" i="205"/>
  <c r="L43" i="205"/>
  <c r="M43" i="205"/>
  <c r="I43" i="205"/>
  <c r="F43" i="45" l="1"/>
  <c r="F43" i="205"/>
  <c r="N43" i="205"/>
  <c r="C42" i="45"/>
  <c r="C42" i="205"/>
  <c r="S6" i="204"/>
  <c r="M16" i="81"/>
  <c r="M25" i="81"/>
  <c r="M11" i="81"/>
  <c r="S12" i="204"/>
  <c r="M12" i="81"/>
  <c r="M27" i="81"/>
  <c r="M14" i="81"/>
  <c r="M10" i="81"/>
  <c r="S10" i="204"/>
  <c r="M26" i="81"/>
  <c r="S20" i="204"/>
  <c r="M5" i="81"/>
  <c r="S30" i="204"/>
  <c r="M6" i="81"/>
  <c r="S26" i="204"/>
  <c r="M8" i="81"/>
  <c r="M23" i="81"/>
  <c r="S15" i="204"/>
  <c r="M30" i="81"/>
  <c r="M17" i="81"/>
  <c r="S13" i="204"/>
  <c r="M7" i="81"/>
  <c r="S8" i="204"/>
  <c r="S9" i="204"/>
  <c r="M9" i="81"/>
  <c r="M29" i="81"/>
  <c r="M13" i="81"/>
  <c r="S22" i="204"/>
  <c r="S14" i="204"/>
  <c r="M18" i="81"/>
  <c r="M28" i="81"/>
  <c r="S24" i="204"/>
  <c r="M20" i="81"/>
  <c r="S23" i="204"/>
  <c r="S25" i="204"/>
  <c r="S28" i="204"/>
  <c r="M22" i="81"/>
  <c r="S16" i="204"/>
  <c r="S29" i="204"/>
  <c r="S21" i="204"/>
  <c r="S27" i="204"/>
  <c r="M19" i="81"/>
  <c r="S11" i="204"/>
  <c r="S7" i="204"/>
  <c r="S19" i="204"/>
  <c r="S18" i="204"/>
  <c r="M24" i="81"/>
  <c r="S17" i="204"/>
  <c r="M21" i="81"/>
  <c r="M15" i="81"/>
  <c r="M31" i="81" l="1"/>
  <c r="K21" i="212"/>
  <c r="V16" i="212"/>
  <c r="V14" i="212"/>
  <c r="V13" i="212"/>
  <c r="S5" i="204"/>
  <c r="S31" i="204" l="1"/>
  <c r="Q21" i="212"/>
  <c r="S44" i="212"/>
  <c r="T44" i="212"/>
  <c r="U44" i="212" l="1"/>
  <c r="V12" i="212" l="1"/>
  <c r="A21" i="212"/>
  <c r="T4" i="204"/>
  <c r="B21" i="212" l="1"/>
  <c r="T25" i="204"/>
  <c r="T17" i="204"/>
  <c r="T30" i="204"/>
  <c r="T11" i="204"/>
  <c r="T7" i="204"/>
  <c r="T18" i="204"/>
  <c r="T9" i="204"/>
  <c r="T29" i="204"/>
  <c r="T21" i="204"/>
  <c r="T8" i="204"/>
  <c r="T20" i="204"/>
  <c r="T14" i="204"/>
  <c r="T23" i="204"/>
  <c r="T5" i="204"/>
  <c r="T16" i="204"/>
  <c r="T15" i="204"/>
  <c r="T10" i="204"/>
  <c r="T19" i="204"/>
  <c r="T28" i="204"/>
  <c r="T26" i="204"/>
  <c r="T12" i="204"/>
  <c r="T22" i="204"/>
  <c r="T27" i="204"/>
  <c r="T24" i="204"/>
  <c r="T6" i="204"/>
  <c r="T13" i="204"/>
  <c r="T24" i="212" l="1"/>
  <c r="S24" i="212"/>
  <c r="U24" i="212"/>
  <c r="S25" i="212"/>
  <c r="T25" i="212"/>
  <c r="U25" i="212"/>
  <c r="S39" i="212" l="1"/>
  <c r="T39" i="212"/>
  <c r="U39" i="212"/>
  <c r="T26" i="212"/>
  <c r="U26" i="212"/>
  <c r="S26" i="212"/>
  <c r="S31" i="212"/>
  <c r="T31" i="212"/>
  <c r="U31" i="212"/>
  <c r="T42" i="212"/>
  <c r="U42" i="212"/>
  <c r="S42" i="212"/>
  <c r="S41" i="212"/>
  <c r="T41" i="212"/>
  <c r="U41" i="212"/>
  <c r="T34" i="212"/>
  <c r="U34" i="212"/>
  <c r="S34" i="212"/>
  <c r="T40" i="212"/>
  <c r="U40" i="212"/>
  <c r="S40" i="212"/>
  <c r="S37" i="212"/>
  <c r="T37" i="212"/>
  <c r="U37" i="212"/>
  <c r="S23" i="212"/>
  <c r="T23" i="212"/>
  <c r="U23" i="212"/>
  <c r="T38" i="212"/>
  <c r="S38" i="212"/>
  <c r="U38" i="212"/>
  <c r="S33" i="212"/>
  <c r="T33" i="212"/>
  <c r="U33" i="212"/>
  <c r="T22" i="212"/>
  <c r="U22" i="212"/>
  <c r="S22" i="212"/>
  <c r="T36" i="212"/>
  <c r="U36" i="212"/>
  <c r="S36" i="212"/>
  <c r="S35" i="212"/>
  <c r="T35" i="212"/>
  <c r="U35" i="212"/>
  <c r="S29" i="212"/>
  <c r="T29" i="212"/>
  <c r="U29" i="212"/>
  <c r="S28" i="212"/>
  <c r="T28" i="212"/>
  <c r="U28" i="212"/>
  <c r="S43" i="212"/>
  <c r="T43" i="212"/>
  <c r="U43" i="212"/>
  <c r="T32" i="212"/>
  <c r="S32" i="212"/>
  <c r="U32" i="212"/>
  <c r="T30" i="212"/>
  <c r="U30" i="212"/>
  <c r="S30" i="212"/>
  <c r="S27" i="212"/>
  <c r="T27" i="212"/>
  <c r="U27" i="212"/>
  <c r="A1" i="212"/>
  <c r="E12" i="212"/>
  <c r="S5" i="212" l="1"/>
  <c r="S6" i="212"/>
  <c r="S4" i="212"/>
  <c r="J13" i="212"/>
  <c r="L15" i="212"/>
  <c r="U16" i="212"/>
  <c r="S14" i="212"/>
  <c r="L13" i="212"/>
  <c r="M14" i="212"/>
  <c r="F13" i="212"/>
  <c r="K14" i="212"/>
  <c r="J12" i="212"/>
  <c r="M16" i="212"/>
  <c r="L14" i="212"/>
  <c r="G14" i="212"/>
  <c r="D13" i="212"/>
  <c r="R14" i="212"/>
  <c r="F16" i="212"/>
  <c r="G16" i="212"/>
  <c r="J16" i="212"/>
  <c r="G12" i="212"/>
  <c r="K15" i="212"/>
  <c r="U15" i="212"/>
  <c r="E15" i="212"/>
  <c r="U14" i="212"/>
  <c r="L16" i="212"/>
  <c r="R15" i="212"/>
  <c r="G15" i="212"/>
  <c r="T16" i="212"/>
  <c r="E16" i="212"/>
  <c r="T14" i="212"/>
  <c r="J14" i="212"/>
  <c r="S13" i="212"/>
  <c r="T15" i="212"/>
  <c r="F12" i="212"/>
  <c r="G13" i="212"/>
  <c r="D14" i="212"/>
  <c r="K13" i="212"/>
  <c r="T13" i="212"/>
  <c r="M15" i="212"/>
  <c r="F15" i="212"/>
  <c r="K12" i="212"/>
  <c r="S15" i="212"/>
  <c r="F14" i="212"/>
  <c r="J15" i="212"/>
  <c r="D16" i="212"/>
  <c r="M12" i="212"/>
  <c r="D15" i="212"/>
  <c r="E14" i="212"/>
  <c r="E13" i="212"/>
  <c r="R16" i="212"/>
  <c r="U13" i="212"/>
  <c r="M13" i="212"/>
  <c r="D12" i="212"/>
  <c r="L12" i="212"/>
  <c r="K16" i="212"/>
  <c r="R13" i="212"/>
  <c r="S16" i="212"/>
  <c r="O14" i="212" l="1"/>
  <c r="O15" i="212"/>
  <c r="O16" i="212"/>
  <c r="O13" i="212"/>
  <c r="N15" i="212"/>
  <c r="N13" i="212"/>
  <c r="N14" i="212"/>
  <c r="N16" i="212"/>
  <c r="H15" i="212"/>
  <c r="X15" i="212" s="1"/>
  <c r="B5" i="204"/>
  <c r="D3" i="204"/>
  <c r="C3" i="204"/>
  <c r="A3" i="204"/>
  <c r="Y15" i="212" l="1"/>
  <c r="H14" i="212" l="1"/>
  <c r="X14" i="212" s="1"/>
  <c r="A5" i="81"/>
  <c r="C5" i="81"/>
  <c r="Y14" i="212" l="1"/>
  <c r="H13" i="212"/>
  <c r="X13" i="212" s="1"/>
  <c r="Y13" i="212"/>
  <c r="H16" i="212"/>
  <c r="F17" i="212"/>
  <c r="D17" i="212"/>
  <c r="G17" i="212"/>
  <c r="E17" i="212"/>
  <c r="G42" i="205"/>
  <c r="H42" i="45"/>
  <c r="I42" i="205"/>
  <c r="E42" i="45"/>
  <c r="E42" i="205"/>
  <c r="G42" i="45"/>
  <c r="H42" i="205"/>
  <c r="I42" i="45"/>
  <c r="F42" i="45" l="1"/>
  <c r="F42" i="205"/>
  <c r="X16" i="212"/>
  <c r="H46" i="45"/>
  <c r="G46" i="45"/>
  <c r="I46" i="45"/>
  <c r="E46" i="45"/>
  <c r="H46" i="205"/>
  <c r="I46" i="205"/>
  <c r="G46" i="205"/>
  <c r="E46" i="205"/>
  <c r="Y16" i="212"/>
  <c r="U53" i="200"/>
  <c r="T53" i="200"/>
  <c r="S53" i="200"/>
  <c r="R53" i="200"/>
  <c r="Q53" i="200"/>
  <c r="P53" i="200"/>
  <c r="O53" i="200"/>
  <c r="N53" i="200"/>
  <c r="M53" i="200"/>
  <c r="L53" i="200"/>
  <c r="K53" i="200"/>
  <c r="J53" i="200"/>
  <c r="I53" i="200"/>
  <c r="H53" i="200"/>
  <c r="G53" i="200"/>
  <c r="F53" i="200"/>
  <c r="E53" i="200"/>
  <c r="D53" i="200"/>
  <c r="U52" i="200"/>
  <c r="T52" i="200"/>
  <c r="S52" i="200"/>
  <c r="R52" i="200"/>
  <c r="Q52" i="200"/>
  <c r="P52" i="200"/>
  <c r="O52" i="200"/>
  <c r="N52" i="200"/>
  <c r="M52" i="200"/>
  <c r="L52" i="200"/>
  <c r="K52" i="200"/>
  <c r="J52" i="200"/>
  <c r="I52" i="200"/>
  <c r="H52" i="200"/>
  <c r="G52" i="200"/>
  <c r="F52" i="200"/>
  <c r="E52" i="200"/>
  <c r="D52" i="200"/>
  <c r="U51" i="200"/>
  <c r="T51" i="200"/>
  <c r="S51" i="200"/>
  <c r="R51" i="200"/>
  <c r="Q51" i="200"/>
  <c r="P51" i="200"/>
  <c r="O51" i="200"/>
  <c r="N51" i="200"/>
  <c r="M51" i="200"/>
  <c r="L51" i="200"/>
  <c r="K51" i="200"/>
  <c r="J51" i="200"/>
  <c r="I51" i="200"/>
  <c r="H51" i="200"/>
  <c r="G51" i="200"/>
  <c r="F51" i="200"/>
  <c r="E51" i="200"/>
  <c r="D51" i="200"/>
  <c r="F46" i="45" l="1"/>
  <c r="U4" i="223"/>
  <c r="R5" i="83" l="1"/>
  <c r="Q5" i="83" l="1"/>
  <c r="U4" i="212" s="1"/>
  <c r="D44" i="200" l="1"/>
  <c r="C42" i="200"/>
  <c r="D43" i="200" s="1"/>
  <c r="A3" i="81" l="1"/>
  <c r="C3" i="81"/>
  <c r="D3" i="81"/>
  <c r="F46" i="205" l="1"/>
  <c r="T31" i="204" l="1"/>
  <c r="K17" i="212"/>
  <c r="L17" i="212"/>
  <c r="N12" i="212"/>
  <c r="J17" i="212"/>
  <c r="M17" i="212"/>
  <c r="L42" i="205"/>
  <c r="K42" i="205"/>
  <c r="J42" i="205"/>
  <c r="M42" i="205"/>
  <c r="N42" i="205" l="1"/>
  <c r="J46" i="205"/>
  <c r="L46" i="205"/>
  <c r="K46" i="205"/>
  <c r="M46" i="205"/>
  <c r="N46" i="205" l="1"/>
  <c r="S46" i="205"/>
  <c r="H10" i="205" l="1"/>
  <c r="H10" i="45"/>
  <c r="I10" i="45" l="1"/>
  <c r="I10" i="205"/>
  <c r="L10" i="205" l="1"/>
  <c r="M10" i="205" l="1"/>
  <c r="J10" i="205" l="1"/>
  <c r="S10" i="205" s="1"/>
  <c r="E10" i="205" l="1"/>
  <c r="O10" i="205"/>
  <c r="P10" i="205"/>
  <c r="F10" i="205" l="1"/>
  <c r="K10" i="205" l="1"/>
  <c r="N10" i="205" s="1"/>
  <c r="G10" i="45" l="1"/>
  <c r="G10" i="205"/>
  <c r="K10" i="45"/>
  <c r="J10" i="45" l="1"/>
  <c r="Q10" i="205"/>
  <c r="T10" i="205" s="1"/>
  <c r="R10" i="205"/>
  <c r="U10" i="205" s="1"/>
  <c r="E10" i="45"/>
  <c r="L10" i="45" l="1"/>
  <c r="F10" i="45"/>
  <c r="U21" i="223" l="1"/>
  <c r="R21" i="223"/>
  <c r="T21" i="223"/>
  <c r="S21" i="223"/>
  <c r="F21" i="212"/>
  <c r="S21" i="212" s="1"/>
  <c r="S12" i="212"/>
  <c r="U12" i="223"/>
  <c r="T12" i="223"/>
  <c r="S12" i="223"/>
  <c r="R12" i="223"/>
  <c r="S17" i="212" l="1"/>
  <c r="S17" i="223"/>
  <c r="H12" i="223"/>
  <c r="X12" i="223" s="1"/>
  <c r="T17" i="223"/>
  <c r="O12" i="223"/>
  <c r="Y12" i="223" s="1"/>
  <c r="R17" i="223"/>
  <c r="U17" i="223"/>
  <c r="R21" i="212"/>
  <c r="U21" i="212"/>
  <c r="T21" i="212"/>
  <c r="D5" i="81"/>
  <c r="O43" i="205"/>
  <c r="P43" i="205"/>
  <c r="R12" i="212"/>
  <c r="R43" i="205"/>
  <c r="U12" i="212"/>
  <c r="T12" i="212"/>
  <c r="J43" i="45"/>
  <c r="Q42" i="205"/>
  <c r="Q43" i="205"/>
  <c r="K43" i="45"/>
  <c r="K42" i="45"/>
  <c r="T17" i="212" l="1"/>
  <c r="O12" i="212"/>
  <c r="Y12" i="212" s="1"/>
  <c r="U17" i="212"/>
  <c r="R17" i="212"/>
  <c r="H12" i="212"/>
  <c r="X12" i="212" s="1"/>
  <c r="K46" i="45"/>
  <c r="Q46" i="205"/>
  <c r="E5" i="81"/>
  <c r="H17" i="223"/>
  <c r="G21" i="212"/>
  <c r="O17" i="223"/>
  <c r="O42" i="205"/>
  <c r="R42" i="205"/>
  <c r="L43" i="45"/>
  <c r="T43" i="205"/>
  <c r="U43" i="205"/>
  <c r="J42" i="45"/>
  <c r="P42" i="205"/>
  <c r="H17" i="212" l="1"/>
  <c r="X17" i="212" s="1"/>
  <c r="P46" i="205"/>
  <c r="J46" i="45"/>
  <c r="L46" i="45" s="1"/>
  <c r="O46" i="205"/>
  <c r="T46" i="205" s="1"/>
  <c r="R46" i="205"/>
  <c r="X17" i="223"/>
  <c r="N17" i="223"/>
  <c r="Y17" i="223"/>
  <c r="O17" i="212"/>
  <c r="T42" i="205"/>
  <c r="S43" i="205"/>
  <c r="U45" i="205"/>
  <c r="U42" i="205"/>
  <c r="L42" i="45"/>
  <c r="U46" i="205" l="1"/>
  <c r="N17" i="212"/>
  <c r="Y17" i="212"/>
  <c r="H11" i="81"/>
  <c r="S42" i="205"/>
  <c r="H11" i="204" l="1"/>
  <c r="H29" i="81"/>
  <c r="H29" i="204" l="1"/>
  <c r="J26" i="81"/>
  <c r="J26" i="204" l="1"/>
  <c r="I30" i="81"/>
  <c r="H13" i="81"/>
  <c r="F30" i="81"/>
  <c r="H10" i="81"/>
  <c r="I28" i="81"/>
  <c r="J24" i="81"/>
  <c r="I25" i="81"/>
  <c r="J30" i="81"/>
  <c r="H27" i="81"/>
  <c r="I20" i="81"/>
  <c r="H26" i="81"/>
  <c r="H26" i="204" l="1"/>
  <c r="I20" i="204"/>
  <c r="I30" i="204"/>
  <c r="I28" i="204"/>
  <c r="H27" i="204"/>
  <c r="I25" i="204"/>
  <c r="J24" i="204"/>
  <c r="H10" i="204"/>
  <c r="H13" i="204"/>
  <c r="K30" i="81"/>
  <c r="J30" i="204"/>
  <c r="I14" i="81"/>
  <c r="I6" i="81"/>
  <c r="I6" i="204" l="1"/>
  <c r="I14" i="204"/>
  <c r="I29" i="81"/>
  <c r="I26" i="81"/>
  <c r="J23" i="81"/>
  <c r="F10" i="81"/>
  <c r="F19" i="81"/>
  <c r="F22" i="81"/>
  <c r="H30" i="81"/>
  <c r="H9" i="81"/>
  <c r="F27" i="81"/>
  <c r="J27" i="81"/>
  <c r="J15" i="81"/>
  <c r="I9" i="81"/>
  <c r="J17" i="81"/>
  <c r="H20" i="81"/>
  <c r="F11" i="81"/>
  <c r="H25" i="81"/>
  <c r="H17" i="81"/>
  <c r="J12" i="81"/>
  <c r="I17" i="81"/>
  <c r="F17" i="81"/>
  <c r="I8" i="81"/>
  <c r="J7" i="81"/>
  <c r="F20" i="81"/>
  <c r="J8" i="81"/>
  <c r="I7" i="81"/>
  <c r="H12" i="81"/>
  <c r="H7" i="81"/>
  <c r="H28" i="81"/>
  <c r="H9" i="204" l="1"/>
  <c r="J15" i="204"/>
  <c r="J12" i="204"/>
  <c r="H30" i="204"/>
  <c r="K17" i="81"/>
  <c r="H17" i="204"/>
  <c r="H20" i="204"/>
  <c r="J27" i="204"/>
  <c r="J23" i="204"/>
  <c r="I26" i="204"/>
  <c r="H28" i="204"/>
  <c r="I9" i="204"/>
  <c r="H7" i="204"/>
  <c r="I8" i="204"/>
  <c r="J8" i="204"/>
  <c r="H12" i="204"/>
  <c r="I7" i="204"/>
  <c r="J7" i="204"/>
  <c r="I17" i="204"/>
  <c r="H25" i="204"/>
  <c r="J17" i="204"/>
  <c r="K27" i="81"/>
  <c r="I29" i="204"/>
  <c r="H9" i="205"/>
  <c r="H9" i="45"/>
  <c r="I12" i="81"/>
  <c r="H16" i="81"/>
  <c r="H15" i="81"/>
  <c r="J20" i="81"/>
  <c r="I12" i="204" l="1"/>
  <c r="H15" i="204"/>
  <c r="H16" i="204"/>
  <c r="K20" i="81"/>
  <c r="J20" i="204"/>
  <c r="H19" i="81"/>
  <c r="F26" i="81"/>
  <c r="F13" i="81"/>
  <c r="J19" i="81"/>
  <c r="H6" i="81"/>
  <c r="I27" i="81"/>
  <c r="I27" i="204" l="1"/>
  <c r="H6" i="204"/>
  <c r="H19" i="204"/>
  <c r="K26" i="81"/>
  <c r="K19" i="81"/>
  <c r="J19" i="204"/>
  <c r="J22" i="81"/>
  <c r="I16" i="81"/>
  <c r="F16" i="81"/>
  <c r="H22" i="81"/>
  <c r="F28" i="81"/>
  <c r="H22" i="204" l="1"/>
  <c r="I16" i="204"/>
  <c r="K22" i="81"/>
  <c r="J22" i="204"/>
  <c r="J10" i="81"/>
  <c r="K10" i="81" l="1"/>
  <c r="J10" i="204"/>
  <c r="I10" i="81"/>
  <c r="H24" i="81"/>
  <c r="I24" i="81"/>
  <c r="J11" i="81"/>
  <c r="F24" i="81"/>
  <c r="I22" i="81"/>
  <c r="I22" i="204" l="1"/>
  <c r="H24" i="204"/>
  <c r="K24" i="81"/>
  <c r="I10" i="204"/>
  <c r="I24" i="204"/>
  <c r="K11" i="81"/>
  <c r="J11" i="204"/>
  <c r="I11" i="81"/>
  <c r="J18" i="81"/>
  <c r="I15" i="81"/>
  <c r="H18" i="81"/>
  <c r="I11" i="204" l="1"/>
  <c r="J18" i="204"/>
  <c r="H18" i="204"/>
  <c r="I15" i="204"/>
  <c r="J6" i="81"/>
  <c r="J9" i="81"/>
  <c r="I21" i="81"/>
  <c r="J9" i="204" l="1"/>
  <c r="J6" i="204"/>
  <c r="I21" i="204"/>
  <c r="I18" i="81"/>
  <c r="F18" i="81"/>
  <c r="H21" i="81"/>
  <c r="J25" i="81"/>
  <c r="F23" i="81"/>
  <c r="F7" i="81"/>
  <c r="F9" i="81"/>
  <c r="J25" i="204" l="1"/>
  <c r="K9" i="81"/>
  <c r="H21" i="204"/>
  <c r="K18" i="81"/>
  <c r="K7" i="81"/>
  <c r="K23" i="81"/>
  <c r="I18" i="204"/>
  <c r="I19" i="81"/>
  <c r="H7" i="45" l="1"/>
  <c r="H7" i="205"/>
  <c r="I19" i="204"/>
  <c r="J16" i="81"/>
  <c r="K16" i="81" l="1"/>
  <c r="J16" i="204"/>
  <c r="J28" i="81"/>
  <c r="K28" i="81" l="1"/>
  <c r="J28" i="204"/>
  <c r="J13" i="81"/>
  <c r="K13" i="81" l="1"/>
  <c r="J13" i="204"/>
  <c r="F6" i="81"/>
  <c r="I23" i="81"/>
  <c r="F12" i="81"/>
  <c r="F15" i="81"/>
  <c r="H8" i="81"/>
  <c r="H23" i="81"/>
  <c r="F25" i="81"/>
  <c r="H14" i="81"/>
  <c r="F8" i="81"/>
  <c r="K8" i="81" l="1"/>
  <c r="H14" i="204"/>
  <c r="K25" i="81"/>
  <c r="K12" i="81"/>
  <c r="H23" i="204"/>
  <c r="H8" i="204"/>
  <c r="K6" i="81"/>
  <c r="K15" i="81"/>
  <c r="H8" i="45"/>
  <c r="H8" i="205"/>
  <c r="I23" i="204"/>
  <c r="M12" i="204"/>
  <c r="N11" i="204"/>
  <c r="M11" i="204"/>
  <c r="L18" i="204"/>
  <c r="K15" i="204"/>
  <c r="M20" i="204"/>
  <c r="L8" i="204"/>
  <c r="L6" i="204"/>
  <c r="L17" i="204"/>
  <c r="K19" i="204"/>
  <c r="L19" i="204"/>
  <c r="L30" i="204"/>
  <c r="N7" i="204"/>
  <c r="K9" i="204"/>
  <c r="K20" i="204"/>
  <c r="L10" i="204"/>
  <c r="K6" i="204"/>
  <c r="L27" i="204"/>
  <c r="M23" i="204"/>
  <c r="L23" i="204"/>
  <c r="N18" i="204"/>
  <c r="L26" i="204"/>
  <c r="N22" i="204"/>
  <c r="M25" i="204"/>
  <c r="K12" i="204"/>
  <c r="L28" i="204"/>
  <c r="L25" i="204"/>
  <c r="K25" i="204"/>
  <c r="K24" i="204"/>
  <c r="M13" i="204"/>
  <c r="M6" i="204"/>
  <c r="M18" i="204"/>
  <c r="M28" i="204"/>
  <c r="M24" i="204"/>
  <c r="M17" i="204"/>
  <c r="K17" i="204"/>
  <c r="L12" i="204"/>
  <c r="N15" i="204"/>
  <c r="M26" i="204"/>
  <c r="L11" i="204"/>
  <c r="L9" i="204"/>
  <c r="K13" i="204"/>
  <c r="N16" i="204"/>
  <c r="N10" i="204"/>
  <c r="K27" i="204"/>
  <c r="N28" i="204"/>
  <c r="M7" i="204"/>
  <c r="N23" i="204"/>
  <c r="N9" i="204"/>
  <c r="I13" i="81"/>
  <c r="K11" i="204"/>
  <c r="M15" i="204"/>
  <c r="M27" i="204"/>
  <c r="K18" i="204"/>
  <c r="N24" i="204"/>
  <c r="K28" i="204"/>
  <c r="N6" i="204"/>
  <c r="L16" i="204"/>
  <c r="N19" i="204"/>
  <c r="N12" i="204"/>
  <c r="N8" i="204"/>
  <c r="K10" i="204"/>
  <c r="K26" i="204"/>
  <c r="M16" i="204"/>
  <c r="L13" i="204"/>
  <c r="N26" i="204"/>
  <c r="N17" i="204"/>
  <c r="M19" i="204"/>
  <c r="M30" i="204"/>
  <c r="L15" i="204"/>
  <c r="K22" i="204"/>
  <c r="L20" i="204"/>
  <c r="L22" i="204"/>
  <c r="N20" i="204"/>
  <c r="F15" i="204"/>
  <c r="K23" i="204"/>
  <c r="M10" i="204"/>
  <c r="K7" i="204"/>
  <c r="N13" i="204"/>
  <c r="M9" i="204"/>
  <c r="N27" i="204"/>
  <c r="N25" i="204"/>
  <c r="L24" i="204"/>
  <c r="K16" i="204"/>
  <c r="M22" i="204"/>
  <c r="L7" i="204"/>
  <c r="N30" i="204"/>
  <c r="K30" i="204"/>
  <c r="K8" i="204"/>
  <c r="M8" i="204"/>
  <c r="I13" i="204" l="1"/>
  <c r="O15" i="204"/>
  <c r="P15" i="204"/>
  <c r="G15" i="81"/>
  <c r="L15" i="81" l="1"/>
  <c r="G15" i="204"/>
  <c r="F9" i="204"/>
  <c r="P9" i="204" l="1"/>
  <c r="Q15" i="204"/>
  <c r="R15" i="204"/>
  <c r="O9" i="204"/>
  <c r="G9" i="81"/>
  <c r="L9" i="81" l="1"/>
  <c r="G9" i="204"/>
  <c r="F20" i="204"/>
  <c r="O20" i="204" l="1"/>
  <c r="Q9" i="204"/>
  <c r="R9" i="204"/>
  <c r="P20" i="204"/>
  <c r="G20" i="81"/>
  <c r="L20" i="81" l="1"/>
  <c r="G20" i="204"/>
  <c r="F19" i="204"/>
  <c r="O19" i="204" l="1"/>
  <c r="Q20" i="204"/>
  <c r="R20" i="204"/>
  <c r="P19" i="204"/>
  <c r="G19" i="81"/>
  <c r="L19" i="81" l="1"/>
  <c r="G19" i="204"/>
  <c r="F30" i="204"/>
  <c r="O30" i="204" l="1"/>
  <c r="Q19" i="204"/>
  <c r="R19" i="204"/>
  <c r="P30" i="204"/>
  <c r="G30" i="81"/>
  <c r="L30" i="81" l="1"/>
  <c r="G30" i="204"/>
  <c r="G10" i="81"/>
  <c r="L10" i="81" l="1"/>
  <c r="Q30" i="204"/>
  <c r="R30" i="204"/>
  <c r="G10" i="204"/>
  <c r="Q10" i="204" s="1"/>
  <c r="F10" i="204"/>
  <c r="R10" i="204" l="1"/>
  <c r="O10" i="204"/>
  <c r="P10" i="204"/>
  <c r="G22" i="81"/>
  <c r="L22" i="81" l="1"/>
  <c r="G22" i="204"/>
  <c r="Q22" i="204" s="1"/>
  <c r="R22" i="204"/>
  <c r="F22" i="204"/>
  <c r="P22" i="204" l="1"/>
  <c r="O22" i="204"/>
  <c r="F13" i="204"/>
  <c r="P13" i="204" l="1"/>
  <c r="O13" i="204"/>
  <c r="G13" i="81"/>
  <c r="L13" i="81" l="1"/>
  <c r="G13" i="204"/>
  <c r="G17" i="81"/>
  <c r="L17" i="81" l="1"/>
  <c r="Q13" i="204"/>
  <c r="R13" i="204"/>
  <c r="G17" i="204"/>
  <c r="Q17" i="204" s="1"/>
  <c r="F17" i="204"/>
  <c r="R17" i="204" l="1"/>
  <c r="P17" i="204"/>
  <c r="O17" i="204"/>
  <c r="G11" i="81"/>
  <c r="L11" i="81" l="1"/>
  <c r="G11" i="204"/>
  <c r="Q11" i="204" s="1"/>
  <c r="R11" i="204"/>
  <c r="F11" i="204"/>
  <c r="O11" i="204" l="1"/>
  <c r="P11" i="204"/>
  <c r="F18" i="204"/>
  <c r="O18" i="204" l="1"/>
  <c r="P18" i="204"/>
  <c r="G18" i="81"/>
  <c r="L18" i="81" l="1"/>
  <c r="G18" i="204"/>
  <c r="F25" i="204"/>
  <c r="O25" i="204" l="1"/>
  <c r="Q18" i="204"/>
  <c r="R18" i="204"/>
  <c r="P25" i="204"/>
  <c r="G25" i="81"/>
  <c r="L25" i="81" l="1"/>
  <c r="G25" i="204"/>
  <c r="F28" i="204"/>
  <c r="O28" i="204" l="1"/>
  <c r="Q25" i="204"/>
  <c r="R25" i="204"/>
  <c r="P28" i="204"/>
  <c r="G28" i="81"/>
  <c r="L28" i="81" l="1"/>
  <c r="G28" i="204"/>
  <c r="G12" i="81"/>
  <c r="L12" i="81" l="1"/>
  <c r="Q28" i="204"/>
  <c r="R28" i="204"/>
  <c r="G12" i="204"/>
  <c r="Q12" i="204" s="1"/>
  <c r="F12" i="204"/>
  <c r="R12" i="204" l="1"/>
  <c r="O12" i="204"/>
  <c r="P12" i="204"/>
  <c r="G27" i="81"/>
  <c r="L27" i="81" l="1"/>
  <c r="G27" i="204"/>
  <c r="Q27" i="204" s="1"/>
  <c r="F27" i="204"/>
  <c r="R27" i="204" l="1"/>
  <c r="O27" i="204"/>
  <c r="P27" i="204"/>
  <c r="F6" i="204"/>
  <c r="O6" i="204" l="1"/>
  <c r="P6" i="204"/>
  <c r="G6" i="81"/>
  <c r="L6" i="81" l="1"/>
  <c r="G6" i="204"/>
  <c r="F24" i="204"/>
  <c r="P24" i="204" l="1"/>
  <c r="Q6" i="204"/>
  <c r="R6" i="204"/>
  <c r="O24" i="204"/>
  <c r="G24" i="81"/>
  <c r="L24" i="81" l="1"/>
  <c r="G24" i="204"/>
  <c r="G7" i="81"/>
  <c r="L7" i="81" l="1"/>
  <c r="Q24" i="204"/>
  <c r="R24" i="204"/>
  <c r="G7" i="204"/>
  <c r="Q7" i="204" s="1"/>
  <c r="R7" i="204"/>
  <c r="F7" i="204"/>
  <c r="P7" i="204" l="1"/>
  <c r="O7" i="204"/>
  <c r="G8" i="81"/>
  <c r="L8" i="81" l="1"/>
  <c r="G8" i="204"/>
  <c r="Q8" i="204" s="1"/>
  <c r="F8" i="204"/>
  <c r="R8" i="204" l="1"/>
  <c r="O8" i="204"/>
  <c r="P8" i="204"/>
  <c r="G16" i="81"/>
  <c r="L16" i="81" l="1"/>
  <c r="G16" i="204"/>
  <c r="Q16" i="204" s="1"/>
  <c r="F16" i="204"/>
  <c r="R16" i="204" l="1"/>
  <c r="P16" i="204"/>
  <c r="O16" i="204"/>
  <c r="G26" i="81"/>
  <c r="L26" i="81" l="1"/>
  <c r="G26" i="204"/>
  <c r="Q26" i="204" s="1"/>
  <c r="R26" i="204"/>
  <c r="F26" i="204"/>
  <c r="O26" i="204" l="1"/>
  <c r="P26" i="204"/>
  <c r="F23" i="204"/>
  <c r="P23" i="204" l="1"/>
  <c r="O23" i="204"/>
  <c r="G23" i="81"/>
  <c r="L23" i="81" l="1"/>
  <c r="G23" i="204"/>
  <c r="N14" i="204"/>
  <c r="Q23" i="204" l="1"/>
  <c r="R23" i="204"/>
  <c r="M7" i="205"/>
  <c r="N21" i="204"/>
  <c r="M14" i="204"/>
  <c r="M29" i="204"/>
  <c r="N29" i="204"/>
  <c r="M21" i="204"/>
  <c r="H5" i="81"/>
  <c r="M9" i="205" l="1"/>
  <c r="L8" i="205"/>
  <c r="M8" i="205"/>
  <c r="L7" i="205"/>
  <c r="L9" i="205"/>
  <c r="H31" i="81"/>
  <c r="H5" i="204"/>
  <c r="H31" i="204" s="1"/>
  <c r="M5" i="204"/>
  <c r="M31" i="204" l="1"/>
  <c r="L6" i="205"/>
  <c r="L11" i="205" s="1"/>
  <c r="K29" i="204"/>
  <c r="L29" i="204"/>
  <c r="J9" i="205" l="1"/>
  <c r="K9" i="205"/>
  <c r="N9" i="205" s="1"/>
  <c r="L14" i="204"/>
  <c r="F29" i="204"/>
  <c r="K7" i="205" l="1"/>
  <c r="N7" i="205" s="1"/>
  <c r="E9" i="205"/>
  <c r="P29" i="204"/>
  <c r="P9" i="205"/>
  <c r="L21" i="204"/>
  <c r="K8" i="205" l="1"/>
  <c r="N8" i="205" s="1"/>
  <c r="N5" i="204"/>
  <c r="N31" i="204" l="1"/>
  <c r="M6" i="205"/>
  <c r="M11" i="205" s="1"/>
  <c r="J29" i="81"/>
  <c r="J29" i="204" l="1"/>
  <c r="O29" i="204" s="1"/>
  <c r="O9" i="205" s="1"/>
  <c r="I9" i="205"/>
  <c r="I9" i="45"/>
  <c r="G29" i="81"/>
  <c r="G9" i="45" l="1"/>
  <c r="G9" i="205"/>
  <c r="G29" i="204"/>
  <c r="S9" i="205"/>
  <c r="F9" i="205"/>
  <c r="L29" i="81"/>
  <c r="K9" i="45" s="1"/>
  <c r="F29" i="81"/>
  <c r="K29" i="81" l="1"/>
  <c r="J9" i="45" s="1"/>
  <c r="R29" i="204"/>
  <c r="R9" i="205" s="1"/>
  <c r="U9" i="205" s="1"/>
  <c r="Q29" i="204"/>
  <c r="Q9" i="205" s="1"/>
  <c r="T9" i="205" s="1"/>
  <c r="E9" i="45"/>
  <c r="I5" i="81"/>
  <c r="L9" i="45" l="1"/>
  <c r="H6" i="45"/>
  <c r="H11" i="45" s="1"/>
  <c r="I31" i="81"/>
  <c r="H6" i="205"/>
  <c r="H11" i="205" s="1"/>
  <c r="F9" i="45"/>
  <c r="I5" i="204"/>
  <c r="I31" i="204" s="1"/>
  <c r="K21" i="204"/>
  <c r="K14" i="204"/>
  <c r="J7" i="205" l="1"/>
  <c r="J8" i="205"/>
  <c r="J21" i="81"/>
  <c r="J21" i="204" l="1"/>
  <c r="I8" i="205"/>
  <c r="S8" i="205" s="1"/>
  <c r="I8" i="45"/>
  <c r="J14" i="81"/>
  <c r="J14" i="204" l="1"/>
  <c r="I7" i="205"/>
  <c r="I7" i="45"/>
  <c r="F21" i="81"/>
  <c r="E8" i="45" l="1"/>
  <c r="S7" i="205"/>
  <c r="K21" i="81"/>
  <c r="J8" i="45"/>
  <c r="F14" i="81"/>
  <c r="K14" i="81" l="1"/>
  <c r="J7" i="45" s="1"/>
  <c r="F8" i="45"/>
  <c r="E7" i="45"/>
  <c r="F7" i="45" s="1"/>
  <c r="G14" i="81"/>
  <c r="G7" i="45" l="1"/>
  <c r="G7" i="205"/>
  <c r="L14" i="81"/>
  <c r="K7" i="45" s="1"/>
  <c r="L7" i="45" s="1"/>
  <c r="G14" i="204"/>
  <c r="Q14" i="204" s="1"/>
  <c r="Q7" i="205" s="1"/>
  <c r="R14" i="204"/>
  <c r="R7" i="205" s="1"/>
  <c r="F14" i="204"/>
  <c r="P14" i="204" l="1"/>
  <c r="P7" i="205" s="1"/>
  <c r="E7" i="205"/>
  <c r="O14" i="204"/>
  <c r="O7" i="205"/>
  <c r="G21" i="81"/>
  <c r="G8" i="205" l="1"/>
  <c r="G8" i="45"/>
  <c r="L21" i="81"/>
  <c r="K8" i="45" s="1"/>
  <c r="L8" i="45" s="1"/>
  <c r="F7" i="205"/>
  <c r="U7" i="205"/>
  <c r="T7" i="205"/>
  <c r="G21" i="204"/>
  <c r="Q21" i="204" s="1"/>
  <c r="Q8" i="205" s="1"/>
  <c r="F21" i="204"/>
  <c r="R21" i="204" l="1"/>
  <c r="R8" i="205" s="1"/>
  <c r="P21" i="204"/>
  <c r="P8" i="205" s="1"/>
  <c r="E8" i="205"/>
  <c r="O21" i="204"/>
  <c r="O8" i="205"/>
  <c r="L5" i="204"/>
  <c r="L31" i="204" l="1"/>
  <c r="F8" i="205"/>
  <c r="U8" i="205"/>
  <c r="T8" i="205"/>
  <c r="K6" i="205"/>
  <c r="K11" i="205" s="1"/>
  <c r="K5" i="204"/>
  <c r="K31" i="204" l="1"/>
  <c r="N6" i="205"/>
  <c r="N11" i="205" s="1"/>
  <c r="J6" i="205"/>
  <c r="J11" i="205" s="1"/>
  <c r="F5" i="81"/>
  <c r="F31" i="81" l="1"/>
  <c r="E6" i="45"/>
  <c r="E11" i="45" s="1"/>
  <c r="F5" i="204"/>
  <c r="F31" i="204" l="1"/>
  <c r="E6" i="205"/>
  <c r="P5" i="204"/>
  <c r="P31" i="204" s="1"/>
  <c r="P6" i="205"/>
  <c r="P11" i="205" s="1"/>
  <c r="J5" i="81"/>
  <c r="J31" i="81" l="1"/>
  <c r="K5" i="81"/>
  <c r="I6" i="45"/>
  <c r="J5" i="204"/>
  <c r="E11" i="205"/>
  <c r="I6" i="205"/>
  <c r="G5" i="81"/>
  <c r="G6" i="205" l="1"/>
  <c r="G11" i="205" s="1"/>
  <c r="G31" i="81"/>
  <c r="G6" i="45"/>
  <c r="G11" i="45" s="1"/>
  <c r="L5" i="81"/>
  <c r="S6" i="205"/>
  <c r="I11" i="205"/>
  <c r="J31" i="204"/>
  <c r="O5" i="204"/>
  <c r="F6" i="205"/>
  <c r="F11" i="205" s="1"/>
  <c r="J6" i="45"/>
  <c r="J11" i="45" s="1"/>
  <c r="K31" i="81"/>
  <c r="I11" i="45"/>
  <c r="F6" i="45"/>
  <c r="F11" i="45" s="1"/>
  <c r="G5" i="204"/>
  <c r="G31" i="204" l="1"/>
  <c r="Q5" i="204"/>
  <c r="O6" i="205"/>
  <c r="O11" i="205" s="1"/>
  <c r="O31" i="204"/>
  <c r="S11" i="205"/>
  <c r="L31" i="81"/>
  <c r="K6" i="45"/>
  <c r="R5" i="204"/>
  <c r="K11" i="45" l="1"/>
  <c r="L11" i="45" s="1"/>
  <c r="L6" i="45"/>
  <c r="R31" i="204"/>
  <c r="R6" i="205"/>
  <c r="Q31" i="204"/>
  <c r="Q6" i="205"/>
  <c r="Q11" i="205" l="1"/>
  <c r="T11" i="205" s="1"/>
  <c r="T6" i="205"/>
  <c r="R11" i="205"/>
  <c r="U11" i="205" s="1"/>
  <c r="U6" i="205"/>
</calcChain>
</file>

<file path=xl/sharedStrings.xml><?xml version="1.0" encoding="utf-8"?>
<sst xmlns="http://schemas.openxmlformats.org/spreadsheetml/2006/main" count="984" uniqueCount="334">
  <si>
    <t>■ 자산목록</t>
    <phoneticPr fontId="4" type="noConversion"/>
  </si>
  <si>
    <t>No.</t>
    <phoneticPr fontId="5" type="noConversion"/>
  </si>
  <si>
    <t>호스트명</t>
    <phoneticPr fontId="5" type="noConversion"/>
  </si>
  <si>
    <t>IP</t>
    <phoneticPr fontId="5" type="noConversion"/>
  </si>
  <si>
    <t>제조업체</t>
    <phoneticPr fontId="5" type="noConversion"/>
  </si>
  <si>
    <t>구분</t>
    <phoneticPr fontId="5" type="noConversion"/>
  </si>
  <si>
    <t>모델명</t>
    <phoneticPr fontId="5" type="noConversion"/>
  </si>
  <si>
    <t>OS/SW</t>
    <phoneticPr fontId="5" type="noConversion"/>
  </si>
  <si>
    <t>버전</t>
    <phoneticPr fontId="5" type="noConversion"/>
  </si>
  <si>
    <t>자산명/용도</t>
    <phoneticPr fontId="5" type="noConversion"/>
  </si>
  <si>
    <t>설치위치</t>
    <phoneticPr fontId="5" type="noConversion"/>
  </si>
  <si>
    <t>부서</t>
    <phoneticPr fontId="5" type="noConversion"/>
  </si>
  <si>
    <t>비고</t>
    <phoneticPr fontId="5" type="noConversion"/>
  </si>
  <si>
    <t>자산 평가</t>
    <phoneticPr fontId="5" type="noConversion"/>
  </si>
  <si>
    <t>기밀성</t>
    <phoneticPr fontId="5" type="noConversion"/>
  </si>
  <si>
    <t>무결성</t>
    <phoneticPr fontId="5" type="noConversion"/>
  </si>
  <si>
    <t>가용성</t>
    <phoneticPr fontId="5" type="noConversion"/>
  </si>
  <si>
    <t>등급</t>
    <phoneticPr fontId="5" type="noConversion"/>
  </si>
  <si>
    <t>점수(Hidden)</t>
    <phoneticPr fontId="4" type="noConversion"/>
  </si>
  <si>
    <t>-</t>
    <phoneticPr fontId="5" type="noConversion"/>
  </si>
  <si>
    <t>1. 분류 Code</t>
    <phoneticPr fontId="4" type="noConversion"/>
  </si>
  <si>
    <t>Code</t>
    <phoneticPr fontId="4" type="noConversion"/>
  </si>
  <si>
    <t>NW</t>
    <phoneticPr fontId="4" type="noConversion"/>
  </si>
  <si>
    <t>2. 중요도, 자산등급, 위협도 점수</t>
    <phoneticPr fontId="4" type="noConversion"/>
  </si>
  <si>
    <t>중요도</t>
    <phoneticPr fontId="4" type="noConversion"/>
  </si>
  <si>
    <t>점수</t>
    <phoneticPr fontId="4" type="noConversion"/>
  </si>
  <si>
    <t>H</t>
    <phoneticPr fontId="5" type="noConversion"/>
  </si>
  <si>
    <t>M</t>
    <phoneticPr fontId="5" type="noConversion"/>
  </si>
  <si>
    <t>L</t>
    <phoneticPr fontId="5" type="noConversion"/>
  </si>
  <si>
    <t>3. 점검결과 점수</t>
    <phoneticPr fontId="4" type="noConversion"/>
  </si>
  <si>
    <t>점검 결과</t>
    <phoneticPr fontId="4" type="noConversion"/>
  </si>
  <si>
    <t>취약점 진단</t>
    <phoneticPr fontId="4" type="noConversion"/>
  </si>
  <si>
    <t>위험평가</t>
    <phoneticPr fontId="4" type="noConversion"/>
  </si>
  <si>
    <t>Y</t>
    <phoneticPr fontId="5" type="noConversion"/>
  </si>
  <si>
    <t>N</t>
    <phoneticPr fontId="5" type="noConversion"/>
  </si>
  <si>
    <t>P</t>
    <phoneticPr fontId="5" type="noConversion"/>
  </si>
  <si>
    <t>N/A</t>
    <phoneticPr fontId="5" type="noConversion"/>
  </si>
  <si>
    <t>R/A</t>
    <phoneticPr fontId="5" type="noConversion"/>
  </si>
  <si>
    <t>Y(즉시조치)</t>
    <phoneticPr fontId="5" type="noConversion"/>
  </si>
  <si>
    <t>4. DoA</t>
    <phoneticPr fontId="4" type="noConversion"/>
  </si>
  <si>
    <t>DoA</t>
    <phoneticPr fontId="4" type="noConversion"/>
  </si>
  <si>
    <t>5. 자산등급 점수 범위</t>
    <phoneticPr fontId="4" type="noConversion"/>
  </si>
  <si>
    <t>8_2. 위험평가 방법론</t>
    <phoneticPr fontId="5" type="noConversion"/>
  </si>
  <si>
    <t>위험 등급</t>
    <phoneticPr fontId="4" type="noConversion"/>
  </si>
  <si>
    <t>점수 범위</t>
    <phoneticPr fontId="4" type="noConversion"/>
  </si>
  <si>
    <t>최저</t>
    <phoneticPr fontId="5" type="noConversion"/>
  </si>
  <si>
    <t>최고</t>
    <phoneticPr fontId="5" type="noConversion"/>
  </si>
  <si>
    <t>6. 위협도 점수 범위</t>
    <phoneticPr fontId="4" type="noConversion"/>
  </si>
  <si>
    <t>7. 위험도 점수 범위</t>
    <phoneticPr fontId="4" type="noConversion"/>
  </si>
  <si>
    <t>8. 위험도 평가표</t>
    <phoneticPr fontId="4" type="noConversion"/>
  </si>
  <si>
    <t>8_1. 위험도 평가표</t>
    <phoneticPr fontId="5" type="noConversion"/>
  </si>
  <si>
    <t>V'</t>
    <phoneticPr fontId="5" type="noConversion"/>
  </si>
  <si>
    <t>보호대책</t>
    <phoneticPr fontId="5" type="noConversion"/>
  </si>
  <si>
    <t>Y=0(보호대책 있음)</t>
    <phoneticPr fontId="5" type="noConversion"/>
  </si>
  <si>
    <t>N=1(보호대책 없음)</t>
    <phoneticPr fontId="5" type="noConversion"/>
  </si>
  <si>
    <t xml:space="preserve">취약점(Vulnerability) </t>
    <phoneticPr fontId="5" type="noConversion"/>
  </si>
  <si>
    <t>위협(Threats)</t>
    <phoneticPr fontId="5" type="noConversion"/>
  </si>
  <si>
    <t>자산</t>
    <phoneticPr fontId="5" type="noConversion"/>
  </si>
  <si>
    <t>■ Check List</t>
    <phoneticPr fontId="5" type="noConversion"/>
  </si>
  <si>
    <t>취약점 진단항목</t>
    <phoneticPr fontId="4" type="noConversion"/>
  </si>
  <si>
    <t>개선방안 및 보호대책</t>
    <phoneticPr fontId="4" type="noConversion"/>
  </si>
  <si>
    <t>분류</t>
    <phoneticPr fontId="4" type="noConversion"/>
  </si>
  <si>
    <t>진단항목</t>
    <phoneticPr fontId="4" type="noConversion"/>
  </si>
  <si>
    <t>위험도</t>
    <phoneticPr fontId="4" type="noConversion"/>
  </si>
  <si>
    <t>계정 관리</t>
    <phoneticPr fontId="4" type="noConversion"/>
  </si>
  <si>
    <t>접근 관리</t>
    <phoneticPr fontId="4" type="noConversion"/>
  </si>
  <si>
    <t>■ 영역별/장비별 보안수준 통계</t>
    <phoneticPr fontId="4" type="noConversion"/>
  </si>
  <si>
    <t>1) 영역별 보안수준</t>
    <phoneticPr fontId="4" type="noConversion"/>
  </si>
  <si>
    <t>진단 결과</t>
  </si>
  <si>
    <t>중요도점수</t>
  </si>
  <si>
    <t>전체항목</t>
    <phoneticPr fontId="4" type="noConversion"/>
  </si>
  <si>
    <t>양호</t>
    <phoneticPr fontId="4" type="noConversion"/>
  </si>
  <si>
    <t>취약</t>
  </si>
  <si>
    <t>해당없음</t>
  </si>
  <si>
    <t>전체점수</t>
    <phoneticPr fontId="4" type="noConversion"/>
  </si>
  <si>
    <t>평가점수</t>
    <phoneticPr fontId="4" type="noConversion"/>
  </si>
  <si>
    <t>보안수준</t>
    <phoneticPr fontId="4" type="noConversion"/>
  </si>
  <si>
    <t>계</t>
    <phoneticPr fontId="4" type="noConversion"/>
  </si>
  <si>
    <t>2) 장비별 보안수준</t>
    <phoneticPr fontId="4" type="noConversion"/>
  </si>
  <si>
    <t>장비 구분</t>
    <phoneticPr fontId="4" type="noConversion"/>
  </si>
  <si>
    <t>진단 결과</t>
    <phoneticPr fontId="4" type="noConversion"/>
  </si>
  <si>
    <t>해당없음</t>
    <phoneticPr fontId="4" type="noConversion"/>
  </si>
  <si>
    <t>이행 결과</t>
    <phoneticPr fontId="4" type="noConversion"/>
  </si>
  <si>
    <t>취약</t>
    <phoneticPr fontId="4" type="noConversion"/>
  </si>
  <si>
    <t>조치</t>
    <phoneticPr fontId="4" type="noConversion"/>
  </si>
  <si>
    <t>미조치</t>
    <phoneticPr fontId="4" type="noConversion"/>
  </si>
  <si>
    <t>위험수용</t>
    <phoneticPr fontId="4" type="noConversion"/>
  </si>
  <si>
    <t>잔여취약점
(미조치+위험수용)</t>
    <phoneticPr fontId="4" type="noConversion"/>
  </si>
  <si>
    <t>전체점수
(이행전)</t>
    <phoneticPr fontId="4" type="noConversion"/>
  </si>
  <si>
    <t>전체점수
(이행후)</t>
    <phoneticPr fontId="4" type="noConversion"/>
  </si>
  <si>
    <t>평가점수
(이행전)</t>
    <phoneticPr fontId="4" type="noConversion"/>
  </si>
  <si>
    <t>평가점수
(이행후)</t>
    <phoneticPr fontId="4" type="noConversion"/>
  </si>
  <si>
    <t>이행율</t>
    <phoneticPr fontId="4" type="noConversion"/>
  </si>
  <si>
    <t>보안수준 
(이행 전)</t>
    <phoneticPr fontId="4" type="noConversion"/>
  </si>
  <si>
    <t>보안수준 
(이행 후)</t>
    <phoneticPr fontId="4" type="noConversion"/>
  </si>
  <si>
    <t>■ 취약점 진단 항목별 통계</t>
    <phoneticPr fontId="4" type="noConversion"/>
  </si>
  <si>
    <t>진단 통계</t>
    <phoneticPr fontId="5" type="noConversion"/>
  </si>
  <si>
    <t>중요도 점수</t>
    <phoneticPr fontId="4" type="noConversion"/>
  </si>
  <si>
    <t>진단결과</t>
    <phoneticPr fontId="4" type="noConversion"/>
  </si>
  <si>
    <t>전체</t>
    <phoneticPr fontId="4" type="noConversion"/>
  </si>
  <si>
    <t>양호</t>
  </si>
  <si>
    <t>즉시조치</t>
    <phoneticPr fontId="4" type="noConversion"/>
  </si>
  <si>
    <t>N/A</t>
    <phoneticPr fontId="4" type="noConversion"/>
  </si>
  <si>
    <t>평가</t>
    <phoneticPr fontId="4" type="noConversion"/>
  </si>
  <si>
    <t>이행 진단 통계</t>
    <phoneticPr fontId="4" type="noConversion"/>
  </si>
  <si>
    <t>전체이행전</t>
    <phoneticPr fontId="4" type="noConversion"/>
  </si>
  <si>
    <t>전체이행후</t>
    <phoneticPr fontId="4" type="noConversion"/>
  </si>
  <si>
    <t>평가이행전</t>
    <phoneticPr fontId="4" type="noConversion"/>
  </si>
  <si>
    <t>평가이행후</t>
    <phoneticPr fontId="4" type="noConversion"/>
  </si>
  <si>
    <t>1) 시스템 현황</t>
    <phoneticPr fontId="4" type="noConversion"/>
  </si>
  <si>
    <t>※ 자산 평가</t>
    <phoneticPr fontId="4" type="noConversion"/>
  </si>
  <si>
    <t>HostName</t>
  </si>
  <si>
    <t>운영자산 명</t>
    <phoneticPr fontId="4" type="noConversion"/>
  </si>
  <si>
    <t>기밀성</t>
    <phoneticPr fontId="4" type="noConversion"/>
  </si>
  <si>
    <t>자산등급</t>
    <phoneticPr fontId="4" type="noConversion"/>
  </si>
  <si>
    <t>OS 종류 및 버전</t>
  </si>
  <si>
    <t>IP Address</t>
  </si>
  <si>
    <t>무결성</t>
    <phoneticPr fontId="4" type="noConversion"/>
  </si>
  <si>
    <t>담당자</t>
  </si>
  <si>
    <t>설치 위치</t>
  </si>
  <si>
    <t>가용성</t>
    <phoneticPr fontId="4" type="noConversion"/>
  </si>
  <si>
    <t>2) 진단 결과</t>
    <phoneticPr fontId="4" type="noConversion"/>
  </si>
  <si>
    <t>① 부분별 진단 결과</t>
    <phoneticPr fontId="4" type="noConversion"/>
  </si>
  <si>
    <t>본진단 결과 (이행 전)</t>
    <phoneticPr fontId="4" type="noConversion"/>
  </si>
  <si>
    <t>영역별 수준 그래프</t>
    <phoneticPr fontId="4" type="noConversion"/>
  </si>
  <si>
    <t>결과 점수</t>
    <phoneticPr fontId="4" type="noConversion"/>
  </si>
  <si>
    <t>수준</t>
    <phoneticPr fontId="4" type="noConversion"/>
  </si>
  <si>
    <t>전체점수(이행 전)</t>
    <phoneticPr fontId="4" type="noConversion"/>
  </si>
  <si>
    <t>평가점수 (이행 전)</t>
    <phoneticPr fontId="4" type="noConversion"/>
  </si>
  <si>
    <t>평가점수 (이행 후)</t>
    <phoneticPr fontId="4" type="noConversion"/>
  </si>
  <si>
    <t>전체점수(이행 후)</t>
    <phoneticPr fontId="4" type="noConversion"/>
  </si>
  <si>
    <t>본진단 결과 (이행 전)</t>
  </si>
  <si>
    <t>이행 결과</t>
  </si>
  <si>
    <t>전체 보안 수준</t>
    <phoneticPr fontId="4" type="noConversion"/>
  </si>
  <si>
    <t>전채 보안 수준</t>
    <phoneticPr fontId="4" type="noConversion"/>
  </si>
  <si>
    <t>② 상세 진단 현황</t>
    <phoneticPr fontId="4" type="noConversion"/>
  </si>
  <si>
    <t>HIDDEN 필드입니다</t>
    <phoneticPr fontId="4" type="noConversion"/>
  </si>
  <si>
    <t>진단 항목</t>
    <phoneticPr fontId="4" type="noConversion"/>
  </si>
  <si>
    <t>현황 및 문제점</t>
    <phoneticPr fontId="4" type="noConversion"/>
  </si>
  <si>
    <t>이행여부</t>
    <phoneticPr fontId="4" type="noConversion"/>
  </si>
  <si>
    <t>조치 현황</t>
    <phoneticPr fontId="4" type="noConversion"/>
  </si>
  <si>
    <t>전체점수(이행전)</t>
    <phoneticPr fontId="4" type="noConversion"/>
  </si>
  <si>
    <t>결과</t>
    <phoneticPr fontId="4" type="noConversion"/>
  </si>
  <si>
    <t>조치</t>
    <phoneticPr fontId="5" type="noConversion"/>
  </si>
  <si>
    <t>미조치</t>
    <phoneticPr fontId="5" type="noConversion"/>
  </si>
  <si>
    <t>위험수용</t>
    <phoneticPr fontId="5" type="noConversion"/>
  </si>
  <si>
    <t>Y</t>
    <phoneticPr fontId="4" type="noConversion"/>
  </si>
  <si>
    <t>Y(즉시조치)</t>
    <phoneticPr fontId="4" type="noConversion"/>
  </si>
  <si>
    <t>Y</t>
  </si>
  <si>
    <t>N/A</t>
  </si>
  <si>
    <t>계정 관리</t>
  </si>
  <si>
    <t>계정 관리</t>
    <phoneticPr fontId="4" type="noConversion"/>
  </si>
  <si>
    <t>D-01</t>
  </si>
  <si>
    <t>D-02</t>
  </si>
  <si>
    <t>D-03</t>
  </si>
  <si>
    <t>D-04</t>
  </si>
  <si>
    <t>D-12</t>
  </si>
  <si>
    <t>D-13</t>
  </si>
  <si>
    <t>DB 사용자 계정을 개별적으로 부여하여 사용</t>
  </si>
  <si>
    <t>접근 관리</t>
  </si>
  <si>
    <t>D-05</t>
  </si>
  <si>
    <t>원격에서 DB 서버로의 접속 제한</t>
  </si>
  <si>
    <t>D-14</t>
  </si>
  <si>
    <t>D-15</t>
  </si>
  <si>
    <t>D-16</t>
  </si>
  <si>
    <t>D-17</t>
  </si>
  <si>
    <t>D-18</t>
  </si>
  <si>
    <t>옵션 관리</t>
  </si>
  <si>
    <t>D-08</t>
  </si>
  <si>
    <t>D-09</t>
  </si>
  <si>
    <t>D-19</t>
  </si>
  <si>
    <t>D-20</t>
  </si>
  <si>
    <t>패치 관리</t>
  </si>
  <si>
    <t>D-10</t>
  </si>
  <si>
    <t>D-11</t>
  </si>
  <si>
    <t>D-24</t>
  </si>
  <si>
    <t>옵션 관리</t>
    <phoneticPr fontId="4" type="noConversion"/>
  </si>
  <si>
    <t>패치 관리</t>
    <phoneticPr fontId="4" type="noConversion"/>
  </si>
  <si>
    <t>로그 관리</t>
    <phoneticPr fontId="4" type="noConversion"/>
  </si>
  <si>
    <t>옵션 관리</t>
    <phoneticPr fontId="4" type="noConversion"/>
  </si>
  <si>
    <t>패치 관리</t>
    <phoneticPr fontId="4" type="noConversion"/>
  </si>
  <si>
    <t>N/A</t>
    <phoneticPr fontId="4" type="noConversion"/>
  </si>
  <si>
    <t>해당사항 없음</t>
    <phoneticPr fontId="4" type="noConversion"/>
  </si>
  <si>
    <t>DBMS</t>
    <phoneticPr fontId="4" type="noConversion"/>
  </si>
  <si>
    <t>-</t>
    <phoneticPr fontId="4" type="noConversion"/>
  </si>
  <si>
    <t>DB</t>
    <phoneticPr fontId="4" type="noConversion"/>
  </si>
  <si>
    <t>DB</t>
    <phoneticPr fontId="5" type="noConversion"/>
  </si>
  <si>
    <t>이지훈</t>
    <phoneticPr fontId="4" type="noConversion"/>
  </si>
  <si>
    <t>김승우</t>
    <phoneticPr fontId="5" type="noConversion"/>
  </si>
  <si>
    <t>Oracle</t>
    <phoneticPr fontId="5" type="noConversion"/>
  </si>
  <si>
    <t>10.3.39</t>
    <phoneticPr fontId="5" type="noConversion"/>
  </si>
  <si>
    <t>담당자</t>
    <phoneticPr fontId="5" type="noConversion"/>
  </si>
  <si>
    <t>-</t>
    <phoneticPr fontId="5" type="noConversion"/>
  </si>
  <si>
    <t>MariaDB Server</t>
    <phoneticPr fontId="5" type="noConversion"/>
  </si>
  <si>
    <t>MariaDB Corporation</t>
    <phoneticPr fontId="5" type="noConversion"/>
  </si>
  <si>
    <t>-</t>
    <phoneticPr fontId="5" type="noConversion"/>
  </si>
  <si>
    <t>N</t>
  </si>
  <si>
    <t>해당사항 없음</t>
    <phoneticPr fontId="4" type="noConversion"/>
  </si>
  <si>
    <t>DB / php 서비스 Maria</t>
    <phoneticPr fontId="4" type="noConversion"/>
  </si>
  <si>
    <t xml:space="preserve">리눅스 운영체제 사용 중이므로 해당사항 없음 </t>
    <phoneticPr fontId="4" type="noConversion"/>
  </si>
  <si>
    <t xml:space="preserve">umask가 022 이상으로 설정되어 있으므로 양호 </t>
    <phoneticPr fontId="4" type="noConversion"/>
  </si>
  <si>
    <t>해당사항 없음</t>
    <phoneticPr fontId="4" type="noConversion"/>
  </si>
  <si>
    <t>grant_priv 권한이 있는 일반 사용자 계정 없으므로 양호</t>
    <phoneticPr fontId="4" type="noConversion"/>
  </si>
  <si>
    <t>인터뷰</t>
  </si>
  <si>
    <t>현재 8.0.43 버전 사용 중이고 상위 버전(8.0.45)이 릴리즈된 상태임</t>
    <phoneticPr fontId="4" type="noConversion"/>
  </si>
  <si>
    <t>community edition을 직접 설치하여 사용 중이며 감사 기능 없음</t>
    <phoneticPr fontId="4" type="noConversion"/>
  </si>
  <si>
    <t>현재 8.0.43 버전 사용 중, 다수 취약점이 해결되었다는 릴리즈 노트 내용이 있으므로 양호</t>
    <phoneticPr fontId="4" type="noConversion"/>
  </si>
  <si>
    <t>Audit 기능 없음</t>
    <phoneticPr fontId="4" type="noConversion"/>
  </si>
  <si>
    <t xml:space="preserve">기본 계정, 직원용 계정 외 미사용 계정 없으므로 양호
root, br_cont_dev, admin, br_dev_1, br_dev_2. br_dev_3, br_dev_4, br_dev_5
</t>
    <phoneticPr fontId="4" type="noConversion"/>
  </si>
  <si>
    <t>여러 사용자에게 공통 적용되는 role을 제외하면 사용자별로 다른 계정을 사용 중이므로 양호</t>
    <phoneticPr fontId="4" type="noConversion"/>
  </si>
  <si>
    <t>전역 권한을 갖는 admin, root를 제외하면 사용자 계정 중 시스템 계정에 권한을 가진 계정 없으므로 양호</t>
    <phoneticPr fontId="4" type="noConversion"/>
  </si>
  <si>
    <t>전역 권한을 갖는 admin, root를 제외하면 사용자 계정 중 시스템 계정에 권한을 가진 계정 없음으므로 양호</t>
    <phoneticPr fontId="4" type="noConversion"/>
  </si>
  <si>
    <t xml:space="preserve">감사 정책 기능 없음 </t>
    <phoneticPr fontId="4" type="noConversion"/>
  </si>
  <si>
    <t>현재 10.3.39 버전 사용 중이고 CVE-2022-47015 취약점이 해결되었다는 내용이 있으나 10.3 시리즈는 EOL 되어 보안 패치가 이루어지지 않을 예정이므로 주의 요구됨</t>
    <phoneticPr fontId="4" type="noConversion"/>
  </si>
  <si>
    <t>현재 10.3.39 버전 사용 중이고 10.3 버전은 EOL 예정임</t>
    <phoneticPr fontId="4" type="noConversion"/>
  </si>
  <si>
    <t>Audit Table 사용하지 않음</t>
    <phoneticPr fontId="4" type="noConversion"/>
  </si>
  <si>
    <t>본사 DB 데이터 백업</t>
    <phoneticPr fontId="4" type="noConversion"/>
  </si>
  <si>
    <t>지사 DB 데이터 백업</t>
    <phoneticPr fontId="4" type="noConversion"/>
  </si>
  <si>
    <t>본사 내부 서버망</t>
    <phoneticPr fontId="4" type="noConversion"/>
  </si>
  <si>
    <t>지사 내부 서버망</t>
    <phoneticPr fontId="5" type="noConversion"/>
  </si>
  <si>
    <t>본사 백업 서버망</t>
    <phoneticPr fontId="4" type="noConversion"/>
  </si>
  <si>
    <t>지사 백업 서버망</t>
    <phoneticPr fontId="5" type="noConversion"/>
  </si>
  <si>
    <t>8.0.43</t>
    <phoneticPr fontId="5" type="noConversion"/>
  </si>
  <si>
    <t>MySQL Server</t>
    <phoneticPr fontId="5" type="noConversion"/>
  </si>
  <si>
    <t xml:space="preserve">디폴트 패스워드 변경됨, root 계정으로 비밀번호 없이 로그인 불가능 </t>
    <phoneticPr fontId="4" type="noConversion"/>
  </si>
  <si>
    <t>8자리 이상, 숫자 포함, 특수문자 포함, 대소문자 조합을 만족하도록 복잡성 설정됨, 패스워드 사용기간 설정됨</t>
    <phoneticPr fontId="4" type="noConversion"/>
  </si>
  <si>
    <t>일반 사용자 계정에 관리자 권한 부여하지 않음</t>
    <phoneticPr fontId="4" type="noConversion"/>
  </si>
  <si>
    <t>원격에서의 DB 서버 접속 제한함</t>
    <phoneticPr fontId="4" type="noConversion"/>
  </si>
  <si>
    <t>리눅스 운영체제 사용 중이므로 해당사항 없음</t>
    <phoneticPr fontId="4" type="noConversion"/>
  </si>
  <si>
    <t xml:space="preserve">community edition을 직접 설치하여 사용 중이며 감사 기능 없음 </t>
    <phoneticPr fontId="4" type="noConversion"/>
  </si>
  <si>
    <t xml:space="preserve">Audit 기능 없음 </t>
    <phoneticPr fontId="4" type="noConversion"/>
  </si>
  <si>
    <t>현재 10.3.39 버전 사용 중이고 CVE-2022-47015 취약점이 해결되었다는 내용이 있으나 10.3 시리즈는 EOL 되어 보안 패치가 이루어지지 않을 예정이므로 주의 요구됨</t>
  </si>
  <si>
    <t xml:space="preserve">8자리 이상, 숫자 포함, 특수문자 포함, 대소문자 조합을 만족하도록 복잡성 설정되어있으나 비밀번호 사용기간 변수가 없음 </t>
    <phoneticPr fontId="4" type="noConversion"/>
  </si>
  <si>
    <t>현재 10.3.39 버전 사용 중이고 10.3 버전은 EOL 예정임</t>
  </si>
  <si>
    <t xml:space="preserve">감사 정책 기능 없음 </t>
  </si>
  <si>
    <t>Audit Table 사용하지 않음</t>
  </si>
  <si>
    <t>여러 사용자에게 공통 적용되는 role을 제외하면 사용자별로 다른 계정을 사용 중이므로 양호</t>
  </si>
  <si>
    <t>전역 권한을 갖는 admin, root를 제외하면 사용자 계정 중 시스템 계정에 권한을 가진 계정 없으므로 양호</t>
  </si>
  <si>
    <t xml:space="preserve">umask가 022 이상으로 설정되어 있으므로 양호 </t>
  </si>
  <si>
    <t>grant_priv 권한이 있는 일반 사용자 계정 없으므로 양호</t>
  </si>
  <si>
    <t>현재 8.0.43 버전 사용 중, 다수 취약점이 해결되었다는 릴리즈 노트 내용이 있으므로 양호</t>
  </si>
  <si>
    <t>전역 권한을 갖는 admin, root를 제외하면 사용자 계정 중 시스템 계정에 권한을 가진 계정 없음으므로 양호</t>
  </si>
  <si>
    <t>기본 계정, 직원용 계정 외 미사용 계정 없으므로 양호</t>
    <phoneticPr fontId="4" type="noConversion"/>
  </si>
  <si>
    <t xml:space="preserve">디폴트 패스워드 변경됨, root 계정으로 비밀번호 없이 로그인 불가능 	</t>
    <phoneticPr fontId="4" type="noConversion"/>
  </si>
  <si>
    <t>8자리 이상, 숫자 포함, 특수문자 포함, 대소문자 조합을 만족하도록 복잡성 설정되어있으나 비밀번호 사용기간 변수가 없음</t>
    <phoneticPr fontId="4" type="noConversion"/>
  </si>
  <si>
    <t>root만 주요 파일의 수정 권한을 가지도록 설정함</t>
    <phoneticPr fontId="4" type="noConversion"/>
  </si>
  <si>
    <t>D-06</t>
  </si>
  <si>
    <t>D-07</t>
  </si>
  <si>
    <t>D-21</t>
  </si>
  <si>
    <t>D-22</t>
  </si>
  <si>
    <t>D-23</t>
  </si>
  <si>
    <t>D-25</t>
  </si>
  <si>
    <t>D-26</t>
  </si>
  <si>
    <t>기본 계정의 비밀번호, 정책 등을 변경하여 사용</t>
  </si>
  <si>
    <t>H</t>
  </si>
  <si>
    <t>데이터베이스의 불필요 계정을 제거하거나, 잠금설정 후 사용</t>
  </si>
  <si>
    <t>비밀번호 사용 기간 및 복잡도를 기관의 정책에 맞도록 설정</t>
  </si>
  <si>
    <t>데이터베이스 관리자 권한을 꼭 필요한 계정 및 그룹에 대해서만 허용</t>
  </si>
  <si>
    <t>비밀번호 재사용에 대한 제약 설정</t>
  </si>
  <si>
    <t>M</t>
  </si>
  <si>
    <t>root 권한으로 서비스 구동 제한</t>
  </si>
  <si>
    <t>안전한 암호화 알고리즘 사용</t>
  </si>
  <si>
    <t>일정 횟수의 로그인 실패 시 이에 대한 잠금정책 설정</t>
  </si>
  <si>
    <t>DBA 이외의 인가되지 않은 사용자가 시스템 테이블에 접근할 수 없도록 설정</t>
  </si>
  <si>
    <t>안전한 리스너 비밀번호 설정 및 사용</t>
  </si>
  <si>
    <t>불필요한 ODBC/OLE-DB 데이터 소스와 드라이브를 제거하여 사용</t>
  </si>
  <si>
    <t>데이터베이스의 주요 설정파일, 비밀번호 파일 등과 같은 주요 파일들의 접근 권한이 적절하게 설정</t>
  </si>
  <si>
    <t>관리자 이외의 사용자가 오라클 리스너의 접속을 통해 리스너 로그 및 trace 파일에 대한 변경 제한</t>
  </si>
  <si>
    <t>L</t>
  </si>
  <si>
    <t>Windows 인증 모드 사용</t>
  </si>
  <si>
    <t>Audit Table은 데이터베이스 관리자 계정에 접근하도록 제한</t>
  </si>
  <si>
    <t>응용프로그램 또는 DBA 계정의 Role이 Public으로 설정되지 않도록 조정</t>
  </si>
  <si>
    <t>OS_ROLES, REMOTE_OS_AUTHENTICATION, REMOTE_OS_ROLES를 FALSE로 설정</t>
  </si>
  <si>
    <t>인가되지 않은 Object Owner의 제한</t>
  </si>
  <si>
    <t>인가되지 않은 GRANT OPTION 사용 제한</t>
  </si>
  <si>
    <t>데이터베이스의 자원 제한 기능을 TRUE로 설정</t>
  </si>
  <si>
    <t>xp_cmdshell 사용 제한</t>
  </si>
  <si>
    <t>Registry Procedure 권한 제한</t>
  </si>
  <si>
    <t>주기적 보안 패치 및 벤더 권고 사항 적용</t>
  </si>
  <si>
    <t>데이터베이스의 접근, 변경, 삭제 등의 감사 기록이 기관의 감사 기록 정책에 적합하도록 설정</t>
  </si>
  <si>
    <t>기본(관리자) 계정의 초기 비밀번호 및 권한 정책 변경</t>
  </si>
  <si>
    <t>계정별 용도를 파악한 후 불필요한 계정 삭제</t>
  </si>
  <si>
    <t>기관 정책에 맞게 비밀번호 사용 기간 및 복잡도 정책 설정</t>
  </si>
  <si>
    <t>관리자 권한이 필요한 계정 및 그룹에만 관리자 권한 부여</t>
  </si>
  <si>
    <t>비밀번호 재사용 제한 정책을 설정하여 동일 비밀번호의 반복 사용 제한</t>
  </si>
  <si>
    <t>DB 사용자 계정을 공동 사용하지 않고 사용자별로 개별 부여</t>
  </si>
  <si>
    <t>DBMS 서비스를 root 권한이 아닌 별도 서비스 계정으로 구동</t>
  </si>
  <si>
    <t>안전한 암호화 알고리즘을 사용하도록 설정</t>
  </si>
  <si>
    <t>일정 횟수 이상 로그인 실패 시 계정 잠금 정책 설정</t>
  </si>
  <si>
    <t>원격에서 DB 서버로의 접속을 허용된 IP 또는 사용자로 제한</t>
  </si>
  <si>
    <t>DBA 이외의 인가되지 않은 사용자의 시스템 테이블 접근 권한 제한</t>
  </si>
  <si>
    <t>리스너에 안전한 비밀번호를 설정하고 권한 없는 접근 제한</t>
  </si>
  <si>
    <t>불필요한 ODBC/OLE-DB 데이터 소스와 드라이버 제거</t>
  </si>
  <si>
    <t>데이터베이스 주요 설정파일 및 비밀번호 파일의 접근 권한을 적절하게 설정</t>
  </si>
  <si>
    <t>관리자 이외 사용자의 리스너 로그 및 trace 파일 변경 권한 제한</t>
  </si>
  <si>
    <t>Windows 인증 모드를 사용하도록 설정</t>
  </si>
  <si>
    <t>Audit Table 접근 권한을 데이터베이스 관리자 계정으로 제한</t>
  </si>
  <si>
    <t>응용프로그램 또는 DBA 계정의 Role이 Public으로 설정되지 않도록 변경</t>
  </si>
  <si>
    <t>Object Owner를 SYS, SYSTEM, 관리자 계정으로 제한 설정</t>
  </si>
  <si>
    <t>WITH_GRANT_OPTION이 ROLE에 의하여 설정되도록 변경</t>
  </si>
  <si>
    <t>RESOURCE_LIMIT 설정을 TRUE로 설정 변경</t>
  </si>
  <si>
    <t>xp_cmdshell 설정 값을 0 또는 False로 설정</t>
  </si>
  <si>
    <t>guest/public에게 부여된 시스템 확장 저장 프로시저 권한 제거</t>
  </si>
  <si>
    <t>보안 패치가 적용된 버전으로 업데이트</t>
  </si>
  <si>
    <t>DBMS에 대한 감사 로그 저장 정책 수립, 적용</t>
  </si>
  <si>
    <t>현재 8.0.44 버전 사용 중, 다수 취약점이 해결되었다는 릴리즈 노트 내용이 있으므로 양호</t>
  </si>
  <si>
    <t>BDB_BR_Rocky</t>
    <phoneticPr fontId="4" type="noConversion"/>
  </si>
  <si>
    <t>10.10.40.18</t>
    <phoneticPr fontId="4" type="noConversion"/>
  </si>
  <si>
    <t>10.200.40.18</t>
    <phoneticPr fontId="5" type="noConversion"/>
  </si>
  <si>
    <t>10.10.40.33</t>
    <phoneticPr fontId="4" type="noConversion"/>
  </si>
  <si>
    <t>10.200.40.33</t>
    <phoneticPr fontId="5" type="noConversion"/>
  </si>
  <si>
    <t>개발팀</t>
    <phoneticPr fontId="4" type="noConversion"/>
  </si>
  <si>
    <t>개발팀</t>
    <phoneticPr fontId="5" type="noConversion"/>
  </si>
  <si>
    <t>개발팀</t>
    <phoneticPr fontId="4" type="noConversion"/>
  </si>
  <si>
    <t>개발팀</t>
    <phoneticPr fontId="5" type="noConversion"/>
  </si>
  <si>
    <t>DB / 딩동독 서비스 MySQL</t>
    <phoneticPr fontId="4" type="noConversion"/>
  </si>
  <si>
    <t>DB_HQ_Rocky</t>
    <phoneticPr fontId="5" type="noConversion"/>
  </si>
  <si>
    <t>DB_BR_Rocky</t>
    <phoneticPr fontId="4" type="noConversion"/>
  </si>
  <si>
    <t>BDB_HQ_Rocky</t>
    <phoneticPr fontId="5" type="noConversion"/>
  </si>
  <si>
    <t>기본 계정인 root의 패스워드를 설정하여 양호함
기본 계정의 초기 비밀번호를 변경</t>
    <phoneticPr fontId="4" type="noConversion"/>
  </si>
  <si>
    <t>불필요한 계정이 없으므로 양호함</t>
    <phoneticPr fontId="4" type="noConversion"/>
  </si>
  <si>
    <t>비밀번호 복잡도, 사용기간 설정되어있지 않으므로 취약
기관 정책에 맞게 비밀번호 사용 기간 및 복잡도 정책 설정 필요</t>
    <phoneticPr fontId="4" type="noConversion"/>
  </si>
  <si>
    <t>관리자 권한이 필요한 계정 및 그룹에만 관리자 권한이 부여되어있어 양호
root 계정 외에 부여된 계정 없음</t>
    <phoneticPr fontId="4" type="noConversion"/>
  </si>
  <si>
    <t>하나의 공용 계정 사용 중이므로 취약함</t>
    <phoneticPr fontId="4" type="noConversion"/>
  </si>
  <si>
    <t>DBMS가 root 계정 또는 root 권한으로 구동되고 있는지 확인 필요</t>
    <phoneticPr fontId="4" type="noConversion"/>
  </si>
  <si>
    <t>암호화 알고리즘 사용하지 않으므로 취약함</t>
    <phoneticPr fontId="4" type="noConversion"/>
  </si>
  <si>
    <t xml:space="preserve"> DB 서버에 지정된 IP주소에서만 접근 가능하도록 제한되어있어 양호함 </t>
    <phoneticPr fontId="4" type="noConversion"/>
  </si>
  <si>
    <t>회사에서 사용하는 데이터베이스의 테이블에만 접근 가능하도록 설정되어있어 양호함</t>
    <phoneticPr fontId="4" type="noConversion"/>
  </si>
  <si>
    <t>해당사항 없음</t>
    <phoneticPr fontId="4" type="noConversion"/>
  </si>
  <si>
    <t>해당사항 없음</t>
    <phoneticPr fontId="4" type="noConversion"/>
  </si>
  <si>
    <t>주요 설정 파일 및 디렉터리의 권한 설정 시 일반 사용자의 수정 권한을 제거하여 양호함
my.cnf 설정 파일 접근권한을 600으로 설정</t>
    <phoneticPr fontId="4" type="noConversion"/>
  </si>
  <si>
    <t>해당사항 없음</t>
    <phoneticPr fontId="4" type="noConversion"/>
  </si>
  <si>
    <t>보안 패치가 적용된 버전을 사용하고있으므로 양호함</t>
    <phoneticPr fontId="4" type="noConversion"/>
  </si>
  <si>
    <t>해당사항 없음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</si>
</sst>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%"/>
    <numFmt numFmtId="177" formatCode="#,##0_ "/>
  </numFmts>
  <fonts count="46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color indexed="8"/>
      <name val="맑은 고딕"/>
      <family val="3"/>
      <charset val="129"/>
      <scheme val="minor"/>
    </font>
    <font>
      <b/>
      <sz val="8"/>
      <color indexed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11"/>
      <color theme="0"/>
      <name val="돋움"/>
      <family val="3"/>
      <charset val="129"/>
    </font>
    <font>
      <b/>
      <sz val="9"/>
      <color theme="0"/>
      <name val="맑은 고딕"/>
      <family val="3"/>
      <charset val="129"/>
      <scheme val="maj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ajor"/>
    </font>
    <font>
      <sz val="8"/>
      <name val="맑은 고딕"/>
      <family val="3"/>
      <charset val="129"/>
      <scheme val="major"/>
    </font>
    <font>
      <u/>
      <sz val="11"/>
      <color theme="10"/>
      <name val="돋움"/>
      <family val="3"/>
      <charset val="129"/>
    </font>
    <font>
      <sz val="8"/>
      <color indexed="8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  <font>
      <b/>
      <u/>
      <sz val="8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inor"/>
    </font>
    <font>
      <b/>
      <sz val="9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inor"/>
    </font>
    <font>
      <b/>
      <sz val="8"/>
      <color theme="0" tint="-4.9989318521683403E-2"/>
      <name val="맑은 고딕"/>
      <family val="3"/>
      <charset val="129"/>
      <scheme val="major"/>
    </font>
    <font>
      <b/>
      <u/>
      <sz val="8"/>
      <color theme="0" tint="-4.9989318521683403E-2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9"/>
      <color rgb="FF000000"/>
      <name val="맑은 고딕"/>
      <family val="3"/>
      <charset val="129"/>
    </font>
    <font>
      <sz val="9"/>
      <color rgb="FFFF0000"/>
      <name val="맑은 고딕"/>
      <family val="3"/>
      <charset val="129"/>
    </font>
    <font>
      <sz val="11"/>
      <name val="Carlito"/>
    </font>
    <font>
      <sz val="9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73190"/>
        <bgColor indexed="64"/>
      </patternFill>
    </fill>
    <fill>
      <patternFill patternType="solid">
        <fgColor rgb="FF3C6FE0"/>
        <bgColor indexed="64"/>
      </patternFill>
    </fill>
    <fill>
      <patternFill patternType="solid">
        <fgColor rgb="FF92AEEE"/>
        <bgColor indexed="64"/>
      </patternFill>
    </fill>
    <fill>
      <patternFill patternType="solid">
        <fgColor rgb="FFC9D7F7"/>
        <bgColor indexed="64"/>
      </patternFill>
    </fill>
  </fills>
  <borders count="8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indexed="64"/>
      </bottom>
      <diagonal/>
    </border>
    <border>
      <left/>
      <right style="medium">
        <color theme="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0"/>
      </left>
      <right style="medium">
        <color theme="0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 style="medium">
        <color indexed="64"/>
      </right>
      <top style="medium">
        <color indexed="64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thin">
        <color indexed="64"/>
      </bottom>
      <diagonal/>
    </border>
    <border>
      <left style="medium">
        <color theme="0"/>
      </left>
      <right/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medium">
        <color indexed="64"/>
      </top>
      <bottom style="thin">
        <color indexed="64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0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theme="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thin">
        <color indexed="64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theme="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theme="0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indexed="64"/>
      </top>
      <bottom/>
      <diagonal/>
    </border>
    <border>
      <left style="medium">
        <color theme="0"/>
      </left>
      <right style="medium">
        <color theme="0"/>
      </right>
      <top style="thin">
        <color theme="0"/>
      </top>
      <bottom/>
      <diagonal/>
    </border>
    <border>
      <left style="medium">
        <color theme="0"/>
      </left>
      <right style="thin">
        <color indexed="64"/>
      </right>
      <top style="thin">
        <color theme="0"/>
      </top>
      <bottom/>
      <diagonal/>
    </border>
  </borders>
  <cellStyleXfs count="11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5" fillId="0" borderId="0">
      <alignment vertical="center"/>
    </xf>
    <xf numFmtId="0" fontId="2" fillId="0" borderId="0">
      <alignment vertical="center"/>
    </xf>
    <xf numFmtId="0" fontId="26" fillId="0" borderId="0">
      <alignment vertical="center"/>
    </xf>
    <xf numFmtId="0" fontId="29" fillId="0" borderId="0" applyNumberForma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4" fillId="0" borderId="0"/>
  </cellStyleXfs>
  <cellXfs count="313">
    <xf numFmtId="0" fontId="0" fillId="0" borderId="0" xfId="0">
      <alignment vertical="center"/>
    </xf>
    <xf numFmtId="9" fontId="8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>
      <alignment vertical="center"/>
    </xf>
    <xf numFmtId="0" fontId="10" fillId="0" borderId="0" xfId="0" applyFont="1" applyAlignment="1">
      <alignment vertical="top" wrapText="1"/>
    </xf>
    <xf numFmtId="0" fontId="11" fillId="2" borderId="0" xfId="0" applyFont="1" applyFill="1" applyAlignment="1">
      <alignment vertical="top" wrapText="1"/>
    </xf>
    <xf numFmtId="9" fontId="10" fillId="0" borderId="0" xfId="0" applyNumberFormat="1" applyFont="1" applyAlignment="1">
      <alignment horizontal="center" vertical="center" wrapText="1"/>
    </xf>
    <xf numFmtId="0" fontId="12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6" fillId="0" borderId="0" xfId="0" applyFont="1">
      <alignment vertic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left" vertical="center"/>
    </xf>
    <xf numFmtId="0" fontId="16" fillId="3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176" fontId="20" fillId="0" borderId="2" xfId="0" applyNumberFormat="1" applyFont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22" fillId="6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1" fillId="7" borderId="3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13" fillId="8" borderId="0" xfId="0" applyFont="1" applyFill="1">
      <alignment vertical="center"/>
    </xf>
    <xf numFmtId="0" fontId="15" fillId="0" borderId="3" xfId="0" applyFont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/>
    </xf>
    <xf numFmtId="0" fontId="16" fillId="5" borderId="12" xfId="0" applyFont="1" applyFill="1" applyBorder="1" applyAlignment="1">
      <alignment horizontal="center" vertical="center"/>
    </xf>
    <xf numFmtId="0" fontId="30" fillId="0" borderId="2" xfId="0" applyFont="1" applyBorder="1" applyAlignment="1">
      <alignment horizontal="center" vertical="center" wrapText="1"/>
    </xf>
    <xf numFmtId="0" fontId="28" fillId="0" borderId="2" xfId="0" applyFont="1" applyBorder="1" applyAlignment="1">
      <alignment horizontal="center" vertical="center"/>
    </xf>
    <xf numFmtId="0" fontId="5" fillId="0" borderId="2" xfId="6" applyFont="1" applyFill="1" applyBorder="1" applyAlignment="1">
      <alignment horizontal="center" vertical="center"/>
    </xf>
    <xf numFmtId="0" fontId="15" fillId="0" borderId="2" xfId="6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 wrapText="1"/>
    </xf>
    <xf numFmtId="0" fontId="16" fillId="10" borderId="2" xfId="0" applyFont="1" applyFill="1" applyBorder="1" applyAlignment="1">
      <alignment horizontal="center" vertical="center"/>
    </xf>
    <xf numFmtId="0" fontId="31" fillId="0" borderId="0" xfId="0" applyFont="1">
      <alignment vertical="center"/>
    </xf>
    <xf numFmtId="0" fontId="16" fillId="4" borderId="2" xfId="0" applyFont="1" applyFill="1" applyBorder="1" applyAlignment="1" applyProtection="1">
      <alignment horizontal="center" vertical="center" wrapText="1"/>
      <protection locked="0"/>
    </xf>
    <xf numFmtId="0" fontId="16" fillId="4" borderId="5" xfId="0" applyFont="1" applyFill="1" applyBorder="1" applyAlignment="1" applyProtection="1">
      <alignment horizontal="center" vertical="center" wrapText="1"/>
      <protection locked="0"/>
    </xf>
    <xf numFmtId="0" fontId="10" fillId="0" borderId="1" xfId="0" applyFont="1" applyBorder="1">
      <alignment vertical="center"/>
    </xf>
    <xf numFmtId="0" fontId="15" fillId="0" borderId="0" xfId="0" applyFont="1" applyAlignment="1">
      <alignment horizontal="center" vertical="center" wrapText="1"/>
    </xf>
    <xf numFmtId="0" fontId="12" fillId="0" borderId="1" xfId="0" applyFont="1" applyBorder="1">
      <alignment vertical="center"/>
    </xf>
    <xf numFmtId="0" fontId="16" fillId="0" borderId="0" xfId="0" applyFont="1" applyAlignment="1">
      <alignment horizontal="left" vertical="center" indent="2"/>
    </xf>
    <xf numFmtId="176" fontId="15" fillId="0" borderId="2" xfId="0" applyNumberFormat="1" applyFont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30" fillId="0" borderId="2" xfId="7" applyNumberFormat="1" applyFont="1" applyFill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/>
    </xf>
    <xf numFmtId="176" fontId="30" fillId="0" borderId="2" xfId="7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176" fontId="13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176" fontId="15" fillId="0" borderId="3" xfId="0" applyNumberFormat="1" applyFont="1" applyBorder="1" applyAlignment="1">
      <alignment horizontal="center" vertical="center"/>
    </xf>
    <xf numFmtId="176" fontId="13" fillId="0" borderId="7" xfId="0" applyNumberFormat="1" applyFont="1" applyBorder="1" applyAlignment="1">
      <alignment horizontal="center" vertical="center"/>
    </xf>
    <xf numFmtId="176" fontId="13" fillId="0" borderId="13" xfId="0" applyNumberFormat="1" applyFont="1" applyBorder="1" applyAlignment="1">
      <alignment horizontal="center" vertical="center"/>
    </xf>
    <xf numFmtId="0" fontId="16" fillId="4" borderId="0" xfId="0" applyFont="1" applyFill="1" applyAlignment="1" applyProtection="1">
      <alignment horizontal="center" vertical="center" wrapText="1"/>
      <protection locked="0"/>
    </xf>
    <xf numFmtId="0" fontId="1" fillId="6" borderId="0" xfId="8" applyFill="1" applyAlignment="1">
      <alignment horizontal="center" vertical="center"/>
    </xf>
    <xf numFmtId="0" fontId="1" fillId="6" borderId="0" xfId="8" applyFill="1">
      <alignment vertical="center"/>
    </xf>
    <xf numFmtId="0" fontId="1" fillId="0" borderId="0" xfId="8">
      <alignment vertical="center"/>
    </xf>
    <xf numFmtId="0" fontId="1" fillId="0" borderId="0" xfId="8" applyAlignment="1">
      <alignment horizontal="center" vertical="center"/>
    </xf>
    <xf numFmtId="0" fontId="35" fillId="11" borderId="23" xfId="0" applyFont="1" applyFill="1" applyBorder="1" applyAlignment="1">
      <alignment horizontal="center" vertical="center" wrapText="1"/>
    </xf>
    <xf numFmtId="0" fontId="35" fillId="11" borderId="30" xfId="0" applyFont="1" applyFill="1" applyBorder="1" applyAlignment="1">
      <alignment horizontal="center" vertical="center" wrapText="1"/>
    </xf>
    <xf numFmtId="176" fontId="20" fillId="0" borderId="32" xfId="0" applyNumberFormat="1" applyFont="1" applyBorder="1" applyAlignment="1">
      <alignment horizontal="center" vertical="center" wrapText="1"/>
    </xf>
    <xf numFmtId="177" fontId="17" fillId="5" borderId="36" xfId="0" applyNumberFormat="1" applyFont="1" applyFill="1" applyBorder="1" applyAlignment="1">
      <alignment horizontal="center" vertical="center" wrapText="1"/>
    </xf>
    <xf numFmtId="176" fontId="12" fillId="5" borderId="37" xfId="0" applyNumberFormat="1" applyFont="1" applyFill="1" applyBorder="1" applyAlignment="1">
      <alignment horizontal="center" vertical="center" wrapText="1"/>
    </xf>
    <xf numFmtId="176" fontId="19" fillId="0" borderId="32" xfId="0" applyNumberFormat="1" applyFont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8" fillId="5" borderId="36" xfId="0" applyFont="1" applyFill="1" applyBorder="1" applyAlignment="1">
      <alignment horizontal="center" vertical="center" wrapText="1"/>
    </xf>
    <xf numFmtId="176" fontId="16" fillId="5" borderId="37" xfId="0" applyNumberFormat="1" applyFont="1" applyFill="1" applyBorder="1" applyAlignment="1">
      <alignment horizontal="center" vertical="center" wrapText="1"/>
    </xf>
    <xf numFmtId="0" fontId="36" fillId="12" borderId="44" xfId="0" applyFont="1" applyFill="1" applyBorder="1" applyAlignment="1">
      <alignment horizontal="center" vertical="center" wrapText="1"/>
    </xf>
    <xf numFmtId="0" fontId="36" fillId="12" borderId="45" xfId="0" applyFont="1" applyFill="1" applyBorder="1" applyAlignment="1">
      <alignment horizontal="center" vertical="center" wrapText="1"/>
    </xf>
    <xf numFmtId="0" fontId="36" fillId="12" borderId="46" xfId="0" applyFont="1" applyFill="1" applyBorder="1" applyAlignment="1">
      <alignment horizontal="center" vertical="center" wrapText="1"/>
    </xf>
    <xf numFmtId="0" fontId="17" fillId="13" borderId="45" xfId="0" applyFont="1" applyFill="1" applyBorder="1" applyAlignment="1">
      <alignment horizontal="center" vertical="center" wrapText="1"/>
    </xf>
    <xf numFmtId="0" fontId="17" fillId="13" borderId="46" xfId="0" applyFont="1" applyFill="1" applyBorder="1" applyAlignment="1">
      <alignment horizontal="center" vertical="center" wrapText="1"/>
    </xf>
    <xf numFmtId="0" fontId="17" fillId="13" borderId="44" xfId="0" applyFont="1" applyFill="1" applyBorder="1" applyAlignment="1">
      <alignment horizontal="center" vertical="center" wrapText="1"/>
    </xf>
    <xf numFmtId="9" fontId="17" fillId="14" borderId="45" xfId="0" applyNumberFormat="1" applyFont="1" applyFill="1" applyBorder="1" applyAlignment="1">
      <alignment horizontal="center" vertical="center" wrapText="1"/>
    </xf>
    <xf numFmtId="9" fontId="17" fillId="14" borderId="1" xfId="0" applyNumberFormat="1" applyFont="1" applyFill="1" applyBorder="1" applyAlignment="1">
      <alignment horizontal="center" vertical="center" wrapText="1"/>
    </xf>
    <xf numFmtId="9" fontId="17" fillId="14" borderId="44" xfId="0" applyNumberFormat="1" applyFont="1" applyFill="1" applyBorder="1" applyAlignment="1">
      <alignment horizontal="center" vertical="center" wrapText="1"/>
    </xf>
    <xf numFmtId="9" fontId="17" fillId="14" borderId="47" xfId="0" applyNumberFormat="1" applyFont="1" applyFill="1" applyBorder="1" applyAlignment="1">
      <alignment horizontal="center" vertical="center" wrapText="1"/>
    </xf>
    <xf numFmtId="0" fontId="17" fillId="5" borderId="36" xfId="0" applyFont="1" applyFill="1" applyBorder="1" applyAlignment="1">
      <alignment horizontal="center" vertical="center" wrapText="1"/>
    </xf>
    <xf numFmtId="176" fontId="12" fillId="5" borderId="36" xfId="0" applyNumberFormat="1" applyFont="1" applyFill="1" applyBorder="1" applyAlignment="1">
      <alignment horizontal="center" vertical="center" wrapText="1"/>
    </xf>
    <xf numFmtId="0" fontId="37" fillId="11" borderId="49" xfId="0" applyFont="1" applyFill="1" applyBorder="1" applyAlignment="1">
      <alignment horizontal="center" vertical="center" wrapText="1"/>
    </xf>
    <xf numFmtId="0" fontId="37" fillId="11" borderId="50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1" borderId="44" xfId="0" applyFont="1" applyFill="1" applyBorder="1" applyAlignment="1">
      <alignment horizontal="center" vertical="center" wrapText="1"/>
    </xf>
    <xf numFmtId="0" fontId="37" fillId="11" borderId="45" xfId="0" applyFont="1" applyFill="1" applyBorder="1" applyAlignment="1">
      <alignment horizontal="center" vertical="center" wrapText="1"/>
    </xf>
    <xf numFmtId="0" fontId="37" fillId="11" borderId="47" xfId="0" applyFont="1" applyFill="1" applyBorder="1" applyAlignment="1">
      <alignment horizontal="center" vertical="center" wrapText="1"/>
    </xf>
    <xf numFmtId="176" fontId="30" fillId="0" borderId="32" xfId="7" applyNumberFormat="1" applyFont="1" applyFill="1" applyBorder="1" applyAlignment="1">
      <alignment horizontal="center" vertical="center" wrapText="1"/>
    </xf>
    <xf numFmtId="176" fontId="18" fillId="5" borderId="36" xfId="0" applyNumberFormat="1" applyFont="1" applyFill="1" applyBorder="1" applyAlignment="1">
      <alignment horizontal="center" vertical="center" wrapText="1"/>
    </xf>
    <xf numFmtId="176" fontId="18" fillId="5" borderId="37" xfId="0" applyNumberFormat="1" applyFont="1" applyFill="1" applyBorder="1" applyAlignment="1">
      <alignment horizontal="center" vertical="center" wrapText="1"/>
    </xf>
    <xf numFmtId="0" fontId="37" fillId="11" borderId="50" xfId="0" applyFont="1" applyFill="1" applyBorder="1" applyAlignment="1">
      <alignment horizontal="center" vertical="center"/>
    </xf>
    <xf numFmtId="0" fontId="37" fillId="11" borderId="49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37" fillId="11" borderId="45" xfId="0" applyFont="1" applyFill="1" applyBorder="1" applyAlignment="1">
      <alignment horizontal="center" vertical="center"/>
    </xf>
    <xf numFmtId="0" fontId="39" fillId="11" borderId="44" xfId="0" applyFont="1" applyFill="1" applyBorder="1" applyAlignment="1">
      <alignment horizontal="center" vertical="center"/>
    </xf>
    <xf numFmtId="0" fontId="38" fillId="11" borderId="26" xfId="0" applyFont="1" applyFill="1" applyBorder="1" applyAlignment="1">
      <alignment horizontal="center" vertical="center"/>
    </xf>
    <xf numFmtId="0" fontId="15" fillId="0" borderId="61" xfId="0" applyFont="1" applyBorder="1" applyAlignment="1">
      <alignment horizontal="center" vertical="center" wrapText="1"/>
    </xf>
    <xf numFmtId="0" fontId="16" fillId="5" borderId="36" xfId="0" applyFont="1" applyFill="1" applyBorder="1" applyAlignment="1">
      <alignment vertical="center" wrapText="1"/>
    </xf>
    <xf numFmtId="0" fontId="16" fillId="5" borderId="36" xfId="0" applyFont="1" applyFill="1" applyBorder="1">
      <alignment vertical="center"/>
    </xf>
    <xf numFmtId="0" fontId="16" fillId="5" borderId="36" xfId="0" applyFont="1" applyFill="1" applyBorder="1" applyAlignment="1">
      <alignment horizontal="center" vertical="center"/>
    </xf>
    <xf numFmtId="0" fontId="27" fillId="5" borderId="36" xfId="0" applyFont="1" applyFill="1" applyBorder="1" applyAlignment="1">
      <alignment horizontal="center" vertical="center"/>
    </xf>
    <xf numFmtId="0" fontId="37" fillId="11" borderId="44" xfId="0" applyFont="1" applyFill="1" applyBorder="1" applyAlignment="1">
      <alignment horizontal="center" vertical="center"/>
    </xf>
    <xf numFmtId="0" fontId="39" fillId="11" borderId="45" xfId="0" applyFont="1" applyFill="1" applyBorder="1" applyAlignment="1">
      <alignment horizontal="center" vertical="center"/>
    </xf>
    <xf numFmtId="0" fontId="38" fillId="11" borderId="22" xfId="0" applyFont="1" applyFill="1" applyBorder="1" applyAlignment="1">
      <alignment horizontal="center" vertical="center"/>
    </xf>
    <xf numFmtId="0" fontId="37" fillId="11" borderId="25" xfId="0" applyFont="1" applyFill="1" applyBorder="1" applyAlignment="1">
      <alignment horizontal="center" vertical="center"/>
    </xf>
    <xf numFmtId="0" fontId="37" fillId="11" borderId="65" xfId="0" applyFont="1" applyFill="1" applyBorder="1" applyAlignment="1">
      <alignment horizontal="center" vertical="center"/>
    </xf>
    <xf numFmtId="0" fontId="37" fillId="11" borderId="67" xfId="0" applyFont="1" applyFill="1" applyBorder="1" applyAlignment="1">
      <alignment horizontal="center" vertical="center"/>
    </xf>
    <xf numFmtId="0" fontId="35" fillId="12" borderId="49" xfId="0" applyFont="1" applyFill="1" applyBorder="1" applyAlignment="1">
      <alignment horizontal="center" vertical="center"/>
    </xf>
    <xf numFmtId="0" fontId="35" fillId="12" borderId="45" xfId="0" applyFont="1" applyFill="1" applyBorder="1" applyAlignment="1">
      <alignment horizontal="center" vertical="center"/>
    </xf>
    <xf numFmtId="0" fontId="35" fillId="12" borderId="1" xfId="0" applyFont="1" applyFill="1" applyBorder="1" applyAlignment="1">
      <alignment horizontal="center" vertical="center"/>
    </xf>
    <xf numFmtId="0" fontId="35" fillId="12" borderId="44" xfId="0" applyFont="1" applyFill="1" applyBorder="1" applyAlignment="1">
      <alignment horizontal="center" vertical="center"/>
    </xf>
    <xf numFmtId="0" fontId="16" fillId="13" borderId="45" xfId="0" applyFont="1" applyFill="1" applyBorder="1" applyAlignment="1">
      <alignment horizontal="center" vertical="center"/>
    </xf>
    <xf numFmtId="0" fontId="16" fillId="13" borderId="44" xfId="0" applyFont="1" applyFill="1" applyBorder="1" applyAlignment="1">
      <alignment horizontal="center" vertical="center"/>
    </xf>
    <xf numFmtId="0" fontId="16" fillId="13" borderId="47" xfId="0" applyFont="1" applyFill="1" applyBorder="1" applyAlignment="1">
      <alignment horizontal="center" vertical="center"/>
    </xf>
    <xf numFmtId="176" fontId="15" fillId="0" borderId="32" xfId="0" applyNumberFormat="1" applyFont="1" applyBorder="1" applyAlignment="1">
      <alignment horizontal="center" vertical="center"/>
    </xf>
    <xf numFmtId="0" fontId="16" fillId="5" borderId="73" xfId="0" applyFont="1" applyFill="1" applyBorder="1" applyAlignment="1">
      <alignment horizontal="center" vertical="center"/>
    </xf>
    <xf numFmtId="0" fontId="16" fillId="5" borderId="75" xfId="0" applyFont="1" applyFill="1" applyBorder="1" applyAlignment="1">
      <alignment horizontal="center" vertical="center"/>
    </xf>
    <xf numFmtId="0" fontId="16" fillId="5" borderId="76" xfId="0" applyFont="1" applyFill="1" applyBorder="1" applyAlignment="1">
      <alignment horizontal="center" vertical="center"/>
    </xf>
    <xf numFmtId="176" fontId="16" fillId="5" borderId="75" xfId="7" applyNumberFormat="1" applyFont="1" applyFill="1" applyBorder="1" applyAlignment="1">
      <alignment horizontal="center" vertical="center"/>
    </xf>
    <xf numFmtId="176" fontId="16" fillId="5" borderId="76" xfId="7" applyNumberFormat="1" applyFont="1" applyFill="1" applyBorder="1" applyAlignment="1">
      <alignment horizontal="center" vertical="center"/>
    </xf>
    <xf numFmtId="176" fontId="16" fillId="5" borderId="77" xfId="7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37" fillId="11" borderId="78" xfId="0" applyFont="1" applyFill="1" applyBorder="1" applyAlignment="1" applyProtection="1">
      <alignment horizontal="center" vertical="center" wrapText="1"/>
      <protection locked="0"/>
    </xf>
    <xf numFmtId="0" fontId="37" fillId="11" borderId="79" xfId="0" applyFont="1" applyFill="1" applyBorder="1" applyAlignment="1" applyProtection="1">
      <alignment horizontal="center" vertical="center" wrapText="1"/>
      <protection locked="0"/>
    </xf>
    <xf numFmtId="0" fontId="37" fillId="11" borderId="17" xfId="0" applyFont="1" applyFill="1" applyBorder="1" applyAlignment="1" applyProtection="1">
      <alignment horizontal="center" vertical="center" wrapText="1"/>
      <protection locked="0"/>
    </xf>
    <xf numFmtId="0" fontId="37" fillId="11" borderId="69" xfId="0" applyFont="1" applyFill="1" applyBorder="1" applyAlignment="1" applyProtection="1">
      <alignment horizontal="center" vertical="center" wrapText="1"/>
      <protection locked="0"/>
    </xf>
    <xf numFmtId="14" fontId="40" fillId="6" borderId="0" xfId="8" applyNumberFormat="1" applyFont="1" applyFill="1" applyAlignment="1">
      <alignment horizontal="center" vertical="center"/>
    </xf>
    <xf numFmtId="0" fontId="42" fillId="0" borderId="2" xfId="9" applyFont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35" fillId="11" borderId="2" xfId="0" applyFont="1" applyFill="1" applyBorder="1" applyAlignment="1">
      <alignment horizontal="center" vertical="center" wrapText="1"/>
    </xf>
    <xf numFmtId="0" fontId="43" fillId="0" borderId="2" xfId="9" applyFont="1" applyBorder="1" applyAlignment="1">
      <alignment vertical="center" wrapText="1"/>
    </xf>
    <xf numFmtId="0" fontId="42" fillId="6" borderId="2" xfId="9" applyFont="1" applyFill="1" applyBorder="1" applyAlignment="1">
      <alignment horizontal="center" vertical="center"/>
    </xf>
    <xf numFmtId="0" fontId="43" fillId="6" borderId="2" xfId="9" applyFont="1" applyFill="1" applyBorder="1" applyAlignment="1">
      <alignment vertical="center" wrapText="1"/>
    </xf>
    <xf numFmtId="0" fontId="34" fillId="11" borderId="84" xfId="0" applyFont="1" applyFill="1" applyBorder="1" applyAlignment="1">
      <alignment horizontal="center" vertical="center"/>
    </xf>
    <xf numFmtId="0" fontId="34" fillId="11" borderId="85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15" fillId="0" borderId="2" xfId="0" applyFont="1" applyBorder="1">
      <alignment vertical="center"/>
    </xf>
    <xf numFmtId="0" fontId="4" fillId="0" borderId="2" xfId="0" applyFont="1" applyBorder="1">
      <alignment vertical="center"/>
    </xf>
    <xf numFmtId="0" fontId="22" fillId="0" borderId="2" xfId="9" applyFont="1" applyBorder="1" applyAlignment="1">
      <alignment horizontal="center" vertical="center"/>
    </xf>
    <xf numFmtId="0" fontId="22" fillId="6" borderId="2" xfId="9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vertical="center" wrapText="1"/>
    </xf>
    <xf numFmtId="0" fontId="13" fillId="0" borderId="2" xfId="0" applyFont="1" applyBorder="1">
      <alignment vertical="center"/>
    </xf>
    <xf numFmtId="0" fontId="12" fillId="0" borderId="0" xfId="0" applyFont="1" applyAlignment="1">
      <alignment horizontal="left" vertical="center" wrapText="1"/>
    </xf>
    <xf numFmtId="0" fontId="10" fillId="0" borderId="1" xfId="0" applyFont="1" applyBorder="1" applyAlignment="1">
      <alignment vertical="center" wrapText="1"/>
    </xf>
    <xf numFmtId="0" fontId="10" fillId="0" borderId="0" xfId="0" applyFont="1" applyAlignment="1">
      <alignment vertical="center" wrapText="1"/>
    </xf>
    <xf numFmtId="0" fontId="35" fillId="12" borderId="49" xfId="0" applyFont="1" applyFill="1" applyBorder="1" applyAlignment="1">
      <alignment horizontal="center" vertical="center" wrapText="1"/>
    </xf>
    <xf numFmtId="0" fontId="35" fillId="12" borderId="45" xfId="0" applyFont="1" applyFill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16" fillId="5" borderId="75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5" fillId="0" borderId="2" xfId="0" applyFont="1" applyFill="1" applyBorder="1" applyAlignment="1" applyProtection="1">
      <alignment horizontal="center" vertical="center" wrapText="1"/>
      <protection locked="0"/>
    </xf>
    <xf numFmtId="0" fontId="42" fillId="0" borderId="2" xfId="0" applyFont="1" applyFill="1" applyBorder="1" applyAlignment="1">
      <alignment horizontal="center" vertical="center"/>
    </xf>
    <xf numFmtId="0" fontId="28" fillId="0" borderId="2" xfId="0" applyFont="1" applyFill="1" applyBorder="1" applyAlignment="1">
      <alignment horizontal="center" vertical="center" wrapText="1" shrinkToFit="1"/>
    </xf>
    <xf numFmtId="0" fontId="28" fillId="0" borderId="2" xfId="0" quotePrefix="1" applyFont="1" applyFill="1" applyBorder="1" applyAlignment="1">
      <alignment horizontal="center" vertical="center" wrapText="1" shrinkToFit="1"/>
    </xf>
    <xf numFmtId="0" fontId="28" fillId="0" borderId="2" xfId="0" applyFont="1" applyFill="1" applyBorder="1" applyAlignment="1">
      <alignment horizontal="center" vertical="center" wrapText="1"/>
    </xf>
    <xf numFmtId="0" fontId="28" fillId="0" borderId="2" xfId="0" applyFont="1" applyFill="1" applyBorder="1" applyAlignment="1">
      <alignment horizontal="center" vertical="center" shrinkToFit="1"/>
    </xf>
    <xf numFmtId="0" fontId="16" fillId="0" borderId="2" xfId="0" applyFont="1" applyFill="1" applyBorder="1" applyAlignment="1">
      <alignment horizontal="center" vertical="center" wrapText="1"/>
    </xf>
    <xf numFmtId="0" fontId="15" fillId="0" borderId="2" xfId="0" applyFont="1" applyFill="1" applyBorder="1" applyAlignment="1">
      <alignment horizontal="center" vertical="center"/>
    </xf>
    <xf numFmtId="0" fontId="15" fillId="0" borderId="0" xfId="0" applyFont="1" applyFill="1">
      <alignment vertical="center"/>
    </xf>
    <xf numFmtId="0" fontId="28" fillId="0" borderId="2" xfId="0" quotePrefix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/>
    </xf>
    <xf numFmtId="0" fontId="1" fillId="6" borderId="0" xfId="8" applyFill="1" applyAlignment="1">
      <alignment horizontal="center" vertical="center"/>
    </xf>
    <xf numFmtId="0" fontId="34" fillId="11" borderId="18" xfId="0" applyFont="1" applyFill="1" applyBorder="1" applyAlignment="1">
      <alignment horizontal="center" vertical="center"/>
    </xf>
    <xf numFmtId="0" fontId="34" fillId="11" borderId="19" xfId="0" applyFont="1" applyFill="1" applyBorder="1" applyAlignment="1">
      <alignment horizontal="center" vertical="center"/>
    </xf>
    <xf numFmtId="0" fontId="34" fillId="11" borderId="20" xfId="0" applyFont="1" applyFill="1" applyBorder="1" applyAlignment="1">
      <alignment horizontal="center" vertical="center"/>
    </xf>
    <xf numFmtId="0" fontId="34" fillId="11" borderId="16" xfId="0" applyFont="1" applyFill="1" applyBorder="1" applyAlignment="1">
      <alignment horizontal="center" vertical="center"/>
    </xf>
    <xf numFmtId="0" fontId="34" fillId="11" borderId="82" xfId="0" applyFont="1" applyFill="1" applyBorder="1" applyAlignment="1">
      <alignment horizontal="center" vertical="center"/>
    </xf>
    <xf numFmtId="0" fontId="34" fillId="11" borderId="17" xfId="0" applyFont="1" applyFill="1" applyBorder="1" applyAlignment="1">
      <alignment horizontal="center" vertical="center"/>
    </xf>
    <xf numFmtId="0" fontId="34" fillId="11" borderId="83" xfId="0" applyFont="1" applyFill="1" applyBorder="1" applyAlignment="1">
      <alignment horizontal="center" vertical="center"/>
    </xf>
    <xf numFmtId="0" fontId="34" fillId="11" borderId="60" xfId="0" applyFont="1" applyFill="1" applyBorder="1" applyAlignment="1">
      <alignment horizontal="center" vertical="center"/>
    </xf>
    <xf numFmtId="0" fontId="34" fillId="11" borderId="50" xfId="0" applyFont="1" applyFill="1" applyBorder="1" applyAlignment="1">
      <alignment horizontal="center" vertical="center"/>
    </xf>
    <xf numFmtId="0" fontId="24" fillId="7" borderId="2" xfId="0" applyFont="1" applyFill="1" applyBorder="1" applyAlignment="1">
      <alignment horizontal="center" vertical="center"/>
    </xf>
    <xf numFmtId="0" fontId="21" fillId="7" borderId="3" xfId="0" applyFont="1" applyFill="1" applyBorder="1" applyAlignment="1">
      <alignment horizontal="center" vertical="center"/>
    </xf>
    <xf numFmtId="0" fontId="21" fillId="7" borderId="4" xfId="0" applyFont="1" applyFill="1" applyBorder="1" applyAlignment="1">
      <alignment horizontal="center" vertical="center"/>
    </xf>
    <xf numFmtId="0" fontId="21" fillId="7" borderId="5" xfId="0" applyFont="1" applyFill="1" applyBorder="1" applyAlignment="1">
      <alignment horizontal="center" vertical="center"/>
    </xf>
    <xf numFmtId="0" fontId="23" fillId="7" borderId="2" xfId="0" applyFont="1" applyFill="1" applyBorder="1" applyAlignment="1">
      <alignment horizontal="center" vertical="center"/>
    </xf>
    <xf numFmtId="0" fontId="24" fillId="7" borderId="3" xfId="0" applyFont="1" applyFill="1" applyBorder="1" applyAlignment="1">
      <alignment horizontal="center" vertical="center"/>
    </xf>
    <xf numFmtId="0" fontId="24" fillId="7" borderId="4" xfId="0" applyFont="1" applyFill="1" applyBorder="1" applyAlignment="1">
      <alignment horizontal="center" vertical="center"/>
    </xf>
    <xf numFmtId="0" fontId="24" fillId="7" borderId="5" xfId="0" applyFont="1" applyFill="1" applyBorder="1" applyAlignment="1">
      <alignment horizontal="center" vertical="center"/>
    </xf>
    <xf numFmtId="0" fontId="21" fillId="7" borderId="6" xfId="0" applyFont="1" applyFill="1" applyBorder="1" applyAlignment="1">
      <alignment horizontal="center" vertical="center"/>
    </xf>
    <xf numFmtId="0" fontId="21" fillId="7" borderId="8" xfId="0" applyFont="1" applyFill="1" applyBorder="1" applyAlignment="1">
      <alignment horizontal="center" vertical="center"/>
    </xf>
    <xf numFmtId="0" fontId="21" fillId="7" borderId="7" xfId="0" applyFont="1" applyFill="1" applyBorder="1" applyAlignment="1">
      <alignment horizontal="center" vertical="center"/>
    </xf>
    <xf numFmtId="0" fontId="21" fillId="7" borderId="2" xfId="0" applyFont="1" applyFill="1" applyBorder="1" applyAlignment="1">
      <alignment horizontal="center" vertical="center"/>
    </xf>
    <xf numFmtId="0" fontId="35" fillId="11" borderId="2" xfId="0" applyFont="1" applyFill="1" applyBorder="1" applyAlignment="1">
      <alignment horizontal="center" vertical="center" wrapText="1"/>
    </xf>
    <xf numFmtId="0" fontId="33" fillId="0" borderId="38" xfId="6" applyFont="1" applyFill="1" applyBorder="1" applyAlignment="1">
      <alignment horizontal="center" vertical="center" wrapText="1"/>
    </xf>
    <xf numFmtId="0" fontId="33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6" fillId="5" borderId="39" xfId="0" applyFont="1" applyFill="1" applyBorder="1" applyAlignment="1">
      <alignment horizontal="center" vertical="center" wrapText="1"/>
    </xf>
    <xf numFmtId="0" fontId="16" fillId="5" borderId="36" xfId="0" applyFont="1" applyFill="1" applyBorder="1" applyAlignment="1">
      <alignment horizontal="center" vertical="center" wrapText="1"/>
    </xf>
    <xf numFmtId="0" fontId="35" fillId="11" borderId="26" xfId="0" applyFont="1" applyFill="1" applyBorder="1" applyAlignment="1">
      <alignment horizontal="center" vertical="center" wrapText="1"/>
    </xf>
    <xf numFmtId="0" fontId="35" fillId="11" borderId="27" xfId="0" applyFont="1" applyFill="1" applyBorder="1" applyAlignment="1">
      <alignment horizontal="center" vertical="center" wrapText="1"/>
    </xf>
    <xf numFmtId="0" fontId="35" fillId="11" borderId="25" xfId="0" applyFont="1" applyFill="1" applyBorder="1" applyAlignment="1">
      <alignment horizontal="center" vertical="center" wrapText="1"/>
    </xf>
    <xf numFmtId="0" fontId="35" fillId="11" borderId="19" xfId="0" applyFont="1" applyFill="1" applyBorder="1" applyAlignment="1">
      <alignment horizontal="center" vertical="center" wrapText="1"/>
    </xf>
    <xf numFmtId="0" fontId="35" fillId="11" borderId="20" xfId="0" applyFont="1" applyFill="1" applyBorder="1" applyAlignment="1">
      <alignment horizontal="center" vertical="center" wrapText="1"/>
    </xf>
    <xf numFmtId="0" fontId="35" fillId="11" borderId="28" xfId="0" applyFont="1" applyFill="1" applyBorder="1" applyAlignment="1">
      <alignment horizontal="center" vertical="center" wrapText="1"/>
    </xf>
    <xf numFmtId="0" fontId="35" fillId="11" borderId="29" xfId="0" applyFont="1" applyFill="1" applyBorder="1" applyAlignment="1">
      <alignment horizontal="center" vertical="center" wrapText="1"/>
    </xf>
    <xf numFmtId="0" fontId="35" fillId="11" borderId="24" xfId="0" applyFont="1" applyFill="1" applyBorder="1" applyAlignment="1">
      <alignment horizontal="center" vertical="center" wrapText="1"/>
    </xf>
    <xf numFmtId="0" fontId="12" fillId="0" borderId="3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7" fillId="5" borderId="33" xfId="0" applyFont="1" applyFill="1" applyBorder="1" applyAlignment="1">
      <alignment horizontal="center" vertical="center" wrapText="1"/>
    </xf>
    <xf numFmtId="0" fontId="17" fillId="5" borderId="34" xfId="0" applyFont="1" applyFill="1" applyBorder="1" applyAlignment="1">
      <alignment horizontal="center" vertical="center" wrapText="1"/>
    </xf>
    <xf numFmtId="0" fontId="17" fillId="5" borderId="35" xfId="0" applyFont="1" applyFill="1" applyBorder="1" applyAlignment="1">
      <alignment horizontal="center" vertical="center" wrapText="1"/>
    </xf>
    <xf numFmtId="0" fontId="37" fillId="11" borderId="18" xfId="0" applyFont="1" applyFill="1" applyBorder="1" applyAlignment="1">
      <alignment horizontal="center" vertical="center"/>
    </xf>
    <xf numFmtId="0" fontId="37" fillId="11" borderId="19" xfId="0" applyFont="1" applyFill="1" applyBorder="1" applyAlignment="1">
      <alignment horizontal="center" vertical="center"/>
    </xf>
    <xf numFmtId="0" fontId="37" fillId="11" borderId="20" xfId="0" applyFont="1" applyFill="1" applyBorder="1" applyAlignment="1">
      <alignment horizontal="center" vertical="center"/>
    </xf>
    <xf numFmtId="0" fontId="37" fillId="11" borderId="49" xfId="0" applyFont="1" applyFill="1" applyBorder="1" applyAlignment="1">
      <alignment horizontal="center" vertical="center"/>
    </xf>
    <xf numFmtId="0" fontId="37" fillId="11" borderId="59" xfId="0" applyFont="1" applyFill="1" applyBorder="1" applyAlignment="1">
      <alignment horizontal="center" vertical="center"/>
    </xf>
    <xf numFmtId="0" fontId="37" fillId="11" borderId="51" xfId="0" applyFont="1" applyFill="1" applyBorder="1" applyAlignment="1">
      <alignment horizontal="center" vertical="center"/>
    </xf>
    <xf numFmtId="0" fontId="37" fillId="11" borderId="53" xfId="0" applyFont="1" applyFill="1" applyBorder="1" applyAlignment="1">
      <alignment horizontal="center" vertical="center"/>
    </xf>
    <xf numFmtId="0" fontId="37" fillId="11" borderId="38" xfId="0" applyFont="1" applyFill="1" applyBorder="1" applyAlignment="1">
      <alignment horizontal="center" vertical="center"/>
    </xf>
    <xf numFmtId="0" fontId="37" fillId="11" borderId="48" xfId="0" applyFont="1" applyFill="1" applyBorder="1" applyAlignment="1">
      <alignment horizontal="center" vertical="center"/>
    </xf>
    <xf numFmtId="0" fontId="37" fillId="11" borderId="42" xfId="0" applyFont="1" applyFill="1" applyBorder="1" applyAlignment="1">
      <alignment horizontal="center" vertical="center"/>
    </xf>
    <xf numFmtId="0" fontId="37" fillId="11" borderId="21" xfId="0" applyFont="1" applyFill="1" applyBorder="1" applyAlignment="1">
      <alignment horizontal="center" vertical="center"/>
    </xf>
    <xf numFmtId="0" fontId="37" fillId="11" borderId="60" xfId="0" applyFont="1" applyFill="1" applyBorder="1" applyAlignment="1">
      <alignment horizontal="center" vertical="center"/>
    </xf>
    <xf numFmtId="0" fontId="37" fillId="11" borderId="50" xfId="0" applyFont="1" applyFill="1" applyBorder="1" applyAlignment="1">
      <alignment horizontal="center" vertical="center"/>
    </xf>
    <xf numFmtId="0" fontId="17" fillId="14" borderId="21" xfId="0" applyFont="1" applyFill="1" applyBorder="1" applyAlignment="1">
      <alignment horizontal="center" vertical="center" wrapText="1"/>
    </xf>
    <xf numFmtId="0" fontId="17" fillId="14" borderId="43" xfId="0" applyFont="1" applyFill="1" applyBorder="1" applyAlignment="1">
      <alignment horizontal="center" vertical="center" wrapText="1"/>
    </xf>
    <xf numFmtId="0" fontId="37" fillId="11" borderId="57" xfId="0" applyFont="1" applyFill="1" applyBorder="1" applyAlignment="1">
      <alignment horizontal="center" vertical="center" wrapText="1"/>
    </xf>
    <xf numFmtId="0" fontId="37" fillId="11" borderId="40" xfId="0" applyFont="1" applyFill="1" applyBorder="1" applyAlignment="1">
      <alignment horizontal="center" vertical="center" wrapText="1"/>
    </xf>
    <xf numFmtId="0" fontId="37" fillId="11" borderId="58" xfId="0" applyFont="1" applyFill="1" applyBorder="1" applyAlignment="1">
      <alignment horizontal="center" vertical="center" wrapText="1"/>
    </xf>
    <xf numFmtId="0" fontId="36" fillId="12" borderId="40" xfId="0" applyFont="1" applyFill="1" applyBorder="1" applyAlignment="1">
      <alignment horizontal="center" vertical="center" wrapText="1"/>
    </xf>
    <xf numFmtId="0" fontId="36" fillId="12" borderId="41" xfId="0" applyFont="1" applyFill="1" applyBorder="1" applyAlignment="1">
      <alignment horizontal="center" vertical="center" wrapText="1"/>
    </xf>
    <xf numFmtId="0" fontId="37" fillId="11" borderId="54" xfId="0" applyFont="1" applyFill="1" applyBorder="1" applyAlignment="1">
      <alignment horizontal="center" vertical="center" wrapText="1"/>
    </xf>
    <xf numFmtId="0" fontId="37" fillId="11" borderId="55" xfId="0" applyFont="1" applyFill="1" applyBorder="1" applyAlignment="1">
      <alignment horizontal="center" vertical="center" wrapText="1"/>
    </xf>
    <xf numFmtId="0" fontId="37" fillId="11" borderId="56" xfId="0" applyFont="1" applyFill="1" applyBorder="1" applyAlignment="1">
      <alignment horizontal="center" vertical="center" wrapText="1"/>
    </xf>
    <xf numFmtId="0" fontId="17" fillId="13" borderId="42" xfId="0" applyFont="1" applyFill="1" applyBorder="1" applyAlignment="1">
      <alignment horizontal="center" vertical="center" wrapText="1"/>
    </xf>
    <xf numFmtId="0" fontId="17" fillId="13" borderId="21" xfId="0" applyFont="1" applyFill="1" applyBorder="1" applyAlignment="1">
      <alignment horizontal="center" vertical="center" wrapText="1"/>
    </xf>
    <xf numFmtId="0" fontId="17" fillId="13" borderId="22" xfId="0" applyFont="1" applyFill="1" applyBorder="1" applyAlignment="1">
      <alignment horizontal="center" vertical="center" wrapText="1"/>
    </xf>
    <xf numFmtId="0" fontId="37" fillId="11" borderId="18" xfId="0" applyFont="1" applyFill="1" applyBorder="1" applyAlignment="1">
      <alignment horizontal="center" vertical="center" wrapText="1"/>
    </xf>
    <xf numFmtId="0" fontId="37" fillId="11" borderId="19" xfId="0" applyFont="1" applyFill="1" applyBorder="1" applyAlignment="1">
      <alignment horizontal="center" vertical="center" wrapText="1"/>
    </xf>
    <xf numFmtId="0" fontId="37" fillId="11" borderId="51" xfId="0" applyFont="1" applyFill="1" applyBorder="1" applyAlignment="1">
      <alignment horizontal="center" vertical="center" wrapText="1"/>
    </xf>
    <xf numFmtId="0" fontId="37" fillId="11" borderId="52" xfId="0" applyFont="1" applyFill="1" applyBorder="1" applyAlignment="1">
      <alignment horizontal="center" vertical="center" wrapText="1"/>
    </xf>
    <xf numFmtId="0" fontId="37" fillId="11" borderId="53" xfId="0" applyFont="1" applyFill="1" applyBorder="1" applyAlignment="1">
      <alignment horizontal="center" vertical="center" wrapText="1"/>
    </xf>
    <xf numFmtId="0" fontId="37" fillId="11" borderId="38" xfId="0" applyFont="1" applyFill="1" applyBorder="1" applyAlignment="1">
      <alignment horizontal="center" vertical="center" wrapText="1"/>
    </xf>
    <xf numFmtId="0" fontId="37" fillId="11" borderId="2" xfId="0" applyFont="1" applyFill="1" applyBorder="1" applyAlignment="1">
      <alignment horizontal="center" vertical="center" wrapText="1"/>
    </xf>
    <xf numFmtId="0" fontId="37" fillId="11" borderId="48" xfId="0" applyFont="1" applyFill="1" applyBorder="1" applyAlignment="1">
      <alignment horizontal="center" vertical="center" wrapText="1"/>
    </xf>
    <xf numFmtId="0" fontId="37" fillId="11" borderId="41" xfId="0" applyFont="1" applyFill="1" applyBorder="1" applyAlignment="1">
      <alignment horizontal="center" vertical="center"/>
    </xf>
    <xf numFmtId="0" fontId="37" fillId="11" borderId="9" xfId="0" applyFont="1" applyFill="1" applyBorder="1" applyAlignment="1">
      <alignment horizontal="center" vertical="center"/>
    </xf>
    <xf numFmtId="0" fontId="37" fillId="11" borderId="1" xfId="0" applyFont="1" applyFill="1" applyBorder="1" applyAlignment="1">
      <alignment horizontal="center" vertical="center"/>
    </xf>
    <xf numFmtId="0" fontId="16" fillId="7" borderId="3" xfId="0" applyFont="1" applyFill="1" applyBorder="1" applyAlignment="1">
      <alignment horizontal="center" vertical="center"/>
    </xf>
    <xf numFmtId="0" fontId="16" fillId="7" borderId="5" xfId="0" applyFont="1" applyFill="1" applyBorder="1" applyAlignment="1">
      <alignment horizontal="center" vertical="center"/>
    </xf>
    <xf numFmtId="0" fontId="37" fillId="11" borderId="79" xfId="0" applyFont="1" applyFill="1" applyBorder="1" applyAlignment="1" applyProtection="1">
      <alignment horizontal="center" vertical="center" wrapText="1"/>
      <protection locked="0"/>
    </xf>
    <xf numFmtId="0" fontId="37" fillId="11" borderId="78" xfId="0" applyFont="1" applyFill="1" applyBorder="1" applyAlignment="1" applyProtection="1">
      <alignment horizontal="center" vertical="center" wrapText="1"/>
      <protection locked="0"/>
    </xf>
    <xf numFmtId="0" fontId="37" fillId="11" borderId="80" xfId="0" applyFont="1" applyFill="1" applyBorder="1" applyAlignment="1" applyProtection="1">
      <alignment horizontal="center" vertical="center" wrapText="1"/>
      <protection locked="0"/>
    </xf>
    <xf numFmtId="0" fontId="37" fillId="11" borderId="52" xfId="0" applyFont="1" applyFill="1" applyBorder="1" applyAlignment="1" applyProtection="1">
      <alignment horizontal="center" vertical="center" wrapText="1"/>
      <protection locked="0"/>
    </xf>
    <xf numFmtId="0" fontId="37" fillId="11" borderId="81" xfId="0" applyFont="1" applyFill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>
      <alignment horizontal="left" vertical="center" wrapText="1"/>
    </xf>
    <xf numFmtId="0" fontId="15" fillId="0" borderId="4" xfId="0" applyFont="1" applyBorder="1" applyAlignment="1">
      <alignment horizontal="left" vertical="center" wrapText="1"/>
    </xf>
    <xf numFmtId="0" fontId="15" fillId="0" borderId="5" xfId="0" applyFont="1" applyBorder="1" applyAlignment="1">
      <alignment horizontal="left" vertical="center" wrapText="1"/>
    </xf>
    <xf numFmtId="0" fontId="37" fillId="12" borderId="42" xfId="0" applyFont="1" applyFill="1" applyBorder="1" applyAlignment="1">
      <alignment horizontal="center" vertical="center"/>
    </xf>
    <xf numFmtId="0" fontId="37" fillId="12" borderId="21" xfId="0" applyFont="1" applyFill="1" applyBorder="1" applyAlignment="1">
      <alignment horizontal="center" vertical="center"/>
    </xf>
    <xf numFmtId="0" fontId="15" fillId="0" borderId="3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37" fillId="11" borderId="51" xfId="0" applyFont="1" applyFill="1" applyBorder="1" applyAlignment="1" applyProtection="1">
      <alignment horizontal="center" vertical="center" wrapText="1"/>
      <protection locked="0"/>
    </xf>
    <xf numFmtId="0" fontId="37" fillId="11" borderId="53" xfId="0" applyFont="1" applyFill="1" applyBorder="1" applyAlignment="1" applyProtection="1">
      <alignment horizontal="center" vertical="center" wrapText="1"/>
      <protection locked="0"/>
    </xf>
    <xf numFmtId="0" fontId="16" fillId="9" borderId="2" xfId="0" applyFont="1" applyFill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6" fillId="5" borderId="72" xfId="0" applyFont="1" applyFill="1" applyBorder="1" applyAlignment="1">
      <alignment horizontal="center" vertical="center"/>
    </xf>
    <xf numFmtId="0" fontId="16" fillId="5" borderId="73" xfId="0" applyFont="1" applyFill="1" applyBorder="1" applyAlignment="1">
      <alignment horizontal="center" vertical="center"/>
    </xf>
    <xf numFmtId="0" fontId="16" fillId="5" borderId="74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37" fillId="11" borderId="25" xfId="0" applyFont="1" applyFill="1" applyBorder="1" applyAlignment="1">
      <alignment horizontal="center" vertical="center"/>
    </xf>
    <xf numFmtId="0" fontId="37" fillId="11" borderId="70" xfId="0" applyFont="1" applyFill="1" applyBorder="1" applyAlignment="1">
      <alignment horizontal="center" vertical="center"/>
    </xf>
    <xf numFmtId="0" fontId="37" fillId="11" borderId="69" xfId="0" applyFont="1" applyFill="1" applyBorder="1" applyAlignment="1">
      <alignment horizontal="center" vertical="center"/>
    </xf>
    <xf numFmtId="0" fontId="37" fillId="11" borderId="71" xfId="0" applyFont="1" applyFill="1" applyBorder="1" applyAlignment="1">
      <alignment horizontal="center" vertical="center"/>
    </xf>
    <xf numFmtId="0" fontId="16" fillId="13" borderId="21" xfId="0" applyFont="1" applyFill="1" applyBorder="1" applyAlignment="1">
      <alignment horizontal="center" vertical="center"/>
    </xf>
    <xf numFmtId="0" fontId="16" fillId="13" borderId="43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37" fillId="11" borderId="66" xfId="0" applyFont="1" applyFill="1" applyBorder="1" applyAlignment="1">
      <alignment horizontal="center" vertical="center" wrapText="1"/>
    </xf>
    <xf numFmtId="0" fontId="16" fillId="0" borderId="36" xfId="0" applyFont="1" applyBorder="1" applyAlignment="1">
      <alignment horizontal="center" vertical="center" wrapText="1"/>
    </xf>
    <xf numFmtId="0" fontId="37" fillId="11" borderId="68" xfId="0" applyFont="1" applyFill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6" fillId="0" borderId="62" xfId="0" applyFont="1" applyBorder="1" applyAlignment="1">
      <alignment horizontal="center" vertical="center" wrapText="1"/>
    </xf>
    <xf numFmtId="0" fontId="37" fillId="11" borderId="63" xfId="0" applyFont="1" applyFill="1" applyBorder="1" applyAlignment="1">
      <alignment horizontal="center" vertical="center" wrapText="1"/>
    </xf>
    <xf numFmtId="0" fontId="16" fillId="4" borderId="2" xfId="0" applyFont="1" applyFill="1" applyBorder="1" applyAlignment="1">
      <alignment horizontal="center" vertical="center"/>
    </xf>
    <xf numFmtId="0" fontId="16" fillId="0" borderId="52" xfId="0" applyFont="1" applyBorder="1" applyAlignment="1">
      <alignment horizontal="center" vertical="center" wrapText="1"/>
    </xf>
    <xf numFmtId="0" fontId="16" fillId="0" borderId="64" xfId="0" applyFont="1" applyBorder="1" applyAlignment="1">
      <alignment horizontal="center" vertical="center" wrapText="1"/>
    </xf>
    <xf numFmtId="0" fontId="16" fillId="0" borderId="32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 vertical="center" wrapText="1"/>
    </xf>
    <xf numFmtId="0" fontId="37" fillId="11" borderId="56" xfId="0" applyFont="1" applyFill="1" applyBorder="1" applyAlignment="1">
      <alignment horizontal="center" vertical="center"/>
    </xf>
    <xf numFmtId="0" fontId="37" fillId="11" borderId="63" xfId="0" applyFont="1" applyFill="1" applyBorder="1" applyAlignment="1">
      <alignment horizontal="center" vertical="center"/>
    </xf>
    <xf numFmtId="0" fontId="37" fillId="11" borderId="66" xfId="0" applyFont="1" applyFill="1" applyBorder="1" applyAlignment="1">
      <alignment horizontal="center" vertical="center"/>
    </xf>
    <xf numFmtId="0" fontId="37" fillId="11" borderId="68" xfId="0" applyFont="1" applyFill="1" applyBorder="1" applyAlignment="1">
      <alignment horizontal="center" vertical="center"/>
    </xf>
    <xf numFmtId="0" fontId="45" fillId="0" borderId="2" xfId="9" applyFont="1" applyBorder="1" applyAlignment="1">
      <alignment vertical="center" wrapText="1"/>
    </xf>
    <xf numFmtId="0" fontId="45" fillId="6" borderId="2" xfId="9" applyFont="1" applyFill="1" applyBorder="1" applyAlignment="1">
      <alignment vertical="center" wrapText="1"/>
    </xf>
  </cellXfs>
  <cellStyles count="11">
    <cellStyle name="Normal" xfId="10"/>
    <cellStyle name="백분율" xfId="7" builtinId="5"/>
    <cellStyle name="표준" xfId="0" builtinId="0"/>
    <cellStyle name="표준 2" xfId="1"/>
    <cellStyle name="표준 2 2" xfId="4"/>
    <cellStyle name="표준 3" xfId="3"/>
    <cellStyle name="표준 4" xfId="5"/>
    <cellStyle name="표준 4 2" xfId="8"/>
    <cellStyle name="표준 5" xfId="2"/>
    <cellStyle name="표준_정보통신부_취약점진단결과_우체국금융_서버_0708_v0.7" xfId="9"/>
    <cellStyle name="하이퍼링크" xfId="6" builtinId="8"/>
  </cellStyles>
  <dxfs count="141"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99"/>
        </patternFill>
      </fill>
    </dxf>
    <dxf>
      <fill>
        <patternFill>
          <bgColor theme="0" tint="-0.14996795556505021"/>
        </patternFill>
      </fill>
    </dxf>
    <dxf>
      <font>
        <color theme="3"/>
      </font>
    </dxf>
    <dxf>
      <font>
        <color rgb="FFFF0000"/>
      </font>
      <fill>
        <patternFill>
          <bgColor rgb="FFFFFF99"/>
        </patternFill>
      </fill>
    </dxf>
    <dxf>
      <font>
        <color rgb="FFC00000"/>
      </font>
    </dxf>
    <dxf>
      <font>
        <color rgb="FF996633"/>
      </font>
    </dxf>
    <dxf>
      <font>
        <color rgb="FF006600"/>
      </font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color theme="3"/>
      </font>
      <fill>
        <patternFill>
          <bgColor theme="4" tint="0.79998168889431442"/>
        </patternFill>
      </fill>
    </dxf>
    <dxf>
      <font>
        <color rgb="FFFF0000"/>
      </font>
      <fill>
        <patternFill>
          <bgColor theme="5" tint="0.79998168889431442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ont>
        <color theme="0" tint="-0.499984740745262"/>
      </font>
    </dxf>
    <dxf>
      <font>
        <color theme="1"/>
      </font>
      <fill>
        <patternFill>
          <bgColor rgb="FF92D050"/>
        </patternFill>
      </fill>
    </dxf>
    <dxf>
      <font>
        <b/>
        <color rgb="FFFF0000"/>
      </font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ont>
        <color rgb="FFFF0000"/>
      </font>
      <fill>
        <patternFill>
          <bgColor rgb="FFFFFF00"/>
        </patternFill>
      </fill>
    </dxf>
    <dxf>
      <font>
        <color theme="0" tint="-0.499984740745262"/>
      </font>
    </dxf>
    <dxf>
      <fill>
        <patternFill>
          <bgColor rgb="FF92D05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FFB9"/>
      <color rgb="FFABDB77"/>
      <color rgb="FFB8E0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altLang="ko-KR" sz="1400"/>
              <a:t>DBMS</a:t>
            </a:r>
            <a:r>
              <a:rPr lang="ko-KR" altLang="en-US" sz="1400"/>
              <a:t> 보안수준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2"/>
          <c:order val="0"/>
          <c:tx>
            <c:strRef>
              <c:f>'취약점 진단 통계'!$A$3</c:f>
              <c:strCache>
                <c:ptCount val="1"/>
                <c:pt idx="0">
                  <c:v>1) 영역별 보안수준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accent3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088-4A41-AED7-9D3D8A8A69C9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088-4A41-AED7-9D3D8A8A69C9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088-4A41-AED7-9D3D8A8A69C9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088-4A41-AED7-9D3D8A8A69C9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088-4A41-AED7-9D3D8A8A69C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chemeClr val="accent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19EA-4681-B07E-E231E93CF0F2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7FEA-40E5-876E-8CEFC1387010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94D4-4EE0-8F67-2319C60D9672}"/>
              </c:ext>
            </c:extLst>
          </c:dPt>
          <c:dLbls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b="0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6088-4A41-AED7-9D3D8A8A69C9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/>
                <a:lstStyle/>
                <a:p>
                  <a:pPr>
                    <a:defRPr sz="1100" b="1"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19EA-4681-B07E-E231E93CF0F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0.69736842105263153</c:v>
                </c:pt>
                <c:pt idx="1">
                  <c:v>1</c:v>
                </c:pt>
                <c:pt idx="2">
                  <c:v>0.5625</c:v>
                </c:pt>
                <c:pt idx="3">
                  <c:v>0.33333333333333331</c:v>
                </c:pt>
                <c:pt idx="4">
                  <c:v>0</c:v>
                </c:pt>
                <c:pt idx="5">
                  <c:v>0.69117647058823528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088-4A41-AED7-9D3D8A8A6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ko-KR"/>
          </a:p>
        </c:txPr>
        <c:crossAx val="30685952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altLang="ko-KR" b="1">
                <a:solidFill>
                  <a:sysClr val="windowText" lastClr="000000"/>
                </a:solidFill>
              </a:rPr>
              <a:t>DBMS</a:t>
            </a:r>
            <a:r>
              <a:rPr lang="ko-KR" b="1">
                <a:solidFill>
                  <a:sysClr val="windowText" lastClr="000000"/>
                </a:solidFill>
              </a:rPr>
              <a:t>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3.7917033098135461E-2"/>
          <c:y val="0.12186256003684524"/>
          <c:w val="0.95429075910965677"/>
          <c:h val="0.708551217514339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6A08-4D70-8275-817A66D842E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6A08-4D70-8275-817A66D842E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6A08-4D70-8275-817A66D842E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6A08-4D70-8275-817A66D842E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6A08-4D70-8275-817A66D842E6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6A08-4D70-8275-817A66D842E6}"/>
              </c:ext>
            </c:extLst>
          </c:dPt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499E-4502-9690-9B0FF69CEE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0.69736842105263153</c:v>
                </c:pt>
                <c:pt idx="1">
                  <c:v>1</c:v>
                </c:pt>
                <c:pt idx="2">
                  <c:v>0.5625</c:v>
                </c:pt>
                <c:pt idx="3">
                  <c:v>0.33333333333333331</c:v>
                </c:pt>
                <c:pt idx="4">
                  <c:v>0</c:v>
                </c:pt>
                <c:pt idx="5">
                  <c:v>0.69117647058823528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6A08-4D70-8275-817A66D842E6}"/>
            </c:ext>
          </c:extLst>
        </c:ser>
        <c:ser>
          <c:idx val="0"/>
          <c:order val="1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499E-4502-9690-9B0FF69CEEC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'취약점 진단 통계 (이행)'!$A$6:$D$11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</c:numRef>
          </c:val>
          <c:extLst>
            <c:ext xmlns:c16="http://schemas.microsoft.com/office/drawing/2014/chart" uri="{C3380CC4-5D6E-409C-BE32-E72D297353CC}">
              <c16:uniqueId val="{0000000C-D56F-40FD-934D-A79A62E9ECB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06859520"/>
        <c:axId val="306656320"/>
      </c:barChart>
      <c:catAx>
        <c:axId val="306859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6320"/>
        <c:crosses val="autoZero"/>
        <c:auto val="1"/>
        <c:lblAlgn val="ctr"/>
        <c:lblOffset val="100"/>
        <c:noMultiLvlLbl val="0"/>
      </c:catAx>
      <c:valAx>
        <c:axId val="30665632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859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 paperSize="9"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DB_HQ_Rocky!$A$12:$A$16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DB_HQ_Rocky!$H$12:$H$16</c:f>
              <c:numCache>
                <c:formatCode>0.0%</c:formatCode>
                <c:ptCount val="5"/>
                <c:pt idx="0">
                  <c:v>0.47368421052631576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52-4134-B5CE-1304E777B134}"/>
            </c:ext>
          </c:extLst>
        </c:ser>
        <c:ser>
          <c:idx val="1"/>
          <c:order val="1"/>
          <c:tx>
            <c:strRef>
              <c:f>DB_HQ_Rocky!$J$10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DB_HQ_Rocky!$A$12:$A$16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DB_HQ_Rocky!$O$12:$O$16</c:f>
              <c:numCache>
                <c:formatCode>0.0%</c:formatCode>
                <c:ptCount val="5"/>
                <c:pt idx="0">
                  <c:v>0.73684210526315785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52-4134-B5CE-1304E777B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DB_BR_Rocky!$A$12:$A$16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DB_BR_Rocky!$H$12:$H$16</c:f>
              <c:numCache>
                <c:formatCode>0.0%</c:formatCode>
                <c:ptCount val="5"/>
                <c:pt idx="0">
                  <c:v>0.47368421052631576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5A-43A1-9349-42D78C632B27}"/>
            </c:ext>
          </c:extLst>
        </c:ser>
        <c:ser>
          <c:idx val="1"/>
          <c:order val="1"/>
          <c:tx>
            <c:strRef>
              <c:f>DB_BR_Rocky!$J$10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DB_BR_Rocky!$A$12:$A$16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DB_BR_Rocky!$O$12:$O$16</c:f>
              <c:numCache>
                <c:formatCode>0.0%</c:formatCode>
                <c:ptCount val="5"/>
                <c:pt idx="0">
                  <c:v>0.73684210526315785</c:v>
                </c:pt>
                <c:pt idx="1">
                  <c:v>1.6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5A-43A1-9349-42D78C632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BDB_HQ_Rocky!$D$10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BDB_HQ_Rocky!$A$12:$A$16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BDB_HQ_Rocky!$H$12:$H$16</c:f>
              <c:numCache>
                <c:formatCode>0.0%</c:formatCode>
                <c:ptCount val="5"/>
                <c:pt idx="0">
                  <c:v>0.84210526315789469</c:v>
                </c:pt>
                <c:pt idx="1">
                  <c:v>1</c:v>
                </c:pt>
                <c:pt idx="2">
                  <c:v>0.375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4-411C-A33A-B0072678278A}"/>
            </c:ext>
          </c:extLst>
        </c:ser>
        <c:ser>
          <c:idx val="1"/>
          <c:order val="1"/>
          <c:tx>
            <c:strRef>
              <c:f>BDB_HQ_Rocky!$J$10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BDB_HQ_Rocky!$A$12:$A$16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BDB_HQ_Rocky!$O$12:$O$16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D4-411C-A33A-B00726782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BDB_BR_Rocky!$D$10</c:f>
              <c:strCache>
                <c:ptCount val="1"/>
                <c:pt idx="0">
                  <c:v>본진단 결과 (이행 전)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BDB_BR_Rocky!$A$12:$A$16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BDB_BR_Rocky!$H$12:$H$16</c:f>
              <c:numCache>
                <c:formatCode>0.0%</c:formatCode>
                <c:ptCount val="5"/>
                <c:pt idx="0">
                  <c:v>1</c:v>
                </c:pt>
                <c:pt idx="1">
                  <c:v>0.4</c:v>
                </c:pt>
                <c:pt idx="2">
                  <c:v>0.75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F9-415C-AAC7-F12D6EE636E7}"/>
            </c:ext>
          </c:extLst>
        </c:ser>
        <c:ser>
          <c:idx val="1"/>
          <c:order val="1"/>
          <c:tx>
            <c:strRef>
              <c:f>BDB_BR_Rocky!$J$10</c:f>
              <c:strCache>
                <c:ptCount val="1"/>
                <c:pt idx="0">
                  <c:v>이행 결과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BDB_BR_Rocky!$A$12:$A$16</c:f>
              <c:strCache>
                <c:ptCount val="5"/>
                <c:pt idx="0">
                  <c:v>계정 관리</c:v>
                </c:pt>
                <c:pt idx="1">
                  <c:v>접근 관리</c:v>
                </c:pt>
                <c:pt idx="2">
                  <c:v>옵션 관리</c:v>
                </c:pt>
                <c:pt idx="3">
                  <c:v>패치 관리</c:v>
                </c:pt>
                <c:pt idx="4">
                  <c:v>로그 관리</c:v>
                </c:pt>
              </c:strCache>
            </c:strRef>
          </c:cat>
          <c:val>
            <c:numRef>
              <c:f>BDB_BR_Rocky!$O$12:$O$16</c:f>
              <c:numCache>
                <c:formatCode>0.0%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F9-415C-AAC7-F12D6EE636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307462656"/>
        <c:axId val="306658624"/>
      </c:barChart>
      <c:valAx>
        <c:axId val="306658624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out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7462656"/>
        <c:crosses val="autoZero"/>
        <c:crossBetween val="between"/>
        <c:majorUnit val="0.2"/>
      </c:valAx>
      <c:catAx>
        <c:axId val="307462656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30665862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54427</xdr:colOff>
      <xdr:row>4</xdr:row>
      <xdr:rowOff>347416</xdr:rowOff>
    </xdr:from>
    <xdr:to>
      <xdr:col>9</xdr:col>
      <xdr:colOff>802820</xdr:colOff>
      <xdr:row>8</xdr:row>
      <xdr:rowOff>342312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38309" y="1901298"/>
          <a:ext cx="7920158" cy="154877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en-US" altLang="ko-KR" sz="1050" b="1">
            <a:solidFill>
              <a:sysClr val="windowText" lastClr="000000"/>
            </a:solidFill>
          </a:endParaRPr>
        </a:p>
        <a:p>
          <a:pPr algn="ctr"/>
          <a:r>
            <a:rPr lang="en-US" altLang="ko-KR" sz="2800" b="1" baseline="0">
              <a:solidFill>
                <a:sysClr val="windowText" lastClr="000000"/>
              </a:solidFill>
              <a:latin typeface="+mj-ea"/>
              <a:ea typeface="+mj-ea"/>
            </a:rPr>
            <a:t>DBMS </a:t>
          </a: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취약점 진단 </a:t>
          </a:r>
          <a: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  <a:t/>
          </a:r>
          <a:br>
            <a:rPr lang="en-US" altLang="ko-KR" sz="2800" b="1">
              <a:solidFill>
                <a:sysClr val="windowText" lastClr="000000"/>
              </a:solidFill>
              <a:latin typeface="+mj-ea"/>
              <a:ea typeface="+mj-ea"/>
            </a:rPr>
          </a:br>
          <a:r>
            <a:rPr lang="ko-KR" altLang="en-US" sz="2800" b="1">
              <a:solidFill>
                <a:sysClr val="windowText" lastClr="000000"/>
              </a:solidFill>
              <a:latin typeface="+mj-ea"/>
              <a:ea typeface="+mj-ea"/>
            </a:rPr>
            <a:t>상세 결과보고서</a:t>
          </a:r>
          <a:endParaRPr lang="en-US" altLang="ko-KR" sz="2800" b="1">
            <a:solidFill>
              <a:sysClr val="windowText" lastClr="000000"/>
            </a:solidFill>
            <a:latin typeface="+mj-ea"/>
            <a:ea typeface="+mj-ea"/>
          </a:endParaRPr>
        </a:p>
        <a:p>
          <a:pPr algn="ctr"/>
          <a:r>
            <a:rPr lang="ko-KR" altLang="en-US" sz="1400" b="1">
              <a:solidFill>
                <a:sysClr val="windowText" lastClr="000000"/>
              </a:solidFill>
            </a:rPr>
            <a:t>주요정보통신기반시설 취약점 분석</a:t>
          </a:r>
          <a:r>
            <a:rPr lang="en-US" altLang="ko-KR" sz="1400" b="1">
              <a:solidFill>
                <a:sysClr val="windowText" lastClr="000000"/>
              </a:solidFill>
            </a:rPr>
            <a:t>·</a:t>
          </a:r>
          <a:r>
            <a:rPr lang="ko-KR" altLang="en-US" sz="1400" b="1">
              <a:solidFill>
                <a:sysClr val="windowText" lastClr="000000"/>
              </a:solidFill>
            </a:rPr>
            <a:t>평가</a:t>
          </a:r>
          <a:endParaRPr lang="en-US" altLang="ko-KR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721170</xdr:colOff>
      <xdr:row>5</xdr:row>
      <xdr:rowOff>27214</xdr:rowOff>
    </xdr:from>
    <xdr:to>
      <xdr:col>9</xdr:col>
      <xdr:colOff>15420</xdr:colOff>
      <xdr:row>5</xdr:row>
      <xdr:rowOff>63214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flipV="1">
          <a:off x="1015368" y="1935527"/>
          <a:ext cx="6736671" cy="360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  <xdr:twoCellAnchor>
    <xdr:from>
      <xdr:col>1</xdr:col>
      <xdr:colOff>743581</xdr:colOff>
      <xdr:row>8</xdr:row>
      <xdr:rowOff>326035</xdr:rowOff>
    </xdr:from>
    <xdr:to>
      <xdr:col>9</xdr:col>
      <xdr:colOff>37831</xdr:colOff>
      <xdr:row>8</xdr:row>
      <xdr:rowOff>362035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flipV="1">
          <a:off x="1037779" y="3379336"/>
          <a:ext cx="6736671" cy="36000"/>
        </a:xfrm>
        <a:prstGeom prst="rect">
          <a:avLst/>
        </a:prstGeom>
        <a:solidFill>
          <a:schemeClr val="bg1">
            <a:lumMod val="50000"/>
          </a:schemeClr>
        </a:solidFill>
        <a:ln>
          <a:solidFill>
            <a:schemeClr val="bg1">
              <a:lumMod val="50000"/>
            </a:schemeClr>
          </a:solidFill>
        </a:ln>
        <a:effectLst/>
        <a:scene3d>
          <a:camera prst="orthographicFront">
            <a:rot lat="0" lon="0" rev="0"/>
          </a:camera>
          <a:lightRig rig="contrasting" dir="t">
            <a:rot lat="0" lon="0" rev="7800000"/>
          </a:lightRig>
        </a:scene3d>
        <a:sp3d>
          <a:bevelT w="139700" h="1397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ko-KR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25</xdr:row>
      <xdr:rowOff>9525</xdr:rowOff>
    </xdr:from>
    <xdr:to>
      <xdr:col>10</xdr:col>
      <xdr:colOff>304800</xdr:colOff>
      <xdr:row>45</xdr:row>
      <xdr:rowOff>33355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9525" y="4295775"/>
          <a:ext cx="4105275" cy="34528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11</xdr:row>
      <xdr:rowOff>161925</xdr:rowOff>
    </xdr:from>
    <xdr:to>
      <xdr:col>11</xdr:col>
      <xdr:colOff>409575</xdr:colOff>
      <xdr:row>35</xdr:row>
      <xdr:rowOff>66675</xdr:rowOff>
    </xdr:to>
    <xdr:graphicFrame macro="">
      <xdr:nvGraphicFramePr>
        <xdr:cNvPr id="6985" name="차트 2">
          <a:extLst>
            <a:ext uri="{FF2B5EF4-FFF2-40B4-BE49-F238E27FC236}">
              <a16:creationId xmlns:a16="http://schemas.microsoft.com/office/drawing/2014/main" id="{00000000-0008-0000-0400-0000491B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123824</xdr:colOff>
      <xdr:row>11</xdr:row>
      <xdr:rowOff>183697</xdr:rowOff>
    </xdr:from>
    <xdr:to>
      <xdr:col>20</xdr:col>
      <xdr:colOff>619124</xdr:colOff>
      <xdr:row>35</xdr:row>
      <xdr:rowOff>88447</xdr:rowOff>
    </xdr:to>
    <xdr:graphicFrame macro="">
      <xdr:nvGraphicFramePr>
        <xdr:cNvPr id="2" name="차트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169448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EB59CC1D-1C40-4C97-99E7-442E74F03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26635</xdr:colOff>
      <xdr:row>11</xdr:row>
      <xdr:rowOff>33617</xdr:rowOff>
    </xdr:from>
    <xdr:to>
      <xdr:col>8</xdr:col>
      <xdr:colOff>4706635</xdr:colOff>
      <xdr:row>16</xdr:row>
      <xdr:rowOff>217073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1BB8C64-5E5C-494F-8553-4895D100A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Works\2009&#45380;\1.&#52968;&#49444;&#54021;\3.%20&#54665;&#50504;&#48512;\3.&#53596;&#54540;&#47551;\(&#48324;&#52392;%202-1)%20&#49436;&#48260;&#51652;&#45800;_temp_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표지 "/>
      <sheetName val="목록"/>
      <sheetName val="통계결과"/>
      <sheetName val="영역통계"/>
      <sheetName val="진단통계(UNIX)"/>
      <sheetName val="진단통계(Windows)"/>
      <sheetName val="위험분석"/>
      <sheetName val="Unix"/>
      <sheetName val="Unix2"/>
      <sheetName val="Unix3"/>
      <sheetName val="Windows"/>
      <sheetName val="Windows1"/>
    </sheetNames>
    <sheetDataSet>
      <sheetData sheetId="0" refreshError="1"/>
      <sheetData sheetId="1" refreshError="1">
        <row r="7">
          <cell r="P7" t="str">
            <v>서버</v>
          </cell>
          <cell r="Q7" t="str">
            <v>Unix</v>
          </cell>
          <cell r="R7" t="str">
            <v>라우터</v>
          </cell>
          <cell r="S7" t="str">
            <v>방화벽</v>
          </cell>
          <cell r="T7" t="str">
            <v>WinXP</v>
          </cell>
        </row>
        <row r="8">
          <cell r="P8" t="str">
            <v>네트워크</v>
          </cell>
          <cell r="Q8" t="str">
            <v>Windows</v>
          </cell>
          <cell r="R8" t="str">
            <v>백본스위치</v>
          </cell>
          <cell r="S8" t="str">
            <v>IPS</v>
          </cell>
          <cell r="T8" t="str">
            <v>Win98</v>
          </cell>
        </row>
        <row r="9">
          <cell r="P9" t="str">
            <v>보안시스템</v>
          </cell>
          <cell r="R9" t="str">
            <v>L4스위치</v>
          </cell>
          <cell r="S9" t="str">
            <v>IDS</v>
          </cell>
          <cell r="T9" t="str">
            <v>WinVista</v>
          </cell>
        </row>
        <row r="10">
          <cell r="P10" t="str">
            <v>PC</v>
          </cell>
          <cell r="S10" t="str">
            <v>VPN</v>
          </cell>
        </row>
        <row r="36">
          <cell r="A36" t="str">
            <v>이민복</v>
          </cell>
        </row>
        <row r="37">
          <cell r="A37" t="str">
            <v>황치열</v>
          </cell>
        </row>
        <row r="38">
          <cell r="A38" t="str">
            <v>장숙희</v>
          </cell>
        </row>
        <row r="39">
          <cell r="A39" t="str">
            <v>김형태</v>
          </cell>
        </row>
        <row r="40">
          <cell r="A40" t="str">
            <v>오상교</v>
          </cell>
        </row>
        <row r="41">
          <cell r="A41" t="str">
            <v>이순형</v>
          </cell>
        </row>
        <row r="42">
          <cell r="A42" t="str">
            <v>장봉주</v>
          </cell>
        </row>
        <row r="43">
          <cell r="A43" t="str">
            <v>서성기</v>
          </cell>
        </row>
        <row r="44">
          <cell r="A44" t="str">
            <v>박정완</v>
          </cell>
        </row>
        <row r="45">
          <cell r="A45" t="str">
            <v>이정환</v>
          </cell>
        </row>
        <row r="46">
          <cell r="A46" t="str">
            <v>최길배</v>
          </cell>
        </row>
        <row r="47">
          <cell r="A47" t="str">
            <v>김대영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noFill/>
        <a:ln>
          <a:noFill/>
        </a:ln>
      </a:spPr>
      <a:bodyPr rtlCol="0" anchor="t" anchorCtr="0"/>
      <a:lstStyle>
        <a:defPPr marL="0" marR="0" indent="0" algn="l" defTabSz="914400" eaLnBrk="1" fontAlgn="auto" latinLnBrk="0" hangingPunct="1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sz="1800" b="1">
            <a:solidFill>
              <a:sysClr val="windowText" lastClr="000000"/>
            </a:solidFill>
            <a:latin typeface="굴림체" pitchFamily="49" charset="-127"/>
            <a:ea typeface="굴림체" pitchFamily="49" charset="-127"/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"/>
  <sheetViews>
    <sheetView tabSelected="1" view="pageBreakPreview" zoomScale="85" zoomScaleNormal="70" zoomScaleSheetLayoutView="85" workbookViewId="0"/>
  </sheetViews>
  <sheetFormatPr defaultColWidth="8.77734375" defaultRowHeight="16.5"/>
  <cols>
    <col min="1" max="1" width="3.6640625" style="71" customWidth="1"/>
    <col min="2" max="5" width="11.6640625" style="71" customWidth="1"/>
    <col min="6" max="6" width="12.44140625" style="71" bestFit="1" customWidth="1"/>
    <col min="7" max="10" width="11.6640625" style="71" customWidth="1"/>
    <col min="11" max="11" width="3.6640625" style="70" customWidth="1"/>
    <col min="12" max="16384" width="8.77734375" style="70"/>
  </cols>
  <sheetData>
    <row r="1" spans="1:11" ht="30" customHeight="1">
      <c r="A1" s="68"/>
      <c r="B1" s="68"/>
      <c r="C1" s="68"/>
      <c r="D1" s="68"/>
      <c r="E1" s="68"/>
      <c r="F1" s="68"/>
      <c r="G1" s="68"/>
      <c r="H1" s="68"/>
      <c r="I1" s="68"/>
      <c r="J1" s="68"/>
      <c r="K1" s="69"/>
    </row>
    <row r="2" spans="1:11" ht="30" customHeight="1">
      <c r="A2" s="68"/>
      <c r="B2" s="178"/>
      <c r="C2" s="178"/>
      <c r="D2" s="178"/>
      <c r="E2" s="68"/>
      <c r="F2" s="68"/>
      <c r="G2" s="68"/>
      <c r="H2" s="68"/>
      <c r="I2" s="68"/>
      <c r="J2" s="68"/>
      <c r="K2" s="68"/>
    </row>
    <row r="3" spans="1:11" ht="30" customHeight="1">
      <c r="A3" s="68"/>
      <c r="B3" s="178"/>
      <c r="C3" s="178"/>
      <c r="D3" s="178"/>
      <c r="E3" s="68"/>
      <c r="F3" s="68"/>
      <c r="G3" s="68"/>
      <c r="H3" s="68"/>
      <c r="I3" s="68"/>
      <c r="J3" s="68"/>
      <c r="K3" s="68"/>
    </row>
    <row r="4" spans="1:11" ht="30" customHeight="1">
      <c r="A4" s="68"/>
      <c r="B4" s="68"/>
      <c r="C4" s="68"/>
      <c r="D4" s="68"/>
      <c r="E4" s="68"/>
      <c r="F4" s="68"/>
      <c r="G4" s="68"/>
      <c r="H4" s="68"/>
      <c r="I4" s="68"/>
      <c r="J4" s="68"/>
      <c r="K4" s="68"/>
    </row>
    <row r="5" spans="1:11" ht="30" customHeight="1">
      <c r="A5" s="68"/>
      <c r="B5" s="68"/>
      <c r="C5" s="68"/>
      <c r="D5" s="68"/>
      <c r="E5" s="68"/>
      <c r="F5" s="68"/>
      <c r="G5" s="68"/>
      <c r="H5" s="68"/>
      <c r="I5" s="68"/>
      <c r="J5" s="68"/>
      <c r="K5" s="68"/>
    </row>
    <row r="6" spans="1:11" ht="30" customHeight="1">
      <c r="A6" s="68"/>
      <c r="B6" s="68"/>
      <c r="C6" s="68"/>
      <c r="D6" s="68"/>
      <c r="E6" s="68"/>
      <c r="F6" s="68"/>
      <c r="G6" s="68"/>
      <c r="H6" s="68"/>
      <c r="I6" s="68"/>
      <c r="J6" s="68"/>
      <c r="K6" s="68"/>
    </row>
    <row r="7" spans="1:11" ht="30" customHeight="1">
      <c r="A7" s="68"/>
      <c r="B7" s="68"/>
      <c r="C7" s="68"/>
      <c r="D7" s="68"/>
      <c r="E7" s="68"/>
      <c r="F7" s="68"/>
      <c r="G7" s="68"/>
      <c r="H7" s="68"/>
      <c r="I7" s="68"/>
      <c r="J7" s="68"/>
      <c r="K7" s="68"/>
    </row>
    <row r="8" spans="1:11" ht="30" customHeight="1">
      <c r="A8" s="68"/>
      <c r="B8" s="68"/>
      <c r="C8" s="68"/>
      <c r="D8" s="68"/>
      <c r="E8" s="68"/>
      <c r="F8" s="68"/>
      <c r="G8" s="68"/>
      <c r="H8" s="68"/>
      <c r="I8" s="68"/>
      <c r="J8" s="68"/>
      <c r="K8" s="68"/>
    </row>
    <row r="9" spans="1:11" ht="30" customHeight="1">
      <c r="A9" s="68"/>
      <c r="B9" s="68"/>
      <c r="C9" s="68"/>
      <c r="D9" s="68"/>
      <c r="E9" s="68"/>
      <c r="F9" s="68"/>
      <c r="G9" s="68"/>
      <c r="H9" s="68"/>
      <c r="I9" s="68"/>
      <c r="J9" s="68"/>
      <c r="K9" s="69"/>
    </row>
    <row r="10" spans="1:11" ht="30" customHeight="1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9"/>
    </row>
    <row r="11" spans="1:11" ht="30" customHeight="1">
      <c r="A11" s="68"/>
      <c r="B11" s="68"/>
      <c r="C11" s="68"/>
      <c r="D11" s="68"/>
      <c r="E11" s="68"/>
      <c r="F11" s="138">
        <v>46219</v>
      </c>
      <c r="G11" s="68"/>
      <c r="H11" s="68"/>
      <c r="I11" s="68"/>
      <c r="J11" s="68"/>
      <c r="K11" s="69"/>
    </row>
    <row r="12" spans="1:11" ht="30" customHeight="1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9"/>
    </row>
    <row r="13" spans="1:11" ht="30" customHeight="1">
      <c r="A13" s="68"/>
      <c r="B13" s="68"/>
      <c r="C13" s="68"/>
      <c r="D13" s="68"/>
      <c r="E13" s="68"/>
      <c r="F13" s="68"/>
      <c r="G13" s="68"/>
      <c r="H13"/>
      <c r="I13" s="68"/>
      <c r="J13" s="68"/>
      <c r="K13" s="69"/>
    </row>
    <row r="14" spans="1:11" ht="30" customHeight="1">
      <c r="A14" s="179"/>
      <c r="B14" s="179"/>
      <c r="C14" s="179"/>
      <c r="D14" s="179"/>
      <c r="E14" s="179"/>
      <c r="F14" s="179"/>
      <c r="G14" s="179"/>
      <c r="H14" s="179"/>
      <c r="I14" s="179"/>
      <c r="J14" s="179"/>
      <c r="K14" s="179"/>
    </row>
    <row r="15" spans="1:11" ht="30" customHeight="1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ht="16.350000000000001" customHeight="1"/>
  </sheetData>
  <mergeCells count="2">
    <mergeCell ref="B2:D3"/>
    <mergeCell ref="A14:K14"/>
  </mergeCells>
  <phoneticPr fontId="4" type="noConversion"/>
  <printOptions horizontalCentered="1"/>
  <pageMargins left="0.19685039370078741" right="0.19685039370078741" top="0.59055118110236227" bottom="0.19685039370078741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pageSetUpPr fitToPage="1"/>
  </sheetPr>
  <dimension ref="A1:R8"/>
  <sheetViews>
    <sheetView showGridLines="0" view="pageBreakPreview" zoomScale="85" zoomScaleNormal="100" zoomScaleSheetLayoutView="85" workbookViewId="0"/>
  </sheetViews>
  <sheetFormatPr defaultColWidth="8.77734375" defaultRowHeight="11.25"/>
  <cols>
    <col min="1" max="1" width="3.77734375" style="17" customWidth="1"/>
    <col min="2" max="2" width="15.77734375" style="20" bestFit="1" customWidth="1"/>
    <col min="3" max="3" width="12.44140625" style="20" bestFit="1" customWidth="1"/>
    <col min="4" max="4" width="12.109375" style="20" customWidth="1"/>
    <col min="5" max="6" width="6.109375" style="20" customWidth="1"/>
    <col min="7" max="7" width="17.109375" style="20" customWidth="1"/>
    <col min="8" max="8" width="8" style="20" bestFit="1" customWidth="1"/>
    <col min="9" max="9" width="23" style="20" bestFit="1" customWidth="1"/>
    <col min="10" max="10" width="14.88671875" style="17" customWidth="1"/>
    <col min="11" max="11" width="11.6640625" style="17" customWidth="1"/>
    <col min="12" max="12" width="7.21875" style="17" customWidth="1"/>
    <col min="13" max="13" width="6.44140625" style="17" customWidth="1"/>
    <col min="14" max="14" width="8.21875" style="17" customWidth="1"/>
    <col min="15" max="15" width="8" style="17" customWidth="1"/>
    <col min="16" max="16" width="9" style="17" customWidth="1"/>
    <col min="17" max="17" width="10.88671875" style="17" customWidth="1"/>
    <col min="18" max="18" width="8.44140625" style="20" customWidth="1"/>
    <col min="19" max="16384" width="8.77734375" style="17"/>
  </cols>
  <sheetData>
    <row r="1" spans="1:18" ht="16.5">
      <c r="A1" s="16" t="s">
        <v>0</v>
      </c>
    </row>
    <row r="2" spans="1:18" ht="12" thickBot="1"/>
    <row r="3" spans="1:18" ht="11.25" customHeight="1">
      <c r="A3" s="183" t="s">
        <v>1</v>
      </c>
      <c r="B3" s="185" t="s">
        <v>2</v>
      </c>
      <c r="C3" s="185" t="s">
        <v>3</v>
      </c>
      <c r="D3" s="187" t="s">
        <v>4</v>
      </c>
      <c r="E3" s="185" t="s">
        <v>5</v>
      </c>
      <c r="F3" s="185" t="s">
        <v>6</v>
      </c>
      <c r="G3" s="185" t="s">
        <v>7</v>
      </c>
      <c r="H3" s="185" t="s">
        <v>8</v>
      </c>
      <c r="I3" s="185" t="s">
        <v>9</v>
      </c>
      <c r="J3" s="185" t="s">
        <v>10</v>
      </c>
      <c r="K3" s="185" t="s">
        <v>11</v>
      </c>
      <c r="L3" s="185" t="s">
        <v>191</v>
      </c>
      <c r="M3" s="185" t="s">
        <v>12</v>
      </c>
      <c r="N3" s="180" t="s">
        <v>13</v>
      </c>
      <c r="O3" s="181"/>
      <c r="P3" s="181"/>
      <c r="Q3" s="182"/>
      <c r="R3" s="28"/>
    </row>
    <row r="4" spans="1:18">
      <c r="A4" s="184"/>
      <c r="B4" s="186"/>
      <c r="C4" s="186"/>
      <c r="D4" s="188"/>
      <c r="E4" s="186"/>
      <c r="F4" s="186"/>
      <c r="G4" s="186"/>
      <c r="H4" s="186"/>
      <c r="I4" s="186"/>
      <c r="J4" s="186"/>
      <c r="K4" s="186"/>
      <c r="L4" s="186"/>
      <c r="M4" s="186"/>
      <c r="N4" s="148" t="s">
        <v>14</v>
      </c>
      <c r="O4" s="148" t="s">
        <v>15</v>
      </c>
      <c r="P4" s="148" t="s">
        <v>16</v>
      </c>
      <c r="Q4" s="149" t="s">
        <v>17</v>
      </c>
      <c r="R4" s="28" t="s">
        <v>18</v>
      </c>
    </row>
    <row r="5" spans="1:18" s="176" customFormat="1" ht="12">
      <c r="A5" s="168">
        <v>1</v>
      </c>
      <c r="B5" s="169" t="s">
        <v>316</v>
      </c>
      <c r="C5" s="170" t="s">
        <v>307</v>
      </c>
      <c r="D5" s="170" t="s">
        <v>189</v>
      </c>
      <c r="E5" s="171" t="s">
        <v>185</v>
      </c>
      <c r="F5" s="171" t="s">
        <v>184</v>
      </c>
      <c r="G5" s="172" t="s">
        <v>223</v>
      </c>
      <c r="H5" s="171" t="s">
        <v>222</v>
      </c>
      <c r="I5" s="169" t="s">
        <v>315</v>
      </c>
      <c r="J5" s="170" t="s">
        <v>218</v>
      </c>
      <c r="K5" s="170" t="s">
        <v>311</v>
      </c>
      <c r="L5" s="170" t="s">
        <v>187</v>
      </c>
      <c r="M5" s="172" t="s">
        <v>19</v>
      </c>
      <c r="N5" s="173">
        <v>3</v>
      </c>
      <c r="O5" s="173">
        <v>3</v>
      </c>
      <c r="P5" s="173">
        <v>3</v>
      </c>
      <c r="Q5" s="174" t="str">
        <f t="shared" ref="Q5:Q8" si="0">IF(R5&gt;=7,"H",IF(R5&gt;=5,"M","L"))</f>
        <v>H</v>
      </c>
      <c r="R5" s="175">
        <f>SUM(N5:P5)</f>
        <v>9</v>
      </c>
    </row>
    <row r="6" spans="1:18" s="176" customFormat="1" ht="22.5">
      <c r="A6" s="168">
        <v>2</v>
      </c>
      <c r="B6" s="169" t="s">
        <v>317</v>
      </c>
      <c r="C6" s="170" t="s">
        <v>308</v>
      </c>
      <c r="D6" s="172" t="s">
        <v>194</v>
      </c>
      <c r="E6" s="172" t="s">
        <v>186</v>
      </c>
      <c r="F6" s="177" t="s">
        <v>192</v>
      </c>
      <c r="G6" s="172" t="s">
        <v>193</v>
      </c>
      <c r="H6" s="171" t="s">
        <v>190</v>
      </c>
      <c r="I6" s="169" t="s">
        <v>198</v>
      </c>
      <c r="J6" s="172" t="s">
        <v>219</v>
      </c>
      <c r="K6" s="172" t="s">
        <v>312</v>
      </c>
      <c r="L6" s="172" t="s">
        <v>188</v>
      </c>
      <c r="M6" s="177" t="s">
        <v>195</v>
      </c>
      <c r="N6" s="173">
        <v>3</v>
      </c>
      <c r="O6" s="173">
        <v>3</v>
      </c>
      <c r="P6" s="173">
        <v>3</v>
      </c>
      <c r="Q6" s="174" t="str">
        <f t="shared" si="0"/>
        <v>H</v>
      </c>
      <c r="R6" s="175">
        <f t="shared" ref="R6:R8" si="1">SUM(N6:P6)</f>
        <v>9</v>
      </c>
    </row>
    <row r="7" spans="1:18" s="176" customFormat="1" ht="12">
      <c r="A7" s="168">
        <v>1</v>
      </c>
      <c r="B7" s="169" t="s">
        <v>318</v>
      </c>
      <c r="C7" s="170" t="s">
        <v>309</v>
      </c>
      <c r="D7" s="170" t="s">
        <v>189</v>
      </c>
      <c r="E7" s="172" t="s">
        <v>186</v>
      </c>
      <c r="F7" s="177" t="s">
        <v>19</v>
      </c>
      <c r="G7" s="172" t="s">
        <v>223</v>
      </c>
      <c r="H7" s="171" t="s">
        <v>222</v>
      </c>
      <c r="I7" s="169" t="s">
        <v>217</v>
      </c>
      <c r="J7" s="170" t="s">
        <v>220</v>
      </c>
      <c r="K7" s="170" t="s">
        <v>313</v>
      </c>
      <c r="L7" s="170" t="s">
        <v>187</v>
      </c>
      <c r="M7" s="172" t="s">
        <v>19</v>
      </c>
      <c r="N7" s="173">
        <v>3</v>
      </c>
      <c r="O7" s="173">
        <v>3</v>
      </c>
      <c r="P7" s="173">
        <v>3</v>
      </c>
      <c r="Q7" s="174" t="str">
        <f t="shared" si="0"/>
        <v>H</v>
      </c>
      <c r="R7" s="175">
        <f t="shared" si="1"/>
        <v>9</v>
      </c>
    </row>
    <row r="8" spans="1:18" s="176" customFormat="1" ht="22.5">
      <c r="A8" s="168">
        <v>2</v>
      </c>
      <c r="B8" s="169" t="s">
        <v>306</v>
      </c>
      <c r="C8" s="170" t="s">
        <v>310</v>
      </c>
      <c r="D8" s="172" t="s">
        <v>194</v>
      </c>
      <c r="E8" s="171" t="s">
        <v>185</v>
      </c>
      <c r="F8" s="171" t="s">
        <v>184</v>
      </c>
      <c r="G8" s="172" t="s">
        <v>193</v>
      </c>
      <c r="H8" s="171" t="s">
        <v>190</v>
      </c>
      <c r="I8" s="169" t="s">
        <v>216</v>
      </c>
      <c r="J8" s="172" t="s">
        <v>221</v>
      </c>
      <c r="K8" s="172" t="s">
        <v>314</v>
      </c>
      <c r="L8" s="172" t="s">
        <v>188</v>
      </c>
      <c r="M8" s="177" t="s">
        <v>19</v>
      </c>
      <c r="N8" s="173">
        <v>3</v>
      </c>
      <c r="O8" s="173">
        <v>3</v>
      </c>
      <c r="P8" s="173">
        <v>3</v>
      </c>
      <c r="Q8" s="174" t="str">
        <f t="shared" si="0"/>
        <v>H</v>
      </c>
      <c r="R8" s="175">
        <f t="shared" si="1"/>
        <v>9</v>
      </c>
    </row>
  </sheetData>
  <mergeCells count="14">
    <mergeCell ref="N3:Q3"/>
    <mergeCell ref="A3:A4"/>
    <mergeCell ref="J3:J4"/>
    <mergeCell ref="M3:M4"/>
    <mergeCell ref="B3:B4"/>
    <mergeCell ref="C3:C4"/>
    <mergeCell ref="G3:G4"/>
    <mergeCell ref="I3:I4"/>
    <mergeCell ref="D3:D4"/>
    <mergeCell ref="H3:H4"/>
    <mergeCell ref="L3:L4"/>
    <mergeCell ref="E3:E4"/>
    <mergeCell ref="F3:F4"/>
    <mergeCell ref="K3:K4"/>
  </mergeCells>
  <phoneticPr fontId="5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45" fitToHeight="0" orientation="portrait" horizontalDpi="4294967294" verticalDpi="4294967294" r:id="rId1"/>
  <headerFooter alignWithMargins="0">
    <oddHeader>&amp;L
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rgb="FFFF0000"/>
  </sheetPr>
  <dimension ref="B2:U53"/>
  <sheetViews>
    <sheetView zoomScaleNormal="100" workbookViewId="0">
      <selection activeCell="L57" sqref="L57"/>
    </sheetView>
  </sheetViews>
  <sheetFormatPr defaultColWidth="8.77734375" defaultRowHeight="13.5"/>
  <cols>
    <col min="1" max="1" width="2.6640625" customWidth="1"/>
    <col min="3" max="3" width="15.109375" bestFit="1" customWidth="1"/>
  </cols>
  <sheetData>
    <row r="2" spans="2:8">
      <c r="B2" s="9" t="s">
        <v>20</v>
      </c>
    </row>
    <row r="3" spans="2:8">
      <c r="B3" s="27" t="s">
        <v>21</v>
      </c>
    </row>
    <row r="4" spans="2:8">
      <c r="B4" s="11" t="s">
        <v>22</v>
      </c>
    </row>
    <row r="6" spans="2:8">
      <c r="B6" s="9" t="s">
        <v>23</v>
      </c>
      <c r="C6" s="9"/>
    </row>
    <row r="7" spans="2:8">
      <c r="B7" s="27" t="s">
        <v>24</v>
      </c>
      <c r="C7" s="27" t="s">
        <v>25</v>
      </c>
    </row>
    <row r="8" spans="2:8">
      <c r="B8" s="11" t="s">
        <v>26</v>
      </c>
      <c r="C8" s="11">
        <v>3</v>
      </c>
    </row>
    <row r="9" spans="2:8">
      <c r="B9" s="11" t="s">
        <v>27</v>
      </c>
      <c r="C9" s="11">
        <v>2</v>
      </c>
    </row>
    <row r="10" spans="2:8">
      <c r="B10" s="11" t="s">
        <v>28</v>
      </c>
      <c r="C10" s="11">
        <v>1</v>
      </c>
    </row>
    <row r="11" spans="2:8">
      <c r="B11" s="12"/>
      <c r="C11" s="12"/>
    </row>
    <row r="12" spans="2:8">
      <c r="B12" s="9" t="s">
        <v>29</v>
      </c>
      <c r="C12" s="9"/>
    </row>
    <row r="13" spans="2:8">
      <c r="B13" s="200" t="s">
        <v>30</v>
      </c>
      <c r="C13" s="200" t="s">
        <v>25</v>
      </c>
      <c r="D13" s="200"/>
    </row>
    <row r="14" spans="2:8">
      <c r="B14" s="200"/>
      <c r="C14" s="27" t="s">
        <v>31</v>
      </c>
      <c r="D14" s="27" t="s">
        <v>32</v>
      </c>
    </row>
    <row r="15" spans="2:8">
      <c r="B15" s="11" t="s">
        <v>33</v>
      </c>
      <c r="C15" s="11">
        <v>1</v>
      </c>
      <c r="D15" s="11">
        <v>0</v>
      </c>
    </row>
    <row r="16" spans="2:8">
      <c r="B16" s="11" t="s">
        <v>34</v>
      </c>
      <c r="C16" s="11">
        <v>0</v>
      </c>
      <c r="D16" s="11">
        <v>3</v>
      </c>
      <c r="F16" s="11" t="s">
        <v>35</v>
      </c>
      <c r="G16" s="11">
        <v>0.5</v>
      </c>
      <c r="H16" s="11">
        <v>0.5</v>
      </c>
    </row>
    <row r="17" spans="2:6">
      <c r="B17" s="11" t="s">
        <v>36</v>
      </c>
      <c r="C17" s="11">
        <v>0</v>
      </c>
      <c r="D17" s="11">
        <v>0</v>
      </c>
    </row>
    <row r="18" spans="2:6">
      <c r="B18" s="11" t="s">
        <v>37</v>
      </c>
      <c r="C18" s="11">
        <v>0</v>
      </c>
      <c r="D18" s="11">
        <v>0</v>
      </c>
    </row>
    <row r="19" spans="2:6">
      <c r="B19" s="11" t="s">
        <v>38</v>
      </c>
      <c r="C19" s="11">
        <v>1</v>
      </c>
      <c r="D19" s="11">
        <v>0</v>
      </c>
    </row>
    <row r="20" spans="2:6">
      <c r="B20" s="12"/>
      <c r="C20" s="12"/>
    </row>
    <row r="21" spans="2:6">
      <c r="B21" s="9" t="s">
        <v>39</v>
      </c>
    </row>
    <row r="22" spans="2:6">
      <c r="B22" s="27" t="s">
        <v>40</v>
      </c>
    </row>
    <row r="23" spans="2:6">
      <c r="B23" s="11">
        <v>21</v>
      </c>
    </row>
    <row r="25" spans="2:6">
      <c r="B25" s="9" t="s">
        <v>41</v>
      </c>
      <c r="F25" s="9" t="s">
        <v>42</v>
      </c>
    </row>
    <row r="26" spans="2:6">
      <c r="B26" s="197" t="s">
        <v>43</v>
      </c>
      <c r="C26" s="190" t="s">
        <v>44</v>
      </c>
      <c r="D26" s="192"/>
    </row>
    <row r="27" spans="2:6">
      <c r="B27" s="199"/>
      <c r="C27" s="27" t="s">
        <v>45</v>
      </c>
      <c r="D27" s="27" t="s">
        <v>46</v>
      </c>
    </row>
    <row r="28" spans="2:6">
      <c r="B28" s="11" t="s">
        <v>26</v>
      </c>
      <c r="C28" s="11">
        <v>7</v>
      </c>
      <c r="D28" s="11">
        <v>9</v>
      </c>
    </row>
    <row r="29" spans="2:6">
      <c r="B29" s="11" t="s">
        <v>27</v>
      </c>
      <c r="C29" s="11">
        <v>5</v>
      </c>
      <c r="D29" s="11">
        <v>6</v>
      </c>
    </row>
    <row r="30" spans="2:6">
      <c r="B30" s="11" t="s">
        <v>28</v>
      </c>
      <c r="C30" s="11">
        <v>3</v>
      </c>
      <c r="D30" s="11">
        <v>4</v>
      </c>
    </row>
    <row r="31" spans="2:6">
      <c r="B31" s="10"/>
      <c r="C31" s="10"/>
      <c r="D31" s="10"/>
    </row>
    <row r="32" spans="2:6">
      <c r="B32" s="9" t="s">
        <v>47</v>
      </c>
    </row>
    <row r="33" spans="2:21">
      <c r="B33" s="197" t="s">
        <v>43</v>
      </c>
      <c r="C33" s="190" t="s">
        <v>44</v>
      </c>
      <c r="D33" s="192"/>
    </row>
    <row r="34" spans="2:21">
      <c r="B34" s="199"/>
      <c r="C34" s="27" t="s">
        <v>45</v>
      </c>
      <c r="D34" s="27" t="s">
        <v>46</v>
      </c>
    </row>
    <row r="35" spans="2:21">
      <c r="B35" s="11" t="s">
        <v>26</v>
      </c>
      <c r="C35" s="11">
        <v>5</v>
      </c>
      <c r="D35" s="11">
        <v>6</v>
      </c>
    </row>
    <row r="36" spans="2:21">
      <c r="B36" s="11" t="s">
        <v>27</v>
      </c>
      <c r="C36" s="11">
        <v>4</v>
      </c>
      <c r="D36" s="11">
        <v>4</v>
      </c>
    </row>
    <row r="37" spans="2:21">
      <c r="B37" s="11" t="s">
        <v>28</v>
      </c>
      <c r="C37" s="11">
        <v>2</v>
      </c>
      <c r="D37" s="11">
        <v>3</v>
      </c>
    </row>
    <row r="39" spans="2:21">
      <c r="B39" s="9" t="s">
        <v>48</v>
      </c>
    </row>
    <row r="40" spans="2:21">
      <c r="B40" s="197" t="s">
        <v>43</v>
      </c>
      <c r="C40" s="190" t="s">
        <v>44</v>
      </c>
      <c r="D40" s="192"/>
    </row>
    <row r="41" spans="2:21">
      <c r="B41" s="199"/>
      <c r="C41" s="27" t="s">
        <v>45</v>
      </c>
      <c r="D41" s="27" t="s">
        <v>46</v>
      </c>
    </row>
    <row r="42" spans="2:21">
      <c r="B42" s="11" t="s">
        <v>26</v>
      </c>
      <c r="C42" s="11">
        <f>$B$23</f>
        <v>21</v>
      </c>
      <c r="D42" s="11">
        <v>30</v>
      </c>
    </row>
    <row r="43" spans="2:21">
      <c r="B43" s="11" t="s">
        <v>27</v>
      </c>
      <c r="C43" s="11">
        <v>11</v>
      </c>
      <c r="D43" s="11">
        <f>$C$42-1</f>
        <v>20</v>
      </c>
    </row>
    <row r="44" spans="2:21">
      <c r="B44" s="11" t="s">
        <v>28</v>
      </c>
      <c r="C44" s="11">
        <v>1</v>
      </c>
      <c r="D44" s="11">
        <f>$C$43-1</f>
        <v>10</v>
      </c>
    </row>
    <row r="46" spans="2:21">
      <c r="B46" s="9" t="s">
        <v>49</v>
      </c>
    </row>
    <row r="47" spans="2:21">
      <c r="B47" s="9" t="s">
        <v>50</v>
      </c>
    </row>
    <row r="48" spans="2:21">
      <c r="B48" s="193" t="s">
        <v>51</v>
      </c>
      <c r="C48" s="33" t="s">
        <v>52</v>
      </c>
      <c r="D48" s="194" t="s">
        <v>53</v>
      </c>
      <c r="E48" s="195"/>
      <c r="F48" s="195"/>
      <c r="G48" s="195"/>
      <c r="H48" s="195"/>
      <c r="I48" s="195"/>
      <c r="J48" s="195"/>
      <c r="K48" s="195"/>
      <c r="L48" s="196"/>
      <c r="M48" s="189" t="s">
        <v>54</v>
      </c>
      <c r="N48" s="189"/>
      <c r="O48" s="189"/>
      <c r="P48" s="189"/>
      <c r="Q48" s="189"/>
      <c r="R48" s="189"/>
      <c r="S48" s="189"/>
      <c r="T48" s="189"/>
      <c r="U48" s="189"/>
    </row>
    <row r="49" spans="2:21">
      <c r="B49" s="193"/>
      <c r="C49" s="33" t="s">
        <v>55</v>
      </c>
      <c r="D49" s="190" t="s">
        <v>28</v>
      </c>
      <c r="E49" s="191"/>
      <c r="F49" s="192"/>
      <c r="G49" s="190" t="s">
        <v>27</v>
      </c>
      <c r="H49" s="191"/>
      <c r="I49" s="192"/>
      <c r="J49" s="190" t="s">
        <v>26</v>
      </c>
      <c r="K49" s="191"/>
      <c r="L49" s="192"/>
      <c r="M49" s="190" t="s">
        <v>28</v>
      </c>
      <c r="N49" s="191"/>
      <c r="O49" s="192"/>
      <c r="P49" s="190" t="s">
        <v>27</v>
      </c>
      <c r="Q49" s="191"/>
      <c r="R49" s="192"/>
      <c r="S49" s="190" t="s">
        <v>26</v>
      </c>
      <c r="T49" s="191"/>
      <c r="U49" s="192"/>
    </row>
    <row r="50" spans="2:21">
      <c r="B50" s="190" t="s">
        <v>56</v>
      </c>
      <c r="C50" s="192"/>
      <c r="D50" s="27" t="s">
        <v>28</v>
      </c>
      <c r="E50" s="27" t="s">
        <v>27</v>
      </c>
      <c r="F50" s="27" t="s">
        <v>26</v>
      </c>
      <c r="G50" s="27" t="s">
        <v>28</v>
      </c>
      <c r="H50" s="27" t="s">
        <v>27</v>
      </c>
      <c r="I50" s="27" t="s">
        <v>26</v>
      </c>
      <c r="J50" s="27" t="s">
        <v>28</v>
      </c>
      <c r="K50" s="27" t="s">
        <v>27</v>
      </c>
      <c r="L50" s="27" t="s">
        <v>26</v>
      </c>
      <c r="M50" s="27" t="s">
        <v>28</v>
      </c>
      <c r="N50" s="27" t="s">
        <v>27</v>
      </c>
      <c r="O50" s="27" t="s">
        <v>26</v>
      </c>
      <c r="P50" s="27" t="s">
        <v>28</v>
      </c>
      <c r="Q50" s="27" t="s">
        <v>27</v>
      </c>
      <c r="R50" s="27" t="s">
        <v>26</v>
      </c>
      <c r="S50" s="27" t="s">
        <v>28</v>
      </c>
      <c r="T50" s="27" t="s">
        <v>27</v>
      </c>
      <c r="U50" s="27" t="s">
        <v>26</v>
      </c>
    </row>
    <row r="51" spans="2:21">
      <c r="B51" s="197" t="s">
        <v>57</v>
      </c>
      <c r="C51" s="27" t="s">
        <v>28</v>
      </c>
      <c r="D51" s="35">
        <f>VLOOKUP($C51,$B$8:$C$10,2,FALSE)*(1+VLOOKUP($D$49,$B$8:$C$10,2,FALSE)*0*VLOOKUP(D$50,$B$8:$C$10,2,FALSE))</f>
        <v>1</v>
      </c>
      <c r="E51" s="35">
        <f t="shared" ref="E51:F53" si="0">VLOOKUP($C51,$B$8:$C$10,2,FALSE)*(1+VLOOKUP($D$49,$B$8:$C$10,2,FALSE)*0*VLOOKUP(E$50,$B$8:$C$10,2,FALSE))</f>
        <v>1</v>
      </c>
      <c r="F51" s="35">
        <f t="shared" si="0"/>
        <v>1</v>
      </c>
      <c r="G51" s="35">
        <f>VLOOKUP($C51,$B$8:$C$10,2,FALSE)*(1+VLOOKUP($G$49,$B$8:$C$10,2,FALSE)*0*VLOOKUP(G$50,$B$8:$C$10,2,FALSE))</f>
        <v>1</v>
      </c>
      <c r="H51" s="35">
        <f t="shared" ref="H51:I53" si="1">VLOOKUP($C51,$B$8:$C$10,2,FALSE)*(1+VLOOKUP($G$49,$B$8:$C$10,2,FALSE)*0*VLOOKUP(H$50,$B$8:$C$10,2,FALSE))</f>
        <v>1</v>
      </c>
      <c r="I51" s="35">
        <f t="shared" si="1"/>
        <v>1</v>
      </c>
      <c r="J51" s="29">
        <f>VLOOKUP($C51,$B$8:$C$10,2,FALSE)*(1+VLOOKUP($J$49,$B$8:$C$10,2,FALSE)*0*VLOOKUP(J$50,$B$8:$C$10,2,FALSE))</f>
        <v>1</v>
      </c>
      <c r="K51" s="29">
        <f t="shared" ref="K51:L53" si="2">VLOOKUP($C51,$B$8:$C$10,2,FALSE)*(1+VLOOKUP($J$49,$B$8:$C$10,2,FALSE)*0*VLOOKUP(K$50,$B$8:$C$10,2,FALSE))</f>
        <v>1</v>
      </c>
      <c r="L51" s="29">
        <f t="shared" si="2"/>
        <v>1</v>
      </c>
      <c r="M51" s="29">
        <f>VLOOKUP($C51,$B$8:$C$10,2,FALSE)*(1+VLOOKUP($M$49,$B$8:$C$10,2,FALSE)*1*VLOOKUP(M$50,$B$8:$C$10,2,FALSE))</f>
        <v>2</v>
      </c>
      <c r="N51" s="29">
        <f t="shared" ref="N51:O53" si="3">VLOOKUP($C51,$B$8:$C$10,2,FALSE)*(1+VLOOKUP($M$49,$B$8:$C$10,2,FALSE)*1*VLOOKUP(N$50,$B$8:$C$10,2,FALSE))</f>
        <v>3</v>
      </c>
      <c r="O51" s="29">
        <f t="shared" si="3"/>
        <v>4</v>
      </c>
      <c r="P51" s="29">
        <f>VLOOKUP($C51,$B$8:$C$10,2,FALSE)*(1+VLOOKUP($P$49,$B$8:$C$10,2,FALSE)*1*VLOOKUP(P$50,$B$8:$C$10,2,FALSE))</f>
        <v>3</v>
      </c>
      <c r="Q51" s="29">
        <f t="shared" ref="Q51:R53" si="4">VLOOKUP($C51,$B$8:$C$10,2,FALSE)*(1+VLOOKUP($P$49,$B$8:$C$10,2,FALSE)*1*VLOOKUP(Q$50,$B$8:$C$10,2,FALSE))</f>
        <v>5</v>
      </c>
      <c r="R51" s="29">
        <f t="shared" si="4"/>
        <v>7</v>
      </c>
      <c r="S51" s="29">
        <f>VLOOKUP($C51,$B$8:$C$10,2,FALSE)*(1+VLOOKUP($S$49,$B$8:$C$10,2,FALSE)*1*VLOOKUP(S$50,$B$8:$C$10,2,FALSE))</f>
        <v>4</v>
      </c>
      <c r="T51" s="29">
        <f t="shared" ref="T51:U53" si="5">VLOOKUP($C51,$B$8:$C$10,2,FALSE)*(1+VLOOKUP($S$49,$B$8:$C$10,2,FALSE)*1*VLOOKUP(T$50,$B$8:$C$10,2,FALSE))</f>
        <v>7</v>
      </c>
      <c r="U51" s="29">
        <f t="shared" si="5"/>
        <v>10</v>
      </c>
    </row>
    <row r="52" spans="2:21">
      <c r="B52" s="198"/>
      <c r="C52" s="27" t="s">
        <v>27</v>
      </c>
      <c r="D52" s="35">
        <f t="shared" ref="D52:D53" si="6">VLOOKUP($C52,$B$8:$C$10,2,FALSE)*(1+VLOOKUP($D$49,$B$8:$C$10,2,FALSE)*0*VLOOKUP(D$50,$B$8:$C$10,2,FALSE))</f>
        <v>2</v>
      </c>
      <c r="E52" s="35">
        <f t="shared" si="0"/>
        <v>2</v>
      </c>
      <c r="F52" s="35">
        <f t="shared" si="0"/>
        <v>2</v>
      </c>
      <c r="G52" s="35">
        <f t="shared" ref="G52:G53" si="7">VLOOKUP($C52,$B$8:$C$10,2,FALSE)*(1+VLOOKUP($G$49,$B$8:$C$10,2,FALSE)*0*VLOOKUP(G$50,$B$8:$C$10,2,FALSE))</f>
        <v>2</v>
      </c>
      <c r="H52" s="35">
        <f t="shared" si="1"/>
        <v>2</v>
      </c>
      <c r="I52" s="35">
        <f t="shared" si="1"/>
        <v>2</v>
      </c>
      <c r="J52" s="29">
        <f t="shared" ref="J52:J53" si="8">VLOOKUP($C52,$B$8:$C$10,2,FALSE)*(1+VLOOKUP($J$49,$B$8:$C$10,2,FALSE)*0*VLOOKUP(J$50,$B$8:$C$10,2,FALSE))</f>
        <v>2</v>
      </c>
      <c r="K52" s="29">
        <f t="shared" si="2"/>
        <v>2</v>
      </c>
      <c r="L52" s="29">
        <f t="shared" si="2"/>
        <v>2</v>
      </c>
      <c r="M52" s="29">
        <f t="shared" ref="M52:M53" si="9">VLOOKUP($C52,$B$8:$C$10,2,FALSE)*(1+VLOOKUP($M$49,$B$8:$C$10,2,FALSE)*1*VLOOKUP(M$50,$B$8:$C$10,2,FALSE))</f>
        <v>4</v>
      </c>
      <c r="N52" s="29">
        <f t="shared" si="3"/>
        <v>6</v>
      </c>
      <c r="O52" s="29">
        <f t="shared" si="3"/>
        <v>8</v>
      </c>
      <c r="P52" s="29">
        <f t="shared" ref="P52:P53" si="10">VLOOKUP($C52,$B$8:$C$10,2,FALSE)*(1+VLOOKUP($P$49,$B$8:$C$10,2,FALSE)*1*VLOOKUP(P$50,$B$8:$C$10,2,FALSE))</f>
        <v>6</v>
      </c>
      <c r="Q52" s="29">
        <f t="shared" si="4"/>
        <v>10</v>
      </c>
      <c r="R52" s="29">
        <f t="shared" si="4"/>
        <v>14</v>
      </c>
      <c r="S52" s="29">
        <f t="shared" ref="S52:S53" si="11">VLOOKUP($C52,$B$8:$C$10,2,FALSE)*(1+VLOOKUP($S$49,$B$8:$C$10,2,FALSE)*1*VLOOKUP(S$50,$B$8:$C$10,2,FALSE))</f>
        <v>8</v>
      </c>
      <c r="T52" s="29">
        <f t="shared" si="5"/>
        <v>14</v>
      </c>
      <c r="U52" s="29">
        <f t="shared" si="5"/>
        <v>20</v>
      </c>
    </row>
    <row r="53" spans="2:21">
      <c r="B53" s="199"/>
      <c r="C53" s="27" t="s">
        <v>26</v>
      </c>
      <c r="D53" s="35">
        <f t="shared" si="6"/>
        <v>3</v>
      </c>
      <c r="E53" s="35">
        <f t="shared" si="0"/>
        <v>3</v>
      </c>
      <c r="F53" s="35">
        <f t="shared" si="0"/>
        <v>3</v>
      </c>
      <c r="G53" s="35">
        <f t="shared" si="7"/>
        <v>3</v>
      </c>
      <c r="H53" s="35">
        <f t="shared" si="1"/>
        <v>3</v>
      </c>
      <c r="I53" s="35">
        <f t="shared" si="1"/>
        <v>3</v>
      </c>
      <c r="J53" s="29">
        <f t="shared" si="8"/>
        <v>3</v>
      </c>
      <c r="K53" s="29">
        <f t="shared" si="2"/>
        <v>3</v>
      </c>
      <c r="L53" s="29">
        <f t="shared" si="2"/>
        <v>3</v>
      </c>
      <c r="M53" s="29">
        <f t="shared" si="9"/>
        <v>6</v>
      </c>
      <c r="N53" s="29">
        <f t="shared" si="3"/>
        <v>9</v>
      </c>
      <c r="O53" s="29">
        <f t="shared" si="3"/>
        <v>12</v>
      </c>
      <c r="P53" s="29">
        <f t="shared" si="10"/>
        <v>9</v>
      </c>
      <c r="Q53" s="29">
        <f t="shared" si="4"/>
        <v>15</v>
      </c>
      <c r="R53" s="29">
        <f t="shared" si="4"/>
        <v>21</v>
      </c>
      <c r="S53" s="29">
        <f t="shared" si="11"/>
        <v>12</v>
      </c>
      <c r="T53" s="29">
        <f t="shared" si="5"/>
        <v>21</v>
      </c>
      <c r="U53" s="29">
        <f t="shared" si="5"/>
        <v>30</v>
      </c>
    </row>
  </sheetData>
  <mergeCells count="19">
    <mergeCell ref="B13:B14"/>
    <mergeCell ref="C13:D13"/>
    <mergeCell ref="B26:B27"/>
    <mergeCell ref="C26:D26"/>
    <mergeCell ref="B33:B34"/>
    <mergeCell ref="C33:D33"/>
    <mergeCell ref="B48:B49"/>
    <mergeCell ref="D48:L48"/>
    <mergeCell ref="B50:C50"/>
    <mergeCell ref="B51:B53"/>
    <mergeCell ref="B40:B41"/>
    <mergeCell ref="C40:D40"/>
    <mergeCell ref="M48:U48"/>
    <mergeCell ref="D49:F49"/>
    <mergeCell ref="G49:I49"/>
    <mergeCell ref="J49:L49"/>
    <mergeCell ref="M49:O49"/>
    <mergeCell ref="P49:R49"/>
    <mergeCell ref="S49:U49"/>
  </mergeCells>
  <phoneticPr fontId="5" type="noConversion"/>
  <conditionalFormatting sqref="D51:U53">
    <cfRule type="expression" dxfId="140" priority="1">
      <formula>IF(D51&gt;=$C$42,1,0)</formula>
    </cfRule>
    <cfRule type="expression" dxfId="139" priority="2">
      <formula>IF(D51&gt;=$C$43,1,0)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F30"/>
  <sheetViews>
    <sheetView showGridLines="0" view="pageBreakPreview" zoomScale="85" zoomScaleNormal="100" zoomScaleSheetLayoutView="85" workbookViewId="0"/>
  </sheetViews>
  <sheetFormatPr defaultColWidth="8.77734375" defaultRowHeight="12"/>
  <cols>
    <col min="1" max="2" width="8.33203125" style="10" customWidth="1"/>
    <col min="3" max="3" width="44.44140625" style="140" customWidth="1"/>
    <col min="4" max="5" width="5.109375" style="10" bestFit="1" customWidth="1"/>
    <col min="6" max="6" width="53.44140625" style="12" customWidth="1"/>
    <col min="7" max="16384" width="8.77734375" style="12"/>
  </cols>
  <sheetData>
    <row r="1" spans="1:6" s="32" customFormat="1" ht="16.5">
      <c r="A1" s="141" t="s">
        <v>58</v>
      </c>
      <c r="B1" s="10"/>
      <c r="C1" s="140"/>
      <c r="D1" s="10"/>
      <c r="E1" s="10"/>
    </row>
    <row r="2" spans="1:6">
      <c r="B2" s="142"/>
    </row>
    <row r="3" spans="1:6" ht="13.35" customHeight="1">
      <c r="A3" s="201" t="s">
        <v>59</v>
      </c>
      <c r="B3" s="201"/>
      <c r="C3" s="201"/>
      <c r="D3" s="201"/>
      <c r="E3" s="201"/>
      <c r="F3" s="143" t="s">
        <v>60</v>
      </c>
    </row>
    <row r="4" spans="1:6">
      <c r="A4" s="201" t="s">
        <v>61</v>
      </c>
      <c r="B4" s="201"/>
      <c r="C4" s="144" t="s">
        <v>62</v>
      </c>
      <c r="D4" s="144" t="s">
        <v>24</v>
      </c>
      <c r="E4" s="144" t="s">
        <v>63</v>
      </c>
      <c r="F4" s="143" t="s">
        <v>183</v>
      </c>
    </row>
    <row r="5" spans="1:6">
      <c r="A5" s="150" t="s">
        <v>150</v>
      </c>
      <c r="B5" s="150" t="s">
        <v>152</v>
      </c>
      <c r="C5" s="151" t="s">
        <v>253</v>
      </c>
      <c r="D5" s="28" t="s">
        <v>254</v>
      </c>
      <c r="E5" s="150">
        <v>3</v>
      </c>
      <c r="F5" s="153" t="s">
        <v>280</v>
      </c>
    </row>
    <row r="6" spans="1:6">
      <c r="A6" s="150" t="s">
        <v>150</v>
      </c>
      <c r="B6" s="150" t="s">
        <v>153</v>
      </c>
      <c r="C6" s="151" t="s">
        <v>255</v>
      </c>
      <c r="D6" s="28" t="s">
        <v>254</v>
      </c>
      <c r="E6" s="150">
        <v>3</v>
      </c>
      <c r="F6" s="153" t="s">
        <v>281</v>
      </c>
    </row>
    <row r="7" spans="1:6">
      <c r="A7" s="150" t="s">
        <v>150</v>
      </c>
      <c r="B7" s="150" t="s">
        <v>154</v>
      </c>
      <c r="C7" s="151" t="s">
        <v>256</v>
      </c>
      <c r="D7" s="28" t="s">
        <v>254</v>
      </c>
      <c r="E7" s="150">
        <v>3</v>
      </c>
      <c r="F7" s="153" t="s">
        <v>282</v>
      </c>
    </row>
    <row r="8" spans="1:6">
      <c r="A8" s="150" t="s">
        <v>150</v>
      </c>
      <c r="B8" s="150" t="s">
        <v>155</v>
      </c>
      <c r="C8" s="151" t="s">
        <v>257</v>
      </c>
      <c r="D8" s="28" t="s">
        <v>254</v>
      </c>
      <c r="E8" s="150">
        <v>3</v>
      </c>
      <c r="F8" s="153" t="s">
        <v>283</v>
      </c>
    </row>
    <row r="9" spans="1:6">
      <c r="A9" s="150" t="s">
        <v>150</v>
      </c>
      <c r="B9" s="150" t="s">
        <v>160</v>
      </c>
      <c r="C9" s="151" t="s">
        <v>258</v>
      </c>
      <c r="D9" s="28" t="s">
        <v>259</v>
      </c>
      <c r="E9" s="150">
        <v>2</v>
      </c>
      <c r="F9" s="152" t="s">
        <v>284</v>
      </c>
    </row>
    <row r="10" spans="1:6">
      <c r="A10" s="150" t="s">
        <v>150</v>
      </c>
      <c r="B10" s="150" t="s">
        <v>246</v>
      </c>
      <c r="C10" s="151" t="s">
        <v>158</v>
      </c>
      <c r="D10" s="28" t="s">
        <v>259</v>
      </c>
      <c r="E10" s="150">
        <v>2</v>
      </c>
      <c r="F10" s="153" t="s">
        <v>285</v>
      </c>
    </row>
    <row r="11" spans="1:6">
      <c r="A11" s="150" t="s">
        <v>150</v>
      </c>
      <c r="B11" s="150" t="s">
        <v>247</v>
      </c>
      <c r="C11" s="151" t="s">
        <v>260</v>
      </c>
      <c r="D11" s="28" t="s">
        <v>259</v>
      </c>
      <c r="E11" s="150">
        <v>2</v>
      </c>
      <c r="F11" s="153" t="s">
        <v>286</v>
      </c>
    </row>
    <row r="12" spans="1:6">
      <c r="A12" s="150" t="s">
        <v>150</v>
      </c>
      <c r="B12" s="150" t="s">
        <v>168</v>
      </c>
      <c r="C12" s="151" t="s">
        <v>261</v>
      </c>
      <c r="D12" s="28" t="s">
        <v>254</v>
      </c>
      <c r="E12" s="150">
        <v>3</v>
      </c>
      <c r="F12" s="153" t="s">
        <v>287</v>
      </c>
    </row>
    <row r="13" spans="1:6">
      <c r="A13" s="150" t="s">
        <v>150</v>
      </c>
      <c r="B13" s="150" t="s">
        <v>169</v>
      </c>
      <c r="C13" s="151" t="s">
        <v>262</v>
      </c>
      <c r="D13" s="28" t="s">
        <v>259</v>
      </c>
      <c r="E13" s="150">
        <v>2</v>
      </c>
      <c r="F13" s="153" t="s">
        <v>288</v>
      </c>
    </row>
    <row r="14" spans="1:6">
      <c r="A14" s="150" t="s">
        <v>159</v>
      </c>
      <c r="B14" s="150" t="s">
        <v>173</v>
      </c>
      <c r="C14" s="151" t="s">
        <v>161</v>
      </c>
      <c r="D14" s="28" t="s">
        <v>254</v>
      </c>
      <c r="E14" s="150">
        <v>3</v>
      </c>
      <c r="F14" s="153" t="s">
        <v>289</v>
      </c>
    </row>
    <row r="15" spans="1:6">
      <c r="A15" s="150" t="s">
        <v>159</v>
      </c>
      <c r="B15" s="150" t="s">
        <v>174</v>
      </c>
      <c r="C15" s="151" t="s">
        <v>263</v>
      </c>
      <c r="D15" s="28" t="s">
        <v>254</v>
      </c>
      <c r="E15" s="150">
        <v>3</v>
      </c>
      <c r="F15" s="153" t="s">
        <v>290</v>
      </c>
    </row>
    <row r="16" spans="1:6">
      <c r="A16" s="150" t="s">
        <v>159</v>
      </c>
      <c r="B16" s="150" t="s">
        <v>156</v>
      </c>
      <c r="C16" s="151" t="s">
        <v>264</v>
      </c>
      <c r="D16" s="28" t="s">
        <v>254</v>
      </c>
      <c r="E16" s="150">
        <v>3</v>
      </c>
      <c r="F16" s="153" t="s">
        <v>291</v>
      </c>
    </row>
    <row r="17" spans="1:6">
      <c r="A17" s="150" t="s">
        <v>159</v>
      </c>
      <c r="B17" s="150" t="s">
        <v>157</v>
      </c>
      <c r="C17" s="151" t="s">
        <v>265</v>
      </c>
      <c r="D17" s="28" t="s">
        <v>259</v>
      </c>
      <c r="E17" s="150">
        <v>2</v>
      </c>
      <c r="F17" s="153" t="s">
        <v>292</v>
      </c>
    </row>
    <row r="18" spans="1:6" ht="21">
      <c r="A18" s="150" t="s">
        <v>159</v>
      </c>
      <c r="B18" s="150" t="s">
        <v>162</v>
      </c>
      <c r="C18" s="151" t="s">
        <v>266</v>
      </c>
      <c r="D18" s="28" t="s">
        <v>259</v>
      </c>
      <c r="E18" s="150">
        <v>2</v>
      </c>
      <c r="F18" s="153" t="s">
        <v>293</v>
      </c>
    </row>
    <row r="19" spans="1:6" ht="21">
      <c r="A19" s="150" t="s">
        <v>159</v>
      </c>
      <c r="B19" s="150" t="s">
        <v>163</v>
      </c>
      <c r="C19" s="151" t="s">
        <v>267</v>
      </c>
      <c r="D19" s="28" t="s">
        <v>268</v>
      </c>
      <c r="E19" s="150">
        <v>1</v>
      </c>
      <c r="F19" s="153" t="s">
        <v>294</v>
      </c>
    </row>
    <row r="20" spans="1:6">
      <c r="A20" s="150" t="s">
        <v>159</v>
      </c>
      <c r="B20" s="150" t="s">
        <v>164</v>
      </c>
      <c r="C20" s="151" t="s">
        <v>269</v>
      </c>
      <c r="D20" s="28" t="s">
        <v>268</v>
      </c>
      <c r="E20" s="150">
        <v>1</v>
      </c>
      <c r="F20" s="153" t="s">
        <v>295</v>
      </c>
    </row>
    <row r="21" spans="1:6">
      <c r="A21" s="150" t="s">
        <v>167</v>
      </c>
      <c r="B21" s="150" t="s">
        <v>165</v>
      </c>
      <c r="C21" s="151" t="s">
        <v>270</v>
      </c>
      <c r="D21" s="28" t="s">
        <v>268</v>
      </c>
      <c r="E21" s="150">
        <v>1</v>
      </c>
      <c r="F21" s="153" t="s">
        <v>296</v>
      </c>
    </row>
    <row r="22" spans="1:6">
      <c r="A22" s="150" t="s">
        <v>167</v>
      </c>
      <c r="B22" s="150" t="s">
        <v>166</v>
      </c>
      <c r="C22" s="151" t="s">
        <v>271</v>
      </c>
      <c r="D22" s="28" t="s">
        <v>254</v>
      </c>
      <c r="E22" s="150">
        <v>3</v>
      </c>
      <c r="F22" s="153" t="s">
        <v>297</v>
      </c>
    </row>
    <row r="23" spans="1:6" ht="21">
      <c r="A23" s="150" t="s">
        <v>167</v>
      </c>
      <c r="B23" s="150" t="s">
        <v>170</v>
      </c>
      <c r="C23" s="151" t="s">
        <v>272</v>
      </c>
      <c r="D23" s="28" t="s">
        <v>254</v>
      </c>
      <c r="E23" s="150">
        <v>3</v>
      </c>
      <c r="F23" s="153" t="s">
        <v>272</v>
      </c>
    </row>
    <row r="24" spans="1:6">
      <c r="A24" s="150" t="s">
        <v>167</v>
      </c>
      <c r="B24" s="150" t="s">
        <v>171</v>
      </c>
      <c r="C24" s="151" t="s">
        <v>273</v>
      </c>
      <c r="D24" s="28" t="s">
        <v>268</v>
      </c>
      <c r="E24" s="150">
        <v>1</v>
      </c>
      <c r="F24" s="153" t="s">
        <v>298</v>
      </c>
    </row>
    <row r="25" spans="1:6">
      <c r="A25" s="150" t="s">
        <v>167</v>
      </c>
      <c r="B25" s="150" t="s">
        <v>248</v>
      </c>
      <c r="C25" s="151" t="s">
        <v>274</v>
      </c>
      <c r="D25" s="28" t="s">
        <v>259</v>
      </c>
      <c r="E25" s="150">
        <v>2</v>
      </c>
      <c r="F25" s="153" t="s">
        <v>299</v>
      </c>
    </row>
    <row r="26" spans="1:6" s="38" customFormat="1">
      <c r="A26" s="150" t="s">
        <v>167</v>
      </c>
      <c r="B26" s="150" t="s">
        <v>249</v>
      </c>
      <c r="C26" s="151" t="s">
        <v>275</v>
      </c>
      <c r="D26" s="28" t="s">
        <v>268</v>
      </c>
      <c r="E26" s="150">
        <v>1</v>
      </c>
      <c r="F26" s="153" t="s">
        <v>300</v>
      </c>
    </row>
    <row r="27" spans="1:6" s="38" customFormat="1">
      <c r="A27" s="150" t="s">
        <v>167</v>
      </c>
      <c r="B27" s="150" t="s">
        <v>250</v>
      </c>
      <c r="C27" s="151" t="s">
        <v>276</v>
      </c>
      <c r="D27" s="28" t="s">
        <v>254</v>
      </c>
      <c r="E27" s="150">
        <v>3</v>
      </c>
      <c r="F27" s="153" t="s">
        <v>301</v>
      </c>
    </row>
    <row r="28" spans="1:6">
      <c r="A28" s="150" t="s">
        <v>167</v>
      </c>
      <c r="B28" s="150" t="s">
        <v>175</v>
      </c>
      <c r="C28" s="151" t="s">
        <v>277</v>
      </c>
      <c r="D28" s="28" t="s">
        <v>254</v>
      </c>
      <c r="E28" s="150">
        <v>3</v>
      </c>
      <c r="F28" s="153" t="s">
        <v>302</v>
      </c>
    </row>
    <row r="29" spans="1:6">
      <c r="A29" s="157" t="s">
        <v>172</v>
      </c>
      <c r="B29" s="157" t="s">
        <v>251</v>
      </c>
      <c r="C29" s="158" t="s">
        <v>278</v>
      </c>
      <c r="D29" s="157" t="s">
        <v>254</v>
      </c>
      <c r="E29" s="157">
        <v>3</v>
      </c>
      <c r="F29" s="159" t="s">
        <v>303</v>
      </c>
    </row>
    <row r="30" spans="1:6" ht="24">
      <c r="A30" s="157" t="s">
        <v>172</v>
      </c>
      <c r="B30" s="157" t="s">
        <v>252</v>
      </c>
      <c r="C30" s="158" t="s">
        <v>279</v>
      </c>
      <c r="D30" s="157" t="s">
        <v>254</v>
      </c>
      <c r="E30" s="157">
        <v>3</v>
      </c>
      <c r="F30" s="159" t="s">
        <v>304</v>
      </c>
    </row>
  </sheetData>
  <mergeCells count="2">
    <mergeCell ref="A4:B4"/>
    <mergeCell ref="A3:E3"/>
  </mergeCells>
  <phoneticPr fontId="4" type="noConversion"/>
  <printOptions horizontalCentered="1"/>
  <pageMargins left="0.39370078740157483" right="0.39370078740157483" top="0.59055118110236227" bottom="0.59055118110236227" header="0.39370078740157483" footer="0.39370078740157483"/>
  <pageSetup paperSize="9" fitToHeight="0" orientation="portrait" r:id="rId1"/>
  <headerFooter alignWithMargins="0">
    <oddHeader>&amp;L
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pageSetUpPr fitToPage="1"/>
  </sheetPr>
  <dimension ref="A1:L60"/>
  <sheetViews>
    <sheetView showGridLines="0" view="pageBreakPreview" zoomScale="85" zoomScaleNormal="70" zoomScaleSheetLayoutView="85" zoomScalePageLayoutView="85" workbookViewId="0"/>
  </sheetViews>
  <sheetFormatPr defaultColWidth="8.77734375" defaultRowHeight="13.5"/>
  <cols>
    <col min="1" max="12" width="8.77734375" style="3" customWidth="1"/>
    <col min="13" max="16384" width="8.77734375" style="3"/>
  </cols>
  <sheetData>
    <row r="1" spans="1:12" ht="16.5">
      <c r="A1" s="16" t="s">
        <v>66</v>
      </c>
      <c r="D1" s="49"/>
      <c r="G1" s="4"/>
      <c r="H1" s="4"/>
      <c r="I1" s="4"/>
      <c r="J1" s="4"/>
      <c r="K1" s="4"/>
      <c r="L1" s="4"/>
    </row>
    <row r="2" spans="1:12">
      <c r="A2" s="15"/>
      <c r="G2" s="4"/>
      <c r="H2" s="4"/>
      <c r="I2" s="4"/>
      <c r="J2" s="4"/>
      <c r="K2" s="4"/>
      <c r="L2" s="4"/>
    </row>
    <row r="3" spans="1:12" ht="14.25" thickBot="1">
      <c r="A3" s="5" t="s">
        <v>67</v>
      </c>
    </row>
    <row r="4" spans="1:12" ht="14.25" thickBot="1">
      <c r="A4" s="209" t="s">
        <v>61</v>
      </c>
      <c r="B4" s="210"/>
      <c r="C4" s="210"/>
      <c r="D4" s="211"/>
      <c r="E4" s="207" t="s">
        <v>68</v>
      </c>
      <c r="F4" s="207"/>
      <c r="G4" s="207"/>
      <c r="H4" s="207"/>
      <c r="I4" s="207"/>
      <c r="J4" s="207" t="s">
        <v>69</v>
      </c>
      <c r="K4" s="207"/>
      <c r="L4" s="208"/>
    </row>
    <row r="5" spans="1:12" ht="14.25" thickBot="1">
      <c r="A5" s="212"/>
      <c r="B5" s="213"/>
      <c r="C5" s="213"/>
      <c r="D5" s="214"/>
      <c r="E5" s="72" t="s">
        <v>70</v>
      </c>
      <c r="F5" s="72" t="s">
        <v>62</v>
      </c>
      <c r="G5" s="72" t="s">
        <v>71</v>
      </c>
      <c r="H5" s="72" t="s">
        <v>72</v>
      </c>
      <c r="I5" s="72" t="s">
        <v>73</v>
      </c>
      <c r="J5" s="72" t="s">
        <v>74</v>
      </c>
      <c r="K5" s="72" t="s">
        <v>75</v>
      </c>
      <c r="L5" s="73" t="s">
        <v>76</v>
      </c>
    </row>
    <row r="6" spans="1:12">
      <c r="A6" s="215" t="s">
        <v>64</v>
      </c>
      <c r="B6" s="216"/>
      <c r="C6" s="216"/>
      <c r="D6" s="217"/>
      <c r="E6" s="11">
        <f ca="1">SUMIF('취약점 진단 항목별 통계'!$A:$A,$A6&amp;"*",'취약점 진단 항목별 통계'!$F:$F)</f>
        <v>36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19</v>
      </c>
      <c r="H6" s="11">
        <f ca="1">SUMIF('취약점 진단 항목별 통계'!$A:$A,$A6&amp;"*",'취약점 진단 항목별 통계'!$I:$I)</f>
        <v>4</v>
      </c>
      <c r="I6" s="11">
        <f ca="1">SUMIF('취약점 진단 항목별 통계'!$A:$A,$A6&amp;"*",'취약점 진단 항목별 통계'!$J:$J)</f>
        <v>8</v>
      </c>
      <c r="J6" s="11">
        <f ca="1">SUMIF('취약점 진단 항목별 통계'!$A:$A,$A6&amp;"*",'취약점 진단 항목별 통계'!$K:$K)</f>
        <v>76</v>
      </c>
      <c r="K6" s="11">
        <f ca="1">SUMIF('취약점 진단 항목별 통계'!$A:$A,$A6&amp;"*",'취약점 진단 항목별 통계'!$L:$L)</f>
        <v>53</v>
      </c>
      <c r="L6" s="74">
        <f ca="1">IF($I6=$E6, "N/A", (K6/J6))</f>
        <v>0.69736842105263153</v>
      </c>
    </row>
    <row r="7" spans="1:12">
      <c r="A7" s="215" t="s">
        <v>65</v>
      </c>
      <c r="B7" s="216"/>
      <c r="C7" s="216"/>
      <c r="D7" s="217"/>
      <c r="E7" s="11">
        <f ca="1">SUMIF('취약점 진단 항목별 통계'!$A:$A,$A7&amp;"*",'취약점 진단 항목별 통계'!$F:$F)</f>
        <v>28</v>
      </c>
      <c r="F7" s="11">
        <f t="shared" ref="F7:F10" ca="1" si="0">E7-I7</f>
        <v>10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10</v>
      </c>
      <c r="H7" s="11">
        <f ca="1">SUMIF('취약점 진단 항목별 통계'!$A:$A,$A7&amp;"*",'취약점 진단 항목별 통계'!$I:$I)</f>
        <v>0</v>
      </c>
      <c r="I7" s="11">
        <f ca="1">SUMIF('취약점 진단 항목별 통계'!$A:$A,$A7&amp;"*",'취약점 진단 항목별 통계'!$J:$J)</f>
        <v>18</v>
      </c>
      <c r="J7" s="11">
        <f ca="1">SUMIF('취약점 진단 항목별 통계'!$A:$A,$A7&amp;"*",'취약점 진단 항목별 통계'!$K:$K)</f>
        <v>26</v>
      </c>
      <c r="K7" s="11">
        <f ca="1">SUMIF('취약점 진단 항목별 통계'!$A:$A,$A7&amp;"*",'취약점 진단 항목별 통계'!$L:$L)</f>
        <v>26</v>
      </c>
      <c r="L7" s="74">
        <f t="shared" ref="L7:L10" ca="1" si="1">IF($I7=$E7, "N/A", (K7/J7))</f>
        <v>1</v>
      </c>
    </row>
    <row r="8" spans="1:12">
      <c r="A8" s="215" t="s">
        <v>176</v>
      </c>
      <c r="B8" s="216"/>
      <c r="C8" s="216"/>
      <c r="D8" s="217"/>
      <c r="E8" s="11">
        <f ca="1">SUMIF('취약점 진단 항목별 통계'!$A:$A,$A8&amp;"*",'취약점 진단 항목별 통계'!$F:$F)</f>
        <v>32</v>
      </c>
      <c r="F8" s="11">
        <f t="shared" ca="1" si="0"/>
        <v>6</v>
      </c>
      <c r="G8" s="11">
        <f ca="1">SUMIF('취약점 진단 항목별 통계'!$A:$A,$A8&amp;"*",'취약점 진단 항목별 통계'!$G:$G)+SUMIF('취약점 진단 항목별 통계'!$A:$A,$A8&amp;"*",'취약점 진단 항목별 통계'!$H:$H)</f>
        <v>3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26</v>
      </c>
      <c r="J8" s="11">
        <f ca="1">SUMIF('취약점 진단 항목별 통계'!$A:$A,$A8&amp;"*",'취약점 진단 항목별 통계'!$K:$K)</f>
        <v>16</v>
      </c>
      <c r="K8" s="11">
        <f ca="1">SUMIF('취약점 진단 항목별 통계'!$A:$A,$A8&amp;"*",'취약점 진단 항목별 통계'!$L:$L)</f>
        <v>9</v>
      </c>
      <c r="L8" s="74">
        <f t="shared" ca="1" si="1"/>
        <v>0.5625</v>
      </c>
    </row>
    <row r="9" spans="1:12">
      <c r="A9" s="215" t="s">
        <v>177</v>
      </c>
      <c r="B9" s="216"/>
      <c r="C9" s="216"/>
      <c r="D9" s="217"/>
      <c r="E9" s="11">
        <f ca="1">SUMIF('취약점 진단 항목별 통계'!$A:$A,$A9&amp;"*",'취약점 진단 항목별 통계'!$F:$F)</f>
        <v>8</v>
      </c>
      <c r="F9" s="11">
        <f t="shared" ca="1" si="0"/>
        <v>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2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2</v>
      </c>
      <c r="J9" s="11">
        <f ca="1">SUMIF('취약점 진단 항목별 통계'!$A:$A,$A9&amp;"*",'취약점 진단 항목별 통계'!$K:$K)</f>
        <v>18</v>
      </c>
      <c r="K9" s="11">
        <f ca="1">SUMIF('취약점 진단 항목별 통계'!$A:$A,$A9&amp;"*",'취약점 진단 항목별 통계'!$L:$L)</f>
        <v>6</v>
      </c>
      <c r="L9" s="74">
        <f t="shared" ca="1" si="1"/>
        <v>0.33333333333333331</v>
      </c>
    </row>
    <row r="10" spans="1:12">
      <c r="A10" s="215" t="s">
        <v>178</v>
      </c>
      <c r="B10" s="216"/>
      <c r="C10" s="216"/>
      <c r="D10" s="217"/>
      <c r="E10" s="11">
        <f>SUMIF('취약점 진단 항목별 통계'!$A:$A,$A10&amp;"*",'취약점 진단 항목별 통계'!$F:$F)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통계'!$A:$A,$A10&amp;"*",'취약점 진단 항목별 통계'!$K:$K)</f>
        <v>0</v>
      </c>
      <c r="K10" s="11">
        <f>SUMIF('취약점 진단 항목별 통계'!$A:$A,$A10&amp;"*",'취약점 진단 항목별 통계'!$L:$L)</f>
        <v>0</v>
      </c>
      <c r="L10" s="74" t="str">
        <f t="shared" si="1"/>
        <v>N/A</v>
      </c>
    </row>
    <row r="11" spans="1:12" ht="14.25" thickBot="1">
      <c r="A11" s="218" t="s">
        <v>77</v>
      </c>
      <c r="B11" s="219"/>
      <c r="C11" s="219"/>
      <c r="D11" s="220"/>
      <c r="E11" s="75">
        <f t="shared" ref="E11:J11" ca="1" si="2">SUM(E6:E10)</f>
        <v>104</v>
      </c>
      <c r="F11" s="75">
        <f t="shared" ca="1" si="2"/>
        <v>50</v>
      </c>
      <c r="G11" s="75">
        <f t="shared" ca="1" si="2"/>
        <v>34</v>
      </c>
      <c r="H11" s="75">
        <f t="shared" ca="1" si="2"/>
        <v>4</v>
      </c>
      <c r="I11" s="75">
        <f t="shared" ca="1" si="2"/>
        <v>54</v>
      </c>
      <c r="J11" s="75">
        <f t="shared" ca="1" si="2"/>
        <v>136</v>
      </c>
      <c r="K11" s="75">
        <f ca="1">SUM(K6:K10)</f>
        <v>94</v>
      </c>
      <c r="L11" s="76">
        <f ca="1">IFERROR(K11/J11, 0)</f>
        <v>0.69117647058823528</v>
      </c>
    </row>
    <row r="12" spans="1: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8"/>
    </row>
    <row r="13" spans="1:1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8"/>
    </row>
    <row r="14" spans="1:1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8"/>
    </row>
    <row r="15" spans="1:1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8"/>
    </row>
    <row r="16" spans="1:12">
      <c r="A16" s="2"/>
      <c r="E16" s="12"/>
      <c r="F16" s="12"/>
      <c r="G16" s="12"/>
      <c r="H16" s="12"/>
      <c r="I16" s="12"/>
      <c r="J16" s="12"/>
      <c r="K16" s="2"/>
      <c r="L16" s="8"/>
    </row>
    <row r="17" spans="1:12">
      <c r="A17" s="2"/>
      <c r="E17" s="12"/>
      <c r="F17" s="12"/>
      <c r="G17" s="12"/>
      <c r="H17" s="12"/>
      <c r="I17" s="12"/>
      <c r="J17" s="12"/>
      <c r="K17" s="2"/>
      <c r="L17" s="8"/>
    </row>
    <row r="18" spans="1:12">
      <c r="A18" s="2"/>
      <c r="E18" s="12"/>
      <c r="F18" s="12"/>
      <c r="G18" s="12"/>
      <c r="H18" s="12"/>
      <c r="I18" s="12"/>
      <c r="J18" s="12"/>
      <c r="K18" s="2"/>
      <c r="L18" s="8"/>
    </row>
    <row r="19" spans="1:12">
      <c r="A19" s="2"/>
      <c r="E19" s="12"/>
      <c r="F19" s="12"/>
      <c r="G19" s="12"/>
      <c r="H19" s="12"/>
      <c r="I19" s="12"/>
      <c r="J19" s="12"/>
      <c r="K19" s="2"/>
      <c r="L19" s="8"/>
    </row>
    <row r="20" spans="1:12">
      <c r="A20" s="2"/>
      <c r="E20" s="12"/>
      <c r="F20" s="12"/>
      <c r="G20" s="12"/>
      <c r="H20" s="12"/>
      <c r="I20" s="12"/>
      <c r="J20" s="12"/>
      <c r="K20" s="2"/>
      <c r="L20" s="8"/>
    </row>
    <row r="21" spans="1:1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8"/>
    </row>
    <row r="22" spans="1:1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8"/>
    </row>
    <row r="23" spans="1:1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8"/>
    </row>
    <row r="24" spans="1:1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8"/>
    </row>
    <row r="25" spans="1:1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8"/>
    </row>
    <row r="26" spans="1:1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8"/>
    </row>
    <row r="27" spans="1:1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8"/>
    </row>
    <row r="28" spans="1:1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8"/>
    </row>
    <row r="29" spans="1:1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8"/>
    </row>
    <row r="30" spans="1:1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8"/>
    </row>
    <row r="31" spans="1:1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8"/>
    </row>
    <row r="32" spans="1:1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8"/>
    </row>
    <row r="33" spans="1:1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8"/>
    </row>
    <row r="34" spans="1:1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8"/>
    </row>
    <row r="35" spans="1:1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8"/>
    </row>
    <row r="36" spans="1:1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8"/>
    </row>
    <row r="37" spans="1:1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8"/>
    </row>
    <row r="38" spans="1:12">
      <c r="L38" s="6"/>
    </row>
    <row r="39" spans="1:12" ht="14.25" thickBot="1">
      <c r="A39" s="5" t="s">
        <v>78</v>
      </c>
      <c r="L39" s="6"/>
    </row>
    <row r="40" spans="1:12" ht="14.25" thickBot="1">
      <c r="A40" s="209" t="s">
        <v>79</v>
      </c>
      <c r="B40" s="210"/>
      <c r="C40" s="210"/>
      <c r="D40" s="211"/>
      <c r="E40" s="207" t="s">
        <v>80</v>
      </c>
      <c r="F40" s="207"/>
      <c r="G40" s="207"/>
      <c r="H40" s="207"/>
      <c r="I40" s="207"/>
      <c r="J40" s="207" t="s">
        <v>69</v>
      </c>
      <c r="K40" s="207"/>
      <c r="L40" s="208"/>
    </row>
    <row r="41" spans="1:12" ht="14.25" thickBot="1">
      <c r="A41" s="212"/>
      <c r="B41" s="213"/>
      <c r="C41" s="213"/>
      <c r="D41" s="214"/>
      <c r="E41" s="72" t="s">
        <v>70</v>
      </c>
      <c r="F41" s="72" t="s">
        <v>62</v>
      </c>
      <c r="G41" s="72" t="s">
        <v>71</v>
      </c>
      <c r="H41" s="72" t="s">
        <v>72</v>
      </c>
      <c r="I41" s="72" t="s">
        <v>81</v>
      </c>
      <c r="J41" s="72" t="s">
        <v>74</v>
      </c>
      <c r="K41" s="72" t="s">
        <v>75</v>
      </c>
      <c r="L41" s="73" t="s">
        <v>76</v>
      </c>
    </row>
    <row r="42" spans="1:12" ht="13.5" customHeight="1">
      <c r="A42" s="202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DB_HQ_Rocky</v>
      </c>
      <c r="B42" s="203"/>
      <c r="C42" s="204" t="str">
        <f ca="1">IFERROR(VLOOKUP($A42,자산목록!$B$1:$M$832,6,FALSE),"-")</f>
        <v>MySQL Server</v>
      </c>
      <c r="D42" s="204"/>
      <c r="E42" s="63">
        <f ca="1">IFERROR(INDIRECT(ADDRESS(17, 4, 1,TRUE,$A42)),0)</f>
        <v>26</v>
      </c>
      <c r="F42" s="63">
        <f ca="1">E42-I42</f>
        <v>11</v>
      </c>
      <c r="G42" s="63">
        <f ca="1">IFERROR(INDIRECT(ADDRESS(17, 5, 1,TRUE,$A42)),0)</f>
        <v>7</v>
      </c>
      <c r="H42" s="63">
        <f ca="1">IFERROR(INDIRECT(ADDRESS(17, 6, 1,TRUE,$A42)),0)</f>
        <v>2</v>
      </c>
      <c r="I42" s="63">
        <f ca="1">IFERROR(INDIRECT(ADDRESS(17, 7, 1,TRUE,$A42)),0)</f>
        <v>15</v>
      </c>
      <c r="J42" s="63">
        <f ca="1">IFERROR(INDIRECT(ADDRESS(17, 18, 1,TRUE,$A42)),0)</f>
        <v>27</v>
      </c>
      <c r="K42" s="63">
        <f ca="1">IFERROR(INDIRECT(ADDRESS(17, 19, 1,TRUE,$A42)),0)</f>
        <v>17</v>
      </c>
      <c r="L42" s="77">
        <f ca="1">IFERROR(INDIRECT(ADDRESS(17,8, 1,TRUE,$A42)),0)</f>
        <v>0.62962962962962965</v>
      </c>
    </row>
    <row r="43" spans="1:12" ht="13.5" customHeight="1">
      <c r="A43" s="202" t="str">
        <f t="shared" ref="A43:A45" ca="1" si="3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DB_BR_Rocky</v>
      </c>
      <c r="B43" s="203"/>
      <c r="C43" s="204" t="str">
        <f ca="1">IFERROR(VLOOKUP($A43,자산목록!$B$1:$M$832,6,FALSE),"-")</f>
        <v>MariaDB Server</v>
      </c>
      <c r="D43" s="204"/>
      <c r="E43" s="63">
        <f t="shared" ref="E43:E45" ca="1" si="4">IFERROR(INDIRECT(ADDRESS(17, 4, 1,TRUE,$A43)),0)</f>
        <v>26</v>
      </c>
      <c r="F43" s="63">
        <f t="shared" ref="F43:F45" ca="1" si="5">E43-I43</f>
        <v>11</v>
      </c>
      <c r="G43" s="63">
        <f t="shared" ref="G43:G45" ca="1" si="6">IFERROR(INDIRECT(ADDRESS(17, 5, 1,TRUE,$A43)),0)</f>
        <v>7</v>
      </c>
      <c r="H43" s="63">
        <f t="shared" ref="H43:H45" ca="1" si="7">IFERROR(INDIRECT(ADDRESS(17, 6, 1,TRUE,$A43)),0)</f>
        <v>2</v>
      </c>
      <c r="I43" s="63">
        <f t="shared" ref="I43:I45" ca="1" si="8">IFERROR(INDIRECT(ADDRESS(17, 7, 1,TRUE,$A43)),0)</f>
        <v>15</v>
      </c>
      <c r="J43" s="63">
        <f t="shared" ref="J43:J45" ca="1" si="9">IFERROR(INDIRECT(ADDRESS(17, 18, 1,TRUE,$A43)),0)</f>
        <v>27</v>
      </c>
      <c r="K43" s="63">
        <f t="shared" ref="K43:K45" ca="1" si="10">IFERROR(INDIRECT(ADDRESS(17, 19, 1,TRUE,$A43)),0)</f>
        <v>17</v>
      </c>
      <c r="L43" s="77">
        <f t="shared" ref="L43:L45" ca="1" si="11">IFERROR(INDIRECT(ADDRESS(17,8, 1,TRUE,$A43)),0)</f>
        <v>0.62962962962962965</v>
      </c>
    </row>
    <row r="44" spans="1:12" ht="13.5" customHeight="1">
      <c r="A44" s="202" t="str">
        <f t="shared" ca="1" si="3"/>
        <v>BDB_HQ_Rocky</v>
      </c>
      <c r="B44" s="203"/>
      <c r="C44" s="204" t="str">
        <f ca="1">IFERROR(VLOOKUP($A44,자산목록!$B$1:$M$832,6,FALSE),"-")</f>
        <v>MySQL Server</v>
      </c>
      <c r="D44" s="204"/>
      <c r="E44" s="63">
        <f t="shared" ca="1" si="4"/>
        <v>26</v>
      </c>
      <c r="F44" s="63">
        <f t="shared" ca="1" si="5"/>
        <v>14</v>
      </c>
      <c r="G44" s="63">
        <f t="shared" ca="1" si="6"/>
        <v>9</v>
      </c>
      <c r="H44" s="63">
        <f t="shared" ca="1" si="7"/>
        <v>0</v>
      </c>
      <c r="I44" s="63">
        <f t="shared" ca="1" si="8"/>
        <v>12</v>
      </c>
      <c r="J44" s="63">
        <f t="shared" ca="1" si="9"/>
        <v>32</v>
      </c>
      <c r="K44" s="63">
        <f t="shared" ca="1" si="10"/>
        <v>24</v>
      </c>
      <c r="L44" s="77">
        <f t="shared" ca="1" si="11"/>
        <v>0.75</v>
      </c>
    </row>
    <row r="45" spans="1:12" ht="13.5" customHeight="1">
      <c r="A45" s="202" t="str">
        <f t="shared" ca="1" si="3"/>
        <v>BDB_BR_Rocky</v>
      </c>
      <c r="B45" s="203"/>
      <c r="C45" s="204" t="str">
        <f ca="1">IFERROR(VLOOKUP($A45,자산목록!$B$1:$M$832,6,FALSE),"-")</f>
        <v>MariaDB Server</v>
      </c>
      <c r="D45" s="204"/>
      <c r="E45" s="63">
        <f t="shared" ca="1" si="4"/>
        <v>26</v>
      </c>
      <c r="F45" s="63">
        <f t="shared" ca="1" si="5"/>
        <v>14</v>
      </c>
      <c r="G45" s="63">
        <f t="shared" ca="1" si="6"/>
        <v>11</v>
      </c>
      <c r="H45" s="63">
        <f t="shared" ca="1" si="7"/>
        <v>0</v>
      </c>
      <c r="I45" s="63">
        <f t="shared" ca="1" si="8"/>
        <v>12</v>
      </c>
      <c r="J45" s="63">
        <f t="shared" ca="1" si="9"/>
        <v>32</v>
      </c>
      <c r="K45" s="63">
        <f t="shared" ca="1" si="10"/>
        <v>27</v>
      </c>
      <c r="L45" s="77">
        <f t="shared" ca="1" si="11"/>
        <v>0.84375</v>
      </c>
    </row>
    <row r="46" spans="1:12" ht="14.25" thickBot="1">
      <c r="A46" s="205" t="s">
        <v>77</v>
      </c>
      <c r="B46" s="206"/>
      <c r="C46" s="206"/>
      <c r="D46" s="206"/>
      <c r="E46" s="79">
        <f t="shared" ref="E46:K46" ca="1" si="12">SUM(E42:E42)</f>
        <v>26</v>
      </c>
      <c r="F46" s="79">
        <f t="shared" ca="1" si="12"/>
        <v>11</v>
      </c>
      <c r="G46" s="79">
        <f t="shared" ca="1" si="12"/>
        <v>7</v>
      </c>
      <c r="H46" s="79">
        <f t="shared" ca="1" si="12"/>
        <v>2</v>
      </c>
      <c r="I46" s="79">
        <f t="shared" ca="1" si="12"/>
        <v>15</v>
      </c>
      <c r="J46" s="79">
        <f t="shared" ca="1" si="12"/>
        <v>27</v>
      </c>
      <c r="K46" s="79">
        <f t="shared" ca="1" si="12"/>
        <v>17</v>
      </c>
      <c r="L46" s="80">
        <f ca="1">IFERROR(K46/J46, 0)</f>
        <v>0.62962962962962965</v>
      </c>
    </row>
    <row r="47" spans="1:12">
      <c r="A47" s="2"/>
    </row>
    <row r="48" spans="1:12">
      <c r="A48" s="6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</sheetData>
  <mergeCells count="21">
    <mergeCell ref="A44:B44"/>
    <mergeCell ref="A45:B45"/>
    <mergeCell ref="C43:D43"/>
    <mergeCell ref="C44:D44"/>
    <mergeCell ref="C45:D45"/>
    <mergeCell ref="A42:B42"/>
    <mergeCell ref="C42:D42"/>
    <mergeCell ref="A46:D46"/>
    <mergeCell ref="J4:L4"/>
    <mergeCell ref="J40:L40"/>
    <mergeCell ref="E40:I40"/>
    <mergeCell ref="A4:D5"/>
    <mergeCell ref="E4:I4"/>
    <mergeCell ref="A40:D41"/>
    <mergeCell ref="A6:D6"/>
    <mergeCell ref="A7:D7"/>
    <mergeCell ref="A8:D8"/>
    <mergeCell ref="A9:D9"/>
    <mergeCell ref="A10:D10"/>
    <mergeCell ref="A11:D11"/>
    <mergeCell ref="A43:B43"/>
  </mergeCells>
  <phoneticPr fontId="4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/>
  <dimension ref="A1:P31"/>
  <sheetViews>
    <sheetView showGridLines="0" view="pageBreakPreview" zoomScale="85" zoomScaleNormal="100" zoomScaleSheetLayoutView="85" workbookViewId="0">
      <pane xSplit="4" ySplit="4" topLeftCell="E5" activePane="bottomRight" state="frozen"/>
      <selection pane="topRight" activeCell="L31" sqref="L31:P31"/>
      <selection pane="bottomLeft" activeCell="L31" sqref="L31:P31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57.77734375" style="22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12.44140625" style="37" bestFit="1" customWidth="1"/>
    <col min="14" max="16384" width="8.77734375" style="17"/>
  </cols>
  <sheetData>
    <row r="1" spans="1:16" s="19" customFormat="1" ht="16.5">
      <c r="A1" s="16" t="s">
        <v>95</v>
      </c>
      <c r="F1" s="18"/>
      <c r="G1" s="18"/>
      <c r="J1" s="24"/>
      <c r="L1" s="14"/>
      <c r="M1" s="36"/>
    </row>
    <row r="2" spans="1:16" s="19" customFormat="1" ht="12" thickBot="1">
      <c r="A2" s="14"/>
      <c r="C2" s="18"/>
      <c r="D2" s="18"/>
      <c r="E2" s="18"/>
      <c r="F2" s="18"/>
      <c r="G2" s="18"/>
      <c r="H2" s="14"/>
      <c r="I2" s="14"/>
      <c r="J2" s="14"/>
      <c r="L2" s="14"/>
      <c r="M2" s="36"/>
    </row>
    <row r="3" spans="1:16" s="20" customFormat="1" ht="16.350000000000001" customHeight="1" thickBot="1">
      <c r="A3" s="226" t="str">
        <f>ChkList!A4</f>
        <v>분류</v>
      </c>
      <c r="B3" s="227"/>
      <c r="C3" s="232" t="str">
        <f>ChkList!C4</f>
        <v>진단항목</v>
      </c>
      <c r="D3" s="221" t="str">
        <f>ChkList!D4</f>
        <v>중요도</v>
      </c>
      <c r="E3" s="223"/>
      <c r="F3" s="230" t="s">
        <v>96</v>
      </c>
      <c r="G3" s="231"/>
      <c r="H3" s="231"/>
      <c r="I3" s="231"/>
      <c r="J3" s="231"/>
      <c r="K3" s="221" t="s">
        <v>97</v>
      </c>
      <c r="L3" s="222"/>
      <c r="M3" s="107" t="s">
        <v>98</v>
      </c>
      <c r="N3" s="107" t="s">
        <v>98</v>
      </c>
      <c r="O3" s="107" t="s">
        <v>98</v>
      </c>
      <c r="P3" s="107" t="s">
        <v>98</v>
      </c>
    </row>
    <row r="4" spans="1:16" s="20" customFormat="1">
      <c r="A4" s="228"/>
      <c r="B4" s="229"/>
      <c r="C4" s="233"/>
      <c r="D4" s="224"/>
      <c r="E4" s="225"/>
      <c r="F4" s="102" t="s">
        <v>99</v>
      </c>
      <c r="G4" s="104" t="s">
        <v>100</v>
      </c>
      <c r="H4" s="103" t="s">
        <v>101</v>
      </c>
      <c r="I4" s="105" t="s">
        <v>72</v>
      </c>
      <c r="J4" s="105" t="s">
        <v>102</v>
      </c>
      <c r="K4" s="105" t="s">
        <v>99</v>
      </c>
      <c r="L4" s="105" t="s">
        <v>103</v>
      </c>
      <c r="M4" s="106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DB_HQ_Rocky</v>
      </c>
      <c r="N4" s="106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DB_BR_Rocky</v>
      </c>
      <c r="O4" s="106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BDB_HQ_Rocky</v>
      </c>
      <c r="P4" s="106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BDB_BR_Rocky</v>
      </c>
    </row>
    <row r="5" spans="1:16">
      <c r="A5" s="108" t="str">
        <f>ChkList!A5</f>
        <v>계정 관리</v>
      </c>
      <c r="B5" s="28" t="str">
        <f>ChkList!$B5</f>
        <v>D-01</v>
      </c>
      <c r="C5" s="21" t="str">
        <f>ChkList!$C5</f>
        <v>기본 계정의 비밀번호, 정책 등을 변경하여 사용</v>
      </c>
      <c r="D5" s="31" t="str">
        <f>ChkList!$D5</f>
        <v>H</v>
      </c>
      <c r="E5" s="31" t="str">
        <f>IF(TRIM(D5)="H", "3", IF(TRIM(D5)="M", "2", IF(TRIM(D5)="L", "1", "")))</f>
        <v>3</v>
      </c>
      <c r="F5" s="23">
        <f ca="1">COUNTA($M5:INDIRECT(ADDRESS(ROW(),MATCH("",$4:$4,-1),1,1)))</f>
        <v>4</v>
      </c>
      <c r="G5" s="23">
        <f ca="1">COUNTIF($M5:INDIRECT(ADDRESS(ROW(),MATCH("",$4:$4,-1),1,1)),"조치완료(Y)")+COUNTIF($M5:INDIRECT(ADDRESS(ROW(),MATCH("",$4:$4,-1),1,1)),"Y")</f>
        <v>4</v>
      </c>
      <c r="H5" s="23">
        <f ca="1">COUNTIF($M5:INDIRECT(ADDRESS(ROW(),MATCH("",$4:$4,-1),1,1)),"Y(즉시조치)")+COUNTIF($M5:INDIRECT(ADDRESS(ROW(),MATCH("",$4:$4,-1),1,1)),"조치완료(즉시조치)")</f>
        <v>0</v>
      </c>
      <c r="I5" s="23">
        <f ca="1">COUNTIF($M5:INDIRECT(ADDRESS(ROW(),MATCH("",$4:$4,-1),1,1)),"N")</f>
        <v>0</v>
      </c>
      <c r="J5" s="23">
        <f ca="1">COUNTIF($M5:INDIRECT(ADDRESS(ROW(),MATCH("",$4:$4,-1),1,1)),"N/A")+COUNTIF($M5:INDIRECT(ADDRESS(ROW(),MATCH("",$4:$4,-1),1,1)),"조치완료(N/A)")</f>
        <v>0</v>
      </c>
      <c r="K5" s="23">
        <f ca="1">VLOOKUP($D5,'parm(hidden)'!$B$8:$C$10,2,FALSE)*($F5-$J5)</f>
        <v>12</v>
      </c>
      <c r="L5" s="34">
        <f ca="1">VLOOKUP($D5,'parm(hidden)'!$B$8:$C$10,2,FALSE)*($G5+$H5)</f>
        <v>12</v>
      </c>
      <c r="M5" s="46" t="str">
        <f ca="1">HYPERLINK("[" &amp; MID(CELL("filename"),SEARCH("[",CELL("filename"))+1, SEARCH("]",CELL("filename"))-SEARCH("[",CELL("filename"))-1) &amp; "]" &amp; ADDRESS(ROW()+16,8,1,TRUE,M$4),INDIRECT(ADDRESS(ROW()+16,8,1,TRUE,M$4)))</f>
        <v>Y</v>
      </c>
      <c r="N5" s="46" t="str">
        <f ca="1">HYPERLINK("[" &amp; MID(CELL("filename"),SEARCH("[",CELL("filename"))+1, SEARCH("]",CELL("filename"))-SEARCH("[",CELL("filename"))-1) &amp; "]" &amp; ADDRESS(ROW()+16,8,1,TRUE,N$4),INDIRECT(ADDRESS(ROW()+16,8,1,TRUE,N$4)))</f>
        <v>Y</v>
      </c>
      <c r="O5" s="46" t="str">
        <f ca="1">HYPERLINK("[" &amp; MID(CELL("filename"),SEARCH("[",CELL("filename"))+1, SEARCH("]",CELL("filename"))-SEARCH("[",CELL("filename"))-1) &amp; "]" &amp; ADDRESS(ROW()+16,8,1,TRUE,O$4),INDIRECT(ADDRESS(ROW()+16,8,1,TRUE,O$4)))</f>
        <v>Y</v>
      </c>
      <c r="P5" s="46" t="str">
        <f ca="1">HYPERLINK("[" &amp; MID(CELL("filename"),SEARCH("[",CELL("filename"))+1, SEARCH("]",CELL("filename"))-SEARCH("[",CELL("filename"))-1) &amp; "]" &amp; ADDRESS(ROW()+16,8,1,TRUE,P$4),INDIRECT(ADDRESS(ROW()+16,8,1,TRUE,P$4)))</f>
        <v>Y</v>
      </c>
    </row>
    <row r="6" spans="1:16">
      <c r="A6" s="108" t="str">
        <f>ChkList!A6</f>
        <v>계정 관리</v>
      </c>
      <c r="B6" s="156" t="str">
        <f>ChkList!$B6</f>
        <v>D-02</v>
      </c>
      <c r="C6" s="21" t="str">
        <f>ChkList!$C6</f>
        <v>데이터베이스의 불필요 계정을 제거하거나, 잠금설정 후 사용</v>
      </c>
      <c r="D6" s="31" t="str">
        <f>ChkList!$D6</f>
        <v>H</v>
      </c>
      <c r="E6" s="31" t="str">
        <f t="shared" ref="E6:E30" si="0">IF(TRIM(D6)="H", "3", IF(TRIM(D6)="M", "2", IF(TRIM(D6)="L", "1", "")))</f>
        <v>3</v>
      </c>
      <c r="F6" s="23">
        <f ca="1">COUNTA($M6:INDIRECT(ADDRESS(ROW(),MATCH("",$4:$4,-1),1,1)))</f>
        <v>4</v>
      </c>
      <c r="G6" s="23">
        <f ca="1">COUNTIF($M6:INDIRECT(ADDRESS(ROW(),MATCH("",$4:$4,-1),1,1)),"조치완료(Y)")+COUNTIF($M6:INDIRECT(ADDRESS(ROW(),MATCH("",$4:$4,-1),1,1)),"Y")</f>
        <v>4</v>
      </c>
      <c r="H6" s="23">
        <f ca="1">COUNTIF($M6:INDIRECT(ADDRESS(ROW(),MATCH("",$4:$4,-1),1,1)),"Y(즉시조치)")+COUNTIF($M6:INDIRECT(ADDRESS(ROW(),MATCH("",$4:$4,-1),1,1)),"조치완료(즉시조치)")</f>
        <v>0</v>
      </c>
      <c r="I6" s="23">
        <f ca="1">COUNTIF($M6:INDIRECT(ADDRESS(ROW(),MATCH("",$4:$4,-1),1,1)),"N")</f>
        <v>0</v>
      </c>
      <c r="J6" s="23">
        <f ca="1">COUNTIF($M6:INDIRECT(ADDRESS(ROW(),MATCH("",$4:$4,-1),1,1)),"N/A")+COUNTIF($M6:INDIRECT(ADDRESS(ROW(),MATCH("",$4:$4,-1),1,1)),"조치완료(N/A)")</f>
        <v>0</v>
      </c>
      <c r="K6" s="23">
        <f ca="1">VLOOKUP($D6,'parm(hidden)'!$B$8:$C$10,2,FALSE)*($F6-$J6)</f>
        <v>12</v>
      </c>
      <c r="L6" s="34">
        <f ca="1">VLOOKUP($D6,'parm(hidden)'!$B$8:$C$10,2,FALSE)*($G6+$H6)</f>
        <v>12</v>
      </c>
      <c r="M6" s="46" t="str">
        <f t="shared" ref="M6:P30" ca="1" si="1">HYPERLINK("[" &amp; MID(CELL("filename"),SEARCH("[",CELL("filename"))+1, SEARCH("]",CELL("filename"))-SEARCH("[",CELL("filename"))-1) &amp; "]" &amp; ADDRESS(ROW()+16,8,1,TRUE,M$4),INDIRECT(ADDRESS(ROW()+16,8,1,TRUE,M$4)))</f>
        <v>Y</v>
      </c>
      <c r="N6" s="46" t="str">
        <f t="shared" ca="1" si="1"/>
        <v>Y</v>
      </c>
      <c r="O6" s="46" t="str">
        <f t="shared" ca="1" si="1"/>
        <v>Y</v>
      </c>
      <c r="P6" s="46" t="str">
        <f t="shared" ca="1" si="1"/>
        <v>Y</v>
      </c>
    </row>
    <row r="7" spans="1:16">
      <c r="A7" s="108" t="str">
        <f>ChkList!A7</f>
        <v>계정 관리</v>
      </c>
      <c r="B7" s="156" t="str">
        <f>ChkList!$B7</f>
        <v>D-03</v>
      </c>
      <c r="C7" s="21" t="str">
        <f>ChkList!$C7</f>
        <v>비밀번호 사용 기간 및 복잡도를 기관의 정책에 맞도록 설정</v>
      </c>
      <c r="D7" s="31" t="str">
        <f>ChkList!$D7</f>
        <v>H</v>
      </c>
      <c r="E7" s="31" t="str">
        <f t="shared" si="0"/>
        <v>3</v>
      </c>
      <c r="F7" s="23">
        <f ca="1">COUNTA($M7:INDIRECT(ADDRESS(ROW(),MATCH("",$4:$4,-1),1,1)))</f>
        <v>4</v>
      </c>
      <c r="G7" s="23">
        <f ca="1">COUNTIF($M7:INDIRECT(ADDRESS(ROW(),MATCH("",$4:$4,-1),1,1)),"조치완료(Y)")+COUNTIF($M7:INDIRECT(ADDRESS(ROW(),MATCH("",$4:$4,-1),1,1)),"Y")</f>
        <v>1</v>
      </c>
      <c r="H7" s="23">
        <f ca="1">COUNTIF($M7:INDIRECT(ADDRESS(ROW(),MATCH("",$4:$4,-1),1,1)),"Y(즉시조치)")+COUNTIF($M7:INDIRECT(ADDRESS(ROW(),MATCH("",$4:$4,-1),1,1)),"조치완료(즉시조치)")</f>
        <v>0</v>
      </c>
      <c r="I7" s="23">
        <f ca="1">COUNTIF($M7:INDIRECT(ADDRESS(ROW(),MATCH("",$4:$4,-1),1,1)),"N")</f>
        <v>0</v>
      </c>
      <c r="J7" s="23">
        <f ca="1">COUNTIF($M7:INDIRECT(ADDRESS(ROW(),MATCH("",$4:$4,-1),1,1)),"N/A")+COUNTIF($M7:INDIRECT(ADDRESS(ROW(),MATCH("",$4:$4,-1),1,1)),"조치완료(N/A)")</f>
        <v>0</v>
      </c>
      <c r="K7" s="23">
        <f ca="1">VLOOKUP($D7,'parm(hidden)'!$B$8:$C$10,2,FALSE)*($F7-$J7)</f>
        <v>12</v>
      </c>
      <c r="L7" s="34">
        <f ca="1">VLOOKUP($D7,'parm(hidden)'!$B$8:$C$10,2,FALSE)*($G7+$H7)</f>
        <v>3</v>
      </c>
      <c r="M7" s="46" t="str">
        <f t="shared" ca="1" si="1"/>
        <v>인터뷰</v>
      </c>
      <c r="N7" s="46" t="str">
        <f t="shared" ca="1" si="1"/>
        <v>인터뷰</v>
      </c>
      <c r="O7" s="46" t="str">
        <f t="shared" ca="1" si="1"/>
        <v>인터뷰</v>
      </c>
      <c r="P7" s="46" t="str">
        <f t="shared" ca="1" si="1"/>
        <v>Y</v>
      </c>
    </row>
    <row r="8" spans="1:16">
      <c r="A8" s="108" t="str">
        <f>ChkList!A8</f>
        <v>계정 관리</v>
      </c>
      <c r="B8" s="156" t="str">
        <f>ChkList!$B8</f>
        <v>D-04</v>
      </c>
      <c r="C8" s="21" t="str">
        <f>ChkList!$C8</f>
        <v>데이터베이스 관리자 권한을 꼭 필요한 계정 및 그룹에 대해서만 허용</v>
      </c>
      <c r="D8" s="31" t="str">
        <f>ChkList!$D8</f>
        <v>H</v>
      </c>
      <c r="E8" s="31" t="str">
        <f t="shared" si="0"/>
        <v>3</v>
      </c>
      <c r="F8" s="23">
        <f ca="1">COUNTA($M8:INDIRECT(ADDRESS(ROW(),MATCH("",$4:$4,-1),1,1)))</f>
        <v>4</v>
      </c>
      <c r="G8" s="23">
        <f ca="1">COUNTIF($M8:INDIRECT(ADDRESS(ROW(),MATCH("",$4:$4,-1),1,1)),"조치완료(Y)")+COUNTIF($M8:INDIRECT(ADDRESS(ROW(),MATCH("",$4:$4,-1),1,1)),"Y")</f>
        <v>4</v>
      </c>
      <c r="H8" s="23">
        <f ca="1">COUNTIF($M8:INDIRECT(ADDRESS(ROW(),MATCH("",$4:$4,-1),1,1)),"Y(즉시조치)")+COUNTIF($M8:INDIRECT(ADDRESS(ROW(),MATCH("",$4:$4,-1),1,1)),"조치완료(즉시조치)")</f>
        <v>0</v>
      </c>
      <c r="I8" s="23">
        <f ca="1">COUNTIF($M8:INDIRECT(ADDRESS(ROW(),MATCH("",$4:$4,-1),1,1)),"N")</f>
        <v>0</v>
      </c>
      <c r="J8" s="23">
        <f ca="1">COUNTIF($M8:INDIRECT(ADDRESS(ROW(),MATCH("",$4:$4,-1),1,1)),"N/A")+COUNTIF($M8:INDIRECT(ADDRESS(ROW(),MATCH("",$4:$4,-1),1,1)),"조치완료(N/A)")</f>
        <v>0</v>
      </c>
      <c r="K8" s="23">
        <f ca="1">VLOOKUP($D8,'parm(hidden)'!$B$8:$C$10,2,FALSE)*($F8-$J8)</f>
        <v>12</v>
      </c>
      <c r="L8" s="34">
        <f ca="1">VLOOKUP($D8,'parm(hidden)'!$B$8:$C$10,2,FALSE)*($G8+$H8)</f>
        <v>12</v>
      </c>
      <c r="M8" s="46" t="str">
        <f t="shared" ca="1" si="1"/>
        <v>Y</v>
      </c>
      <c r="N8" s="46" t="str">
        <f t="shared" ca="1" si="1"/>
        <v>Y</v>
      </c>
      <c r="O8" s="46" t="str">
        <f t="shared" ca="1" si="1"/>
        <v>Y</v>
      </c>
      <c r="P8" s="46" t="str">
        <f t="shared" ca="1" si="1"/>
        <v>Y</v>
      </c>
    </row>
    <row r="9" spans="1:16">
      <c r="A9" s="108" t="str">
        <f>ChkList!A9</f>
        <v>계정 관리</v>
      </c>
      <c r="B9" s="156" t="str">
        <f>ChkList!$B9</f>
        <v>D-05</v>
      </c>
      <c r="C9" s="21" t="str">
        <f>ChkList!$C9</f>
        <v>비밀번호 재사용에 대한 제약 설정</v>
      </c>
      <c r="D9" s="31" t="str">
        <f>ChkList!$D9</f>
        <v>M</v>
      </c>
      <c r="E9" s="31" t="str">
        <f t="shared" si="0"/>
        <v>2</v>
      </c>
      <c r="F9" s="23">
        <f ca="1">COUNTA($M9:INDIRECT(ADDRESS(ROW(),MATCH("",$4:$4,-1),1,1)))</f>
        <v>4</v>
      </c>
      <c r="G9" s="23">
        <f ca="1">COUNTIF($M9:INDIRECT(ADDRESS(ROW(),MATCH("",$4:$4,-1),1,1)),"조치완료(Y)")+COUNTIF($M9:INDIRECT(ADDRESS(ROW(),MATCH("",$4:$4,-1),1,1)),"Y")</f>
        <v>0</v>
      </c>
      <c r="H9" s="23">
        <f ca="1">COUNTIF($M9:INDIRECT(ADDRESS(ROW(),MATCH("",$4:$4,-1),1,1)),"Y(즉시조치)")+COUNTIF($M9:INDIRECT(ADDRESS(ROW(),MATCH("",$4:$4,-1),1,1)),"조치완료(즉시조치)")</f>
        <v>0</v>
      </c>
      <c r="I9" s="23">
        <f ca="1">COUNTIF($M9:INDIRECT(ADDRESS(ROW(),MATCH("",$4:$4,-1),1,1)),"N")</f>
        <v>0</v>
      </c>
      <c r="J9" s="23">
        <f ca="1">COUNTIF($M9:INDIRECT(ADDRESS(ROW(),MATCH("",$4:$4,-1),1,1)),"N/A")+COUNTIF($M9:INDIRECT(ADDRESS(ROW(),MATCH("",$4:$4,-1),1,1)),"조치완료(N/A)")</f>
        <v>4</v>
      </c>
      <c r="K9" s="23">
        <f ca="1">VLOOKUP($D9,'parm(hidden)'!$B$8:$C$10,2,FALSE)*($F9-$J9)</f>
        <v>0</v>
      </c>
      <c r="L9" s="34">
        <f ca="1">VLOOKUP($D9,'parm(hidden)'!$B$8:$C$10,2,FALSE)*($G9+$H9)</f>
        <v>0</v>
      </c>
      <c r="M9" s="46" t="str">
        <f t="shared" ca="1" si="1"/>
        <v>N/A</v>
      </c>
      <c r="N9" s="46" t="str">
        <f t="shared" ca="1" si="1"/>
        <v>N/A</v>
      </c>
      <c r="O9" s="46" t="str">
        <f t="shared" ca="1" si="1"/>
        <v>N/A</v>
      </c>
      <c r="P9" s="46" t="str">
        <f t="shared" ca="1" si="1"/>
        <v>N/A</v>
      </c>
    </row>
    <row r="10" spans="1:16">
      <c r="A10" s="108" t="str">
        <f>ChkList!A10</f>
        <v>계정 관리</v>
      </c>
      <c r="B10" s="156" t="str">
        <f>ChkList!$B10</f>
        <v>D-06</v>
      </c>
      <c r="C10" s="21" t="str">
        <f>ChkList!$C10</f>
        <v>DB 사용자 계정을 개별적으로 부여하여 사용</v>
      </c>
      <c r="D10" s="31" t="str">
        <f>ChkList!$D10</f>
        <v>M</v>
      </c>
      <c r="E10" s="31" t="str">
        <f t="shared" si="0"/>
        <v>2</v>
      </c>
      <c r="F10" s="23">
        <f ca="1">COUNTA($M10:INDIRECT(ADDRESS(ROW(),MATCH("",$4:$4,-1),1,1)))</f>
        <v>4</v>
      </c>
      <c r="G10" s="23">
        <f ca="1">COUNTIF($M10:INDIRECT(ADDRESS(ROW(),MATCH("",$4:$4,-1),1,1)),"조치완료(Y)")+COUNTIF($M10:INDIRECT(ADDRESS(ROW(),MATCH("",$4:$4,-1),1,1)),"Y")</f>
        <v>2</v>
      </c>
      <c r="H10" s="23">
        <f ca="1">COUNTIF($M10:INDIRECT(ADDRESS(ROW(),MATCH("",$4:$4,-1),1,1)),"Y(즉시조치)")+COUNTIF($M10:INDIRECT(ADDRESS(ROW(),MATCH("",$4:$4,-1),1,1)),"조치완료(즉시조치)")</f>
        <v>0</v>
      </c>
      <c r="I10" s="23">
        <f ca="1">COUNTIF($M10:INDIRECT(ADDRESS(ROW(),MATCH("",$4:$4,-1),1,1)),"N")</f>
        <v>2</v>
      </c>
      <c r="J10" s="23">
        <f ca="1">COUNTIF($M10:INDIRECT(ADDRESS(ROW(),MATCH("",$4:$4,-1),1,1)),"N/A")+COUNTIF($M10:INDIRECT(ADDRESS(ROW(),MATCH("",$4:$4,-1),1,1)),"조치완료(N/A)")</f>
        <v>0</v>
      </c>
      <c r="K10" s="23">
        <f ca="1">VLOOKUP($D10,'parm(hidden)'!$B$8:$C$10,2,FALSE)*($F10-$J10)</f>
        <v>8</v>
      </c>
      <c r="L10" s="34">
        <f ca="1">VLOOKUP($D10,'parm(hidden)'!$B$8:$C$10,2,FALSE)*($G10+$H10)</f>
        <v>4</v>
      </c>
      <c r="M10" s="46" t="str">
        <f t="shared" ca="1" si="1"/>
        <v>N</v>
      </c>
      <c r="N10" s="46" t="str">
        <f t="shared" ca="1" si="1"/>
        <v>N</v>
      </c>
      <c r="O10" s="46" t="str">
        <f t="shared" ca="1" si="1"/>
        <v>Y</v>
      </c>
      <c r="P10" s="46" t="str">
        <f t="shared" ca="1" si="1"/>
        <v>Y</v>
      </c>
    </row>
    <row r="11" spans="1:16">
      <c r="A11" s="108" t="str">
        <f>ChkList!A11</f>
        <v>계정 관리</v>
      </c>
      <c r="B11" s="156" t="str">
        <f>ChkList!$B11</f>
        <v>D-07</v>
      </c>
      <c r="C11" s="21" t="str">
        <f>ChkList!$C11</f>
        <v>root 권한으로 서비스 구동 제한</v>
      </c>
      <c r="D11" s="31" t="str">
        <f>ChkList!$D11</f>
        <v>M</v>
      </c>
      <c r="E11" s="31" t="str">
        <f t="shared" si="0"/>
        <v>2</v>
      </c>
      <c r="F11" s="23">
        <f ca="1">COUNTA($M11:INDIRECT(ADDRESS(ROW(),MATCH("",$4:$4,-1),1,1)))</f>
        <v>4</v>
      </c>
      <c r="G11" s="23">
        <f ca="1">COUNTIF($M11:INDIRECT(ADDRESS(ROW(),MATCH("",$4:$4,-1),1,1)),"조치완료(Y)")+COUNTIF($M11:INDIRECT(ADDRESS(ROW(),MATCH("",$4:$4,-1),1,1)),"Y")</f>
        <v>2</v>
      </c>
      <c r="H11" s="23">
        <f ca="1">COUNTIF($M11:INDIRECT(ADDRESS(ROW(),MATCH("",$4:$4,-1),1,1)),"Y(즉시조치)")+COUNTIF($M11:INDIRECT(ADDRESS(ROW(),MATCH("",$4:$4,-1),1,1)),"조치완료(즉시조치)")</f>
        <v>0</v>
      </c>
      <c r="I11" s="23">
        <f ca="1">COUNTIF($M11:INDIRECT(ADDRESS(ROW(),MATCH("",$4:$4,-1),1,1)),"N")</f>
        <v>0</v>
      </c>
      <c r="J11" s="23">
        <f ca="1">COUNTIF($M11:INDIRECT(ADDRESS(ROW(),MATCH("",$4:$4,-1),1,1)),"N/A")+COUNTIF($M11:INDIRECT(ADDRESS(ROW(),MATCH("",$4:$4,-1),1,1)),"조치완료(N/A)")</f>
        <v>0</v>
      </c>
      <c r="K11" s="23">
        <f ca="1">VLOOKUP($D11,'parm(hidden)'!$B$8:$C$10,2,FALSE)*($F11-$J11)</f>
        <v>8</v>
      </c>
      <c r="L11" s="34">
        <f ca="1">VLOOKUP($D11,'parm(hidden)'!$B$8:$C$10,2,FALSE)*($G11+$H11)</f>
        <v>4</v>
      </c>
      <c r="M11" s="46" t="str">
        <f t="shared" ca="1" si="1"/>
        <v>인터뷰</v>
      </c>
      <c r="N11" s="46" t="str">
        <f t="shared" ca="1" si="1"/>
        <v>인터뷰</v>
      </c>
      <c r="O11" s="46" t="str">
        <f t="shared" ca="1" si="1"/>
        <v>Y</v>
      </c>
      <c r="P11" s="46" t="str">
        <f t="shared" ca="1" si="1"/>
        <v>Y</v>
      </c>
    </row>
    <row r="12" spans="1:16">
      <c r="A12" s="108" t="str">
        <f>ChkList!A12</f>
        <v>계정 관리</v>
      </c>
      <c r="B12" s="156" t="str">
        <f>ChkList!$B12</f>
        <v>D-08</v>
      </c>
      <c r="C12" s="21" t="str">
        <f>ChkList!$C12</f>
        <v>안전한 암호화 알고리즘 사용</v>
      </c>
      <c r="D12" s="31" t="str">
        <f>ChkList!$D12</f>
        <v>H</v>
      </c>
      <c r="E12" s="31" t="str">
        <f t="shared" si="0"/>
        <v>3</v>
      </c>
      <c r="F12" s="23">
        <f ca="1">COUNTA($M12:INDIRECT(ADDRESS(ROW(),MATCH("",$4:$4,-1),1,1)))</f>
        <v>4</v>
      </c>
      <c r="G12" s="23">
        <f ca="1">COUNTIF($M12:INDIRECT(ADDRESS(ROW(),MATCH("",$4:$4,-1),1,1)),"조치완료(Y)")+COUNTIF($M12:INDIRECT(ADDRESS(ROW(),MATCH("",$4:$4,-1),1,1)),"Y")</f>
        <v>2</v>
      </c>
      <c r="H12" s="23">
        <f ca="1">COUNTIF($M12:INDIRECT(ADDRESS(ROW(),MATCH("",$4:$4,-1),1,1)),"Y(즉시조치)")+COUNTIF($M12:INDIRECT(ADDRESS(ROW(),MATCH("",$4:$4,-1),1,1)),"조치완료(즉시조치)")</f>
        <v>0</v>
      </c>
      <c r="I12" s="23">
        <f ca="1">COUNTIF($M12:INDIRECT(ADDRESS(ROW(),MATCH("",$4:$4,-1),1,1)),"N")</f>
        <v>2</v>
      </c>
      <c r="J12" s="23">
        <f ca="1">COUNTIF($M12:INDIRECT(ADDRESS(ROW(),MATCH("",$4:$4,-1),1,1)),"N/A")+COUNTIF($M12:INDIRECT(ADDRESS(ROW(),MATCH("",$4:$4,-1),1,1)),"조치완료(N/A)")</f>
        <v>0</v>
      </c>
      <c r="K12" s="23">
        <f ca="1">VLOOKUP($D12,'parm(hidden)'!$B$8:$C$10,2,FALSE)*($F12-$J12)</f>
        <v>12</v>
      </c>
      <c r="L12" s="34">
        <f ca="1">VLOOKUP($D12,'parm(hidden)'!$B$8:$C$10,2,FALSE)*($G12+$H12)</f>
        <v>6</v>
      </c>
      <c r="M12" s="46" t="str">
        <f t="shared" ca="1" si="1"/>
        <v>N</v>
      </c>
      <c r="N12" s="46" t="str">
        <f t="shared" ca="1" si="1"/>
        <v>N</v>
      </c>
      <c r="O12" s="46" t="str">
        <f t="shared" ca="1" si="1"/>
        <v>Y</v>
      </c>
      <c r="P12" s="46" t="str">
        <f t="shared" ca="1" si="1"/>
        <v>Y</v>
      </c>
    </row>
    <row r="13" spans="1:16">
      <c r="A13" s="108" t="str">
        <f>ChkList!A13</f>
        <v>계정 관리</v>
      </c>
      <c r="B13" s="156" t="str">
        <f>ChkList!$B13</f>
        <v>D-09</v>
      </c>
      <c r="C13" s="21" t="str">
        <f>ChkList!$C13</f>
        <v>일정 횟수의 로그인 실패 시 이에 대한 잠금정책 설정</v>
      </c>
      <c r="D13" s="31" t="str">
        <f>ChkList!$D13</f>
        <v>M</v>
      </c>
      <c r="E13" s="31" t="str">
        <f t="shared" si="0"/>
        <v>2</v>
      </c>
      <c r="F13" s="23">
        <f ca="1">COUNTA($M13:INDIRECT(ADDRESS(ROW(),MATCH("",$4:$4,-1),1,1)))</f>
        <v>4</v>
      </c>
      <c r="G13" s="23">
        <f ca="1">COUNTIF($M13:INDIRECT(ADDRESS(ROW(),MATCH("",$4:$4,-1),1,1)),"조치완료(Y)")+COUNTIF($M13:INDIRECT(ADDRESS(ROW(),MATCH("",$4:$4,-1),1,1)),"Y")</f>
        <v>0</v>
      </c>
      <c r="H13" s="23">
        <f ca="1">COUNTIF($M13:INDIRECT(ADDRESS(ROW(),MATCH("",$4:$4,-1),1,1)),"Y(즉시조치)")+COUNTIF($M13:INDIRECT(ADDRESS(ROW(),MATCH("",$4:$4,-1),1,1)),"조치완료(즉시조치)")</f>
        <v>0</v>
      </c>
      <c r="I13" s="23">
        <f ca="1">COUNTIF($M13:INDIRECT(ADDRESS(ROW(),MATCH("",$4:$4,-1),1,1)),"N")</f>
        <v>0</v>
      </c>
      <c r="J13" s="23">
        <f ca="1">COUNTIF($M13:INDIRECT(ADDRESS(ROW(),MATCH("",$4:$4,-1),1,1)),"N/A")+COUNTIF($M13:INDIRECT(ADDRESS(ROW(),MATCH("",$4:$4,-1),1,1)),"조치완료(N/A)")</f>
        <v>4</v>
      </c>
      <c r="K13" s="23">
        <f ca="1">VLOOKUP($D13,'parm(hidden)'!$B$8:$C$10,2,FALSE)*($F13-$J13)</f>
        <v>0</v>
      </c>
      <c r="L13" s="34">
        <f ca="1">VLOOKUP($D13,'parm(hidden)'!$B$8:$C$10,2,FALSE)*($G13+$H13)</f>
        <v>0</v>
      </c>
      <c r="M13" s="46" t="str">
        <f t="shared" ca="1" si="1"/>
        <v>N/A</v>
      </c>
      <c r="N13" s="46" t="str">
        <f t="shared" ca="1" si="1"/>
        <v>N/A</v>
      </c>
      <c r="O13" s="46" t="str">
        <f t="shared" ca="1" si="1"/>
        <v>N/A</v>
      </c>
      <c r="P13" s="46" t="str">
        <f t="shared" ca="1" si="1"/>
        <v>N/A</v>
      </c>
    </row>
    <row r="14" spans="1:16">
      <c r="A14" s="108" t="str">
        <f>ChkList!A14</f>
        <v>접근 관리</v>
      </c>
      <c r="B14" s="156" t="str">
        <f>ChkList!$B14</f>
        <v>D-10</v>
      </c>
      <c r="C14" s="21" t="str">
        <f>ChkList!$C14</f>
        <v>원격에서 DB 서버로의 접속 제한</v>
      </c>
      <c r="D14" s="31" t="str">
        <f>ChkList!$D14</f>
        <v>H</v>
      </c>
      <c r="E14" s="31" t="str">
        <f t="shared" si="0"/>
        <v>3</v>
      </c>
      <c r="F14" s="23">
        <f ca="1">COUNTA($M14:INDIRECT(ADDRESS(ROW(),MATCH("",$4:$4,-1),1,1)))</f>
        <v>4</v>
      </c>
      <c r="G14" s="23">
        <f ca="1">COUNTIF($M14:INDIRECT(ADDRESS(ROW(),MATCH("",$4:$4,-1),1,1)),"조치완료(Y)")+COUNTIF($M14:INDIRECT(ADDRESS(ROW(),MATCH("",$4:$4,-1),1,1)),"Y")</f>
        <v>2</v>
      </c>
      <c r="H14" s="23">
        <f ca="1">COUNTIF($M14:INDIRECT(ADDRESS(ROW(),MATCH("",$4:$4,-1),1,1)),"Y(즉시조치)")+COUNTIF($M14:INDIRECT(ADDRESS(ROW(),MATCH("",$4:$4,-1),1,1)),"조치완료(즉시조치)")</f>
        <v>0</v>
      </c>
      <c r="I14" s="23">
        <f ca="1">COUNTIF($M14:INDIRECT(ADDRESS(ROW(),MATCH("",$4:$4,-1),1,1)),"N")</f>
        <v>0</v>
      </c>
      <c r="J14" s="23">
        <f ca="1">COUNTIF($M14:INDIRECT(ADDRESS(ROW(),MATCH("",$4:$4,-1),1,1)),"N/A")+COUNTIF($M14:INDIRECT(ADDRESS(ROW(),MATCH("",$4:$4,-1),1,1)),"조치완료(N/A)")</f>
        <v>2</v>
      </c>
      <c r="K14" s="23">
        <f ca="1">VLOOKUP($D14,'parm(hidden)'!$B$8:$C$10,2,FALSE)*($F14-$J14)</f>
        <v>6</v>
      </c>
      <c r="L14" s="34">
        <f ca="1">VLOOKUP($D14,'parm(hidden)'!$B$8:$C$10,2,FALSE)*($G14+$H14)</f>
        <v>6</v>
      </c>
      <c r="M14" s="46" t="str">
        <f t="shared" ca="1" si="1"/>
        <v>Y</v>
      </c>
      <c r="N14" s="46" t="str">
        <f t="shared" ca="1" si="1"/>
        <v>Y</v>
      </c>
      <c r="O14" s="46" t="str">
        <f t="shared" ca="1" si="1"/>
        <v>N/A</v>
      </c>
      <c r="P14" s="46" t="str">
        <f t="shared" ca="1" si="1"/>
        <v>N/A</v>
      </c>
    </row>
    <row r="15" spans="1:16">
      <c r="A15" s="108" t="str">
        <f>ChkList!A15</f>
        <v>접근 관리</v>
      </c>
      <c r="B15" s="156" t="str">
        <f>ChkList!$B15</f>
        <v>D-11</v>
      </c>
      <c r="C15" s="21" t="str">
        <f>ChkList!$C15</f>
        <v>DBA 이외의 인가되지 않은 사용자가 시스템 테이블에 접근할 수 없도록 설정</v>
      </c>
      <c r="D15" s="31" t="str">
        <f>ChkList!$D15</f>
        <v>H</v>
      </c>
      <c r="E15" s="31" t="str">
        <f t="shared" si="0"/>
        <v>3</v>
      </c>
      <c r="F15" s="23">
        <f ca="1">COUNTA($M15:INDIRECT(ADDRESS(ROW(),MATCH("",$4:$4,-1),1,1)))</f>
        <v>4</v>
      </c>
      <c r="G15" s="23">
        <f ca="1">COUNTIF($M15:INDIRECT(ADDRESS(ROW(),MATCH("",$4:$4,-1),1,1)),"조치완료(Y)")+COUNTIF($M15:INDIRECT(ADDRESS(ROW(),MATCH("",$4:$4,-1),1,1)),"Y")</f>
        <v>2</v>
      </c>
      <c r="H15" s="23">
        <f ca="1">COUNTIF($M15:INDIRECT(ADDRESS(ROW(),MATCH("",$4:$4,-1),1,1)),"Y(즉시조치)")+COUNTIF($M15:INDIRECT(ADDRESS(ROW(),MATCH("",$4:$4,-1),1,1)),"조치완료(즉시조치)")</f>
        <v>0</v>
      </c>
      <c r="I15" s="23">
        <f ca="1">COUNTIF($M15:INDIRECT(ADDRESS(ROW(),MATCH("",$4:$4,-1),1,1)),"N")</f>
        <v>0</v>
      </c>
      <c r="J15" s="23">
        <f ca="1">COUNTIF($M15:INDIRECT(ADDRESS(ROW(),MATCH("",$4:$4,-1),1,1)),"N/A")+COUNTIF($M15:INDIRECT(ADDRESS(ROW(),MATCH("",$4:$4,-1),1,1)),"조치완료(N/A)")</f>
        <v>2</v>
      </c>
      <c r="K15" s="23">
        <f ca="1">VLOOKUP($D15,'parm(hidden)'!$B$8:$C$10,2,FALSE)*($F15-$J15)</f>
        <v>6</v>
      </c>
      <c r="L15" s="34">
        <f ca="1">VLOOKUP($D15,'parm(hidden)'!$B$8:$C$10,2,FALSE)*($G15+$H15)</f>
        <v>6</v>
      </c>
      <c r="M15" s="46" t="str">
        <f t="shared" ca="1" si="1"/>
        <v>Y</v>
      </c>
      <c r="N15" s="46" t="str">
        <f t="shared" ca="1" si="1"/>
        <v>Y</v>
      </c>
      <c r="O15" s="46" t="str">
        <f t="shared" ca="1" si="1"/>
        <v>N/A</v>
      </c>
      <c r="P15" s="46" t="str">
        <f t="shared" ca="1" si="1"/>
        <v>N/A</v>
      </c>
    </row>
    <row r="16" spans="1:16">
      <c r="A16" s="108" t="str">
        <f>ChkList!A16</f>
        <v>접근 관리</v>
      </c>
      <c r="B16" s="156" t="str">
        <f>ChkList!$B16</f>
        <v>D-12</v>
      </c>
      <c r="C16" s="21" t="str">
        <f>ChkList!$C16</f>
        <v>안전한 리스너 비밀번호 설정 및 사용</v>
      </c>
      <c r="D16" s="31" t="str">
        <f>ChkList!$D16</f>
        <v>H</v>
      </c>
      <c r="E16" s="31" t="str">
        <f t="shared" si="0"/>
        <v>3</v>
      </c>
      <c r="F16" s="23">
        <f ca="1">COUNTA($M16:INDIRECT(ADDRESS(ROW(),MATCH("",$4:$4,-1),1,1)))</f>
        <v>4</v>
      </c>
      <c r="G16" s="23">
        <f ca="1">COUNTIF($M16:INDIRECT(ADDRESS(ROW(),MATCH("",$4:$4,-1),1,1)),"조치완료(Y)")+COUNTIF($M16:INDIRECT(ADDRESS(ROW(),MATCH("",$4:$4,-1),1,1)),"Y")</f>
        <v>2</v>
      </c>
      <c r="H16" s="23">
        <f ca="1">COUNTIF($M16:INDIRECT(ADDRESS(ROW(),MATCH("",$4:$4,-1),1,1)),"Y(즉시조치)")+COUNTIF($M16:INDIRECT(ADDRESS(ROW(),MATCH("",$4:$4,-1),1,1)),"조치완료(즉시조치)")</f>
        <v>0</v>
      </c>
      <c r="I16" s="23">
        <f ca="1">COUNTIF($M16:INDIRECT(ADDRESS(ROW(),MATCH("",$4:$4,-1),1,1)),"N")</f>
        <v>0</v>
      </c>
      <c r="J16" s="23">
        <f ca="1">COUNTIF($M16:INDIRECT(ADDRESS(ROW(),MATCH("",$4:$4,-1),1,1)),"N/A")+COUNTIF($M16:INDIRECT(ADDRESS(ROW(),MATCH("",$4:$4,-1),1,1)),"조치완료(N/A)")</f>
        <v>2</v>
      </c>
      <c r="K16" s="23">
        <f ca="1">VLOOKUP($D16,'parm(hidden)'!$B$8:$C$10,2,FALSE)*($F16-$J16)</f>
        <v>6</v>
      </c>
      <c r="L16" s="34">
        <f ca="1">VLOOKUP($D16,'parm(hidden)'!$B$8:$C$10,2,FALSE)*($G16+$H16)</f>
        <v>6</v>
      </c>
      <c r="M16" s="46" t="str">
        <f t="shared" ca="1" si="1"/>
        <v>N/A</v>
      </c>
      <c r="N16" s="46" t="str">
        <f t="shared" ca="1" si="1"/>
        <v>N/A</v>
      </c>
      <c r="O16" s="46" t="str">
        <f t="shared" ca="1" si="1"/>
        <v>Y</v>
      </c>
      <c r="P16" s="46" t="str">
        <f t="shared" ca="1" si="1"/>
        <v>Y</v>
      </c>
    </row>
    <row r="17" spans="1:16">
      <c r="A17" s="108" t="str">
        <f>ChkList!A17</f>
        <v>접근 관리</v>
      </c>
      <c r="B17" s="156" t="str">
        <f>ChkList!$B17</f>
        <v>D-13</v>
      </c>
      <c r="C17" s="21" t="str">
        <f>ChkList!$C17</f>
        <v>불필요한 ODBC/OLE-DB 데이터 소스와 드라이브를 제거하여 사용</v>
      </c>
      <c r="D17" s="31" t="str">
        <f>ChkList!$D17</f>
        <v>M</v>
      </c>
      <c r="E17" s="31" t="str">
        <f t="shared" si="0"/>
        <v>2</v>
      </c>
      <c r="F17" s="23">
        <f ca="1">COUNTA($M17:INDIRECT(ADDRESS(ROW(),MATCH("",$4:$4,-1),1,1)))</f>
        <v>4</v>
      </c>
      <c r="G17" s="23">
        <f ca="1">COUNTIF($M17:INDIRECT(ADDRESS(ROW(),MATCH("",$4:$4,-1),1,1)),"조치완료(Y)")+COUNTIF($M17:INDIRECT(ADDRESS(ROW(),MATCH("",$4:$4,-1),1,1)),"Y")</f>
        <v>2</v>
      </c>
      <c r="H17" s="23">
        <f ca="1">COUNTIF($M17:INDIRECT(ADDRESS(ROW(),MATCH("",$4:$4,-1),1,1)),"Y(즉시조치)")+COUNTIF($M17:INDIRECT(ADDRESS(ROW(),MATCH("",$4:$4,-1),1,1)),"조치완료(즉시조치)")</f>
        <v>0</v>
      </c>
      <c r="I17" s="23">
        <f ca="1">COUNTIF($M17:INDIRECT(ADDRESS(ROW(),MATCH("",$4:$4,-1),1,1)),"N")</f>
        <v>0</v>
      </c>
      <c r="J17" s="23">
        <f ca="1">COUNTIF($M17:INDIRECT(ADDRESS(ROW(),MATCH("",$4:$4,-1),1,1)),"N/A")+COUNTIF($M17:INDIRECT(ADDRESS(ROW(),MATCH("",$4:$4,-1),1,1)),"조치완료(N/A)")</f>
        <v>2</v>
      </c>
      <c r="K17" s="23">
        <f ca="1">VLOOKUP($D17,'parm(hidden)'!$B$8:$C$10,2,FALSE)*($F17-$J17)</f>
        <v>4</v>
      </c>
      <c r="L17" s="34">
        <f ca="1">VLOOKUP($D17,'parm(hidden)'!$B$8:$C$10,2,FALSE)*($G17+$H17)</f>
        <v>4</v>
      </c>
      <c r="M17" s="46" t="str">
        <f t="shared" ca="1" si="1"/>
        <v>N/A</v>
      </c>
      <c r="N17" s="46" t="str">
        <f t="shared" ca="1" si="1"/>
        <v>N/A</v>
      </c>
      <c r="O17" s="46" t="str">
        <f t="shared" ca="1" si="1"/>
        <v>Y</v>
      </c>
      <c r="P17" s="46" t="str">
        <f t="shared" ca="1" si="1"/>
        <v>Y</v>
      </c>
    </row>
    <row r="18" spans="1:16">
      <c r="A18" s="108" t="str">
        <f>ChkList!A18</f>
        <v>접근 관리</v>
      </c>
      <c r="B18" s="156" t="str">
        <f>ChkList!$B18</f>
        <v>D-14</v>
      </c>
      <c r="C18" s="21" t="str">
        <f>ChkList!$C18</f>
        <v>데이터베이스의 주요 설정파일, 비밀번호 파일 등과 같은 주요 파일들의 접근 권한이 적절하게 설정</v>
      </c>
      <c r="D18" s="31" t="str">
        <f>ChkList!$D18</f>
        <v>M</v>
      </c>
      <c r="E18" s="31" t="str">
        <f t="shared" si="0"/>
        <v>2</v>
      </c>
      <c r="F18" s="23">
        <f ca="1">COUNTA($M18:INDIRECT(ADDRESS(ROW(),MATCH("",$4:$4,-1),1,1)))</f>
        <v>4</v>
      </c>
      <c r="G18" s="23">
        <f ca="1">COUNTIF($M18:INDIRECT(ADDRESS(ROW(),MATCH("",$4:$4,-1),1,1)),"조치완료(Y)")+COUNTIF($M18:INDIRECT(ADDRESS(ROW(),MATCH("",$4:$4,-1),1,1)),"Y")</f>
        <v>2</v>
      </c>
      <c r="H18" s="23">
        <f ca="1">COUNTIF($M18:INDIRECT(ADDRESS(ROW(),MATCH("",$4:$4,-1),1,1)),"Y(즉시조치)")+COUNTIF($M18:INDIRECT(ADDRESS(ROW(),MATCH("",$4:$4,-1),1,1)),"조치완료(즉시조치)")</f>
        <v>0</v>
      </c>
      <c r="I18" s="23">
        <f ca="1">COUNTIF($M18:INDIRECT(ADDRESS(ROW(),MATCH("",$4:$4,-1),1,1)),"N")</f>
        <v>0</v>
      </c>
      <c r="J18" s="23">
        <f ca="1">COUNTIF($M18:INDIRECT(ADDRESS(ROW(),MATCH("",$4:$4,-1),1,1)),"N/A")+COUNTIF($M18:INDIRECT(ADDRESS(ROW(),MATCH("",$4:$4,-1),1,1)),"조치완료(N/A)")</f>
        <v>2</v>
      </c>
      <c r="K18" s="23">
        <f ca="1">VLOOKUP($D18,'parm(hidden)'!$B$8:$C$10,2,FALSE)*($F18-$J18)</f>
        <v>4</v>
      </c>
      <c r="L18" s="34">
        <f ca="1">VLOOKUP($D18,'parm(hidden)'!$B$8:$C$10,2,FALSE)*($G18+$H18)</f>
        <v>4</v>
      </c>
      <c r="M18" s="46" t="str">
        <f t="shared" ca="1" si="1"/>
        <v>Y</v>
      </c>
      <c r="N18" s="46" t="str">
        <f t="shared" ca="1" si="1"/>
        <v>Y</v>
      </c>
      <c r="O18" s="46" t="str">
        <f t="shared" ca="1" si="1"/>
        <v>N/A</v>
      </c>
      <c r="P18" s="46" t="str">
        <f t="shared" ca="1" si="1"/>
        <v>N/A</v>
      </c>
    </row>
    <row r="19" spans="1:16">
      <c r="A19" s="108" t="str">
        <f>ChkList!A19</f>
        <v>접근 관리</v>
      </c>
      <c r="B19" s="156" t="str">
        <f>ChkList!$B19</f>
        <v>D-15</v>
      </c>
      <c r="C19" s="21" t="str">
        <f>ChkList!$C19</f>
        <v>관리자 이외의 사용자가 오라클 리스너의 접속을 통해 리스너 로그 및 trace 파일에 대한 변경 제한</v>
      </c>
      <c r="D19" s="31" t="str">
        <f>ChkList!$D19</f>
        <v>L</v>
      </c>
      <c r="E19" s="31" t="str">
        <f t="shared" si="0"/>
        <v>1</v>
      </c>
      <c r="F19" s="23">
        <f ca="1">COUNTA($M19:INDIRECT(ADDRESS(ROW(),MATCH("",$4:$4,-1),1,1)))</f>
        <v>4</v>
      </c>
      <c r="G19" s="23">
        <f ca="1">COUNTIF($M19:INDIRECT(ADDRESS(ROW(),MATCH("",$4:$4,-1),1,1)),"조치완료(Y)")+COUNTIF($M19:INDIRECT(ADDRESS(ROW(),MATCH("",$4:$4,-1),1,1)),"Y")</f>
        <v>0</v>
      </c>
      <c r="H19" s="23">
        <f ca="1">COUNTIF($M19:INDIRECT(ADDRESS(ROW(),MATCH("",$4:$4,-1),1,1)),"Y(즉시조치)")+COUNTIF($M19:INDIRECT(ADDRESS(ROW(),MATCH("",$4:$4,-1),1,1)),"조치완료(즉시조치)")</f>
        <v>0</v>
      </c>
      <c r="I19" s="23">
        <f ca="1">COUNTIF($M19:INDIRECT(ADDRESS(ROW(),MATCH("",$4:$4,-1),1,1)),"N")</f>
        <v>0</v>
      </c>
      <c r="J19" s="23">
        <f ca="1">COUNTIF($M19:INDIRECT(ADDRESS(ROW(),MATCH("",$4:$4,-1),1,1)),"N/A")+COUNTIF($M19:INDIRECT(ADDRESS(ROW(),MATCH("",$4:$4,-1),1,1)),"조치완료(N/A)")</f>
        <v>4</v>
      </c>
      <c r="K19" s="23">
        <f ca="1">VLOOKUP($D19,'parm(hidden)'!$B$8:$C$10,2,FALSE)*($F19-$J19)</f>
        <v>0</v>
      </c>
      <c r="L19" s="34">
        <f ca="1">VLOOKUP($D19,'parm(hidden)'!$B$8:$C$10,2,FALSE)*($G19+$H19)</f>
        <v>0</v>
      </c>
      <c r="M19" s="46" t="str">
        <f t="shared" ca="1" si="1"/>
        <v>N/A</v>
      </c>
      <c r="N19" s="46" t="str">
        <f t="shared" ca="1" si="1"/>
        <v>N/A</v>
      </c>
      <c r="O19" s="46" t="str">
        <f t="shared" ca="1" si="1"/>
        <v>N/A</v>
      </c>
      <c r="P19" s="46" t="str">
        <f t="shared" ca="1" si="1"/>
        <v>N/A</v>
      </c>
    </row>
    <row r="20" spans="1:16">
      <c r="A20" s="108" t="str">
        <f>ChkList!A20</f>
        <v>접근 관리</v>
      </c>
      <c r="B20" s="156" t="str">
        <f>ChkList!$B20</f>
        <v>D-16</v>
      </c>
      <c r="C20" s="21" t="str">
        <f>ChkList!$C20</f>
        <v>Windows 인증 모드 사용</v>
      </c>
      <c r="D20" s="31" t="str">
        <f>ChkList!$D20</f>
        <v>L</v>
      </c>
      <c r="E20" s="31" t="str">
        <f t="shared" si="0"/>
        <v>1</v>
      </c>
      <c r="F20" s="23">
        <f ca="1">COUNTA($M20:INDIRECT(ADDRESS(ROW(),MATCH("",$4:$4,-1),1,1)))</f>
        <v>4</v>
      </c>
      <c r="G20" s="23">
        <f ca="1">COUNTIF($M20:INDIRECT(ADDRESS(ROW(),MATCH("",$4:$4,-1),1,1)),"조치완료(Y)")+COUNTIF($M20:INDIRECT(ADDRESS(ROW(),MATCH("",$4:$4,-1),1,1)),"Y")</f>
        <v>0</v>
      </c>
      <c r="H20" s="23">
        <f ca="1">COUNTIF($M20:INDIRECT(ADDRESS(ROW(),MATCH("",$4:$4,-1),1,1)),"Y(즉시조치)")+COUNTIF($M20:INDIRECT(ADDRESS(ROW(),MATCH("",$4:$4,-1),1,1)),"조치완료(즉시조치)")</f>
        <v>0</v>
      </c>
      <c r="I20" s="23">
        <f ca="1">COUNTIF($M20:INDIRECT(ADDRESS(ROW(),MATCH("",$4:$4,-1),1,1)),"N")</f>
        <v>0</v>
      </c>
      <c r="J20" s="23">
        <f ca="1">COUNTIF($M20:INDIRECT(ADDRESS(ROW(),MATCH("",$4:$4,-1),1,1)),"N/A")+COUNTIF($M20:INDIRECT(ADDRESS(ROW(),MATCH("",$4:$4,-1),1,1)),"조치완료(N/A)")</f>
        <v>4</v>
      </c>
      <c r="K20" s="23">
        <f ca="1">VLOOKUP($D20,'parm(hidden)'!$B$8:$C$10,2,FALSE)*($F20-$J20)</f>
        <v>0</v>
      </c>
      <c r="L20" s="34">
        <f ca="1">VLOOKUP($D20,'parm(hidden)'!$B$8:$C$10,2,FALSE)*($G20+$H20)</f>
        <v>0</v>
      </c>
      <c r="M20" s="46" t="str">
        <f t="shared" ca="1" si="1"/>
        <v>N/A</v>
      </c>
      <c r="N20" s="46" t="str">
        <f t="shared" ca="1" si="1"/>
        <v>N/A</v>
      </c>
      <c r="O20" s="46" t="str">
        <f t="shared" ca="1" si="1"/>
        <v>N/A</v>
      </c>
      <c r="P20" s="46" t="str">
        <f t="shared" ca="1" si="1"/>
        <v>N/A</v>
      </c>
    </row>
    <row r="21" spans="1:16">
      <c r="A21" s="108" t="str">
        <f>ChkList!A21</f>
        <v>옵션 관리</v>
      </c>
      <c r="B21" s="156" t="str">
        <f>ChkList!$B21</f>
        <v>D-17</v>
      </c>
      <c r="C21" s="21" t="str">
        <f>ChkList!$C21</f>
        <v>Audit Table은 데이터베이스 관리자 계정에 접근하도록 제한</v>
      </c>
      <c r="D21" s="31" t="str">
        <f>ChkList!$D21</f>
        <v>L</v>
      </c>
      <c r="E21" s="31" t="str">
        <f t="shared" si="0"/>
        <v>1</v>
      </c>
      <c r="F21" s="23">
        <f ca="1">COUNTA($M21:INDIRECT(ADDRESS(ROW(),MATCH("",$4:$4,-1),1,1)))</f>
        <v>4</v>
      </c>
      <c r="G21" s="23">
        <f ca="1">COUNTIF($M21:INDIRECT(ADDRESS(ROW(),MATCH("",$4:$4,-1),1,1)),"조치완료(Y)")+COUNTIF($M21:INDIRECT(ADDRESS(ROW(),MATCH("",$4:$4,-1),1,1)),"Y")</f>
        <v>0</v>
      </c>
      <c r="H21" s="23">
        <f ca="1">COUNTIF($M21:INDIRECT(ADDRESS(ROW(),MATCH("",$4:$4,-1),1,1)),"Y(즉시조치)")+COUNTIF($M21:INDIRECT(ADDRESS(ROW(),MATCH("",$4:$4,-1),1,1)),"조치완료(즉시조치)")</f>
        <v>0</v>
      </c>
      <c r="I21" s="23">
        <f ca="1">COUNTIF($M21:INDIRECT(ADDRESS(ROW(),MATCH("",$4:$4,-1),1,1)),"N")</f>
        <v>0</v>
      </c>
      <c r="J21" s="23">
        <f ca="1">COUNTIF($M21:INDIRECT(ADDRESS(ROW(),MATCH("",$4:$4,-1),1,1)),"N/A")+COUNTIF($M21:INDIRECT(ADDRESS(ROW(),MATCH("",$4:$4,-1),1,1)),"조치완료(N/A)")</f>
        <v>4</v>
      </c>
      <c r="K21" s="23">
        <f ca="1">VLOOKUP($D21,'parm(hidden)'!$B$8:$C$10,2,FALSE)*($F21-$J21)</f>
        <v>0</v>
      </c>
      <c r="L21" s="34">
        <f ca="1">VLOOKUP($D21,'parm(hidden)'!$B$8:$C$10,2,FALSE)*($G21+$H21)</f>
        <v>0</v>
      </c>
      <c r="M21" s="46" t="str">
        <f t="shared" ca="1" si="1"/>
        <v>N/A</v>
      </c>
      <c r="N21" s="46" t="str">
        <f t="shared" ca="1" si="1"/>
        <v>N/A</v>
      </c>
      <c r="O21" s="46" t="str">
        <f t="shared" ca="1" si="1"/>
        <v>N/A</v>
      </c>
      <c r="P21" s="46" t="str">
        <f t="shared" ca="1" si="1"/>
        <v>N/A</v>
      </c>
    </row>
    <row r="22" spans="1:16">
      <c r="A22" s="108" t="str">
        <f>ChkList!A22</f>
        <v>옵션 관리</v>
      </c>
      <c r="B22" s="156" t="str">
        <f>ChkList!$B22</f>
        <v>D-18</v>
      </c>
      <c r="C22" s="21" t="str">
        <f>ChkList!$C22</f>
        <v>응용프로그램 또는 DBA 계정의 Role이 Public으로 설정되지 않도록 조정</v>
      </c>
      <c r="D22" s="31" t="str">
        <f>ChkList!$D22</f>
        <v>H</v>
      </c>
      <c r="E22" s="31" t="str">
        <f t="shared" si="0"/>
        <v>3</v>
      </c>
      <c r="F22" s="23">
        <f ca="1">COUNTA($M22:INDIRECT(ADDRESS(ROW(),MATCH("",$4:$4,-1),1,1)))</f>
        <v>4</v>
      </c>
      <c r="G22" s="23">
        <f ca="1">COUNTIF($M22:INDIRECT(ADDRESS(ROW(),MATCH("",$4:$4,-1),1,1)),"조치완료(Y)")+COUNTIF($M22:INDIRECT(ADDRESS(ROW(),MATCH("",$4:$4,-1),1,1)),"Y")</f>
        <v>0</v>
      </c>
      <c r="H22" s="23">
        <f ca="1">COUNTIF($M22:INDIRECT(ADDRESS(ROW(),MATCH("",$4:$4,-1),1,1)),"Y(즉시조치)")+COUNTIF($M22:INDIRECT(ADDRESS(ROW(),MATCH("",$4:$4,-1),1,1)),"조치완료(즉시조치)")</f>
        <v>0</v>
      </c>
      <c r="I22" s="23">
        <f ca="1">COUNTIF($M22:INDIRECT(ADDRESS(ROW(),MATCH("",$4:$4,-1),1,1)),"N")</f>
        <v>0</v>
      </c>
      <c r="J22" s="23">
        <f ca="1">COUNTIF($M22:INDIRECT(ADDRESS(ROW(),MATCH("",$4:$4,-1),1,1)),"N/A")+COUNTIF($M22:INDIRECT(ADDRESS(ROW(),MATCH("",$4:$4,-1),1,1)),"조치완료(N/A)")</f>
        <v>4</v>
      </c>
      <c r="K22" s="23">
        <f ca="1">VLOOKUP($D22,'parm(hidden)'!$B$8:$C$10,2,FALSE)*($F22-$J22)</f>
        <v>0</v>
      </c>
      <c r="L22" s="34">
        <f ca="1">VLOOKUP($D22,'parm(hidden)'!$B$8:$C$10,2,FALSE)*($G22+$H22)</f>
        <v>0</v>
      </c>
      <c r="M22" s="46" t="str">
        <f t="shared" ca="1" si="1"/>
        <v>N/A</v>
      </c>
      <c r="N22" s="46" t="str">
        <f t="shared" ca="1" si="1"/>
        <v>N/A</v>
      </c>
      <c r="O22" s="46" t="str">
        <f t="shared" ca="1" si="1"/>
        <v>N/A</v>
      </c>
      <c r="P22" s="46" t="str">
        <f t="shared" ca="1" si="1"/>
        <v>N/A</v>
      </c>
    </row>
    <row r="23" spans="1:16">
      <c r="A23" s="108" t="str">
        <f>ChkList!A23</f>
        <v>옵션 관리</v>
      </c>
      <c r="B23" s="156" t="str">
        <f>ChkList!$B23</f>
        <v>D-19</v>
      </c>
      <c r="C23" s="21" t="str">
        <f>ChkList!$C23</f>
        <v>OS_ROLES, REMOTE_OS_AUTHENTICATION, REMOTE_OS_ROLES를 FALSE로 설정</v>
      </c>
      <c r="D23" s="31" t="str">
        <f>ChkList!$D23</f>
        <v>H</v>
      </c>
      <c r="E23" s="31" t="str">
        <f t="shared" si="0"/>
        <v>3</v>
      </c>
      <c r="F23" s="23">
        <f ca="1">COUNTA($M23:INDIRECT(ADDRESS(ROW(),MATCH("",$4:$4,-1),1,1)))</f>
        <v>4</v>
      </c>
      <c r="G23" s="23">
        <f ca="1">COUNTIF($M23:INDIRECT(ADDRESS(ROW(),MATCH("",$4:$4,-1),1,1)),"조치완료(Y)")+COUNTIF($M23:INDIRECT(ADDRESS(ROW(),MATCH("",$4:$4,-1),1,1)),"Y")</f>
        <v>2</v>
      </c>
      <c r="H23" s="23">
        <f ca="1">COUNTIF($M23:INDIRECT(ADDRESS(ROW(),MATCH("",$4:$4,-1),1,1)),"Y(즉시조치)")+COUNTIF($M23:INDIRECT(ADDRESS(ROW(),MATCH("",$4:$4,-1),1,1)),"조치완료(즉시조치)")</f>
        <v>0</v>
      </c>
      <c r="I23" s="23">
        <f ca="1">COUNTIF($M23:INDIRECT(ADDRESS(ROW(),MATCH("",$4:$4,-1),1,1)),"N")</f>
        <v>0</v>
      </c>
      <c r="J23" s="23">
        <f ca="1">COUNTIF($M23:INDIRECT(ADDRESS(ROW(),MATCH("",$4:$4,-1),1,1)),"N/A")+COUNTIF($M23:INDIRECT(ADDRESS(ROW(),MATCH("",$4:$4,-1),1,1)),"조치완료(N/A)")</f>
        <v>2</v>
      </c>
      <c r="K23" s="23">
        <f ca="1">VLOOKUP($D23,'parm(hidden)'!$B$8:$C$10,2,FALSE)*($F23-$J23)</f>
        <v>6</v>
      </c>
      <c r="L23" s="34">
        <f ca="1">VLOOKUP($D23,'parm(hidden)'!$B$8:$C$10,2,FALSE)*($G23+$H23)</f>
        <v>6</v>
      </c>
      <c r="M23" s="46" t="str">
        <f t="shared" ca="1" si="1"/>
        <v>N/A</v>
      </c>
      <c r="N23" s="46" t="str">
        <f t="shared" ca="1" si="1"/>
        <v>N/A</v>
      </c>
      <c r="O23" s="46" t="str">
        <f t="shared" ca="1" si="1"/>
        <v>Y</v>
      </c>
      <c r="P23" s="46" t="str">
        <f t="shared" ca="1" si="1"/>
        <v>Y</v>
      </c>
    </row>
    <row r="24" spans="1:16">
      <c r="A24" s="108" t="str">
        <f>ChkList!A24</f>
        <v>옵션 관리</v>
      </c>
      <c r="B24" s="156" t="str">
        <f>ChkList!$B24</f>
        <v>D-20</v>
      </c>
      <c r="C24" s="21" t="str">
        <f>ChkList!$C24</f>
        <v>인가되지 않은 Object Owner의 제한</v>
      </c>
      <c r="D24" s="31" t="str">
        <f>ChkList!$D24</f>
        <v>L</v>
      </c>
      <c r="E24" s="31" t="str">
        <f t="shared" si="0"/>
        <v>1</v>
      </c>
      <c r="F24" s="23">
        <f ca="1">COUNTA($M24:INDIRECT(ADDRESS(ROW(),MATCH("",$4:$4,-1),1,1)))</f>
        <v>4</v>
      </c>
      <c r="G24" s="23">
        <f ca="1">COUNTIF($M24:INDIRECT(ADDRESS(ROW(),MATCH("",$4:$4,-1),1,1)),"조치완료(Y)")+COUNTIF($M24:INDIRECT(ADDRESS(ROW(),MATCH("",$4:$4,-1),1,1)),"Y")</f>
        <v>0</v>
      </c>
      <c r="H24" s="23">
        <f ca="1">COUNTIF($M24:INDIRECT(ADDRESS(ROW(),MATCH("",$4:$4,-1),1,1)),"Y(즉시조치)")+COUNTIF($M24:INDIRECT(ADDRESS(ROW(),MATCH("",$4:$4,-1),1,1)),"조치완료(즉시조치)")</f>
        <v>0</v>
      </c>
      <c r="I24" s="23">
        <f ca="1">COUNTIF($M24:INDIRECT(ADDRESS(ROW(),MATCH("",$4:$4,-1),1,1)),"N")</f>
        <v>0</v>
      </c>
      <c r="J24" s="23">
        <f ca="1">COUNTIF($M24:INDIRECT(ADDRESS(ROW(),MATCH("",$4:$4,-1),1,1)),"N/A")+COUNTIF($M24:INDIRECT(ADDRESS(ROW(),MATCH("",$4:$4,-1),1,1)),"조치완료(N/A)")</f>
        <v>4</v>
      </c>
      <c r="K24" s="23">
        <f ca="1">VLOOKUP($D24,'parm(hidden)'!$B$8:$C$10,2,FALSE)*($F24-$J24)</f>
        <v>0</v>
      </c>
      <c r="L24" s="34">
        <f ca="1">VLOOKUP($D24,'parm(hidden)'!$B$8:$C$10,2,FALSE)*($G24+$H24)</f>
        <v>0</v>
      </c>
      <c r="M24" s="46" t="str">
        <f t="shared" ca="1" si="1"/>
        <v>N/A</v>
      </c>
      <c r="N24" s="46" t="str">
        <f t="shared" ca="1" si="1"/>
        <v>N/A</v>
      </c>
      <c r="O24" s="46" t="str">
        <f t="shared" ca="1" si="1"/>
        <v>N/A</v>
      </c>
      <c r="P24" s="46" t="str">
        <f t="shared" ca="1" si="1"/>
        <v>N/A</v>
      </c>
    </row>
    <row r="25" spans="1:16">
      <c r="A25" s="108" t="str">
        <f>ChkList!A25</f>
        <v>옵션 관리</v>
      </c>
      <c r="B25" s="156" t="str">
        <f>ChkList!$B25</f>
        <v>D-21</v>
      </c>
      <c r="C25" s="21" t="str">
        <f>ChkList!$C25</f>
        <v>인가되지 않은 GRANT OPTION 사용 제한</v>
      </c>
      <c r="D25" s="31" t="str">
        <f>ChkList!$D25</f>
        <v>M</v>
      </c>
      <c r="E25" s="31" t="str">
        <f t="shared" si="0"/>
        <v>2</v>
      </c>
      <c r="F25" s="23">
        <f ca="1">COUNTA($M25:INDIRECT(ADDRESS(ROW(),MATCH("",$4:$4,-1),1,1)))</f>
        <v>4</v>
      </c>
      <c r="G25" s="23">
        <f ca="1">COUNTIF($M25:INDIRECT(ADDRESS(ROW(),MATCH("",$4:$4,-1),1,1)),"조치완료(Y)")+COUNTIF($M25:INDIRECT(ADDRESS(ROW(),MATCH("",$4:$4,-1),1,1)),"Y")</f>
        <v>0</v>
      </c>
      <c r="H25" s="23">
        <f ca="1">COUNTIF($M25:INDIRECT(ADDRESS(ROW(),MATCH("",$4:$4,-1),1,1)),"Y(즉시조치)")+COUNTIF($M25:INDIRECT(ADDRESS(ROW(),MATCH("",$4:$4,-1),1,1)),"조치완료(즉시조치)")</f>
        <v>0</v>
      </c>
      <c r="I25" s="23">
        <f ca="1">COUNTIF($M25:INDIRECT(ADDRESS(ROW(),MATCH("",$4:$4,-1),1,1)),"N")</f>
        <v>0</v>
      </c>
      <c r="J25" s="23">
        <f ca="1">COUNTIF($M25:INDIRECT(ADDRESS(ROW(),MATCH("",$4:$4,-1),1,1)),"N/A")+COUNTIF($M25:INDIRECT(ADDRESS(ROW(),MATCH("",$4:$4,-1),1,1)),"조치완료(N/A)")</f>
        <v>2</v>
      </c>
      <c r="K25" s="23">
        <f ca="1">VLOOKUP($D25,'parm(hidden)'!$B$8:$C$10,2,FALSE)*($F25-$J25)</f>
        <v>4</v>
      </c>
      <c r="L25" s="34">
        <f ca="1">VLOOKUP($D25,'parm(hidden)'!$B$8:$C$10,2,FALSE)*($G25+$H25)</f>
        <v>0</v>
      </c>
      <c r="M25" s="46" t="str">
        <f t="shared" ca="1" si="1"/>
        <v>N/A</v>
      </c>
      <c r="N25" s="46" t="str">
        <f t="shared" ca="1" si="1"/>
        <v>N/A</v>
      </c>
      <c r="O25" s="46" t="str">
        <f t="shared" ca="1" si="1"/>
        <v>인터뷰</v>
      </c>
      <c r="P25" s="46" t="str">
        <f t="shared" ca="1" si="1"/>
        <v>인터뷰</v>
      </c>
    </row>
    <row r="26" spans="1:16">
      <c r="A26" s="108" t="str">
        <f>ChkList!A26</f>
        <v>옵션 관리</v>
      </c>
      <c r="B26" s="156" t="str">
        <f>ChkList!$B26</f>
        <v>D-22</v>
      </c>
      <c r="C26" s="21" t="str">
        <f>ChkList!$C26</f>
        <v>데이터베이스의 자원 제한 기능을 TRUE로 설정</v>
      </c>
      <c r="D26" s="31" t="str">
        <f>ChkList!$D26</f>
        <v>L</v>
      </c>
      <c r="E26" s="31" t="str">
        <f t="shared" si="0"/>
        <v>1</v>
      </c>
      <c r="F26" s="23">
        <f ca="1">COUNTA($M26:INDIRECT(ADDRESS(ROW(),MATCH("",$4:$4,-1),1,1)))</f>
        <v>4</v>
      </c>
      <c r="G26" s="23">
        <f ca="1">COUNTIF($M26:INDIRECT(ADDRESS(ROW(),MATCH("",$4:$4,-1),1,1)),"조치완료(Y)")+COUNTIF($M26:INDIRECT(ADDRESS(ROW(),MATCH("",$4:$4,-1),1,1)),"Y")</f>
        <v>0</v>
      </c>
      <c r="H26" s="23">
        <f ca="1">COUNTIF($M26:INDIRECT(ADDRESS(ROW(),MATCH("",$4:$4,-1),1,1)),"Y(즉시조치)")+COUNTIF($M26:INDIRECT(ADDRESS(ROW(),MATCH("",$4:$4,-1),1,1)),"조치완료(즉시조치)")</f>
        <v>0</v>
      </c>
      <c r="I26" s="23">
        <f ca="1">COUNTIF($M26:INDIRECT(ADDRESS(ROW(),MATCH("",$4:$4,-1),1,1)),"N")</f>
        <v>0</v>
      </c>
      <c r="J26" s="23">
        <f ca="1">COUNTIF($M26:INDIRECT(ADDRESS(ROW(),MATCH("",$4:$4,-1),1,1)),"N/A")+COUNTIF($M26:INDIRECT(ADDRESS(ROW(),MATCH("",$4:$4,-1),1,1)),"조치완료(N/A)")</f>
        <v>4</v>
      </c>
      <c r="K26" s="23">
        <f ca="1">VLOOKUP($D26,'parm(hidden)'!$B$8:$C$10,2,FALSE)*($F26-$J26)</f>
        <v>0</v>
      </c>
      <c r="L26" s="34">
        <f ca="1">VLOOKUP($D26,'parm(hidden)'!$B$8:$C$10,2,FALSE)*($G26+$H26)</f>
        <v>0</v>
      </c>
      <c r="M26" s="46" t="str">
        <f t="shared" ca="1" si="1"/>
        <v>N/A</v>
      </c>
      <c r="N26" s="46" t="str">
        <f t="shared" ca="1" si="1"/>
        <v>N/A</v>
      </c>
      <c r="O26" s="46" t="str">
        <f t="shared" ca="1" si="1"/>
        <v>N/A</v>
      </c>
      <c r="P26" s="46" t="str">
        <f t="shared" ca="1" si="1"/>
        <v>N/A</v>
      </c>
    </row>
    <row r="27" spans="1:16">
      <c r="A27" s="108" t="str">
        <f>ChkList!A27</f>
        <v>옵션 관리</v>
      </c>
      <c r="B27" s="156" t="str">
        <f>ChkList!$B27</f>
        <v>D-23</v>
      </c>
      <c r="C27" s="21" t="str">
        <f>ChkList!$C27</f>
        <v>xp_cmdshell 사용 제한</v>
      </c>
      <c r="D27" s="31" t="str">
        <f>ChkList!$D27</f>
        <v>H</v>
      </c>
      <c r="E27" s="31" t="str">
        <f t="shared" si="0"/>
        <v>3</v>
      </c>
      <c r="F27" s="23">
        <f ca="1">COUNTA($M27:INDIRECT(ADDRESS(ROW(),MATCH("",$4:$4,-1),1,1)))</f>
        <v>4</v>
      </c>
      <c r="G27" s="23">
        <f ca="1">COUNTIF($M27:INDIRECT(ADDRESS(ROW(),MATCH("",$4:$4,-1),1,1)),"조치완료(Y)")+COUNTIF($M27:INDIRECT(ADDRESS(ROW(),MATCH("",$4:$4,-1),1,1)),"Y")</f>
        <v>1</v>
      </c>
      <c r="H27" s="23">
        <f ca="1">COUNTIF($M27:INDIRECT(ADDRESS(ROW(),MATCH("",$4:$4,-1),1,1)),"Y(즉시조치)")+COUNTIF($M27:INDIRECT(ADDRESS(ROW(),MATCH("",$4:$4,-1),1,1)),"조치완료(즉시조치)")</f>
        <v>0</v>
      </c>
      <c r="I27" s="23">
        <f ca="1">COUNTIF($M27:INDIRECT(ADDRESS(ROW(),MATCH("",$4:$4,-1),1,1)),"N")</f>
        <v>0</v>
      </c>
      <c r="J27" s="23">
        <f ca="1">COUNTIF($M27:INDIRECT(ADDRESS(ROW(),MATCH("",$4:$4,-1),1,1)),"N/A")+COUNTIF($M27:INDIRECT(ADDRESS(ROW(),MATCH("",$4:$4,-1),1,1)),"조치완료(N/A)")</f>
        <v>2</v>
      </c>
      <c r="K27" s="23">
        <f ca="1">VLOOKUP($D27,'parm(hidden)'!$B$8:$C$10,2,FALSE)*($F27-$J27)</f>
        <v>6</v>
      </c>
      <c r="L27" s="34">
        <f ca="1">VLOOKUP($D27,'parm(hidden)'!$B$8:$C$10,2,FALSE)*($G27+$H27)</f>
        <v>3</v>
      </c>
      <c r="M27" s="46" t="str">
        <f t="shared" ca="1" si="1"/>
        <v>N/A</v>
      </c>
      <c r="N27" s="46" t="str">
        <f t="shared" ca="1" si="1"/>
        <v>N/A</v>
      </c>
      <c r="O27" s="46" t="str">
        <f t="shared" ca="1" si="1"/>
        <v>인터뷰</v>
      </c>
      <c r="P27" s="46" t="str">
        <f t="shared" ca="1" si="1"/>
        <v>Y</v>
      </c>
    </row>
    <row r="28" spans="1:16">
      <c r="A28" s="108" t="str">
        <f>ChkList!A28</f>
        <v>옵션 관리</v>
      </c>
      <c r="B28" s="156" t="str">
        <f>ChkList!$B28</f>
        <v>D-24</v>
      </c>
      <c r="C28" s="21" t="str">
        <f>ChkList!$C28</f>
        <v>Registry Procedure 권한 제한</v>
      </c>
      <c r="D28" s="31" t="str">
        <f>ChkList!$D28</f>
        <v>H</v>
      </c>
      <c r="E28" s="31" t="str">
        <f t="shared" si="0"/>
        <v>3</v>
      </c>
      <c r="F28" s="23">
        <f ca="1">COUNTA($M28:INDIRECT(ADDRESS(ROW(),MATCH("",$4:$4,-1),1,1)))</f>
        <v>4</v>
      </c>
      <c r="G28" s="23">
        <f ca="1">COUNTIF($M28:INDIRECT(ADDRESS(ROW(),MATCH("",$4:$4,-1),1,1)),"조치완료(Y)")+COUNTIF($M28:INDIRECT(ADDRESS(ROW(),MATCH("",$4:$4,-1),1,1)),"Y")</f>
        <v>0</v>
      </c>
      <c r="H28" s="23">
        <f ca="1">COUNTIF($M28:INDIRECT(ADDRESS(ROW(),MATCH("",$4:$4,-1),1,1)),"Y(즉시조치)")+COUNTIF($M28:INDIRECT(ADDRESS(ROW(),MATCH("",$4:$4,-1),1,1)),"조치완료(즉시조치)")</f>
        <v>0</v>
      </c>
      <c r="I28" s="23">
        <f ca="1">COUNTIF($M28:INDIRECT(ADDRESS(ROW(),MATCH("",$4:$4,-1),1,1)),"N")</f>
        <v>0</v>
      </c>
      <c r="J28" s="23">
        <f ca="1">COUNTIF($M28:INDIRECT(ADDRESS(ROW(),MATCH("",$4:$4,-1),1,1)),"N/A")+COUNTIF($M28:INDIRECT(ADDRESS(ROW(),MATCH("",$4:$4,-1),1,1)),"조치완료(N/A)")</f>
        <v>4</v>
      </c>
      <c r="K28" s="23">
        <f ca="1">VLOOKUP($D28,'parm(hidden)'!$B$8:$C$10,2,FALSE)*($F28-$J28)</f>
        <v>0</v>
      </c>
      <c r="L28" s="34">
        <f ca="1">VLOOKUP($D28,'parm(hidden)'!$B$8:$C$10,2,FALSE)*($G28+$H28)</f>
        <v>0</v>
      </c>
      <c r="M28" s="46" t="str">
        <f t="shared" ca="1" si="1"/>
        <v>N/A</v>
      </c>
      <c r="N28" s="46" t="str">
        <f t="shared" ca="1" si="1"/>
        <v>N/A</v>
      </c>
      <c r="O28" s="46" t="str">
        <f t="shared" ca="1" si="1"/>
        <v>N/A</v>
      </c>
      <c r="P28" s="46" t="str">
        <f t="shared" ca="1" si="1"/>
        <v>N/A</v>
      </c>
    </row>
    <row r="29" spans="1:16">
      <c r="A29" s="108" t="str">
        <f>ChkList!A29</f>
        <v>패치 관리</v>
      </c>
      <c r="B29" s="156" t="str">
        <f>ChkList!$B29</f>
        <v>D-25</v>
      </c>
      <c r="C29" s="21" t="str">
        <f>ChkList!$C29</f>
        <v>주기적 보안 패치 및 벤더 권고 사항 적용</v>
      </c>
      <c r="D29" s="31" t="str">
        <f>ChkList!$D29</f>
        <v>H</v>
      </c>
      <c r="E29" s="31" t="str">
        <f t="shared" si="0"/>
        <v>3</v>
      </c>
      <c r="F29" s="23">
        <f ca="1">COUNTA($M29:INDIRECT(ADDRESS(ROW(),MATCH("",$4:$4,-1),1,1)))</f>
        <v>4</v>
      </c>
      <c r="G29" s="23">
        <f ca="1">COUNTIF($M29:INDIRECT(ADDRESS(ROW(),MATCH("",$4:$4,-1),1,1)),"조치완료(Y)")+COUNTIF($M29:INDIRECT(ADDRESS(ROW(),MATCH("",$4:$4,-1),1,1)),"Y")</f>
        <v>2</v>
      </c>
      <c r="H29" s="23">
        <f ca="1">COUNTIF($M29:INDIRECT(ADDRESS(ROW(),MATCH("",$4:$4,-1),1,1)),"Y(즉시조치)")+COUNTIF($M29:INDIRECT(ADDRESS(ROW(),MATCH("",$4:$4,-1),1,1)),"조치완료(즉시조치)")</f>
        <v>0</v>
      </c>
      <c r="I29" s="23">
        <f ca="1">COUNTIF($M29:INDIRECT(ADDRESS(ROW(),MATCH("",$4:$4,-1),1,1)),"N")</f>
        <v>0</v>
      </c>
      <c r="J29" s="23">
        <f ca="1">COUNTIF($M29:INDIRECT(ADDRESS(ROW(),MATCH("",$4:$4,-1),1,1)),"N/A")+COUNTIF($M29:INDIRECT(ADDRESS(ROW(),MATCH("",$4:$4,-1),1,1)),"조치완료(N/A)")</f>
        <v>0</v>
      </c>
      <c r="K29" s="23">
        <f ca="1">VLOOKUP($D29,'parm(hidden)'!$B$8:$C$10,2,FALSE)*($F29-$J29)</f>
        <v>12</v>
      </c>
      <c r="L29" s="34">
        <f ca="1">VLOOKUP($D29,'parm(hidden)'!$B$8:$C$10,2,FALSE)*($G29+$H29)</f>
        <v>6</v>
      </c>
      <c r="M29" s="46" t="str">
        <f t="shared" ca="1" si="1"/>
        <v>Y</v>
      </c>
      <c r="N29" s="46" t="str">
        <f t="shared" ca="1" si="1"/>
        <v>Y</v>
      </c>
      <c r="O29" s="46">
        <f t="shared" ca="1" si="1"/>
        <v>0</v>
      </c>
      <c r="P29" s="46">
        <f t="shared" ca="1" si="1"/>
        <v>0</v>
      </c>
    </row>
    <row r="30" spans="1:16">
      <c r="A30" s="108" t="str">
        <f>ChkList!A30</f>
        <v>패치 관리</v>
      </c>
      <c r="B30" s="156" t="str">
        <f>ChkList!$B30</f>
        <v>D-26</v>
      </c>
      <c r="C30" s="21" t="str">
        <f>ChkList!$C30</f>
        <v>데이터베이스의 접근, 변경, 삭제 등의 감사 기록이 기관의 감사 기록 정책에 적합하도록 설정</v>
      </c>
      <c r="D30" s="31" t="str">
        <f>ChkList!$D30</f>
        <v>H</v>
      </c>
      <c r="E30" s="31" t="str">
        <f t="shared" si="0"/>
        <v>3</v>
      </c>
      <c r="F30" s="23">
        <f ca="1">COUNTA($M30:INDIRECT(ADDRESS(ROW(),MATCH("",$4:$4,-1),1,1)))</f>
        <v>4</v>
      </c>
      <c r="G30" s="23">
        <f ca="1">COUNTIF($M30:INDIRECT(ADDRESS(ROW(),MATCH("",$4:$4,-1),1,1)),"조치완료(Y)")+COUNTIF($M30:INDIRECT(ADDRESS(ROW(),MATCH("",$4:$4,-1),1,1)),"Y")</f>
        <v>0</v>
      </c>
      <c r="H30" s="23">
        <f ca="1">COUNTIF($M30:INDIRECT(ADDRESS(ROW(),MATCH("",$4:$4,-1),1,1)),"Y(즉시조치)")+COUNTIF($M30:INDIRECT(ADDRESS(ROW(),MATCH("",$4:$4,-1),1,1)),"조치완료(즉시조치)")</f>
        <v>0</v>
      </c>
      <c r="I30" s="23">
        <f ca="1">COUNTIF($M30:INDIRECT(ADDRESS(ROW(),MATCH("",$4:$4,-1),1,1)),"N")</f>
        <v>0</v>
      </c>
      <c r="J30" s="23">
        <f ca="1">COUNTIF($M30:INDIRECT(ADDRESS(ROW(),MATCH("",$4:$4,-1),1,1)),"N/A")+COUNTIF($M30:INDIRECT(ADDRESS(ROW(),MATCH("",$4:$4,-1),1,1)),"조치완료(N/A)")</f>
        <v>2</v>
      </c>
      <c r="K30" s="23">
        <f ca="1">VLOOKUP($D30,'parm(hidden)'!$B$8:$C$10,2,FALSE)*($F30-$J30)</f>
        <v>6</v>
      </c>
      <c r="L30" s="34">
        <f ca="1">VLOOKUP($D30,'parm(hidden)'!$B$8:$C$10,2,FALSE)*($G30+$H30)</f>
        <v>0</v>
      </c>
      <c r="M30" s="46" t="str">
        <f t="shared" ca="1" si="1"/>
        <v>N/A</v>
      </c>
      <c r="N30" s="46" t="str">
        <f t="shared" ca="1" si="1"/>
        <v>N/A</v>
      </c>
      <c r="O30" s="46">
        <f t="shared" ca="1" si="1"/>
        <v>0</v>
      </c>
      <c r="P30" s="46">
        <f t="shared" ca="1" si="1"/>
        <v>0</v>
      </c>
    </row>
    <row r="31" spans="1:16" ht="12" thickBot="1">
      <c r="A31" s="111"/>
      <c r="B31" s="111"/>
      <c r="C31" s="111"/>
      <c r="D31" s="111"/>
      <c r="E31" s="111"/>
      <c r="F31" s="111">
        <f t="shared" ref="F31:M31" ca="1" si="2">SUM(F5:F30)</f>
        <v>104</v>
      </c>
      <c r="G31" s="111">
        <f t="shared" ca="1" si="2"/>
        <v>34</v>
      </c>
      <c r="H31" s="111">
        <f t="shared" ca="1" si="2"/>
        <v>0</v>
      </c>
      <c r="I31" s="111">
        <f t="shared" ca="1" si="2"/>
        <v>4</v>
      </c>
      <c r="J31" s="111">
        <f t="shared" ca="1" si="2"/>
        <v>54</v>
      </c>
      <c r="K31" s="111">
        <f t="shared" ca="1" si="2"/>
        <v>136</v>
      </c>
      <c r="L31" s="111">
        <f t="shared" ca="1" si="2"/>
        <v>94</v>
      </c>
      <c r="M31" s="111">
        <f t="shared" ca="1" si="2"/>
        <v>0</v>
      </c>
      <c r="N31" s="112">
        <f ca="1">COUNTIFS(N$5:N$30,"&lt;&gt;",N$5:N$30,"&lt;&gt;0")</f>
        <v>26</v>
      </c>
      <c r="O31" s="112">
        <f ca="1">COUNTIFS(O$5:O$30,"&lt;&gt;",O$5:O$30,"&lt;&gt;0")</f>
        <v>24</v>
      </c>
      <c r="P31" s="112">
        <f ca="1">COUNTIFS(P$5:P$30,"&lt;&gt;",P$5:P$30,"&lt;&gt;0")</f>
        <v>24</v>
      </c>
    </row>
  </sheetData>
  <mergeCells count="5">
    <mergeCell ref="K3:L3"/>
    <mergeCell ref="D3:E4"/>
    <mergeCell ref="A3:B4"/>
    <mergeCell ref="F3:J3"/>
    <mergeCell ref="C3:C4"/>
  </mergeCells>
  <phoneticPr fontId="4" type="noConversion"/>
  <conditionalFormatting sqref="M3:P3">
    <cfRule type="cellIs" dxfId="138" priority="8" operator="equal">
      <formula>"Y"</formula>
    </cfRule>
    <cfRule type="cellIs" dxfId="137" priority="9" stopIfTrue="1" operator="equal">
      <formula>"인터뷰"</formula>
    </cfRule>
  </conditionalFormatting>
  <conditionalFormatting sqref="M5:P30">
    <cfRule type="cellIs" dxfId="136" priority="12" operator="equal">
      <formula>"N"</formula>
    </cfRule>
    <cfRule type="cellIs" dxfId="135" priority="13" operator="equal">
      <formula>"기존 취약점"</formula>
    </cfRule>
    <cfRule type="cellIs" dxfId="134" priority="14" stopIfTrue="1" operator="equal">
      <formula>"인터뷰"</formula>
    </cfRule>
    <cfRule type="cellIs" dxfId="133" priority="15" stopIfTrue="1" operator="equal">
      <formula>"N/A"</formula>
    </cfRule>
    <cfRule type="cellIs" dxfId="132" priority="16" stopIfTrue="1" operator="equal">
      <formula>"신규 취약점"</formula>
    </cfRule>
  </conditionalFormatting>
  <conditionalFormatting sqref="N31:P31">
    <cfRule type="cellIs" dxfId="131" priority="1" operator="equal">
      <formula>"Y"</formula>
    </cfRule>
    <cfRule type="cellIs" dxfId="130" priority="2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Y61"/>
  <sheetViews>
    <sheetView showGridLines="0" view="pageBreakPreview" zoomScale="85" zoomScaleNormal="70" zoomScaleSheetLayoutView="85" zoomScalePageLayoutView="85" workbookViewId="0"/>
  </sheetViews>
  <sheetFormatPr defaultColWidth="8.77734375" defaultRowHeight="13.5"/>
  <cols>
    <col min="1" max="9" width="8.77734375" style="3" customWidth="1"/>
    <col min="10" max="13" width="8.77734375" style="3" hidden="1" customWidth="1"/>
    <col min="14" max="14" width="14.44140625" style="3" hidden="1" customWidth="1"/>
    <col min="15" max="15" width="8.77734375" style="3" customWidth="1"/>
    <col min="16" max="16" width="8.77734375" style="3" hidden="1" customWidth="1"/>
    <col min="17" max="17" width="8.77734375" style="3" customWidth="1"/>
    <col min="18" max="18" width="12.109375" style="3" hidden="1" customWidth="1"/>
    <col min="19" max="19" width="8.77734375" style="3" hidden="1" customWidth="1"/>
    <col min="20" max="20" width="8.77734375" style="3" customWidth="1"/>
    <col min="21" max="21" width="8.77734375" style="3" hidden="1" customWidth="1"/>
    <col min="22" max="22" width="3.109375" style="3" bestFit="1" customWidth="1"/>
    <col min="23" max="24" width="5" style="3" customWidth="1"/>
    <col min="25" max="25" width="4.77734375" style="3" customWidth="1"/>
    <col min="26" max="16384" width="8.77734375" style="3"/>
  </cols>
  <sheetData>
    <row r="1" spans="1:25" ht="16.5">
      <c r="A1" s="16" t="s">
        <v>66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5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14.25" thickBot="1">
      <c r="A3" s="5" t="s">
        <v>67</v>
      </c>
    </row>
    <row r="4" spans="1:25" ht="14.25" thickBot="1">
      <c r="A4" s="209" t="s">
        <v>61</v>
      </c>
      <c r="B4" s="210"/>
      <c r="C4" s="210"/>
      <c r="D4" s="211"/>
      <c r="E4" s="239" t="s">
        <v>68</v>
      </c>
      <c r="F4" s="239"/>
      <c r="G4" s="239"/>
      <c r="H4" s="239"/>
      <c r="I4" s="240"/>
      <c r="J4" s="244" t="s">
        <v>82</v>
      </c>
      <c r="K4" s="245"/>
      <c r="L4" s="245"/>
      <c r="M4" s="245"/>
      <c r="N4" s="246"/>
      <c r="O4" s="234" t="s">
        <v>69</v>
      </c>
      <c r="P4" s="234"/>
      <c r="Q4" s="234"/>
      <c r="R4" s="234"/>
      <c r="S4" s="234"/>
      <c r="T4" s="234"/>
      <c r="U4" s="235"/>
    </row>
    <row r="5" spans="1:25" ht="24.75" thickBot="1">
      <c r="A5" s="212"/>
      <c r="B5" s="213"/>
      <c r="C5" s="213"/>
      <c r="D5" s="214"/>
      <c r="E5" s="81" t="s">
        <v>70</v>
      </c>
      <c r="F5" s="82" t="s">
        <v>62</v>
      </c>
      <c r="G5" s="83" t="s">
        <v>71</v>
      </c>
      <c r="H5" s="82" t="s">
        <v>83</v>
      </c>
      <c r="I5" s="82" t="s">
        <v>81</v>
      </c>
      <c r="J5" s="84" t="s">
        <v>84</v>
      </c>
      <c r="K5" s="85" t="s">
        <v>85</v>
      </c>
      <c r="L5" s="86" t="s">
        <v>86</v>
      </c>
      <c r="M5" s="86" t="s">
        <v>81</v>
      </c>
      <c r="N5" s="86" t="s">
        <v>87</v>
      </c>
      <c r="O5" s="87" t="s">
        <v>88</v>
      </c>
      <c r="P5" s="88" t="s">
        <v>89</v>
      </c>
      <c r="Q5" s="89" t="s">
        <v>90</v>
      </c>
      <c r="R5" s="89" t="s">
        <v>91</v>
      </c>
      <c r="S5" s="87" t="s">
        <v>92</v>
      </c>
      <c r="T5" s="88" t="s">
        <v>93</v>
      </c>
      <c r="U5" s="90" t="s">
        <v>94</v>
      </c>
    </row>
    <row r="6" spans="1:25">
      <c r="A6" s="215" t="s">
        <v>64</v>
      </c>
      <c r="B6" s="216"/>
      <c r="C6" s="216"/>
      <c r="D6" s="217"/>
      <c r="E6" s="11">
        <f ca="1">SUMIF('취약점 진단 항목별 통계 (이행)'!$A:$A,$A6&amp;"*",'취약점 진단 항목별 통계 (이행)'!$F:$F)</f>
        <v>36</v>
      </c>
      <c r="F6" s="11">
        <f ca="1">E6-I6</f>
        <v>28</v>
      </c>
      <c r="G6" s="11">
        <f ca="1">SUMIF('취약점 진단 항목별 통계'!$A:$A,$A6&amp;"*",'취약점 진단 항목별 통계'!$G:$G)+SUMIF('취약점 진단 항목별 통계'!$A:$A,$A6&amp;"*",'취약점 진단 항목별 통계'!$H:$H)</f>
        <v>19</v>
      </c>
      <c r="H6" s="11">
        <f ca="1">SUMIF('취약점 진단 항목별 통계'!$A:$A,$A6&amp;"*",'취약점 진단 항목별 통계'!$I:$I)</f>
        <v>4</v>
      </c>
      <c r="I6" s="11">
        <f ca="1">SUMIF('취약점 진단 항목별 통계'!$A:$A,$A6&amp;"*",'취약점 진단 항목별 통계'!$J:$J)</f>
        <v>8</v>
      </c>
      <c r="J6" s="11">
        <f ca="1">SUMIF('취약점 진단 항목별 통계 (이행)'!$A:$A,$A6&amp;"*",'취약점 진단 항목별 통계 (이행)'!$K:$K)</f>
        <v>4</v>
      </c>
      <c r="K6" s="11">
        <f ca="1">SUMIF('취약점 진단 항목별 통계 (이행)'!$A:$A,$A6&amp;"*",'취약점 진단 항목별 통계 (이행)'!$L:$L)</f>
        <v>4</v>
      </c>
      <c r="L6" s="11">
        <f ca="1">SUMIF('취약점 진단 항목별 통계 (이행)'!$A:$A,$A6&amp;"*",'취약점 진단 항목별 통계 (이행)'!$M:$M)</f>
        <v>0</v>
      </c>
      <c r="M6" s="11">
        <f ca="1">SUMIF('취약점 진단 항목별 통계 (이행)'!$A:$A,$A6&amp;"*",'취약점 진단 항목별 통계 (이행)'!$N:$N)</f>
        <v>4</v>
      </c>
      <c r="N6" s="30">
        <f ca="1">K6+L6</f>
        <v>4</v>
      </c>
      <c r="O6" s="11">
        <f ca="1">SUMIF('취약점 진단 항목별 통계 (이행)'!$A:$A,$A6&amp;"*",'취약점 진단 항목별 통계 (이행)'!$O:$O)</f>
        <v>76</v>
      </c>
      <c r="P6" s="11">
        <f ca="1">SUMIF('취약점 진단 항목별 통계 (이행)'!$A:$A,$A6&amp;"*",'취약점 진단 항목별 통계 (이행)'!$P:$P)</f>
        <v>84</v>
      </c>
      <c r="Q6" s="11">
        <f ca="1">SUMIF('취약점 진단 항목별 통계 (이행)'!$A:$A,$A6&amp;"*",'취약점 진단 항목별 통계 (이행)'!$Q:$Q)</f>
        <v>53</v>
      </c>
      <c r="R6" s="11">
        <f ca="1">SUMIF('취약점 진단 항목별 통계 (이행)'!$A:$A,$A6&amp;"*",'취약점 진단 항목별 통계 (이행)'!$R:$R)</f>
        <v>63</v>
      </c>
      <c r="S6" s="26">
        <f ca="1">IFERROR($J6/($H6-(M6-I6)),"N/A")</f>
        <v>0.5</v>
      </c>
      <c r="T6" s="26">
        <f ca="1">IF($I6=$E6, "N/A", (Q6/O6))</f>
        <v>0.69736842105263153</v>
      </c>
      <c r="U6" s="74">
        <f ca="1">IF(OR($I6=$E6,$E6=$M6),"N/A", ($R6/$P6))</f>
        <v>0.75</v>
      </c>
      <c r="V6" s="2"/>
      <c r="W6" s="1"/>
    </row>
    <row r="7" spans="1:25">
      <c r="A7" s="215" t="s">
        <v>65</v>
      </c>
      <c r="B7" s="216"/>
      <c r="C7" s="216"/>
      <c r="D7" s="217"/>
      <c r="E7" s="11">
        <f ca="1">SUMIF('취약점 진단 항목별 통계 (이행)'!$A:$A,$A7&amp;"*",'취약점 진단 항목별 통계 (이행)'!$F:$F)</f>
        <v>28</v>
      </c>
      <c r="F7" s="11">
        <f t="shared" ref="F7:F10" ca="1" si="0">E7-I7</f>
        <v>10</v>
      </c>
      <c r="G7" s="11">
        <f ca="1">SUMIF('취약점 진단 항목별 통계'!$A:$A,$A7&amp;"*",'취약점 진단 항목별 통계'!$G:$G)+SUMIF('취약점 진단 항목별 통계'!$A:$A,$A7&amp;"*",'취약점 진단 항목별 통계'!$H:$H)</f>
        <v>10</v>
      </c>
      <c r="H7" s="11">
        <f ca="1">SUMIF('취약점 진단 항목별 통계'!$A:$A,$A7&amp;"*",'취약점 진단 항목별 통계'!$I:$I)</f>
        <v>0</v>
      </c>
      <c r="I7" s="11">
        <f ca="1">SUMIF('취약점 진단 항목별 통계'!$A:$A,$A7&amp;"*",'취약점 진단 항목별 통계'!$J:$J)</f>
        <v>18</v>
      </c>
      <c r="J7" s="11">
        <f ca="1">SUMIF('취약점 진단 항목별 통계 (이행)'!$A:$A,$A7&amp;"*",'취약점 진단 항목별 통계 (이행)'!$K:$K)</f>
        <v>0</v>
      </c>
      <c r="K7" s="11">
        <f ca="1">SUMIF('취약점 진단 항목별 통계 (이행)'!$A:$A,$A7&amp;"*",'취약점 진단 항목별 통계 (이행)'!$L:$L)</f>
        <v>0</v>
      </c>
      <c r="L7" s="11">
        <f ca="1">SUMIF('취약점 진단 항목별 통계 (이행)'!$A:$A,$A7&amp;"*",'취약점 진단 항목별 통계 (이행)'!$M:$M)</f>
        <v>0</v>
      </c>
      <c r="M7" s="11">
        <f ca="1">SUMIF('취약점 진단 항목별 통계 (이행)'!$A:$A,$A7&amp;"*",'취약점 진단 항목별 통계 (이행)'!$N:$N)</f>
        <v>8</v>
      </c>
      <c r="N7" s="30">
        <f t="shared" ref="N7:N10" ca="1" si="1">K7+L7</f>
        <v>0</v>
      </c>
      <c r="O7" s="11">
        <f ca="1">SUMIF('취약점 진단 항목별 통계 (이행)'!$A:$A,$A7&amp;"*",'취약점 진단 항목별 통계 (이행)'!$O:$O)</f>
        <v>26</v>
      </c>
      <c r="P7" s="11">
        <f ca="1">SUMIF('취약점 진단 항목별 통계 (이행)'!$A:$A,$A7&amp;"*",'취약점 진단 항목별 통계 (이행)'!$P:$P)</f>
        <v>46</v>
      </c>
      <c r="Q7" s="11">
        <f ca="1">SUMIF('취약점 진단 항목별 통계 (이행)'!$A:$A,$A7&amp;"*",'취약점 진단 항목별 통계 (이행)'!$Q:$Q)</f>
        <v>26</v>
      </c>
      <c r="R7" s="11">
        <f ca="1">SUMIF('취약점 진단 항목별 통계 (이행)'!$A:$A,$A7&amp;"*",'취약점 진단 항목별 통계 (이행)'!$R:$R)</f>
        <v>26</v>
      </c>
      <c r="S7" s="26">
        <f t="shared" ref="S7:S10" ca="1" si="2">IFERROR($J7/($H7-(M7-I7)),"N/A")</f>
        <v>0</v>
      </c>
      <c r="T7" s="26">
        <f t="shared" ref="T7:T10" ca="1" si="3">IF($I7=$E7, "N/A", (Q7/O7))</f>
        <v>1</v>
      </c>
      <c r="U7" s="74">
        <f t="shared" ref="U7:U10" ca="1" si="4">IF(OR($I7=$E7,$E7=$M7),"N/A", ($R7/$P7))</f>
        <v>0.56521739130434778</v>
      </c>
      <c r="V7" s="2"/>
      <c r="W7" s="1"/>
    </row>
    <row r="8" spans="1:25">
      <c r="A8" s="215" t="s">
        <v>176</v>
      </c>
      <c r="B8" s="216"/>
      <c r="C8" s="216"/>
      <c r="D8" s="217"/>
      <c r="E8" s="11">
        <f ca="1">SUMIF('취약점 진단 항목별 통계 (이행)'!$A:$A,$A8&amp;"*",'취약점 진단 항목별 통계 (이행)'!$F:$F)</f>
        <v>32</v>
      </c>
      <c r="F8" s="11">
        <f t="shared" ca="1" si="0"/>
        <v>6</v>
      </c>
      <c r="G8" s="11">
        <f ca="1">SUMIF('취약점 진단 항목별 통계'!$A:$A,$A8&amp;"*",'취약점 진단 항목별 통계'!$G:$G)+SUMIF('취약점 진단 항목별 통계'!$A:$A,$A8&amp;"*",'취약점 진단 항목별 통계'!$H:$H)</f>
        <v>3</v>
      </c>
      <c r="H8" s="11">
        <f ca="1">SUMIF('취약점 진단 항목별 통계'!$A:$A,$A8&amp;"*",'취약점 진단 항목별 통계'!$I:$I)</f>
        <v>0</v>
      </c>
      <c r="I8" s="11">
        <f ca="1">SUMIF('취약점 진단 항목별 통계'!$A:$A,$A8&amp;"*",'취약점 진단 항목별 통계'!$J:$J)</f>
        <v>26</v>
      </c>
      <c r="J8" s="11">
        <f ca="1">SUMIF('취약점 진단 항목별 통계 (이행)'!$A:$A,$A8&amp;"*",'취약점 진단 항목별 통계 (이행)'!$K:$K)</f>
        <v>0</v>
      </c>
      <c r="K8" s="11">
        <f ca="1">SUMIF('취약점 진단 항목별 통계 (이행)'!$A:$A,$A8&amp;"*",'취약점 진단 항목별 통계 (이행)'!$L:$L)</f>
        <v>0</v>
      </c>
      <c r="L8" s="11">
        <f ca="1">SUMIF('취약점 진단 항목별 통계 (이행)'!$A:$A,$A8&amp;"*",'취약점 진단 항목별 통계 (이행)'!$M:$M)</f>
        <v>0</v>
      </c>
      <c r="M8" s="11">
        <f ca="1">SUMIF('취약점 진단 항목별 통계 (이행)'!$A:$A,$A8&amp;"*",'취약점 진단 항목별 통계 (이행)'!$N:$N)</f>
        <v>16</v>
      </c>
      <c r="N8" s="30">
        <f t="shared" ca="1" si="1"/>
        <v>0</v>
      </c>
      <c r="O8" s="11">
        <f ca="1">SUMIF('취약점 진단 항목별 통계 (이행)'!$A:$A,$A8&amp;"*",'취약점 진단 항목별 통계 (이행)'!$O:$O)</f>
        <v>16</v>
      </c>
      <c r="P8" s="11">
        <f ca="1">SUMIF('취약점 진단 항목별 통계 (이행)'!$A:$A,$A8&amp;"*",'취약점 진단 항목별 통계 (이행)'!$P:$P)</f>
        <v>34</v>
      </c>
      <c r="Q8" s="11">
        <f ca="1">SUMIF('취약점 진단 항목별 통계 (이행)'!$A:$A,$A8&amp;"*",'취약점 진단 항목별 통계 (이행)'!$Q:$Q)</f>
        <v>9</v>
      </c>
      <c r="R8" s="11">
        <f ca="1">SUMIF('취약점 진단 항목별 통계 (이행)'!$A:$A,$A8&amp;"*",'취약점 진단 항목별 통계 (이행)'!$R:$R)</f>
        <v>9</v>
      </c>
      <c r="S8" s="26">
        <f t="shared" ca="1" si="2"/>
        <v>0</v>
      </c>
      <c r="T8" s="26">
        <f t="shared" ca="1" si="3"/>
        <v>0.5625</v>
      </c>
      <c r="U8" s="74">
        <f t="shared" ca="1" si="4"/>
        <v>0.26470588235294118</v>
      </c>
      <c r="V8" s="6"/>
      <c r="W8" s="6"/>
    </row>
    <row r="9" spans="1:25">
      <c r="A9" s="215" t="s">
        <v>177</v>
      </c>
      <c r="B9" s="216"/>
      <c r="C9" s="216"/>
      <c r="D9" s="217"/>
      <c r="E9" s="11">
        <f ca="1">SUMIF('취약점 진단 항목별 통계 (이행)'!$A:$A,$A9&amp;"*",'취약점 진단 항목별 통계 (이행)'!$F:$F)</f>
        <v>8</v>
      </c>
      <c r="F9" s="11">
        <f t="shared" ca="1" si="0"/>
        <v>6</v>
      </c>
      <c r="G9" s="11">
        <f ca="1">SUMIF('취약점 진단 항목별 통계'!$A:$A,$A9&amp;"*",'취약점 진단 항목별 통계'!$G:$G)+SUMIF('취약점 진단 항목별 통계'!$A:$A,$A9&amp;"*",'취약점 진단 항목별 통계'!$H:$H)</f>
        <v>2</v>
      </c>
      <c r="H9" s="11">
        <f ca="1">SUMIF('취약점 진단 항목별 통계'!$A:$A,$A9&amp;"*",'취약점 진단 항목별 통계'!$I:$I)</f>
        <v>0</v>
      </c>
      <c r="I9" s="11">
        <f ca="1">SUMIF('취약점 진단 항목별 통계'!$A:$A,$A9&amp;"*",'취약점 진단 항목별 통계'!$J:$J)</f>
        <v>2</v>
      </c>
      <c r="J9" s="11">
        <f ca="1">SUMIF('취약점 진단 항목별 통계 (이행)'!$A:$A,$A9&amp;"*",'취약점 진단 항목별 통계 (이행)'!$K:$K)</f>
        <v>0</v>
      </c>
      <c r="K9" s="11">
        <f ca="1">SUMIF('취약점 진단 항목별 통계 (이행)'!$A:$A,$A9&amp;"*",'취약점 진단 항목별 통계 (이행)'!$L:$L)</f>
        <v>0</v>
      </c>
      <c r="L9" s="11">
        <f ca="1">SUMIF('취약점 진단 항목별 통계 (이행)'!$A:$A,$A9&amp;"*",'취약점 진단 항목별 통계 (이행)'!$M:$M)</f>
        <v>0</v>
      </c>
      <c r="M9" s="11">
        <f ca="1">SUMIF('취약점 진단 항목별 통계 (이행)'!$A:$A,$A9&amp;"*",'취약점 진단 항목별 통계 (이행)'!$N:$N)</f>
        <v>1</v>
      </c>
      <c r="N9" s="30">
        <f t="shared" ca="1" si="1"/>
        <v>0</v>
      </c>
      <c r="O9" s="11">
        <f ca="1">SUMIF('취약점 진단 항목별 통계 (이행)'!$A:$A,$A9&amp;"*",'취약점 진단 항목별 통계 (이행)'!$O:$O)</f>
        <v>18</v>
      </c>
      <c r="P9" s="11">
        <f ca="1">SUMIF('취약점 진단 항목별 통계 (이행)'!$A:$A,$A9&amp;"*",'취약점 진단 항목별 통계 (이행)'!$P:$P)</f>
        <v>21</v>
      </c>
      <c r="Q9" s="11">
        <f ca="1">SUMIF('취약점 진단 항목별 통계 (이행)'!$A:$A,$A9&amp;"*",'취약점 진단 항목별 통계 (이행)'!$Q:$Q)</f>
        <v>6</v>
      </c>
      <c r="R9" s="11">
        <f ca="1">SUMIF('취약점 진단 항목별 통계 (이행)'!$A:$A,$A9&amp;"*",'취약점 진단 항목별 통계 (이행)'!$R:$R)</f>
        <v>6</v>
      </c>
      <c r="S9" s="26">
        <f t="shared" ca="1" si="2"/>
        <v>0</v>
      </c>
      <c r="T9" s="26">
        <f t="shared" ca="1" si="3"/>
        <v>0.33333333333333331</v>
      </c>
      <c r="U9" s="74">
        <f t="shared" ca="1" si="4"/>
        <v>0.2857142857142857</v>
      </c>
      <c r="V9" s="6"/>
      <c r="W9" s="6"/>
    </row>
    <row r="10" spans="1:25">
      <c r="A10" s="215" t="s">
        <v>178</v>
      </c>
      <c r="B10" s="216"/>
      <c r="C10" s="216"/>
      <c r="D10" s="217"/>
      <c r="E10" s="11">
        <f>SUMIF('취약점 진단 항목별 통계 (이행)'!$A:$A,$A10&amp;"*",'취약점 진단 항목별 통계 (이행)'!$F:$F)</f>
        <v>0</v>
      </c>
      <c r="F10" s="11">
        <f t="shared" si="0"/>
        <v>0</v>
      </c>
      <c r="G10" s="11">
        <f>SUMIF('취약점 진단 항목별 통계'!$A:$A,$A10&amp;"*",'취약점 진단 항목별 통계'!$G:$G)+SUMIF('취약점 진단 항목별 통계'!$A:$A,$A10&amp;"*",'취약점 진단 항목별 통계'!$H:$H)</f>
        <v>0</v>
      </c>
      <c r="H10" s="11">
        <f>SUMIF('취약점 진단 항목별 통계'!$A:$A,$A10&amp;"*",'취약점 진단 항목별 통계'!$I:$I)</f>
        <v>0</v>
      </c>
      <c r="I10" s="11">
        <f>SUMIF('취약점 진단 항목별 통계'!$A:$A,$A10&amp;"*",'취약점 진단 항목별 통계'!$J:$J)</f>
        <v>0</v>
      </c>
      <c r="J10" s="11">
        <f>SUMIF('취약점 진단 항목별 통계 (이행)'!$A:$A,$A10&amp;"*",'취약점 진단 항목별 통계 (이행)'!$K:$K)</f>
        <v>0</v>
      </c>
      <c r="K10" s="11">
        <f>SUMIF('취약점 진단 항목별 통계 (이행)'!$A:$A,$A10&amp;"*",'취약점 진단 항목별 통계 (이행)'!$L:$L)</f>
        <v>0</v>
      </c>
      <c r="L10" s="11">
        <f>SUMIF('취약점 진단 항목별 통계 (이행)'!$A:$A,$A10&amp;"*",'취약점 진단 항목별 통계 (이행)'!$M:$M)</f>
        <v>0</v>
      </c>
      <c r="M10" s="11">
        <f>SUMIF('취약점 진단 항목별 통계 (이행)'!$A:$A,$A10&amp;"*",'취약점 진단 항목별 통계 (이행)'!$N:$N)</f>
        <v>0</v>
      </c>
      <c r="N10" s="30">
        <f t="shared" si="1"/>
        <v>0</v>
      </c>
      <c r="O10" s="11">
        <f>SUMIF('취약점 진단 항목별 통계 (이행)'!$A:$A,$A10&amp;"*",'취약점 진단 항목별 통계 (이행)'!$O:$O)</f>
        <v>0</v>
      </c>
      <c r="P10" s="11">
        <f>SUMIF('취약점 진단 항목별 통계 (이행)'!$A:$A,$A10&amp;"*",'취약점 진단 항목별 통계 (이행)'!$P:$P)</f>
        <v>0</v>
      </c>
      <c r="Q10" s="11">
        <f>SUMIF('취약점 진단 항목별 통계 (이행)'!$A:$A,$A10&amp;"*",'취약점 진단 항목별 통계 (이행)'!$Q:$Q)</f>
        <v>0</v>
      </c>
      <c r="R10" s="11">
        <f>SUMIF('취약점 진단 항목별 통계 (이행)'!$A:$A,$A10&amp;"*",'취약점 진단 항목별 통계 (이행)'!$R:$R)</f>
        <v>0</v>
      </c>
      <c r="S10" s="26" t="str">
        <f t="shared" si="2"/>
        <v>N/A</v>
      </c>
      <c r="T10" s="26" t="str">
        <f t="shared" si="3"/>
        <v>N/A</v>
      </c>
      <c r="U10" s="74" t="str">
        <f t="shared" si="4"/>
        <v>N/A</v>
      </c>
      <c r="V10" s="6"/>
      <c r="W10" s="6"/>
    </row>
    <row r="11" spans="1:25" ht="14.25" thickBot="1">
      <c r="A11" s="218" t="s">
        <v>77</v>
      </c>
      <c r="B11" s="219"/>
      <c r="C11" s="219"/>
      <c r="D11" s="220"/>
      <c r="E11" s="91">
        <f t="shared" ref="E11:R11" ca="1" si="5">SUM(E6:E10)</f>
        <v>104</v>
      </c>
      <c r="F11" s="91">
        <f t="shared" ca="1" si="5"/>
        <v>50</v>
      </c>
      <c r="G11" s="91">
        <f t="shared" ca="1" si="5"/>
        <v>34</v>
      </c>
      <c r="H11" s="91">
        <f t="shared" ca="1" si="5"/>
        <v>4</v>
      </c>
      <c r="I11" s="91">
        <f t="shared" ca="1" si="5"/>
        <v>54</v>
      </c>
      <c r="J11" s="91">
        <f t="shared" ca="1" si="5"/>
        <v>4</v>
      </c>
      <c r="K11" s="91">
        <f t="shared" ca="1" si="5"/>
        <v>4</v>
      </c>
      <c r="L11" s="91">
        <f t="shared" ca="1" si="5"/>
        <v>0</v>
      </c>
      <c r="M11" s="91">
        <f t="shared" ca="1" si="5"/>
        <v>29</v>
      </c>
      <c r="N11" s="91">
        <f t="shared" ca="1" si="5"/>
        <v>4</v>
      </c>
      <c r="O11" s="91">
        <f t="shared" ca="1" si="5"/>
        <v>136</v>
      </c>
      <c r="P11" s="91">
        <f t="shared" ca="1" si="5"/>
        <v>185</v>
      </c>
      <c r="Q11" s="91">
        <f t="shared" ca="1" si="5"/>
        <v>94</v>
      </c>
      <c r="R11" s="91">
        <f t="shared" ca="1" si="5"/>
        <v>104</v>
      </c>
      <c r="S11" s="92">
        <f ca="1">IFERROR($J11/($H11-(M11-I11)),"N/A")</f>
        <v>0.13793103448275862</v>
      </c>
      <c r="T11" s="92">
        <f t="shared" ref="T11" ca="1" si="6">IF($I11=$E11, "N/A", (Q11/O11))</f>
        <v>0.69117647058823528</v>
      </c>
      <c r="U11" s="76">
        <f t="shared" ref="U11" ca="1" si="7">IF(OR($I11=$E11,$E11=$M11),"N/A", ($R11/$P11))</f>
        <v>0.56216216216216219</v>
      </c>
      <c r="V11" s="6"/>
      <c r="W11" s="6"/>
    </row>
    <row r="12" spans="1: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8"/>
      <c r="S12" s="8"/>
      <c r="T12" s="8"/>
      <c r="U12" s="8"/>
      <c r="V12" s="6"/>
      <c r="W12" s="6"/>
    </row>
    <row r="13" spans="1: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8"/>
      <c r="S13" s="8"/>
      <c r="T13" s="8"/>
      <c r="U13" s="8"/>
      <c r="V13" s="6"/>
      <c r="W13" s="6"/>
    </row>
    <row r="14" spans="1: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8"/>
      <c r="S14" s="8"/>
      <c r="T14" s="8"/>
      <c r="U14" s="8"/>
      <c r="V14" s="6"/>
      <c r="W14" s="6"/>
    </row>
    <row r="15" spans="1: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8"/>
      <c r="S15" s="8"/>
      <c r="T15" s="8"/>
      <c r="U15" s="8"/>
      <c r="V15" s="6"/>
      <c r="W15" s="6"/>
    </row>
    <row r="16" spans="1:25">
      <c r="A16" s="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2"/>
      <c r="R16" s="8"/>
      <c r="S16" s="8"/>
      <c r="T16" s="8"/>
      <c r="U16" s="8"/>
      <c r="V16" s="6"/>
      <c r="W16" s="6"/>
    </row>
    <row r="17" spans="1:23">
      <c r="A17" s="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2"/>
      <c r="R17" s="8"/>
      <c r="S17" s="8"/>
      <c r="T17" s="8"/>
      <c r="U17" s="8"/>
      <c r="V17" s="6"/>
      <c r="W17" s="6"/>
    </row>
    <row r="18" spans="1:23">
      <c r="A18" s="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2"/>
      <c r="R18" s="8"/>
      <c r="S18" s="8"/>
      <c r="T18" s="8"/>
      <c r="U18" s="8"/>
      <c r="V18" s="6"/>
      <c r="W18" s="6"/>
    </row>
    <row r="19" spans="1:23">
      <c r="A19" s="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2"/>
      <c r="R19" s="8"/>
      <c r="S19" s="8"/>
      <c r="T19" s="8"/>
      <c r="U19" s="8"/>
      <c r="V19" s="6"/>
      <c r="W19" s="6"/>
    </row>
    <row r="20" spans="1:23">
      <c r="A20" s="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2"/>
      <c r="R20" s="8"/>
      <c r="S20" s="8"/>
      <c r="T20" s="8"/>
      <c r="U20" s="8"/>
      <c r="V20" s="6"/>
      <c r="W20" s="6"/>
    </row>
    <row r="21" spans="1:2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8"/>
      <c r="S21" s="8"/>
      <c r="T21" s="8"/>
      <c r="U21" s="8"/>
      <c r="V21" s="6"/>
      <c r="W21" s="6"/>
    </row>
    <row r="22" spans="1:23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8"/>
      <c r="S22" s="8"/>
      <c r="T22" s="8"/>
      <c r="U22" s="8"/>
      <c r="V22" s="6"/>
      <c r="W22" s="6"/>
    </row>
    <row r="23" spans="1: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8"/>
      <c r="S23" s="8"/>
      <c r="T23" s="8"/>
      <c r="U23" s="8"/>
      <c r="V23" s="6"/>
      <c r="W23" s="6"/>
    </row>
    <row r="24" spans="1:2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8"/>
      <c r="S24" s="8"/>
      <c r="T24" s="8"/>
      <c r="U24" s="8"/>
      <c r="V24" s="6"/>
      <c r="W24" s="6"/>
    </row>
    <row r="25" spans="1:23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8"/>
      <c r="S25" s="8"/>
      <c r="T25" s="8"/>
      <c r="U25" s="8"/>
      <c r="V25" s="6"/>
      <c r="W25" s="6"/>
    </row>
    <row r="26" spans="1:23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8"/>
      <c r="S26" s="8"/>
      <c r="T26" s="8"/>
      <c r="U26" s="8"/>
      <c r="V26" s="6"/>
      <c r="W26" s="6"/>
    </row>
    <row r="27" spans="1:2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8"/>
      <c r="S27" s="8"/>
      <c r="T27" s="8"/>
      <c r="U27" s="8"/>
      <c r="V27" s="6"/>
      <c r="W27" s="6"/>
    </row>
    <row r="28" spans="1:23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8"/>
      <c r="S28" s="8"/>
      <c r="T28" s="8"/>
      <c r="U28" s="8"/>
      <c r="V28" s="6"/>
      <c r="W28" s="6"/>
    </row>
    <row r="29" spans="1:2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8"/>
      <c r="S29" s="8"/>
      <c r="T29" s="8"/>
      <c r="U29" s="8"/>
      <c r="V29" s="6"/>
      <c r="W29" s="6"/>
    </row>
    <row r="30" spans="1:23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8"/>
      <c r="S30" s="8"/>
      <c r="T30" s="8"/>
      <c r="U30" s="8"/>
      <c r="V30" s="6"/>
      <c r="W30" s="6"/>
    </row>
    <row r="31" spans="1:2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8"/>
      <c r="S31" s="8"/>
      <c r="T31" s="8"/>
      <c r="U31" s="8"/>
      <c r="V31" s="6"/>
      <c r="W31" s="6"/>
    </row>
    <row r="32" spans="1:2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8"/>
      <c r="S32" s="8"/>
      <c r="T32" s="8"/>
      <c r="U32" s="8"/>
      <c r="V32" s="6"/>
      <c r="W32" s="6"/>
    </row>
    <row r="33" spans="1:2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8"/>
      <c r="S33" s="8"/>
      <c r="T33" s="8"/>
      <c r="U33" s="8"/>
      <c r="V33" s="6"/>
      <c r="W33" s="6"/>
    </row>
    <row r="34" spans="1:2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8"/>
      <c r="S34" s="8"/>
      <c r="T34" s="8"/>
      <c r="U34" s="8"/>
      <c r="V34" s="6"/>
      <c r="W34" s="6"/>
    </row>
    <row r="35" spans="1:2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8"/>
      <c r="S35" s="8"/>
      <c r="T35" s="8"/>
      <c r="U35" s="8"/>
      <c r="V35" s="6"/>
      <c r="W35" s="6"/>
    </row>
    <row r="36" spans="1:2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8"/>
      <c r="S36" s="8"/>
      <c r="T36" s="8"/>
      <c r="U36" s="8"/>
      <c r="V36" s="6"/>
      <c r="W36" s="6"/>
    </row>
    <row r="37" spans="1:2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8"/>
      <c r="S37" s="8"/>
      <c r="T37" s="8"/>
      <c r="U37" s="8"/>
      <c r="V37" s="6"/>
      <c r="W37" s="6"/>
    </row>
    <row r="38" spans="1:23">
      <c r="R38" s="6"/>
      <c r="S38" s="6"/>
      <c r="T38" s="6"/>
      <c r="U38" s="6"/>
      <c r="V38" s="6"/>
      <c r="W38" s="6"/>
    </row>
    <row r="39" spans="1:23" ht="14.25" thickBot="1">
      <c r="A39" s="5" t="s">
        <v>78</v>
      </c>
      <c r="R39" s="6"/>
      <c r="S39" s="6"/>
      <c r="T39" s="6"/>
      <c r="U39" s="6"/>
      <c r="V39" s="6"/>
      <c r="W39" s="6"/>
    </row>
    <row r="40" spans="1:23" ht="14.25" thickBot="1">
      <c r="A40" s="249" t="s">
        <v>79</v>
      </c>
      <c r="B40" s="250"/>
      <c r="C40" s="250"/>
      <c r="D40" s="251"/>
      <c r="E40" s="241" t="s">
        <v>68</v>
      </c>
      <c r="F40" s="242"/>
      <c r="G40" s="242"/>
      <c r="H40" s="242"/>
      <c r="I40" s="243"/>
      <c r="J40" s="247" t="s">
        <v>82</v>
      </c>
      <c r="K40" s="248"/>
      <c r="L40" s="248"/>
      <c r="M40" s="248"/>
      <c r="N40" s="248"/>
      <c r="O40" s="236" t="s">
        <v>69</v>
      </c>
      <c r="P40" s="237"/>
      <c r="Q40" s="237"/>
      <c r="R40" s="237"/>
      <c r="S40" s="237"/>
      <c r="T40" s="237"/>
      <c r="U40" s="238"/>
      <c r="V40" s="6"/>
      <c r="W40" s="6"/>
    </row>
    <row r="41" spans="1:23" ht="22.5">
      <c r="A41" s="252"/>
      <c r="B41" s="253"/>
      <c r="C41" s="253"/>
      <c r="D41" s="254"/>
      <c r="E41" s="93" t="s">
        <v>70</v>
      </c>
      <c r="F41" s="94" t="s">
        <v>62</v>
      </c>
      <c r="G41" s="95" t="s">
        <v>71</v>
      </c>
      <c r="H41" s="96" t="s">
        <v>72</v>
      </c>
      <c r="I41" s="97" t="s">
        <v>81</v>
      </c>
      <c r="J41" s="96" t="s">
        <v>84</v>
      </c>
      <c r="K41" s="97" t="s">
        <v>85</v>
      </c>
      <c r="L41" s="96" t="s">
        <v>86</v>
      </c>
      <c r="M41" s="96" t="s">
        <v>81</v>
      </c>
      <c r="N41" s="96" t="s">
        <v>87</v>
      </c>
      <c r="O41" s="96" t="s">
        <v>88</v>
      </c>
      <c r="P41" s="96" t="s">
        <v>89</v>
      </c>
      <c r="Q41" s="96" t="s">
        <v>90</v>
      </c>
      <c r="R41" s="96" t="s">
        <v>91</v>
      </c>
      <c r="S41" s="97" t="s">
        <v>92</v>
      </c>
      <c r="T41" s="96" t="s">
        <v>93</v>
      </c>
      <c r="U41" s="98" t="s">
        <v>94</v>
      </c>
      <c r="V41" s="6"/>
      <c r="W41" s="6"/>
    </row>
    <row r="42" spans="1:23" ht="13.5" customHeight="1">
      <c r="A42" s="202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DB_HQ_Rocky</v>
      </c>
      <c r="B42" s="203"/>
      <c r="C42" s="204" t="str">
        <f ca="1">IFERROR(VLOOKUP($A42,자산목록!$B$1:$M$832,6,FALSE),"-")</f>
        <v>MySQL Server</v>
      </c>
      <c r="D42" s="204"/>
      <c r="E42" s="43">
        <f ca="1">IFERROR(INDIRECT(ADDRESS(17, 4, 1,TRUE,$A42)),0)</f>
        <v>26</v>
      </c>
      <c r="F42" s="44">
        <f ca="1">E42-I42</f>
        <v>11</v>
      </c>
      <c r="G42" s="43">
        <f ca="1">IFERROR(INDIRECT(ADDRESS(17,5, 1,TRUE,$A42)),0)</f>
        <v>7</v>
      </c>
      <c r="H42" s="43">
        <f ca="1">IFERROR(INDIRECT(ADDRESS(17,6, 1,TRUE,$A42)),0)</f>
        <v>2</v>
      </c>
      <c r="I42" s="43">
        <f ca="1">IFERROR(INDIRECT(ADDRESS(17,7, 1,TRUE,$A42)),0)</f>
        <v>15</v>
      </c>
      <c r="J42" s="43">
        <f ca="1">IFERROR(INDIRECT(ADDRESS(17,10, 1,TRUE,$A42)),0)</f>
        <v>2</v>
      </c>
      <c r="K42" s="58">
        <f ca="1">IFERROR(INDIRECT(ADDRESS(17,11, 1,TRUE,$A42)),0)</f>
        <v>2</v>
      </c>
      <c r="L42" s="43">
        <f ca="1">IFERROR(INDIRECT(ADDRESS(17,12, 1,TRUE,$A42)),0)</f>
        <v>0</v>
      </c>
      <c r="M42" s="43">
        <f ca="1">IFERROR(INDIRECT(ADDRESS(17,13, 1,TRUE,$A42)),0)</f>
        <v>15</v>
      </c>
      <c r="N42" s="43">
        <f ca="1">K42+L42</f>
        <v>2</v>
      </c>
      <c r="O42" s="43">
        <f ca="1">IFERROR(INDIRECT(ADDRESS(17,18, 1,TRUE,$A42)),0)</f>
        <v>27</v>
      </c>
      <c r="P42" s="43">
        <f ca="1">IFERROR(INDIRECT(ADDRESS(17,21, 1,TRUE,$A42)),0)</f>
        <v>32</v>
      </c>
      <c r="Q42" s="43">
        <f ca="1">IFERROR(INDIRECT(ADDRESS(17,19, 1,TRUE,$A42)),0)</f>
        <v>17</v>
      </c>
      <c r="R42" s="58">
        <f ca="1">IFERROR(INDIRECT(ADDRESS(17,20, 1,TRUE,$A42)),0)</f>
        <v>22</v>
      </c>
      <c r="S42" s="60">
        <f ca="1">IFERROR(INDIRECT(ADDRESS(17,14, 1,TRUE,$A42)),0)</f>
        <v>1</v>
      </c>
      <c r="T42" s="60">
        <f ca="1">IFERROR(INDIRECT(ADDRESS(17,8, 1,TRUE,$A42)),0)</f>
        <v>0.62962962962962965</v>
      </c>
      <c r="U42" s="99">
        <f ca="1">IFERROR(INDIRECT(ADDRESS(17,15, 1,TRUE,$A42)),0)</f>
        <v>0.6875</v>
      </c>
      <c r="V42" s="7"/>
    </row>
    <row r="43" spans="1:23" ht="13.5" customHeight="1">
      <c r="A43" s="202" t="str">
        <f t="shared" ref="A43:A45" ca="1" si="8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DB_BR_Rocky</v>
      </c>
      <c r="B43" s="203"/>
      <c r="C43" s="204" t="str">
        <f ca="1">IFERROR(VLOOKUP($A43,자산목록!$B$1:$M$832,6,FALSE),"-")</f>
        <v>MariaDB Server</v>
      </c>
      <c r="D43" s="204"/>
      <c r="E43" s="43">
        <f t="shared" ref="E43:E45" ca="1" si="9">IFERROR(INDIRECT(ADDRESS(17, 4, 1,TRUE,$A43)),0)</f>
        <v>26</v>
      </c>
      <c r="F43" s="44">
        <f t="shared" ref="F43:F45" ca="1" si="10">E43-I43</f>
        <v>11</v>
      </c>
      <c r="G43" s="43">
        <f t="shared" ref="G43:G45" ca="1" si="11">IFERROR(INDIRECT(ADDRESS(17,5, 1,TRUE,$A43)),0)</f>
        <v>7</v>
      </c>
      <c r="H43" s="43">
        <f t="shared" ref="H43:H45" ca="1" si="12">IFERROR(INDIRECT(ADDRESS(17,6, 1,TRUE,$A43)),0)</f>
        <v>2</v>
      </c>
      <c r="I43" s="43">
        <f t="shared" ref="I43:I45" ca="1" si="13">IFERROR(INDIRECT(ADDRESS(17,7, 1,TRUE,$A43)),0)</f>
        <v>15</v>
      </c>
      <c r="J43" s="43">
        <f t="shared" ref="J43:J45" ca="1" si="14">IFERROR(INDIRECT(ADDRESS(17,10, 1,TRUE,$A43)),0)</f>
        <v>2</v>
      </c>
      <c r="K43" s="58">
        <f t="shared" ref="K43:K45" ca="1" si="15">IFERROR(INDIRECT(ADDRESS(17,11, 1,TRUE,$A43)),0)</f>
        <v>2</v>
      </c>
      <c r="L43" s="43">
        <f t="shared" ref="L43:L45" ca="1" si="16">IFERROR(INDIRECT(ADDRESS(17,12, 1,TRUE,$A43)),0)</f>
        <v>0</v>
      </c>
      <c r="M43" s="43">
        <f t="shared" ref="M43:M45" ca="1" si="17">IFERROR(INDIRECT(ADDRESS(17,13, 1,TRUE,$A43)),0)</f>
        <v>14</v>
      </c>
      <c r="N43" s="43">
        <f t="shared" ref="N43:N45" ca="1" si="18">K43+L43</f>
        <v>2</v>
      </c>
      <c r="O43" s="43">
        <f t="shared" ref="O43:O45" ca="1" si="19">IFERROR(INDIRECT(ADDRESS(17,18, 1,TRUE,$A43)),0)</f>
        <v>27</v>
      </c>
      <c r="P43" s="43">
        <f t="shared" ref="P43:P45" ca="1" si="20">IFERROR(INDIRECT(ADDRESS(17,21, 1,TRUE,$A43)),0)</f>
        <v>32</v>
      </c>
      <c r="Q43" s="43">
        <f t="shared" ref="Q43:Q45" ca="1" si="21">IFERROR(INDIRECT(ADDRESS(17,19, 1,TRUE,$A43)),0)</f>
        <v>17</v>
      </c>
      <c r="R43" s="58">
        <f t="shared" ref="R43:R45" ca="1" si="22">IFERROR(INDIRECT(ADDRESS(17,20, 1,TRUE,$A43)),0)</f>
        <v>22</v>
      </c>
      <c r="S43" s="60">
        <f t="shared" ref="S43:S45" ca="1" si="23">IFERROR(INDIRECT(ADDRESS(17,14, 1,TRUE,$A43)),0)</f>
        <v>0.66666666666666663</v>
      </c>
      <c r="T43" s="60">
        <f t="shared" ref="T43:T45" ca="1" si="24">IFERROR(INDIRECT(ADDRESS(17,8, 1,TRUE,$A43)),0)</f>
        <v>0.62962962962962965</v>
      </c>
      <c r="U43" s="99">
        <f ca="1">IFERROR(INDIRECT(ADDRESS(17,15, 1,TRUE,$A43)),0)</f>
        <v>0.6875</v>
      </c>
      <c r="V43" s="7"/>
    </row>
    <row r="44" spans="1:23" ht="13.5" customHeight="1">
      <c r="A44" s="202" t="str">
        <f t="shared" ca="1" si="8"/>
        <v>BDB_HQ_Rocky</v>
      </c>
      <c r="B44" s="203"/>
      <c r="C44" s="204" t="str">
        <f ca="1">IFERROR(VLOOKUP($A44,자산목록!$B$1:$M$832,6,FALSE),"-")</f>
        <v>MySQL Server</v>
      </c>
      <c r="D44" s="204"/>
      <c r="E44" s="43">
        <f t="shared" ca="1" si="9"/>
        <v>26</v>
      </c>
      <c r="F44" s="44">
        <f t="shared" ca="1" si="10"/>
        <v>14</v>
      </c>
      <c r="G44" s="43">
        <f t="shared" ca="1" si="11"/>
        <v>9</v>
      </c>
      <c r="H44" s="43">
        <f t="shared" ca="1" si="12"/>
        <v>0</v>
      </c>
      <c r="I44" s="43">
        <f t="shared" ca="1" si="13"/>
        <v>12</v>
      </c>
      <c r="J44" s="43">
        <f t="shared" ca="1" si="14"/>
        <v>0</v>
      </c>
      <c r="K44" s="58">
        <f t="shared" ca="1" si="15"/>
        <v>0</v>
      </c>
      <c r="L44" s="43">
        <f t="shared" ca="1" si="16"/>
        <v>0</v>
      </c>
      <c r="M44" s="43">
        <f t="shared" ca="1" si="17"/>
        <v>0</v>
      </c>
      <c r="N44" s="43">
        <f t="shared" ca="1" si="18"/>
        <v>0</v>
      </c>
      <c r="O44" s="43">
        <f t="shared" ca="1" si="19"/>
        <v>32</v>
      </c>
      <c r="P44" s="43">
        <f t="shared" ca="1" si="20"/>
        <v>55</v>
      </c>
      <c r="Q44" s="43">
        <f t="shared" ca="1" si="21"/>
        <v>24</v>
      </c>
      <c r="R44" s="58">
        <f t="shared" ca="1" si="22"/>
        <v>0</v>
      </c>
      <c r="S44" s="60">
        <f t="shared" ca="1" si="23"/>
        <v>0</v>
      </c>
      <c r="T44" s="60">
        <f t="shared" ca="1" si="24"/>
        <v>0.75</v>
      </c>
      <c r="U44" s="99"/>
      <c r="V44" s="7"/>
    </row>
    <row r="45" spans="1:23" ht="13.5" customHeight="1">
      <c r="A45" s="202" t="str">
        <f t="shared" ca="1" si="8"/>
        <v>BDB_BR_Rocky</v>
      </c>
      <c r="B45" s="203"/>
      <c r="C45" s="204" t="str">
        <f ca="1">IFERROR(VLOOKUP($A45,자산목록!$B$1:$M$832,6,FALSE),"-")</f>
        <v>MariaDB Server</v>
      </c>
      <c r="D45" s="204"/>
      <c r="E45" s="43">
        <f t="shared" ca="1" si="9"/>
        <v>26</v>
      </c>
      <c r="F45" s="44">
        <f t="shared" ca="1" si="10"/>
        <v>14</v>
      </c>
      <c r="G45" s="43">
        <f t="shared" ca="1" si="11"/>
        <v>11</v>
      </c>
      <c r="H45" s="43">
        <f t="shared" ca="1" si="12"/>
        <v>0</v>
      </c>
      <c r="I45" s="43">
        <f t="shared" ca="1" si="13"/>
        <v>12</v>
      </c>
      <c r="J45" s="43">
        <f t="shared" ca="1" si="14"/>
        <v>0</v>
      </c>
      <c r="K45" s="58">
        <f t="shared" ca="1" si="15"/>
        <v>0</v>
      </c>
      <c r="L45" s="43">
        <f t="shared" ca="1" si="16"/>
        <v>0</v>
      </c>
      <c r="M45" s="43">
        <f t="shared" ca="1" si="17"/>
        <v>0</v>
      </c>
      <c r="N45" s="43">
        <f t="shared" ca="1" si="18"/>
        <v>0</v>
      </c>
      <c r="O45" s="43">
        <f t="shared" ca="1" si="19"/>
        <v>32</v>
      </c>
      <c r="P45" s="43">
        <f t="shared" ca="1" si="20"/>
        <v>55</v>
      </c>
      <c r="Q45" s="43">
        <f t="shared" ca="1" si="21"/>
        <v>27</v>
      </c>
      <c r="R45" s="58">
        <f t="shared" ca="1" si="22"/>
        <v>0</v>
      </c>
      <c r="S45" s="60">
        <f t="shared" ca="1" si="23"/>
        <v>0</v>
      </c>
      <c r="T45" s="60">
        <f t="shared" ca="1" si="24"/>
        <v>0.84375</v>
      </c>
      <c r="U45" s="99">
        <f ca="1">IFERROR(INDIRECT(ADDRESS(17,15, 1,TRUE,$A45)),0)</f>
        <v>0</v>
      </c>
      <c r="V45" s="7"/>
    </row>
    <row r="46" spans="1:23" ht="14.25" thickBot="1">
      <c r="A46" s="205" t="s">
        <v>77</v>
      </c>
      <c r="B46" s="206"/>
      <c r="C46" s="206"/>
      <c r="D46" s="206"/>
      <c r="E46" s="79">
        <f ca="1">SUM(E42:E45)</f>
        <v>104</v>
      </c>
      <c r="F46" s="79">
        <f t="shared" ref="F46:R46" ca="1" si="25">SUM(F42:F45)</f>
        <v>50</v>
      </c>
      <c r="G46" s="79">
        <f t="shared" ca="1" si="25"/>
        <v>34</v>
      </c>
      <c r="H46" s="79">
        <f t="shared" ca="1" si="25"/>
        <v>4</v>
      </c>
      <c r="I46" s="79">
        <f t="shared" ca="1" si="25"/>
        <v>54</v>
      </c>
      <c r="J46" s="79">
        <f t="shared" ca="1" si="25"/>
        <v>4</v>
      </c>
      <c r="K46" s="79">
        <f t="shared" ca="1" si="25"/>
        <v>4</v>
      </c>
      <c r="L46" s="79">
        <f t="shared" ca="1" si="25"/>
        <v>0</v>
      </c>
      <c r="M46" s="79">
        <f t="shared" ca="1" si="25"/>
        <v>29</v>
      </c>
      <c r="N46" s="79">
        <f t="shared" ca="1" si="25"/>
        <v>4</v>
      </c>
      <c r="O46" s="79">
        <f t="shared" ca="1" si="25"/>
        <v>118</v>
      </c>
      <c r="P46" s="79">
        <f t="shared" ca="1" si="25"/>
        <v>174</v>
      </c>
      <c r="Q46" s="79">
        <f t="shared" ca="1" si="25"/>
        <v>85</v>
      </c>
      <c r="R46" s="79">
        <f t="shared" ca="1" si="25"/>
        <v>44</v>
      </c>
      <c r="S46" s="100">
        <f ca="1">IFERROR($J46/($H46-(M46-I46)),"N/A")</f>
        <v>0.13793103448275862</v>
      </c>
      <c r="T46" s="100">
        <f ca="1">IF($I46=$E46, "N/A", (Q46/O46))</f>
        <v>0.72033898305084743</v>
      </c>
      <c r="U46" s="101">
        <f ca="1">IF(OR($I46=$E46,$E46=$M46),"N/A", ($R46/$P46))</f>
        <v>0.25287356321839083</v>
      </c>
      <c r="V46" s="7"/>
    </row>
    <row r="47" spans="1:23">
      <c r="A47" s="2"/>
    </row>
    <row r="48" spans="1:23">
      <c r="A48" s="2"/>
    </row>
    <row r="49" spans="1:1">
      <c r="A49" s="6"/>
    </row>
    <row r="50" spans="1:1">
      <c r="A50" s="6"/>
    </row>
    <row r="51" spans="1:1">
      <c r="A51" s="6"/>
    </row>
    <row r="52" spans="1:1">
      <c r="A52" s="6"/>
    </row>
    <row r="53" spans="1:1">
      <c r="A53" s="6"/>
    </row>
    <row r="54" spans="1:1">
      <c r="A54" s="6"/>
    </row>
    <row r="55" spans="1:1">
      <c r="A55" s="6"/>
    </row>
    <row r="56" spans="1:1">
      <c r="A56" s="6"/>
    </row>
    <row r="57" spans="1:1">
      <c r="A57" s="6"/>
    </row>
    <row r="58" spans="1:1">
      <c r="A58" s="6"/>
    </row>
    <row r="59" spans="1:1">
      <c r="A59" s="6"/>
    </row>
    <row r="60" spans="1:1">
      <c r="A60" s="6"/>
    </row>
    <row r="61" spans="1:1">
      <c r="A61" s="6"/>
    </row>
  </sheetData>
  <mergeCells count="23">
    <mergeCell ref="A45:B45"/>
    <mergeCell ref="C45:D45"/>
    <mergeCell ref="A46:D46"/>
    <mergeCell ref="A40:D41"/>
    <mergeCell ref="A42:B42"/>
    <mergeCell ref="C42:D42"/>
    <mergeCell ref="A43:B43"/>
    <mergeCell ref="C43:D43"/>
    <mergeCell ref="A44:B44"/>
    <mergeCell ref="C44:D44"/>
    <mergeCell ref="O4:U4"/>
    <mergeCell ref="O40:U40"/>
    <mergeCell ref="A4:D5"/>
    <mergeCell ref="E4:I4"/>
    <mergeCell ref="E40:I40"/>
    <mergeCell ref="J4:N4"/>
    <mergeCell ref="J40:N40"/>
    <mergeCell ref="A6:D6"/>
    <mergeCell ref="A7:D7"/>
    <mergeCell ref="A8:D8"/>
    <mergeCell ref="A9:D9"/>
    <mergeCell ref="A10:D10"/>
    <mergeCell ref="A11:D11"/>
  </mergeCells>
  <phoneticPr fontId="4" type="noConversion"/>
  <printOptions horizontalCentered="1"/>
  <pageMargins left="0.39370078740157483" right="0.39370078740157483" top="0.59055118110236227" bottom="0.59055118110236227" header="0.39370078740157483" footer="0.39370078740157483"/>
  <pageSetup paperSize="9" scale="78" fitToHeight="0" orientation="portrait" r:id="rId1"/>
  <headerFooter alignWithMargins="0">
    <oddHeader>&amp;L
&amp;R&amp;F</oddHead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V31"/>
  <sheetViews>
    <sheetView showGridLines="0" view="pageBreakPreview" zoomScale="85" zoomScaleNormal="100" zoomScaleSheetLayoutView="85" workbookViewId="0">
      <pane xSplit="4" ySplit="4" topLeftCell="E5" activePane="bottomRight" state="frozen"/>
      <selection pane="topRight" activeCell="L31" sqref="L31:P31"/>
      <selection pane="bottomLeft" activeCell="L31" sqref="L31:P31"/>
      <selection pane="bottomRight"/>
    </sheetView>
  </sheetViews>
  <sheetFormatPr defaultColWidth="8.77734375" defaultRowHeight="11.25"/>
  <cols>
    <col min="1" max="1" width="7.109375" style="20" customWidth="1"/>
    <col min="2" max="2" width="6.109375" style="17" customWidth="1"/>
    <col min="3" max="3" width="27.109375" style="22" bestFit="1" customWidth="1"/>
    <col min="4" max="4" width="5" style="22" bestFit="1" customWidth="1"/>
    <col min="5" max="5" width="7.44140625" style="22" customWidth="1"/>
    <col min="6" max="7" width="4.6640625" style="22" customWidth="1"/>
    <col min="8" max="8" width="6.109375" style="20" bestFit="1" customWidth="1"/>
    <col min="9" max="12" width="4.6640625" style="20" customWidth="1"/>
    <col min="13" max="13" width="6.109375" style="20" customWidth="1"/>
    <col min="14" max="14" width="4.6640625" style="20" customWidth="1"/>
    <col min="15" max="18" width="7" style="20" customWidth="1"/>
    <col min="19" max="21" width="9.77734375" style="37" customWidth="1"/>
    <col min="22" max="16384" width="8.77734375" style="17"/>
  </cols>
  <sheetData>
    <row r="1" spans="1:22" s="19" customFormat="1" ht="16.5">
      <c r="A1" s="16" t="s">
        <v>95</v>
      </c>
      <c r="F1" s="18"/>
      <c r="G1" s="18"/>
      <c r="J1" s="24"/>
      <c r="K1" s="24"/>
      <c r="L1" s="24"/>
      <c r="M1" s="24"/>
      <c r="N1" s="24"/>
      <c r="Q1" s="14"/>
      <c r="R1" s="14"/>
      <c r="S1" s="36"/>
      <c r="T1" s="36"/>
      <c r="U1" s="36"/>
    </row>
    <row r="2" spans="1:22" s="19" customFormat="1" ht="12" thickBot="1">
      <c r="A2" s="14"/>
      <c r="C2" s="18"/>
      <c r="D2" s="18"/>
      <c r="E2" s="18"/>
      <c r="F2" s="18"/>
      <c r="G2" s="18"/>
      <c r="H2" s="14"/>
      <c r="I2" s="14"/>
      <c r="J2" s="14"/>
      <c r="K2" s="14"/>
      <c r="L2" s="14"/>
      <c r="M2" s="14"/>
      <c r="N2" s="14"/>
      <c r="Q2" s="14"/>
      <c r="R2" s="14"/>
      <c r="S2" s="36"/>
      <c r="T2" s="36"/>
      <c r="U2" s="36"/>
    </row>
    <row r="3" spans="1:22" s="20" customFormat="1" ht="16.350000000000001" customHeight="1" thickBot="1">
      <c r="A3" s="226" t="str">
        <f>ChkList!A4</f>
        <v>분류</v>
      </c>
      <c r="B3" s="227"/>
      <c r="C3" s="255" t="str">
        <f>ChkList!C4</f>
        <v>진단항목</v>
      </c>
      <c r="D3" s="221" t="str">
        <f>ChkList!D4</f>
        <v>중요도</v>
      </c>
      <c r="E3" s="222"/>
      <c r="F3" s="230" t="s">
        <v>96</v>
      </c>
      <c r="G3" s="231"/>
      <c r="H3" s="231"/>
      <c r="I3" s="231"/>
      <c r="J3" s="231"/>
      <c r="K3" s="230" t="s">
        <v>104</v>
      </c>
      <c r="L3" s="231"/>
      <c r="M3" s="231"/>
      <c r="N3" s="231"/>
      <c r="O3" s="230" t="s">
        <v>97</v>
      </c>
      <c r="P3" s="231"/>
      <c r="Q3" s="231"/>
      <c r="R3" s="231"/>
      <c r="S3" s="107" t="s">
        <v>98</v>
      </c>
      <c r="T3" s="115" t="s">
        <v>98</v>
      </c>
      <c r="U3" s="107" t="s">
        <v>98</v>
      </c>
      <c r="V3" s="115" t="s">
        <v>98</v>
      </c>
    </row>
    <row r="4" spans="1:22" s="20" customFormat="1" ht="15.6" customHeight="1">
      <c r="A4" s="228"/>
      <c r="B4" s="229"/>
      <c r="C4" s="256"/>
      <c r="D4" s="224"/>
      <c r="E4" s="257"/>
      <c r="F4" s="102" t="s">
        <v>99</v>
      </c>
      <c r="G4" s="105" t="s">
        <v>100</v>
      </c>
      <c r="H4" s="104" t="s">
        <v>101</v>
      </c>
      <c r="I4" s="105" t="s">
        <v>72</v>
      </c>
      <c r="J4" s="105" t="s">
        <v>102</v>
      </c>
      <c r="K4" s="104" t="s">
        <v>84</v>
      </c>
      <c r="L4" s="113" t="s">
        <v>85</v>
      </c>
      <c r="M4" s="105" t="s">
        <v>86</v>
      </c>
      <c r="N4" s="105" t="s">
        <v>102</v>
      </c>
      <c r="O4" s="103" t="s">
        <v>105</v>
      </c>
      <c r="P4" s="105" t="s">
        <v>106</v>
      </c>
      <c r="Q4" s="105" t="s">
        <v>107</v>
      </c>
      <c r="R4" s="105" t="s">
        <v>108</v>
      </c>
      <c r="S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DB_HQ_Rocky</v>
      </c>
      <c r="T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DB_BR_Rocky</v>
      </c>
      <c r="U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BDB_HQ_Rocky</v>
      </c>
      <c r="V4" s="114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BDB_BR_Rocky</v>
      </c>
    </row>
    <row r="5" spans="1:22">
      <c r="A5" s="108" t="str">
        <f>ChkList!A5</f>
        <v>계정 관리</v>
      </c>
      <c r="B5" s="28" t="str">
        <f>ChkList!$B5</f>
        <v>D-01</v>
      </c>
      <c r="C5" s="21" t="str">
        <f>ChkList!$C5</f>
        <v>기본 계정의 비밀번호, 정책 등을 변경하여 사용</v>
      </c>
      <c r="D5" s="31" t="str">
        <f>ChkList!$D5</f>
        <v>H</v>
      </c>
      <c r="E5" s="31">
        <f>ChkList!E5</f>
        <v>3</v>
      </c>
      <c r="F5" s="23">
        <f ca="1">COUNTA($S5:INDIRECT(ADDRESS(ROW(),MATCH("",$4:$4,-1),1,1)))</f>
        <v>4</v>
      </c>
      <c r="G5" s="23">
        <f ca="1">'취약점 진단 항목별 통계'!G5</f>
        <v>4</v>
      </c>
      <c r="H5" s="23">
        <f ca="1">'취약점 진단 항목별 통계'!H5</f>
        <v>0</v>
      </c>
      <c r="I5" s="23">
        <f ca="1">'취약점 진단 항목별 통계'!I5</f>
        <v>0</v>
      </c>
      <c r="J5" s="23">
        <f ca="1">'취약점 진단 항목별 통계'!J5</f>
        <v>0</v>
      </c>
      <c r="K5" s="23">
        <f ca="1">COUNTIF($S5:INDIRECT(ADDRESS(ROW(),MATCH("",$4:$4,-1),1,1)),"조치")</f>
        <v>0</v>
      </c>
      <c r="L5" s="23">
        <f ca="1">COUNTIF($S5:INDIRECT(ADDRESS(ROW(),MATCH("",$4:$4,-1),1,1)),"미조치")</f>
        <v>0</v>
      </c>
      <c r="M5" s="23">
        <f ca="1">COUNTIF($S5:INDIRECT(ADDRESS(ROW(),MATCH("",$4:$4,-1),1,1)),"위험수용")</f>
        <v>0</v>
      </c>
      <c r="N5" s="23">
        <f ca="1">COUNTIF($S5:INDIRECT(ADDRESS(ROW(),MATCH("",$4:$4,-1),1,1)),"N/A")</f>
        <v>0</v>
      </c>
      <c r="O5" s="23">
        <f ca="1">VLOOKUP($D5,'parm(hidden)'!$B$8:$C$10,2,FALSE)*($F5-$J5)</f>
        <v>12</v>
      </c>
      <c r="P5" s="23">
        <f ca="1">VLOOKUP($D5,'parm(hidden)'!$B$8:$C$10,2,FALSE)*($F5-$N5)</f>
        <v>12</v>
      </c>
      <c r="Q5" s="34">
        <f ca="1">VLOOKUP($D5,'parm(hidden)'!$B$8:$C$10,2,FALSE)*($G5+$H5)</f>
        <v>12</v>
      </c>
      <c r="R5" s="23">
        <f ca="1">VLOOKUP($D5,'parm(hidden)'!$B$8:$C$10,2,FALSE)*($G5+$H5+$K5)</f>
        <v>12</v>
      </c>
      <c r="S5" s="45" t="str">
        <f ca="1">HYPERLINK("[" &amp; MID(CELL("filename"),SEARCH("[",CELL("filename"))+1, SEARCH("]",CELL("filename"))-SEARCH("[",CELL("filename"))-1) &amp; "]" &amp; ADDRESS(ROW()+16,11,1,TRUE,S$4),INDIRECT(ADDRESS(ROW()+16,11,1,TRUE,S$4)))</f>
        <v>Y</v>
      </c>
      <c r="T5" s="45" t="str">
        <f ca="1">HYPERLINK("[" &amp; MID(CELL("filename"),SEARCH("[",CELL("filename"))+1, SEARCH("]",CELL("filename"))-SEARCH("[",CELL("filename"))-1) &amp; "]" &amp; ADDRESS(ROW()+16,11,1,TRUE,T$4),INDIRECT(ADDRESS(ROW()+16,11,1,TRUE,T$4)))</f>
        <v>Y</v>
      </c>
      <c r="U5" s="45" t="str">
        <f ca="1">HYPERLINK("[" &amp; MID(CELL("filename"),SEARCH("[",CELL("filename"))+1, SEARCH("]",CELL("filename"))-SEARCH("[",CELL("filename"))-1) &amp; "]" &amp; ADDRESS(ROW()+16,11,1,TRUE,U$4),INDIRECT(ADDRESS(ROW()+16,11,1,TRUE,U$4)))</f>
        <v/>
      </c>
      <c r="V5" s="45" t="str">
        <f ca="1">HYPERLINK("[" &amp; MID(CELL("filename"),SEARCH("[",CELL("filename"))+1, SEARCH("]",CELL("filename"))-SEARCH("[",CELL("filename"))-1) &amp; "]" &amp; ADDRESS(ROW()+16,11,1,TRUE,V$4),INDIRECT(ADDRESS(ROW()+16,11,1,TRUE,V$4)))</f>
        <v/>
      </c>
    </row>
    <row r="6" spans="1:22" ht="22.5">
      <c r="A6" s="108" t="str">
        <f>ChkList!A6</f>
        <v>계정 관리</v>
      </c>
      <c r="B6" s="156" t="str">
        <f>ChkList!$B6</f>
        <v>D-02</v>
      </c>
      <c r="C6" s="21" t="str">
        <f>ChkList!$C6</f>
        <v>데이터베이스의 불필요 계정을 제거하거나, 잠금설정 후 사용</v>
      </c>
      <c r="D6" s="31" t="str">
        <f>ChkList!$D6</f>
        <v>H</v>
      </c>
      <c r="E6" s="31">
        <f>ChkList!E6</f>
        <v>3</v>
      </c>
      <c r="F6" s="23">
        <f ca="1">COUNTA($S6:INDIRECT(ADDRESS(ROW(),MATCH("",$4:$4,-1),1,1)))</f>
        <v>4</v>
      </c>
      <c r="G6" s="23">
        <f ca="1">'취약점 진단 항목별 통계'!G6</f>
        <v>4</v>
      </c>
      <c r="H6" s="23">
        <f ca="1">'취약점 진단 항목별 통계'!H6</f>
        <v>0</v>
      </c>
      <c r="I6" s="23">
        <f ca="1">'취약점 진단 항목별 통계'!I6</f>
        <v>0</v>
      </c>
      <c r="J6" s="23">
        <f ca="1">'취약점 진단 항목별 통계'!J6</f>
        <v>0</v>
      </c>
      <c r="K6" s="23">
        <f ca="1">COUNTIF($S6:INDIRECT(ADDRESS(ROW(),MATCH("",$4:$4,-1),1,1)),"조치")</f>
        <v>0</v>
      </c>
      <c r="L6" s="23">
        <f ca="1">COUNTIF($S6:INDIRECT(ADDRESS(ROW(),MATCH("",$4:$4,-1),1,1)),"미조치")</f>
        <v>0</v>
      </c>
      <c r="M6" s="23">
        <f ca="1">COUNTIF($S6:INDIRECT(ADDRESS(ROW(),MATCH("",$4:$4,-1),1,1)),"위험수용")</f>
        <v>0</v>
      </c>
      <c r="N6" s="23">
        <f ca="1">COUNTIF($S6:INDIRECT(ADDRESS(ROW(),MATCH("",$4:$4,-1),1,1)),"N/A")</f>
        <v>0</v>
      </c>
      <c r="O6" s="23">
        <f ca="1">VLOOKUP($D6,'parm(hidden)'!$B$8:$C$10,2,FALSE)*($F6-$J6)</f>
        <v>12</v>
      </c>
      <c r="P6" s="23">
        <f ca="1">VLOOKUP($D6,'parm(hidden)'!$B$8:$C$10,2,FALSE)*($F6-$N6)</f>
        <v>12</v>
      </c>
      <c r="Q6" s="34">
        <f ca="1">VLOOKUP($D6,'parm(hidden)'!$B$8:$C$10,2,FALSE)*($G6+$H6)</f>
        <v>12</v>
      </c>
      <c r="R6" s="23">
        <f ca="1">VLOOKUP($D6,'parm(hidden)'!$B$8:$C$10,2,FALSE)*($G6+$H6+$K6)</f>
        <v>12</v>
      </c>
      <c r="S6" s="45" t="str">
        <f t="shared" ref="S6:V30" ca="1" si="0">HYPERLINK("[" &amp; MID(CELL("filename"),SEARCH("[",CELL("filename"))+1, SEARCH("]",CELL("filename"))-SEARCH("[",CELL("filename"))-1) &amp; "]" &amp; ADDRESS(ROW()+16,11,1,TRUE,S$4),INDIRECT(ADDRESS(ROW()+16,11,1,TRUE,S$4)))</f>
        <v>Y</v>
      </c>
      <c r="T6" s="45" t="str">
        <f t="shared" ca="1" si="0"/>
        <v>Y</v>
      </c>
      <c r="U6" s="45" t="str">
        <f t="shared" ca="1" si="0"/>
        <v/>
      </c>
      <c r="V6" s="45" t="str">
        <f t="shared" ca="1" si="0"/>
        <v/>
      </c>
    </row>
    <row r="7" spans="1:22" ht="22.5">
      <c r="A7" s="108" t="str">
        <f>ChkList!A7</f>
        <v>계정 관리</v>
      </c>
      <c r="B7" s="156" t="str">
        <f>ChkList!$B7</f>
        <v>D-03</v>
      </c>
      <c r="C7" s="21" t="str">
        <f>ChkList!$C7</f>
        <v>비밀번호 사용 기간 및 복잡도를 기관의 정책에 맞도록 설정</v>
      </c>
      <c r="D7" s="31" t="str">
        <f>ChkList!$D7</f>
        <v>H</v>
      </c>
      <c r="E7" s="31">
        <f>ChkList!E7</f>
        <v>3</v>
      </c>
      <c r="F7" s="23">
        <f ca="1">COUNTA($S7:INDIRECT(ADDRESS(ROW(),MATCH("",$4:$4,-1),1,1)))</f>
        <v>4</v>
      </c>
      <c r="G7" s="23">
        <f ca="1">'취약점 진단 항목별 통계'!G7</f>
        <v>1</v>
      </c>
      <c r="H7" s="23">
        <f ca="1">'취약점 진단 항목별 통계'!H7</f>
        <v>0</v>
      </c>
      <c r="I7" s="23">
        <f ca="1">'취약점 진단 항목별 통계'!I7</f>
        <v>0</v>
      </c>
      <c r="J7" s="23">
        <f ca="1">'취약점 진단 항목별 통계'!J7</f>
        <v>0</v>
      </c>
      <c r="K7" s="23">
        <f ca="1">COUNTIF($S7:INDIRECT(ADDRESS(ROW(),MATCH("",$4:$4,-1),1,1)),"조치")</f>
        <v>0</v>
      </c>
      <c r="L7" s="23">
        <f ca="1">COUNTIF($S7:INDIRECT(ADDRESS(ROW(),MATCH("",$4:$4,-1),1,1)),"미조치")</f>
        <v>2</v>
      </c>
      <c r="M7" s="23">
        <f ca="1">COUNTIF($S7:INDIRECT(ADDRESS(ROW(),MATCH("",$4:$4,-1),1,1)),"위험수용")</f>
        <v>0</v>
      </c>
      <c r="N7" s="23">
        <f ca="1">COUNTIF($S7:INDIRECT(ADDRESS(ROW(),MATCH("",$4:$4,-1),1,1)),"N/A")</f>
        <v>0</v>
      </c>
      <c r="O7" s="23">
        <f ca="1">VLOOKUP($D7,'parm(hidden)'!$B$8:$C$10,2,FALSE)*($F7-$J7)</f>
        <v>12</v>
      </c>
      <c r="P7" s="23">
        <f ca="1">VLOOKUP($D7,'parm(hidden)'!$B$8:$C$10,2,FALSE)*($F7-$N7)</f>
        <v>12</v>
      </c>
      <c r="Q7" s="34">
        <f ca="1">VLOOKUP($D7,'parm(hidden)'!$B$8:$C$10,2,FALSE)*($G7+$H7)</f>
        <v>3</v>
      </c>
      <c r="R7" s="23">
        <f ca="1">VLOOKUP($D7,'parm(hidden)'!$B$8:$C$10,2,FALSE)*($G7+$H7+$K7)</f>
        <v>3</v>
      </c>
      <c r="S7" s="45" t="str">
        <f t="shared" ca="1" si="0"/>
        <v>미조치</v>
      </c>
      <c r="T7" s="45" t="str">
        <f t="shared" ca="1" si="0"/>
        <v>미조치</v>
      </c>
      <c r="U7" s="45" t="str">
        <f t="shared" ca="1" si="0"/>
        <v/>
      </c>
      <c r="V7" s="45" t="str">
        <f t="shared" ca="1" si="0"/>
        <v/>
      </c>
    </row>
    <row r="8" spans="1:22" ht="22.5">
      <c r="A8" s="108" t="str">
        <f>ChkList!A8</f>
        <v>계정 관리</v>
      </c>
      <c r="B8" s="156" t="str">
        <f>ChkList!$B8</f>
        <v>D-04</v>
      </c>
      <c r="C8" s="21" t="str">
        <f>ChkList!$C8</f>
        <v>데이터베이스 관리자 권한을 꼭 필요한 계정 및 그룹에 대해서만 허용</v>
      </c>
      <c r="D8" s="31" t="str">
        <f>ChkList!$D8</f>
        <v>H</v>
      </c>
      <c r="E8" s="31">
        <f>ChkList!E8</f>
        <v>3</v>
      </c>
      <c r="F8" s="23">
        <f ca="1">COUNTA($S8:INDIRECT(ADDRESS(ROW(),MATCH("",$4:$4,-1),1,1)))</f>
        <v>4</v>
      </c>
      <c r="G8" s="23">
        <f ca="1">'취약점 진단 항목별 통계'!G8</f>
        <v>4</v>
      </c>
      <c r="H8" s="23">
        <f ca="1">'취약점 진단 항목별 통계'!H8</f>
        <v>0</v>
      </c>
      <c r="I8" s="23">
        <f ca="1">'취약점 진단 항목별 통계'!I8</f>
        <v>0</v>
      </c>
      <c r="J8" s="23">
        <f ca="1">'취약점 진단 항목별 통계'!J8</f>
        <v>0</v>
      </c>
      <c r="K8" s="23">
        <f ca="1">COUNTIF($S8:INDIRECT(ADDRESS(ROW(),MATCH("",$4:$4,-1),1,1)),"조치")</f>
        <v>0</v>
      </c>
      <c r="L8" s="23">
        <f ca="1">COUNTIF($S8:INDIRECT(ADDRESS(ROW(),MATCH("",$4:$4,-1),1,1)),"미조치")</f>
        <v>0</v>
      </c>
      <c r="M8" s="23">
        <f ca="1">COUNTIF($S8:INDIRECT(ADDRESS(ROW(),MATCH("",$4:$4,-1),1,1)),"위험수용")</f>
        <v>0</v>
      </c>
      <c r="N8" s="23">
        <f ca="1">COUNTIF($S8:INDIRECT(ADDRESS(ROW(),MATCH("",$4:$4,-1),1,1)),"N/A")</f>
        <v>0</v>
      </c>
      <c r="O8" s="23">
        <f ca="1">VLOOKUP($D8,'parm(hidden)'!$B$8:$C$10,2,FALSE)*($F8-$J8)</f>
        <v>12</v>
      </c>
      <c r="P8" s="23">
        <f ca="1">VLOOKUP($D8,'parm(hidden)'!$B$8:$C$10,2,FALSE)*($F8-$N8)</f>
        <v>12</v>
      </c>
      <c r="Q8" s="34">
        <f ca="1">VLOOKUP($D8,'parm(hidden)'!$B$8:$C$10,2,FALSE)*($G8+$H8)</f>
        <v>12</v>
      </c>
      <c r="R8" s="23">
        <f ca="1">VLOOKUP($D8,'parm(hidden)'!$B$8:$C$10,2,FALSE)*($G8+$H8+$K8)</f>
        <v>12</v>
      </c>
      <c r="S8" s="45" t="str">
        <f t="shared" ca="1" si="0"/>
        <v>Y</v>
      </c>
      <c r="T8" s="45" t="str">
        <f t="shared" ca="1" si="0"/>
        <v>Y</v>
      </c>
      <c r="U8" s="45" t="str">
        <f t="shared" ca="1" si="0"/>
        <v/>
      </c>
      <c r="V8" s="45" t="str">
        <f t="shared" ca="1" si="0"/>
        <v/>
      </c>
    </row>
    <row r="9" spans="1:22">
      <c r="A9" s="108" t="str">
        <f>ChkList!A9</f>
        <v>계정 관리</v>
      </c>
      <c r="B9" s="156" t="str">
        <f>ChkList!$B9</f>
        <v>D-05</v>
      </c>
      <c r="C9" s="21" t="str">
        <f>ChkList!$C9</f>
        <v>비밀번호 재사용에 대한 제약 설정</v>
      </c>
      <c r="D9" s="31" t="str">
        <f>ChkList!$D9</f>
        <v>M</v>
      </c>
      <c r="E9" s="31">
        <f>ChkList!E9</f>
        <v>2</v>
      </c>
      <c r="F9" s="23">
        <f ca="1">COUNTA($S9:INDIRECT(ADDRESS(ROW(),MATCH("",$4:$4,-1),1,1)))</f>
        <v>4</v>
      </c>
      <c r="G9" s="23">
        <f ca="1">'취약점 진단 항목별 통계'!G9</f>
        <v>0</v>
      </c>
      <c r="H9" s="23">
        <f ca="1">'취약점 진단 항목별 통계'!H9</f>
        <v>0</v>
      </c>
      <c r="I9" s="23">
        <f ca="1">'취약점 진단 항목별 통계'!I9</f>
        <v>0</v>
      </c>
      <c r="J9" s="23">
        <f ca="1">'취약점 진단 항목별 통계'!J9</f>
        <v>4</v>
      </c>
      <c r="K9" s="23">
        <f ca="1">COUNTIF($S9:INDIRECT(ADDRESS(ROW(),MATCH("",$4:$4,-1),1,1)),"조치")</f>
        <v>0</v>
      </c>
      <c r="L9" s="23">
        <f ca="1">COUNTIF($S9:INDIRECT(ADDRESS(ROW(),MATCH("",$4:$4,-1),1,1)),"미조치")</f>
        <v>0</v>
      </c>
      <c r="M9" s="23">
        <f ca="1">COUNTIF($S9:INDIRECT(ADDRESS(ROW(),MATCH("",$4:$4,-1),1,1)),"위험수용")</f>
        <v>0</v>
      </c>
      <c r="N9" s="23">
        <f ca="1">COUNTIF($S9:INDIRECT(ADDRESS(ROW(),MATCH("",$4:$4,-1),1,1)),"N/A")</f>
        <v>2</v>
      </c>
      <c r="O9" s="23">
        <f ca="1">VLOOKUP($D9,'parm(hidden)'!$B$8:$C$10,2,FALSE)*($F9-$J9)</f>
        <v>0</v>
      </c>
      <c r="P9" s="23">
        <f ca="1">VLOOKUP($D9,'parm(hidden)'!$B$8:$C$10,2,FALSE)*($F9-$N9)</f>
        <v>4</v>
      </c>
      <c r="Q9" s="34">
        <f ca="1">VLOOKUP($D9,'parm(hidden)'!$B$8:$C$10,2,FALSE)*($G9+$H9)</f>
        <v>0</v>
      </c>
      <c r="R9" s="23">
        <f ca="1">VLOOKUP($D9,'parm(hidden)'!$B$8:$C$10,2,FALSE)*($G9+$H9+$K9)</f>
        <v>0</v>
      </c>
      <c r="S9" s="45" t="str">
        <f t="shared" ca="1" si="0"/>
        <v>N/A</v>
      </c>
      <c r="T9" s="45" t="str">
        <f t="shared" ca="1" si="0"/>
        <v>N/A</v>
      </c>
      <c r="U9" s="45" t="str">
        <f t="shared" ca="1" si="0"/>
        <v/>
      </c>
      <c r="V9" s="45" t="str">
        <f t="shared" ca="1" si="0"/>
        <v/>
      </c>
    </row>
    <row r="10" spans="1:22">
      <c r="A10" s="108" t="str">
        <f>ChkList!A10</f>
        <v>계정 관리</v>
      </c>
      <c r="B10" s="156" t="str">
        <f>ChkList!$B10</f>
        <v>D-06</v>
      </c>
      <c r="C10" s="21" t="str">
        <f>ChkList!$C10</f>
        <v>DB 사용자 계정을 개별적으로 부여하여 사용</v>
      </c>
      <c r="D10" s="31" t="str">
        <f>ChkList!$D10</f>
        <v>M</v>
      </c>
      <c r="E10" s="31">
        <f>ChkList!E10</f>
        <v>2</v>
      </c>
      <c r="F10" s="23">
        <f ca="1">COUNTA($S10:INDIRECT(ADDRESS(ROW(),MATCH("",$4:$4,-1),1,1)))</f>
        <v>4</v>
      </c>
      <c r="G10" s="23">
        <f ca="1">'취약점 진단 항목별 통계'!G10</f>
        <v>2</v>
      </c>
      <c r="H10" s="23">
        <f ca="1">'취약점 진단 항목별 통계'!H10</f>
        <v>0</v>
      </c>
      <c r="I10" s="23">
        <f ca="1">'취약점 진단 항목별 통계'!I10</f>
        <v>2</v>
      </c>
      <c r="J10" s="23">
        <f ca="1">'취약점 진단 항목별 통계'!J10</f>
        <v>0</v>
      </c>
      <c r="K10" s="23">
        <f ca="1">COUNTIF($S10:INDIRECT(ADDRESS(ROW(),MATCH("",$4:$4,-1),1,1)),"조치")</f>
        <v>2</v>
      </c>
      <c r="L10" s="23">
        <f ca="1">COUNTIF($S10:INDIRECT(ADDRESS(ROW(),MATCH("",$4:$4,-1),1,1)),"미조치")</f>
        <v>0</v>
      </c>
      <c r="M10" s="23">
        <f ca="1">COUNTIF($S10:INDIRECT(ADDRESS(ROW(),MATCH("",$4:$4,-1),1,1)),"위험수용")</f>
        <v>0</v>
      </c>
      <c r="N10" s="23">
        <f ca="1">COUNTIF($S10:INDIRECT(ADDRESS(ROW(),MATCH("",$4:$4,-1),1,1)),"N/A")</f>
        <v>0</v>
      </c>
      <c r="O10" s="23">
        <f ca="1">VLOOKUP($D10,'parm(hidden)'!$B$8:$C$10,2,FALSE)*($F10-$J10)</f>
        <v>8</v>
      </c>
      <c r="P10" s="23">
        <f ca="1">VLOOKUP($D10,'parm(hidden)'!$B$8:$C$10,2,FALSE)*($F10-$N10)</f>
        <v>8</v>
      </c>
      <c r="Q10" s="34">
        <f ca="1">VLOOKUP($D10,'parm(hidden)'!$B$8:$C$10,2,FALSE)*($G10+$H10)</f>
        <v>4</v>
      </c>
      <c r="R10" s="23">
        <f ca="1">VLOOKUP($D10,'parm(hidden)'!$B$8:$C$10,2,FALSE)*($G10+$H10+$K10)</f>
        <v>8</v>
      </c>
      <c r="S10" s="45" t="str">
        <f t="shared" ca="1" si="0"/>
        <v>조치</v>
      </c>
      <c r="T10" s="45" t="str">
        <f t="shared" ca="1" si="0"/>
        <v>조치</v>
      </c>
      <c r="U10" s="45" t="str">
        <f t="shared" ca="1" si="0"/>
        <v/>
      </c>
      <c r="V10" s="45" t="str">
        <f t="shared" ca="1" si="0"/>
        <v/>
      </c>
    </row>
    <row r="11" spans="1:22">
      <c r="A11" s="108" t="str">
        <f>ChkList!A11</f>
        <v>계정 관리</v>
      </c>
      <c r="B11" s="156" t="str">
        <f>ChkList!$B11</f>
        <v>D-07</v>
      </c>
      <c r="C11" s="21" t="str">
        <f>ChkList!$C11</f>
        <v>root 권한으로 서비스 구동 제한</v>
      </c>
      <c r="D11" s="31" t="str">
        <f>ChkList!$D11</f>
        <v>M</v>
      </c>
      <c r="E11" s="31">
        <f>ChkList!E11</f>
        <v>2</v>
      </c>
      <c r="F11" s="23">
        <f ca="1">COUNTA($S11:INDIRECT(ADDRESS(ROW(),MATCH("",$4:$4,-1),1,1)))</f>
        <v>4</v>
      </c>
      <c r="G11" s="23">
        <f ca="1">'취약점 진단 항목별 통계'!G11</f>
        <v>2</v>
      </c>
      <c r="H11" s="23">
        <f ca="1">'취약점 진단 항목별 통계'!H11</f>
        <v>0</v>
      </c>
      <c r="I11" s="23">
        <f ca="1">'취약점 진단 항목별 통계'!I11</f>
        <v>0</v>
      </c>
      <c r="J11" s="23">
        <f ca="1">'취약점 진단 항목별 통계'!J11</f>
        <v>0</v>
      </c>
      <c r="K11" s="23">
        <f ca="1">COUNTIF($S11:INDIRECT(ADDRESS(ROW(),MATCH("",$4:$4,-1),1,1)),"조치")</f>
        <v>0</v>
      </c>
      <c r="L11" s="23">
        <f ca="1">COUNTIF($S11:INDIRECT(ADDRESS(ROW(),MATCH("",$4:$4,-1),1,1)),"미조치")</f>
        <v>2</v>
      </c>
      <c r="M11" s="23">
        <f ca="1">COUNTIF($S11:INDIRECT(ADDRESS(ROW(),MATCH("",$4:$4,-1),1,1)),"위험수용")</f>
        <v>0</v>
      </c>
      <c r="N11" s="23">
        <f ca="1">COUNTIF($S11:INDIRECT(ADDRESS(ROW(),MATCH("",$4:$4,-1),1,1)),"N/A")</f>
        <v>0</v>
      </c>
      <c r="O11" s="23">
        <f ca="1">VLOOKUP($D11,'parm(hidden)'!$B$8:$C$10,2,FALSE)*($F11-$J11)</f>
        <v>8</v>
      </c>
      <c r="P11" s="23">
        <f ca="1">VLOOKUP($D11,'parm(hidden)'!$B$8:$C$10,2,FALSE)*($F11-$N11)</f>
        <v>8</v>
      </c>
      <c r="Q11" s="34">
        <f ca="1">VLOOKUP($D11,'parm(hidden)'!$B$8:$C$10,2,FALSE)*($G11+$H11)</f>
        <v>4</v>
      </c>
      <c r="R11" s="23">
        <f ca="1">VLOOKUP($D11,'parm(hidden)'!$B$8:$C$10,2,FALSE)*($G11+$H11+$K11)</f>
        <v>4</v>
      </c>
      <c r="S11" s="45" t="str">
        <f t="shared" ca="1" si="0"/>
        <v>미조치</v>
      </c>
      <c r="T11" s="45" t="str">
        <f t="shared" ca="1" si="0"/>
        <v>미조치</v>
      </c>
      <c r="U11" s="45" t="str">
        <f t="shared" ca="1" si="0"/>
        <v/>
      </c>
      <c r="V11" s="45" t="str">
        <f t="shared" ca="1" si="0"/>
        <v/>
      </c>
    </row>
    <row r="12" spans="1:22">
      <c r="A12" s="108" t="str">
        <f>ChkList!A12</f>
        <v>계정 관리</v>
      </c>
      <c r="B12" s="156" t="str">
        <f>ChkList!$B12</f>
        <v>D-08</v>
      </c>
      <c r="C12" s="21" t="str">
        <f>ChkList!$C12</f>
        <v>안전한 암호화 알고리즘 사용</v>
      </c>
      <c r="D12" s="31" t="str">
        <f>ChkList!$D12</f>
        <v>H</v>
      </c>
      <c r="E12" s="31">
        <f>ChkList!E12</f>
        <v>3</v>
      </c>
      <c r="F12" s="23">
        <f ca="1">COUNTA($S12:INDIRECT(ADDRESS(ROW(),MATCH("",$4:$4,-1),1,1)))</f>
        <v>4</v>
      </c>
      <c r="G12" s="23">
        <f ca="1">'취약점 진단 항목별 통계'!G12</f>
        <v>2</v>
      </c>
      <c r="H12" s="23">
        <f ca="1">'취약점 진단 항목별 통계'!H12</f>
        <v>0</v>
      </c>
      <c r="I12" s="23">
        <f ca="1">'취약점 진단 항목별 통계'!I12</f>
        <v>2</v>
      </c>
      <c r="J12" s="23">
        <f ca="1">'취약점 진단 항목별 통계'!J12</f>
        <v>0</v>
      </c>
      <c r="K12" s="23">
        <f ca="1">COUNTIF($S12:INDIRECT(ADDRESS(ROW(),MATCH("",$4:$4,-1),1,1)),"조치")</f>
        <v>2</v>
      </c>
      <c r="L12" s="23">
        <f ca="1">COUNTIF($S12:INDIRECT(ADDRESS(ROW(),MATCH("",$4:$4,-1),1,1)),"미조치")</f>
        <v>0</v>
      </c>
      <c r="M12" s="23">
        <f ca="1">COUNTIF($S12:INDIRECT(ADDRESS(ROW(),MATCH("",$4:$4,-1),1,1)),"위험수용")</f>
        <v>0</v>
      </c>
      <c r="N12" s="23">
        <f ca="1">COUNTIF($S12:INDIRECT(ADDRESS(ROW(),MATCH("",$4:$4,-1),1,1)),"N/A")</f>
        <v>0</v>
      </c>
      <c r="O12" s="23">
        <f ca="1">VLOOKUP($D12,'parm(hidden)'!$B$8:$C$10,2,FALSE)*($F12-$J12)</f>
        <v>12</v>
      </c>
      <c r="P12" s="23">
        <f ca="1">VLOOKUP($D12,'parm(hidden)'!$B$8:$C$10,2,FALSE)*($F12-$N12)</f>
        <v>12</v>
      </c>
      <c r="Q12" s="34">
        <f ca="1">VLOOKUP($D12,'parm(hidden)'!$B$8:$C$10,2,FALSE)*($G12+$H12)</f>
        <v>6</v>
      </c>
      <c r="R12" s="23">
        <f ca="1">VLOOKUP($D12,'parm(hidden)'!$B$8:$C$10,2,FALSE)*($G12+$H12+$K12)</f>
        <v>12</v>
      </c>
      <c r="S12" s="45" t="str">
        <f t="shared" ca="1" si="0"/>
        <v>조치</v>
      </c>
      <c r="T12" s="45" t="str">
        <f t="shared" ca="1" si="0"/>
        <v>조치</v>
      </c>
      <c r="U12" s="45" t="str">
        <f t="shared" ca="1" si="0"/>
        <v/>
      </c>
      <c r="V12" s="45" t="str">
        <f t="shared" ca="1" si="0"/>
        <v/>
      </c>
    </row>
    <row r="13" spans="1:22" ht="22.5">
      <c r="A13" s="108" t="str">
        <f>ChkList!A13</f>
        <v>계정 관리</v>
      </c>
      <c r="B13" s="156" t="str">
        <f>ChkList!$B13</f>
        <v>D-09</v>
      </c>
      <c r="C13" s="21" t="str">
        <f>ChkList!$C13</f>
        <v>일정 횟수의 로그인 실패 시 이에 대한 잠금정책 설정</v>
      </c>
      <c r="D13" s="31" t="str">
        <f>ChkList!$D13</f>
        <v>M</v>
      </c>
      <c r="E13" s="31">
        <f>ChkList!E13</f>
        <v>2</v>
      </c>
      <c r="F13" s="23">
        <f ca="1">COUNTA($S13:INDIRECT(ADDRESS(ROW(),MATCH("",$4:$4,-1),1,1)))</f>
        <v>4</v>
      </c>
      <c r="G13" s="23">
        <f ca="1">'취약점 진단 항목별 통계'!G13</f>
        <v>0</v>
      </c>
      <c r="H13" s="23">
        <f ca="1">'취약점 진단 항목별 통계'!H13</f>
        <v>0</v>
      </c>
      <c r="I13" s="23">
        <f ca="1">'취약점 진단 항목별 통계'!I13</f>
        <v>0</v>
      </c>
      <c r="J13" s="23">
        <f ca="1">'취약점 진단 항목별 통계'!J13</f>
        <v>4</v>
      </c>
      <c r="K13" s="23">
        <f ca="1">COUNTIF($S13:INDIRECT(ADDRESS(ROW(),MATCH("",$4:$4,-1),1,1)),"조치")</f>
        <v>0</v>
      </c>
      <c r="L13" s="23">
        <f ca="1">COUNTIF($S13:INDIRECT(ADDRESS(ROW(),MATCH("",$4:$4,-1),1,1)),"미조치")</f>
        <v>0</v>
      </c>
      <c r="M13" s="23">
        <f ca="1">COUNTIF($S13:INDIRECT(ADDRESS(ROW(),MATCH("",$4:$4,-1),1,1)),"위험수용")</f>
        <v>0</v>
      </c>
      <c r="N13" s="23">
        <f ca="1">COUNTIF($S13:INDIRECT(ADDRESS(ROW(),MATCH("",$4:$4,-1),1,1)),"N/A")</f>
        <v>2</v>
      </c>
      <c r="O13" s="23">
        <f ca="1">VLOOKUP($D13,'parm(hidden)'!$B$8:$C$10,2,FALSE)*($F13-$J13)</f>
        <v>0</v>
      </c>
      <c r="P13" s="23">
        <f ca="1">VLOOKUP($D13,'parm(hidden)'!$B$8:$C$10,2,FALSE)*($F13-$N13)</f>
        <v>4</v>
      </c>
      <c r="Q13" s="34">
        <f ca="1">VLOOKUP($D13,'parm(hidden)'!$B$8:$C$10,2,FALSE)*($G13+$H13)</f>
        <v>0</v>
      </c>
      <c r="R13" s="23">
        <f ca="1">VLOOKUP($D13,'parm(hidden)'!$B$8:$C$10,2,FALSE)*($G13+$H13+$K13)</f>
        <v>0</v>
      </c>
      <c r="S13" s="45" t="str">
        <f t="shared" ca="1" si="0"/>
        <v>N/A</v>
      </c>
      <c r="T13" s="45" t="str">
        <f t="shared" ca="1" si="0"/>
        <v>N/A</v>
      </c>
      <c r="U13" s="45" t="str">
        <f t="shared" ca="1" si="0"/>
        <v/>
      </c>
      <c r="V13" s="45" t="str">
        <f t="shared" ca="1" si="0"/>
        <v/>
      </c>
    </row>
    <row r="14" spans="1:22">
      <c r="A14" s="108" t="str">
        <f>ChkList!A14</f>
        <v>접근 관리</v>
      </c>
      <c r="B14" s="156" t="str">
        <f>ChkList!$B14</f>
        <v>D-10</v>
      </c>
      <c r="C14" s="21" t="str">
        <f>ChkList!$C14</f>
        <v>원격에서 DB 서버로의 접속 제한</v>
      </c>
      <c r="D14" s="31" t="str">
        <f>ChkList!$D14</f>
        <v>H</v>
      </c>
      <c r="E14" s="31">
        <f>ChkList!E14</f>
        <v>3</v>
      </c>
      <c r="F14" s="23">
        <f ca="1">COUNTA($S14:INDIRECT(ADDRESS(ROW(),MATCH("",$4:$4,-1),1,1)))</f>
        <v>4</v>
      </c>
      <c r="G14" s="23">
        <f ca="1">'취약점 진단 항목별 통계'!G14</f>
        <v>2</v>
      </c>
      <c r="H14" s="23">
        <f ca="1">'취약점 진단 항목별 통계'!H14</f>
        <v>0</v>
      </c>
      <c r="I14" s="23">
        <f ca="1">'취약점 진단 항목별 통계'!I14</f>
        <v>0</v>
      </c>
      <c r="J14" s="23">
        <f ca="1">'취약점 진단 항목별 통계'!J14</f>
        <v>2</v>
      </c>
      <c r="K14" s="23">
        <f ca="1">COUNTIF($S14:INDIRECT(ADDRESS(ROW(),MATCH("",$4:$4,-1),1,1)),"조치")</f>
        <v>0</v>
      </c>
      <c r="L14" s="23">
        <f ca="1">COUNTIF($S14:INDIRECT(ADDRESS(ROW(),MATCH("",$4:$4,-1),1,1)),"미조치")</f>
        <v>0</v>
      </c>
      <c r="M14" s="23">
        <f ca="1">COUNTIF($S14:INDIRECT(ADDRESS(ROW(),MATCH("",$4:$4,-1),1,1)),"위험수용")</f>
        <v>0</v>
      </c>
      <c r="N14" s="23">
        <f ca="1">COUNTIF($S14:INDIRECT(ADDRESS(ROW(),MATCH("",$4:$4,-1),1,1)),"N/A")</f>
        <v>0</v>
      </c>
      <c r="O14" s="23">
        <f ca="1">VLOOKUP($D14,'parm(hidden)'!$B$8:$C$10,2,FALSE)*($F14-$J14)</f>
        <v>6</v>
      </c>
      <c r="P14" s="23">
        <f ca="1">VLOOKUP($D14,'parm(hidden)'!$B$8:$C$10,2,FALSE)*($F14-$N14)</f>
        <v>12</v>
      </c>
      <c r="Q14" s="34">
        <f ca="1">VLOOKUP($D14,'parm(hidden)'!$B$8:$C$10,2,FALSE)*($G14+$H14)</f>
        <v>6</v>
      </c>
      <c r="R14" s="23">
        <f ca="1">VLOOKUP($D14,'parm(hidden)'!$B$8:$C$10,2,FALSE)*($G14+$H14+$K14)</f>
        <v>6</v>
      </c>
      <c r="S14" s="45" t="str">
        <f t="shared" ca="1" si="0"/>
        <v>Y</v>
      </c>
      <c r="T14" s="45" t="str">
        <f t="shared" ca="1" si="0"/>
        <v>Y</v>
      </c>
      <c r="U14" s="45" t="str">
        <f t="shared" ca="1" si="0"/>
        <v/>
      </c>
      <c r="V14" s="45" t="str">
        <f t="shared" ca="1" si="0"/>
        <v/>
      </c>
    </row>
    <row r="15" spans="1:22" ht="22.5">
      <c r="A15" s="108" t="str">
        <f>ChkList!A15</f>
        <v>접근 관리</v>
      </c>
      <c r="B15" s="156" t="str">
        <f>ChkList!$B15</f>
        <v>D-11</v>
      </c>
      <c r="C15" s="21" t="str">
        <f>ChkList!$C15</f>
        <v>DBA 이외의 인가되지 않은 사용자가 시스템 테이블에 접근할 수 없도록 설정</v>
      </c>
      <c r="D15" s="31" t="str">
        <f>ChkList!$D15</f>
        <v>H</v>
      </c>
      <c r="E15" s="31">
        <f>ChkList!E15</f>
        <v>3</v>
      </c>
      <c r="F15" s="23">
        <f ca="1">COUNTA($S15:INDIRECT(ADDRESS(ROW(),MATCH("",$4:$4,-1),1,1)))</f>
        <v>4</v>
      </c>
      <c r="G15" s="23">
        <f ca="1">'취약점 진단 항목별 통계'!G15</f>
        <v>2</v>
      </c>
      <c r="H15" s="23">
        <f ca="1">'취약점 진단 항목별 통계'!H15</f>
        <v>0</v>
      </c>
      <c r="I15" s="23">
        <f ca="1">'취약점 진단 항목별 통계'!I15</f>
        <v>0</v>
      </c>
      <c r="J15" s="23">
        <f ca="1">'취약점 진단 항목별 통계'!J15</f>
        <v>2</v>
      </c>
      <c r="K15" s="23">
        <f ca="1">COUNTIF($S15:INDIRECT(ADDRESS(ROW(),MATCH("",$4:$4,-1),1,1)),"조치")</f>
        <v>0</v>
      </c>
      <c r="L15" s="23">
        <f ca="1">COUNTIF($S15:INDIRECT(ADDRESS(ROW(),MATCH("",$4:$4,-1),1,1)),"미조치")</f>
        <v>0</v>
      </c>
      <c r="M15" s="23">
        <f ca="1">COUNTIF($S15:INDIRECT(ADDRESS(ROW(),MATCH("",$4:$4,-1),1,1)),"위험수용")</f>
        <v>0</v>
      </c>
      <c r="N15" s="23">
        <f ca="1">COUNTIF($S15:INDIRECT(ADDRESS(ROW(),MATCH("",$4:$4,-1),1,1)),"N/A")</f>
        <v>0</v>
      </c>
      <c r="O15" s="23">
        <f ca="1">VLOOKUP($D15,'parm(hidden)'!$B$8:$C$10,2,FALSE)*($F15-$J15)</f>
        <v>6</v>
      </c>
      <c r="P15" s="23">
        <f ca="1">VLOOKUP($D15,'parm(hidden)'!$B$8:$C$10,2,FALSE)*($F15-$N15)</f>
        <v>12</v>
      </c>
      <c r="Q15" s="34">
        <f ca="1">VLOOKUP($D15,'parm(hidden)'!$B$8:$C$10,2,FALSE)*($G15+$H15)</f>
        <v>6</v>
      </c>
      <c r="R15" s="23">
        <f ca="1">VLOOKUP($D15,'parm(hidden)'!$B$8:$C$10,2,FALSE)*($G15+$H15+$K15)</f>
        <v>6</v>
      </c>
      <c r="S15" s="45" t="str">
        <f t="shared" ca="1" si="0"/>
        <v>Y</v>
      </c>
      <c r="T15" s="45" t="str">
        <f t="shared" ca="1" si="0"/>
        <v>Y</v>
      </c>
      <c r="U15" s="45" t="str">
        <f t="shared" ca="1" si="0"/>
        <v/>
      </c>
      <c r="V15" s="45" t="str">
        <f t="shared" ca="1" si="0"/>
        <v/>
      </c>
    </row>
    <row r="16" spans="1:22">
      <c r="A16" s="108" t="str">
        <f>ChkList!A16</f>
        <v>접근 관리</v>
      </c>
      <c r="B16" s="156" t="str">
        <f>ChkList!$B16</f>
        <v>D-12</v>
      </c>
      <c r="C16" s="21" t="str">
        <f>ChkList!$C16</f>
        <v>안전한 리스너 비밀번호 설정 및 사용</v>
      </c>
      <c r="D16" s="31" t="str">
        <f>ChkList!$D16</f>
        <v>H</v>
      </c>
      <c r="E16" s="31">
        <f>ChkList!E16</f>
        <v>3</v>
      </c>
      <c r="F16" s="23">
        <f ca="1">COUNTA($S16:INDIRECT(ADDRESS(ROW(),MATCH("",$4:$4,-1),1,1)))</f>
        <v>4</v>
      </c>
      <c r="G16" s="23">
        <f ca="1">'취약점 진단 항목별 통계'!G16</f>
        <v>2</v>
      </c>
      <c r="H16" s="23">
        <f ca="1">'취약점 진단 항목별 통계'!H16</f>
        <v>0</v>
      </c>
      <c r="I16" s="23">
        <f ca="1">'취약점 진단 항목별 통계'!I16</f>
        <v>0</v>
      </c>
      <c r="J16" s="23">
        <f ca="1">'취약점 진단 항목별 통계'!J16</f>
        <v>2</v>
      </c>
      <c r="K16" s="23">
        <f ca="1">COUNTIF($S16:INDIRECT(ADDRESS(ROW(),MATCH("",$4:$4,-1),1,1)),"조치")</f>
        <v>0</v>
      </c>
      <c r="L16" s="23">
        <f ca="1">COUNTIF($S16:INDIRECT(ADDRESS(ROW(),MATCH("",$4:$4,-1),1,1)),"미조치")</f>
        <v>0</v>
      </c>
      <c r="M16" s="23">
        <f ca="1">COUNTIF($S16:INDIRECT(ADDRESS(ROW(),MATCH("",$4:$4,-1),1,1)),"위험수용")</f>
        <v>0</v>
      </c>
      <c r="N16" s="23">
        <f ca="1">COUNTIF($S16:INDIRECT(ADDRESS(ROW(),MATCH("",$4:$4,-1),1,1)),"N/A")</f>
        <v>2</v>
      </c>
      <c r="O16" s="23">
        <f ca="1">VLOOKUP($D16,'parm(hidden)'!$B$8:$C$10,2,FALSE)*($F16-$J16)</f>
        <v>6</v>
      </c>
      <c r="P16" s="23">
        <f ca="1">VLOOKUP($D16,'parm(hidden)'!$B$8:$C$10,2,FALSE)*($F16-$N16)</f>
        <v>6</v>
      </c>
      <c r="Q16" s="34">
        <f ca="1">VLOOKUP($D16,'parm(hidden)'!$B$8:$C$10,2,FALSE)*($G16+$H16)</f>
        <v>6</v>
      </c>
      <c r="R16" s="23">
        <f ca="1">VLOOKUP($D16,'parm(hidden)'!$B$8:$C$10,2,FALSE)*($G16+$H16+$K16)</f>
        <v>6</v>
      </c>
      <c r="S16" s="45" t="str">
        <f t="shared" ca="1" si="0"/>
        <v>N/A</v>
      </c>
      <c r="T16" s="45" t="str">
        <f t="shared" ca="1" si="0"/>
        <v>N/A</v>
      </c>
      <c r="U16" s="45" t="str">
        <f t="shared" ca="1" si="0"/>
        <v/>
      </c>
      <c r="V16" s="45" t="str">
        <f t="shared" ca="1" si="0"/>
        <v/>
      </c>
    </row>
    <row r="17" spans="1:22" ht="22.5">
      <c r="A17" s="108" t="str">
        <f>ChkList!A17</f>
        <v>접근 관리</v>
      </c>
      <c r="B17" s="156" t="str">
        <f>ChkList!$B17</f>
        <v>D-13</v>
      </c>
      <c r="C17" s="21" t="str">
        <f>ChkList!$C17</f>
        <v>불필요한 ODBC/OLE-DB 데이터 소스와 드라이브를 제거하여 사용</v>
      </c>
      <c r="D17" s="31" t="str">
        <f>ChkList!$D17</f>
        <v>M</v>
      </c>
      <c r="E17" s="31">
        <f>ChkList!E17</f>
        <v>2</v>
      </c>
      <c r="F17" s="23">
        <f ca="1">COUNTA($S17:INDIRECT(ADDRESS(ROW(),MATCH("",$4:$4,-1),1,1)))</f>
        <v>4</v>
      </c>
      <c r="G17" s="23">
        <f ca="1">'취약점 진단 항목별 통계'!G17</f>
        <v>2</v>
      </c>
      <c r="H17" s="23">
        <f ca="1">'취약점 진단 항목별 통계'!H17</f>
        <v>0</v>
      </c>
      <c r="I17" s="23">
        <f ca="1">'취약점 진단 항목별 통계'!I17</f>
        <v>0</v>
      </c>
      <c r="J17" s="23">
        <f ca="1">'취약점 진단 항목별 통계'!J17</f>
        <v>2</v>
      </c>
      <c r="K17" s="23">
        <f ca="1">COUNTIF($S17:INDIRECT(ADDRESS(ROW(),MATCH("",$4:$4,-1),1,1)),"조치")</f>
        <v>0</v>
      </c>
      <c r="L17" s="23">
        <f ca="1">COUNTIF($S17:INDIRECT(ADDRESS(ROW(),MATCH("",$4:$4,-1),1,1)),"미조치")</f>
        <v>0</v>
      </c>
      <c r="M17" s="23">
        <f ca="1">COUNTIF($S17:INDIRECT(ADDRESS(ROW(),MATCH("",$4:$4,-1),1,1)),"위험수용")</f>
        <v>0</v>
      </c>
      <c r="N17" s="23">
        <f ca="1">COUNTIF($S17:INDIRECT(ADDRESS(ROW(),MATCH("",$4:$4,-1),1,1)),"N/A")</f>
        <v>2</v>
      </c>
      <c r="O17" s="23">
        <f ca="1">VLOOKUP($D17,'parm(hidden)'!$B$8:$C$10,2,FALSE)*($F17-$J17)</f>
        <v>4</v>
      </c>
      <c r="P17" s="23">
        <f ca="1">VLOOKUP($D17,'parm(hidden)'!$B$8:$C$10,2,FALSE)*($F17-$N17)</f>
        <v>4</v>
      </c>
      <c r="Q17" s="34">
        <f ca="1">VLOOKUP($D17,'parm(hidden)'!$B$8:$C$10,2,FALSE)*($G17+$H17)</f>
        <v>4</v>
      </c>
      <c r="R17" s="23">
        <f ca="1">VLOOKUP($D17,'parm(hidden)'!$B$8:$C$10,2,FALSE)*($G17+$H17+$K17)</f>
        <v>4</v>
      </c>
      <c r="S17" s="45" t="str">
        <f t="shared" ca="1" si="0"/>
        <v>N/A</v>
      </c>
      <c r="T17" s="45" t="str">
        <f t="shared" ca="1" si="0"/>
        <v>N/A</v>
      </c>
      <c r="U17" s="45" t="str">
        <f t="shared" ca="1" si="0"/>
        <v/>
      </c>
      <c r="V17" s="45" t="str">
        <f t="shared" ca="1" si="0"/>
        <v/>
      </c>
    </row>
    <row r="18" spans="1:22" ht="33.75">
      <c r="A18" s="108" t="str">
        <f>ChkList!A18</f>
        <v>접근 관리</v>
      </c>
      <c r="B18" s="156" t="str">
        <f>ChkList!$B18</f>
        <v>D-14</v>
      </c>
      <c r="C18" s="21" t="str">
        <f>ChkList!$C18</f>
        <v>데이터베이스의 주요 설정파일, 비밀번호 파일 등과 같은 주요 파일들의 접근 권한이 적절하게 설정</v>
      </c>
      <c r="D18" s="31" t="str">
        <f>ChkList!$D18</f>
        <v>M</v>
      </c>
      <c r="E18" s="31">
        <f>ChkList!E18</f>
        <v>2</v>
      </c>
      <c r="F18" s="23">
        <f ca="1">COUNTA($S18:INDIRECT(ADDRESS(ROW(),MATCH("",$4:$4,-1),1,1)))</f>
        <v>4</v>
      </c>
      <c r="G18" s="23">
        <f ca="1">'취약점 진단 항목별 통계'!G18</f>
        <v>2</v>
      </c>
      <c r="H18" s="23">
        <f ca="1">'취약점 진단 항목별 통계'!H18</f>
        <v>0</v>
      </c>
      <c r="I18" s="23">
        <f ca="1">'취약점 진단 항목별 통계'!I18</f>
        <v>0</v>
      </c>
      <c r="J18" s="23">
        <f ca="1">'취약점 진단 항목별 통계'!J18</f>
        <v>2</v>
      </c>
      <c r="K18" s="23">
        <f ca="1">COUNTIF($S18:INDIRECT(ADDRESS(ROW(),MATCH("",$4:$4,-1),1,1)),"조치")</f>
        <v>0</v>
      </c>
      <c r="L18" s="23">
        <f ca="1">COUNTIF($S18:INDIRECT(ADDRESS(ROW(),MATCH("",$4:$4,-1),1,1)),"미조치")</f>
        <v>0</v>
      </c>
      <c r="M18" s="23">
        <f ca="1">COUNTIF($S18:INDIRECT(ADDRESS(ROW(),MATCH("",$4:$4,-1),1,1)),"위험수용")</f>
        <v>0</v>
      </c>
      <c r="N18" s="23">
        <f ca="1">COUNTIF($S18:INDIRECT(ADDRESS(ROW(),MATCH("",$4:$4,-1),1,1)),"N/A")</f>
        <v>0</v>
      </c>
      <c r="O18" s="23">
        <f ca="1">VLOOKUP($D18,'parm(hidden)'!$B$8:$C$10,2,FALSE)*($F18-$J18)</f>
        <v>4</v>
      </c>
      <c r="P18" s="23">
        <f ca="1">VLOOKUP($D18,'parm(hidden)'!$B$8:$C$10,2,FALSE)*($F18-$N18)</f>
        <v>8</v>
      </c>
      <c r="Q18" s="34">
        <f ca="1">VLOOKUP($D18,'parm(hidden)'!$B$8:$C$10,2,FALSE)*($G18+$H18)</f>
        <v>4</v>
      </c>
      <c r="R18" s="23">
        <f ca="1">VLOOKUP($D18,'parm(hidden)'!$B$8:$C$10,2,FALSE)*($G18+$H18+$K18)</f>
        <v>4</v>
      </c>
      <c r="S18" s="45" t="str">
        <f t="shared" ca="1" si="0"/>
        <v>Y</v>
      </c>
      <c r="T18" s="45" t="str">
        <f t="shared" ca="1" si="0"/>
        <v>Y</v>
      </c>
      <c r="U18" s="45" t="str">
        <f t="shared" ca="1" si="0"/>
        <v/>
      </c>
      <c r="V18" s="45" t="str">
        <f t="shared" ca="1" si="0"/>
        <v/>
      </c>
    </row>
    <row r="19" spans="1:22" ht="33.75">
      <c r="A19" s="108" t="str">
        <f>ChkList!A19</f>
        <v>접근 관리</v>
      </c>
      <c r="B19" s="156" t="str">
        <f>ChkList!$B19</f>
        <v>D-15</v>
      </c>
      <c r="C19" s="21" t="str">
        <f>ChkList!$C19</f>
        <v>관리자 이외의 사용자가 오라클 리스너의 접속을 통해 리스너 로그 및 trace 파일에 대한 변경 제한</v>
      </c>
      <c r="D19" s="31" t="str">
        <f>ChkList!$D19</f>
        <v>L</v>
      </c>
      <c r="E19" s="31">
        <f>ChkList!E19</f>
        <v>1</v>
      </c>
      <c r="F19" s="23">
        <f ca="1">COUNTA($S19:INDIRECT(ADDRESS(ROW(),MATCH("",$4:$4,-1),1,1)))</f>
        <v>4</v>
      </c>
      <c r="G19" s="23">
        <f ca="1">'취약점 진단 항목별 통계'!G19</f>
        <v>0</v>
      </c>
      <c r="H19" s="23">
        <f ca="1">'취약점 진단 항목별 통계'!H19</f>
        <v>0</v>
      </c>
      <c r="I19" s="23">
        <f ca="1">'취약점 진단 항목별 통계'!I19</f>
        <v>0</v>
      </c>
      <c r="J19" s="23">
        <f ca="1">'취약점 진단 항목별 통계'!J19</f>
        <v>4</v>
      </c>
      <c r="K19" s="23">
        <f ca="1">COUNTIF($S19:INDIRECT(ADDRESS(ROW(),MATCH("",$4:$4,-1),1,1)),"조치")</f>
        <v>0</v>
      </c>
      <c r="L19" s="23">
        <f ca="1">COUNTIF($S19:INDIRECT(ADDRESS(ROW(),MATCH("",$4:$4,-1),1,1)),"미조치")</f>
        <v>0</v>
      </c>
      <c r="M19" s="23">
        <f ca="1">COUNTIF($S19:INDIRECT(ADDRESS(ROW(),MATCH("",$4:$4,-1),1,1)),"위험수용")</f>
        <v>0</v>
      </c>
      <c r="N19" s="23">
        <f ca="1">COUNTIF($S19:INDIRECT(ADDRESS(ROW(),MATCH("",$4:$4,-1),1,1)),"N/A")</f>
        <v>2</v>
      </c>
      <c r="O19" s="23">
        <f ca="1">VLOOKUP($D19,'parm(hidden)'!$B$8:$C$10,2,FALSE)*($F19-$J19)</f>
        <v>0</v>
      </c>
      <c r="P19" s="23">
        <f ca="1">VLOOKUP($D19,'parm(hidden)'!$B$8:$C$10,2,FALSE)*($F19-$N19)</f>
        <v>2</v>
      </c>
      <c r="Q19" s="34">
        <f ca="1">VLOOKUP($D19,'parm(hidden)'!$B$8:$C$10,2,FALSE)*($G19+$H19)</f>
        <v>0</v>
      </c>
      <c r="R19" s="23">
        <f ca="1">VLOOKUP($D19,'parm(hidden)'!$B$8:$C$10,2,FALSE)*($G19+$H19+$K19)</f>
        <v>0</v>
      </c>
      <c r="S19" s="45" t="str">
        <f t="shared" ca="1" si="0"/>
        <v>N/A</v>
      </c>
      <c r="T19" s="45" t="str">
        <f t="shared" ca="1" si="0"/>
        <v>N/A</v>
      </c>
      <c r="U19" s="45" t="str">
        <f t="shared" ca="1" si="0"/>
        <v/>
      </c>
      <c r="V19" s="45" t="str">
        <f t="shared" ca="1" si="0"/>
        <v/>
      </c>
    </row>
    <row r="20" spans="1:22">
      <c r="A20" s="108" t="str">
        <f>ChkList!A20</f>
        <v>접근 관리</v>
      </c>
      <c r="B20" s="156" t="str">
        <f>ChkList!$B20</f>
        <v>D-16</v>
      </c>
      <c r="C20" s="21" t="str">
        <f>ChkList!$C20</f>
        <v>Windows 인증 모드 사용</v>
      </c>
      <c r="D20" s="31" t="str">
        <f>ChkList!$D20</f>
        <v>L</v>
      </c>
      <c r="E20" s="31">
        <f>ChkList!E20</f>
        <v>1</v>
      </c>
      <c r="F20" s="23">
        <f ca="1">COUNTA($S20:INDIRECT(ADDRESS(ROW(),MATCH("",$4:$4,-1),1,1)))</f>
        <v>4</v>
      </c>
      <c r="G20" s="23">
        <f ca="1">'취약점 진단 항목별 통계'!G20</f>
        <v>0</v>
      </c>
      <c r="H20" s="23">
        <f ca="1">'취약점 진단 항목별 통계'!H20</f>
        <v>0</v>
      </c>
      <c r="I20" s="23">
        <f ca="1">'취약점 진단 항목별 통계'!I20</f>
        <v>0</v>
      </c>
      <c r="J20" s="23">
        <f ca="1">'취약점 진단 항목별 통계'!J20</f>
        <v>4</v>
      </c>
      <c r="K20" s="23">
        <f ca="1">COUNTIF($S20:INDIRECT(ADDRESS(ROW(),MATCH("",$4:$4,-1),1,1)),"조치")</f>
        <v>0</v>
      </c>
      <c r="L20" s="23">
        <f ca="1">COUNTIF($S20:INDIRECT(ADDRESS(ROW(),MATCH("",$4:$4,-1),1,1)),"미조치")</f>
        <v>0</v>
      </c>
      <c r="M20" s="23">
        <f ca="1">COUNTIF($S20:INDIRECT(ADDRESS(ROW(),MATCH("",$4:$4,-1),1,1)),"위험수용")</f>
        <v>0</v>
      </c>
      <c r="N20" s="23">
        <f ca="1">COUNTIF($S20:INDIRECT(ADDRESS(ROW(),MATCH("",$4:$4,-1),1,1)),"N/A")</f>
        <v>2</v>
      </c>
      <c r="O20" s="23">
        <f ca="1">VLOOKUP($D20,'parm(hidden)'!$B$8:$C$10,2,FALSE)*($F20-$J20)</f>
        <v>0</v>
      </c>
      <c r="P20" s="23">
        <f ca="1">VLOOKUP($D20,'parm(hidden)'!$B$8:$C$10,2,FALSE)*($F20-$N20)</f>
        <v>2</v>
      </c>
      <c r="Q20" s="34">
        <f ca="1">VLOOKUP($D20,'parm(hidden)'!$B$8:$C$10,2,FALSE)*($G20+$H20)</f>
        <v>0</v>
      </c>
      <c r="R20" s="23">
        <f ca="1">VLOOKUP($D20,'parm(hidden)'!$B$8:$C$10,2,FALSE)*($G20+$H20+$K20)</f>
        <v>0</v>
      </c>
      <c r="S20" s="45" t="str">
        <f t="shared" ca="1" si="0"/>
        <v>N/A</v>
      </c>
      <c r="T20" s="45" t="str">
        <f t="shared" ca="1" si="0"/>
        <v>N/A</v>
      </c>
      <c r="U20" s="45" t="str">
        <f t="shared" ca="1" si="0"/>
        <v/>
      </c>
      <c r="V20" s="45" t="str">
        <f t="shared" ca="1" si="0"/>
        <v/>
      </c>
    </row>
    <row r="21" spans="1:22" ht="22.5">
      <c r="A21" s="108" t="str">
        <f>ChkList!A21</f>
        <v>옵션 관리</v>
      </c>
      <c r="B21" s="156" t="str">
        <f>ChkList!$B21</f>
        <v>D-17</v>
      </c>
      <c r="C21" s="21" t="str">
        <f>ChkList!$C21</f>
        <v>Audit Table은 데이터베이스 관리자 계정에 접근하도록 제한</v>
      </c>
      <c r="D21" s="31" t="str">
        <f>ChkList!$D21</f>
        <v>L</v>
      </c>
      <c r="E21" s="31">
        <f>ChkList!E21</f>
        <v>1</v>
      </c>
      <c r="F21" s="23">
        <f ca="1">COUNTA($S21:INDIRECT(ADDRESS(ROW(),MATCH("",$4:$4,-1),1,1)))</f>
        <v>4</v>
      </c>
      <c r="G21" s="23">
        <f ca="1">'취약점 진단 항목별 통계'!G21</f>
        <v>0</v>
      </c>
      <c r="H21" s="23">
        <f ca="1">'취약점 진단 항목별 통계'!H21</f>
        <v>0</v>
      </c>
      <c r="I21" s="23">
        <f ca="1">'취약점 진단 항목별 통계'!I21</f>
        <v>0</v>
      </c>
      <c r="J21" s="23">
        <f ca="1">'취약점 진단 항목별 통계'!J21</f>
        <v>4</v>
      </c>
      <c r="K21" s="23">
        <f ca="1">COUNTIF($S21:INDIRECT(ADDRESS(ROW(),MATCH("",$4:$4,-1),1,1)),"조치")</f>
        <v>0</v>
      </c>
      <c r="L21" s="23">
        <f ca="1">COUNTIF($S21:INDIRECT(ADDRESS(ROW(),MATCH("",$4:$4,-1),1,1)),"미조치")</f>
        <v>0</v>
      </c>
      <c r="M21" s="23">
        <f ca="1">COUNTIF($S21:INDIRECT(ADDRESS(ROW(),MATCH("",$4:$4,-1),1,1)),"위험수용")</f>
        <v>0</v>
      </c>
      <c r="N21" s="23">
        <f ca="1">COUNTIF($S21:INDIRECT(ADDRESS(ROW(),MATCH("",$4:$4,-1),1,1)),"N/A")</f>
        <v>2</v>
      </c>
      <c r="O21" s="23">
        <f ca="1">VLOOKUP($D21,'parm(hidden)'!$B$8:$C$10,2,FALSE)*($F21-$J21)</f>
        <v>0</v>
      </c>
      <c r="P21" s="23">
        <f ca="1">VLOOKUP($D21,'parm(hidden)'!$B$8:$C$10,2,FALSE)*($F21-$N21)</f>
        <v>2</v>
      </c>
      <c r="Q21" s="34">
        <f ca="1">VLOOKUP($D21,'parm(hidden)'!$B$8:$C$10,2,FALSE)*($G21+$H21)</f>
        <v>0</v>
      </c>
      <c r="R21" s="23">
        <f ca="1">VLOOKUP($D21,'parm(hidden)'!$B$8:$C$10,2,FALSE)*($G21+$H21+$K21)</f>
        <v>0</v>
      </c>
      <c r="S21" s="45" t="str">
        <f t="shared" ca="1" si="0"/>
        <v>N/A</v>
      </c>
      <c r="T21" s="45" t="str">
        <f t="shared" ca="1" si="0"/>
        <v>N/A</v>
      </c>
      <c r="U21" s="45" t="str">
        <f t="shared" ca="1" si="0"/>
        <v/>
      </c>
      <c r="V21" s="45" t="str">
        <f t="shared" ca="1" si="0"/>
        <v/>
      </c>
    </row>
    <row r="22" spans="1:22" ht="22.5">
      <c r="A22" s="108" t="str">
        <f>ChkList!A22</f>
        <v>옵션 관리</v>
      </c>
      <c r="B22" s="156" t="str">
        <f>ChkList!$B22</f>
        <v>D-18</v>
      </c>
      <c r="C22" s="21" t="str">
        <f>ChkList!$C22</f>
        <v>응용프로그램 또는 DBA 계정의 Role이 Public으로 설정되지 않도록 조정</v>
      </c>
      <c r="D22" s="31" t="str">
        <f>ChkList!$D22</f>
        <v>H</v>
      </c>
      <c r="E22" s="31">
        <f>ChkList!E22</f>
        <v>3</v>
      </c>
      <c r="F22" s="23">
        <f ca="1">COUNTA($S22:INDIRECT(ADDRESS(ROW(),MATCH("",$4:$4,-1),1,1)))</f>
        <v>4</v>
      </c>
      <c r="G22" s="23">
        <f ca="1">'취약점 진단 항목별 통계'!G22</f>
        <v>0</v>
      </c>
      <c r="H22" s="23">
        <f ca="1">'취약점 진단 항목별 통계'!H22</f>
        <v>0</v>
      </c>
      <c r="I22" s="23">
        <f ca="1">'취약점 진단 항목별 통계'!I22</f>
        <v>0</v>
      </c>
      <c r="J22" s="23">
        <f ca="1">'취약점 진단 항목별 통계'!J22</f>
        <v>4</v>
      </c>
      <c r="K22" s="23">
        <f ca="1">COUNTIF($S22:INDIRECT(ADDRESS(ROW(),MATCH("",$4:$4,-1),1,1)),"조치")</f>
        <v>0</v>
      </c>
      <c r="L22" s="23">
        <f ca="1">COUNTIF($S22:INDIRECT(ADDRESS(ROW(),MATCH("",$4:$4,-1),1,1)),"미조치")</f>
        <v>0</v>
      </c>
      <c r="M22" s="23">
        <f ca="1">COUNTIF($S22:INDIRECT(ADDRESS(ROW(),MATCH("",$4:$4,-1),1,1)),"위험수용")</f>
        <v>0</v>
      </c>
      <c r="N22" s="23">
        <f ca="1">COUNTIF($S22:INDIRECT(ADDRESS(ROW(),MATCH("",$4:$4,-1),1,1)),"N/A")</f>
        <v>2</v>
      </c>
      <c r="O22" s="23">
        <f ca="1">VLOOKUP($D22,'parm(hidden)'!$B$8:$C$10,2,FALSE)*($F22-$J22)</f>
        <v>0</v>
      </c>
      <c r="P22" s="23">
        <f ca="1">VLOOKUP($D22,'parm(hidden)'!$B$8:$C$10,2,FALSE)*($F22-$N22)</f>
        <v>6</v>
      </c>
      <c r="Q22" s="34">
        <f ca="1">VLOOKUP($D22,'parm(hidden)'!$B$8:$C$10,2,FALSE)*($G22+$H22)</f>
        <v>0</v>
      </c>
      <c r="R22" s="23">
        <f ca="1">VLOOKUP($D22,'parm(hidden)'!$B$8:$C$10,2,FALSE)*($G22+$H22+$K22)</f>
        <v>0</v>
      </c>
      <c r="S22" s="45" t="str">
        <f t="shared" ca="1" si="0"/>
        <v>N/A</v>
      </c>
      <c r="T22" s="45" t="str">
        <f t="shared" ca="1" si="0"/>
        <v>N/A</v>
      </c>
      <c r="U22" s="45" t="str">
        <f t="shared" ca="1" si="0"/>
        <v/>
      </c>
      <c r="V22" s="45" t="str">
        <f t="shared" ca="1" si="0"/>
        <v/>
      </c>
    </row>
    <row r="23" spans="1:22" ht="22.5">
      <c r="A23" s="108" t="str">
        <f>ChkList!A23</f>
        <v>옵션 관리</v>
      </c>
      <c r="B23" s="156" t="str">
        <f>ChkList!$B23</f>
        <v>D-19</v>
      </c>
      <c r="C23" s="21" t="str">
        <f>ChkList!$C23</f>
        <v>OS_ROLES, REMOTE_OS_AUTHENTICATION, REMOTE_OS_ROLES를 FALSE로 설정</v>
      </c>
      <c r="D23" s="31" t="str">
        <f>ChkList!$D23</f>
        <v>H</v>
      </c>
      <c r="E23" s="31">
        <f>ChkList!E23</f>
        <v>3</v>
      </c>
      <c r="F23" s="23">
        <f ca="1">COUNTA($S23:INDIRECT(ADDRESS(ROW(),MATCH("",$4:$4,-1),1,1)))</f>
        <v>4</v>
      </c>
      <c r="G23" s="23">
        <f ca="1">'취약점 진단 항목별 통계'!G23</f>
        <v>2</v>
      </c>
      <c r="H23" s="23">
        <f ca="1">'취약점 진단 항목별 통계'!H23</f>
        <v>0</v>
      </c>
      <c r="I23" s="23">
        <f ca="1">'취약점 진단 항목별 통계'!I23</f>
        <v>0</v>
      </c>
      <c r="J23" s="23">
        <f ca="1">'취약점 진단 항목별 통계'!J23</f>
        <v>2</v>
      </c>
      <c r="K23" s="23">
        <f ca="1">COUNTIF($S23:INDIRECT(ADDRESS(ROW(),MATCH("",$4:$4,-1),1,1)),"조치")</f>
        <v>0</v>
      </c>
      <c r="L23" s="23">
        <f ca="1">COUNTIF($S23:INDIRECT(ADDRESS(ROW(),MATCH("",$4:$4,-1),1,1)),"미조치")</f>
        <v>0</v>
      </c>
      <c r="M23" s="23">
        <f ca="1">COUNTIF($S23:INDIRECT(ADDRESS(ROW(),MATCH("",$4:$4,-1),1,1)),"위험수용")</f>
        <v>0</v>
      </c>
      <c r="N23" s="23">
        <f ca="1">COUNTIF($S23:INDIRECT(ADDRESS(ROW(),MATCH("",$4:$4,-1),1,1)),"N/A")</f>
        <v>2</v>
      </c>
      <c r="O23" s="23">
        <f ca="1">VLOOKUP($D23,'parm(hidden)'!$B$8:$C$10,2,FALSE)*($F23-$J23)</f>
        <v>6</v>
      </c>
      <c r="P23" s="23">
        <f ca="1">VLOOKUP($D23,'parm(hidden)'!$B$8:$C$10,2,FALSE)*($F23-$N23)</f>
        <v>6</v>
      </c>
      <c r="Q23" s="34">
        <f ca="1">VLOOKUP($D23,'parm(hidden)'!$B$8:$C$10,2,FALSE)*($G23+$H23)</f>
        <v>6</v>
      </c>
      <c r="R23" s="23">
        <f ca="1">VLOOKUP($D23,'parm(hidden)'!$B$8:$C$10,2,FALSE)*($G23+$H23+$K23)</f>
        <v>6</v>
      </c>
      <c r="S23" s="45" t="str">
        <f t="shared" ca="1" si="0"/>
        <v>N/A</v>
      </c>
      <c r="T23" s="45" t="str">
        <f t="shared" ca="1" si="0"/>
        <v>N/A</v>
      </c>
      <c r="U23" s="45" t="str">
        <f t="shared" ca="1" si="0"/>
        <v/>
      </c>
      <c r="V23" s="45" t="str">
        <f t="shared" ca="1" si="0"/>
        <v/>
      </c>
    </row>
    <row r="24" spans="1:22">
      <c r="A24" s="108" t="str">
        <f>ChkList!A24</f>
        <v>옵션 관리</v>
      </c>
      <c r="B24" s="156" t="str">
        <f>ChkList!$B24</f>
        <v>D-20</v>
      </c>
      <c r="C24" s="21" t="str">
        <f>ChkList!$C24</f>
        <v>인가되지 않은 Object Owner의 제한</v>
      </c>
      <c r="D24" s="31" t="str">
        <f>ChkList!$D24</f>
        <v>L</v>
      </c>
      <c r="E24" s="31">
        <f>ChkList!E24</f>
        <v>1</v>
      </c>
      <c r="F24" s="23">
        <f ca="1">COUNTA($S24:INDIRECT(ADDRESS(ROW(),MATCH("",$4:$4,-1),1,1)))</f>
        <v>4</v>
      </c>
      <c r="G24" s="23">
        <f ca="1">'취약점 진단 항목별 통계'!G24</f>
        <v>0</v>
      </c>
      <c r="H24" s="23">
        <f ca="1">'취약점 진단 항목별 통계'!H24</f>
        <v>0</v>
      </c>
      <c r="I24" s="23">
        <f ca="1">'취약점 진단 항목별 통계'!I24</f>
        <v>0</v>
      </c>
      <c r="J24" s="23">
        <f ca="1">'취약점 진단 항목별 통계'!J24</f>
        <v>4</v>
      </c>
      <c r="K24" s="23">
        <f ca="1">COUNTIF($S24:INDIRECT(ADDRESS(ROW(),MATCH("",$4:$4,-1),1,1)),"조치")</f>
        <v>0</v>
      </c>
      <c r="L24" s="23">
        <f ca="1">COUNTIF($S24:INDIRECT(ADDRESS(ROW(),MATCH("",$4:$4,-1),1,1)),"미조치")</f>
        <v>0</v>
      </c>
      <c r="M24" s="23">
        <f ca="1">COUNTIF($S24:INDIRECT(ADDRESS(ROW(),MATCH("",$4:$4,-1),1,1)),"위험수용")</f>
        <v>0</v>
      </c>
      <c r="N24" s="23">
        <f ca="1">COUNTIF($S24:INDIRECT(ADDRESS(ROW(),MATCH("",$4:$4,-1),1,1)),"N/A")</f>
        <v>2</v>
      </c>
      <c r="O24" s="23">
        <f ca="1">VLOOKUP($D24,'parm(hidden)'!$B$8:$C$10,2,FALSE)*($F24-$J24)</f>
        <v>0</v>
      </c>
      <c r="P24" s="23">
        <f ca="1">VLOOKUP($D24,'parm(hidden)'!$B$8:$C$10,2,FALSE)*($F24-$N24)</f>
        <v>2</v>
      </c>
      <c r="Q24" s="34">
        <f ca="1">VLOOKUP($D24,'parm(hidden)'!$B$8:$C$10,2,FALSE)*($G24+$H24)</f>
        <v>0</v>
      </c>
      <c r="R24" s="23">
        <f ca="1">VLOOKUP($D24,'parm(hidden)'!$B$8:$C$10,2,FALSE)*($G24+$H24+$K24)</f>
        <v>0</v>
      </c>
      <c r="S24" s="45" t="str">
        <f t="shared" ca="1" si="0"/>
        <v>N/A</v>
      </c>
      <c r="T24" s="45" t="str">
        <f t="shared" ca="1" si="0"/>
        <v>N/A</v>
      </c>
      <c r="U24" s="45" t="str">
        <f t="shared" ca="1" si="0"/>
        <v/>
      </c>
      <c r="V24" s="45" t="str">
        <f t="shared" ca="1" si="0"/>
        <v/>
      </c>
    </row>
    <row r="25" spans="1:22">
      <c r="A25" s="108" t="str">
        <f>ChkList!A25</f>
        <v>옵션 관리</v>
      </c>
      <c r="B25" s="156" t="str">
        <f>ChkList!$B25</f>
        <v>D-21</v>
      </c>
      <c r="C25" s="21" t="str">
        <f>ChkList!$C25</f>
        <v>인가되지 않은 GRANT OPTION 사용 제한</v>
      </c>
      <c r="D25" s="31" t="str">
        <f>ChkList!$D25</f>
        <v>M</v>
      </c>
      <c r="E25" s="31">
        <f>ChkList!E25</f>
        <v>2</v>
      </c>
      <c r="F25" s="23">
        <f ca="1">COUNTA($S25:INDIRECT(ADDRESS(ROW(),MATCH("",$4:$4,-1),1,1)))</f>
        <v>4</v>
      </c>
      <c r="G25" s="23">
        <f ca="1">'취약점 진단 항목별 통계'!G25</f>
        <v>0</v>
      </c>
      <c r="H25" s="23">
        <f ca="1">'취약점 진단 항목별 통계'!H25</f>
        <v>0</v>
      </c>
      <c r="I25" s="23">
        <f ca="1">'취약점 진단 항목별 통계'!I25</f>
        <v>0</v>
      </c>
      <c r="J25" s="23">
        <f ca="1">'취약점 진단 항목별 통계'!J25</f>
        <v>2</v>
      </c>
      <c r="K25" s="23">
        <f ca="1">COUNTIF($S25:INDIRECT(ADDRESS(ROW(),MATCH("",$4:$4,-1),1,1)),"조치")</f>
        <v>0</v>
      </c>
      <c r="L25" s="23">
        <f ca="1">COUNTIF($S25:INDIRECT(ADDRESS(ROW(),MATCH("",$4:$4,-1),1,1)),"미조치")</f>
        <v>0</v>
      </c>
      <c r="M25" s="23">
        <f ca="1">COUNTIF($S25:INDIRECT(ADDRESS(ROW(),MATCH("",$4:$4,-1),1,1)),"위험수용")</f>
        <v>0</v>
      </c>
      <c r="N25" s="23">
        <f ca="1">COUNTIF($S25:INDIRECT(ADDRESS(ROW(),MATCH("",$4:$4,-1),1,1)),"N/A")</f>
        <v>2</v>
      </c>
      <c r="O25" s="23">
        <f ca="1">VLOOKUP($D25,'parm(hidden)'!$B$8:$C$10,2,FALSE)*($F25-$J25)</f>
        <v>4</v>
      </c>
      <c r="P25" s="23">
        <f ca="1">VLOOKUP($D25,'parm(hidden)'!$B$8:$C$10,2,FALSE)*($F25-$N25)</f>
        <v>4</v>
      </c>
      <c r="Q25" s="34">
        <f ca="1">VLOOKUP($D25,'parm(hidden)'!$B$8:$C$10,2,FALSE)*($G25+$H25)</f>
        <v>0</v>
      </c>
      <c r="R25" s="23">
        <f ca="1">VLOOKUP($D25,'parm(hidden)'!$B$8:$C$10,2,FALSE)*($G25+$H25+$K25)</f>
        <v>0</v>
      </c>
      <c r="S25" s="45" t="str">
        <f t="shared" ca="1" si="0"/>
        <v>N/A</v>
      </c>
      <c r="T25" s="45" t="str">
        <f t="shared" ca="1" si="0"/>
        <v>N/A</v>
      </c>
      <c r="U25" s="45" t="str">
        <f t="shared" ca="1" si="0"/>
        <v/>
      </c>
      <c r="V25" s="45" t="str">
        <f t="shared" ca="1" si="0"/>
        <v/>
      </c>
    </row>
    <row r="26" spans="1:22">
      <c r="A26" s="108" t="str">
        <f>ChkList!A26</f>
        <v>옵션 관리</v>
      </c>
      <c r="B26" s="156" t="str">
        <f>ChkList!$B26</f>
        <v>D-22</v>
      </c>
      <c r="C26" s="21" t="str">
        <f>ChkList!$C26</f>
        <v>데이터베이스의 자원 제한 기능을 TRUE로 설정</v>
      </c>
      <c r="D26" s="31" t="str">
        <f>ChkList!$D26</f>
        <v>L</v>
      </c>
      <c r="E26" s="31">
        <f>ChkList!E26</f>
        <v>1</v>
      </c>
      <c r="F26" s="23">
        <f ca="1">COUNTA($S26:INDIRECT(ADDRESS(ROW(),MATCH("",$4:$4,-1),1,1)))</f>
        <v>4</v>
      </c>
      <c r="G26" s="23">
        <f ca="1">'취약점 진단 항목별 통계'!G26</f>
        <v>0</v>
      </c>
      <c r="H26" s="23">
        <f ca="1">'취약점 진단 항목별 통계'!H26</f>
        <v>0</v>
      </c>
      <c r="I26" s="23">
        <f ca="1">'취약점 진단 항목별 통계'!I26</f>
        <v>0</v>
      </c>
      <c r="J26" s="23">
        <f ca="1">'취약점 진단 항목별 통계'!J26</f>
        <v>4</v>
      </c>
      <c r="K26" s="23">
        <f ca="1">COUNTIF($S26:INDIRECT(ADDRESS(ROW(),MATCH("",$4:$4,-1),1,1)),"조치")</f>
        <v>0</v>
      </c>
      <c r="L26" s="23">
        <f ca="1">COUNTIF($S26:INDIRECT(ADDRESS(ROW(),MATCH("",$4:$4,-1),1,1)),"미조치")</f>
        <v>0</v>
      </c>
      <c r="M26" s="23">
        <f ca="1">COUNTIF($S26:INDIRECT(ADDRESS(ROW(),MATCH("",$4:$4,-1),1,1)),"위험수용")</f>
        <v>0</v>
      </c>
      <c r="N26" s="23">
        <f ca="1">COUNTIF($S26:INDIRECT(ADDRESS(ROW(),MATCH("",$4:$4,-1),1,1)),"N/A")</f>
        <v>2</v>
      </c>
      <c r="O26" s="23">
        <f ca="1">VLOOKUP($D26,'parm(hidden)'!$B$8:$C$10,2,FALSE)*($F26-$J26)</f>
        <v>0</v>
      </c>
      <c r="P26" s="23">
        <f ca="1">VLOOKUP($D26,'parm(hidden)'!$B$8:$C$10,2,FALSE)*($F26-$N26)</f>
        <v>2</v>
      </c>
      <c r="Q26" s="34">
        <f ca="1">VLOOKUP($D26,'parm(hidden)'!$B$8:$C$10,2,FALSE)*($G26+$H26)</f>
        <v>0</v>
      </c>
      <c r="R26" s="23">
        <f ca="1">VLOOKUP($D26,'parm(hidden)'!$B$8:$C$10,2,FALSE)*($G26+$H26+$K26)</f>
        <v>0</v>
      </c>
      <c r="S26" s="45" t="str">
        <f t="shared" ca="1" si="0"/>
        <v>N/A</v>
      </c>
      <c r="T26" s="45" t="str">
        <f t="shared" ca="1" si="0"/>
        <v>N/A</v>
      </c>
      <c r="U26" s="45" t="str">
        <f t="shared" ca="1" si="0"/>
        <v/>
      </c>
      <c r="V26" s="45" t="str">
        <f t="shared" ca="1" si="0"/>
        <v/>
      </c>
    </row>
    <row r="27" spans="1:22">
      <c r="A27" s="108" t="str">
        <f>ChkList!A27</f>
        <v>옵션 관리</v>
      </c>
      <c r="B27" s="156" t="str">
        <f>ChkList!$B27</f>
        <v>D-23</v>
      </c>
      <c r="C27" s="21" t="str">
        <f>ChkList!$C27</f>
        <v>xp_cmdshell 사용 제한</v>
      </c>
      <c r="D27" s="31" t="str">
        <f>ChkList!$D27</f>
        <v>H</v>
      </c>
      <c r="E27" s="31">
        <f>ChkList!E27</f>
        <v>3</v>
      </c>
      <c r="F27" s="23">
        <f ca="1">COUNTA($S27:INDIRECT(ADDRESS(ROW(),MATCH("",$4:$4,-1),1,1)))</f>
        <v>4</v>
      </c>
      <c r="G27" s="23">
        <f ca="1">'취약점 진단 항목별 통계'!G27</f>
        <v>1</v>
      </c>
      <c r="H27" s="23">
        <f ca="1">'취약점 진단 항목별 통계'!H27</f>
        <v>0</v>
      </c>
      <c r="I27" s="23">
        <f ca="1">'취약점 진단 항목별 통계'!I27</f>
        <v>0</v>
      </c>
      <c r="J27" s="23">
        <f ca="1">'취약점 진단 항목별 통계'!J27</f>
        <v>2</v>
      </c>
      <c r="K27" s="23">
        <f ca="1">COUNTIF($S27:INDIRECT(ADDRESS(ROW(),MATCH("",$4:$4,-1),1,1)),"조치")</f>
        <v>0</v>
      </c>
      <c r="L27" s="23">
        <f ca="1">COUNTIF($S27:INDIRECT(ADDRESS(ROW(),MATCH("",$4:$4,-1),1,1)),"미조치")</f>
        <v>0</v>
      </c>
      <c r="M27" s="23">
        <f ca="1">COUNTIF($S27:INDIRECT(ADDRESS(ROW(),MATCH("",$4:$4,-1),1,1)),"위험수용")</f>
        <v>0</v>
      </c>
      <c r="N27" s="23">
        <f ca="1">COUNTIF($S27:INDIRECT(ADDRESS(ROW(),MATCH("",$4:$4,-1),1,1)),"N/A")</f>
        <v>2</v>
      </c>
      <c r="O27" s="23">
        <f ca="1">VLOOKUP($D27,'parm(hidden)'!$B$8:$C$10,2,FALSE)*($F27-$J27)</f>
        <v>6</v>
      </c>
      <c r="P27" s="23">
        <f ca="1">VLOOKUP($D27,'parm(hidden)'!$B$8:$C$10,2,FALSE)*($F27-$N27)</f>
        <v>6</v>
      </c>
      <c r="Q27" s="34">
        <f ca="1">VLOOKUP($D27,'parm(hidden)'!$B$8:$C$10,2,FALSE)*($G27+$H27)</f>
        <v>3</v>
      </c>
      <c r="R27" s="23">
        <f ca="1">VLOOKUP($D27,'parm(hidden)'!$B$8:$C$10,2,FALSE)*($G27+$H27+$K27)</f>
        <v>3</v>
      </c>
      <c r="S27" s="45" t="str">
        <f t="shared" ca="1" si="0"/>
        <v>N/A</v>
      </c>
      <c r="T27" s="45" t="str">
        <f t="shared" ca="1" si="0"/>
        <v>N/A</v>
      </c>
      <c r="U27" s="45" t="str">
        <f t="shared" ca="1" si="0"/>
        <v/>
      </c>
      <c r="V27" s="45" t="str">
        <f t="shared" ca="1" si="0"/>
        <v/>
      </c>
    </row>
    <row r="28" spans="1:22">
      <c r="A28" s="108" t="str">
        <f>ChkList!A28</f>
        <v>옵션 관리</v>
      </c>
      <c r="B28" s="156" t="str">
        <f>ChkList!$B28</f>
        <v>D-24</v>
      </c>
      <c r="C28" s="21" t="str">
        <f>ChkList!$C28</f>
        <v>Registry Procedure 권한 제한</v>
      </c>
      <c r="D28" s="31" t="str">
        <f>ChkList!$D28</f>
        <v>H</v>
      </c>
      <c r="E28" s="31">
        <f>ChkList!E28</f>
        <v>3</v>
      </c>
      <c r="F28" s="23">
        <f ca="1">COUNTA($S28:INDIRECT(ADDRESS(ROW(),MATCH("",$4:$4,-1),1,1)))</f>
        <v>4</v>
      </c>
      <c r="G28" s="23">
        <f ca="1">'취약점 진단 항목별 통계'!G28</f>
        <v>0</v>
      </c>
      <c r="H28" s="23">
        <f ca="1">'취약점 진단 항목별 통계'!H28</f>
        <v>0</v>
      </c>
      <c r="I28" s="23">
        <f ca="1">'취약점 진단 항목별 통계'!I28</f>
        <v>0</v>
      </c>
      <c r="J28" s="23">
        <f ca="1">'취약점 진단 항목별 통계'!J28</f>
        <v>4</v>
      </c>
      <c r="K28" s="23">
        <f ca="1">COUNTIF($S28:INDIRECT(ADDRESS(ROW(),MATCH("",$4:$4,-1),1,1)),"조치")</f>
        <v>0</v>
      </c>
      <c r="L28" s="23">
        <f ca="1">COUNTIF($S28:INDIRECT(ADDRESS(ROW(),MATCH("",$4:$4,-1),1,1)),"미조치")</f>
        <v>0</v>
      </c>
      <c r="M28" s="23">
        <f ca="1">COUNTIF($S28:INDIRECT(ADDRESS(ROW(),MATCH("",$4:$4,-1),1,1)),"위험수용")</f>
        <v>0</v>
      </c>
      <c r="N28" s="23">
        <f ca="1">COUNTIF($S28:INDIRECT(ADDRESS(ROW(),MATCH("",$4:$4,-1),1,1)),"N/A")</f>
        <v>2</v>
      </c>
      <c r="O28" s="23">
        <f ca="1">VLOOKUP($D28,'parm(hidden)'!$B$8:$C$10,2,FALSE)*($F28-$J28)</f>
        <v>0</v>
      </c>
      <c r="P28" s="23">
        <f ca="1">VLOOKUP($D28,'parm(hidden)'!$B$8:$C$10,2,FALSE)*($F28-$N28)</f>
        <v>6</v>
      </c>
      <c r="Q28" s="34">
        <f ca="1">VLOOKUP($D28,'parm(hidden)'!$B$8:$C$10,2,FALSE)*($G28+$H28)</f>
        <v>0</v>
      </c>
      <c r="R28" s="23">
        <f ca="1">VLOOKUP($D28,'parm(hidden)'!$B$8:$C$10,2,FALSE)*($G28+$H28+$K28)</f>
        <v>0</v>
      </c>
      <c r="S28" s="45" t="str">
        <f t="shared" ca="1" si="0"/>
        <v>N/A</v>
      </c>
      <c r="T28" s="45" t="str">
        <f t="shared" ca="1" si="0"/>
        <v>N/A</v>
      </c>
      <c r="U28" s="45" t="str">
        <f t="shared" ca="1" si="0"/>
        <v/>
      </c>
      <c r="V28" s="45" t="str">
        <f t="shared" ca="1" si="0"/>
        <v/>
      </c>
    </row>
    <row r="29" spans="1:22">
      <c r="A29" s="108" t="str">
        <f>ChkList!A29</f>
        <v>패치 관리</v>
      </c>
      <c r="B29" s="156" t="str">
        <f>ChkList!$B29</f>
        <v>D-25</v>
      </c>
      <c r="C29" s="21" t="str">
        <f>ChkList!$C29</f>
        <v>주기적 보안 패치 및 벤더 권고 사항 적용</v>
      </c>
      <c r="D29" s="31" t="str">
        <f>ChkList!$D29</f>
        <v>H</v>
      </c>
      <c r="E29" s="31">
        <f>ChkList!E29</f>
        <v>3</v>
      </c>
      <c r="F29" s="23">
        <f ca="1">COUNTA($S29:INDIRECT(ADDRESS(ROW(),MATCH("",$4:$4,-1),1,1)))</f>
        <v>4</v>
      </c>
      <c r="G29" s="23">
        <f ca="1">'취약점 진단 항목별 통계'!G29</f>
        <v>2</v>
      </c>
      <c r="H29" s="23">
        <f ca="1">'취약점 진단 항목별 통계'!H29</f>
        <v>0</v>
      </c>
      <c r="I29" s="23">
        <f ca="1">'취약점 진단 항목별 통계'!I29</f>
        <v>0</v>
      </c>
      <c r="J29" s="23">
        <f ca="1">'취약점 진단 항목별 통계'!J29</f>
        <v>0</v>
      </c>
      <c r="K29" s="23">
        <f ca="1">COUNTIF($S29:INDIRECT(ADDRESS(ROW(),MATCH("",$4:$4,-1),1,1)),"조치")</f>
        <v>0</v>
      </c>
      <c r="L29" s="23">
        <f ca="1">COUNTIF($S29:INDIRECT(ADDRESS(ROW(),MATCH("",$4:$4,-1),1,1)),"미조치")</f>
        <v>0</v>
      </c>
      <c r="M29" s="23">
        <f ca="1">COUNTIF($S29:INDIRECT(ADDRESS(ROW(),MATCH("",$4:$4,-1),1,1)),"위험수용")</f>
        <v>0</v>
      </c>
      <c r="N29" s="23">
        <f ca="1">COUNTIF($S29:INDIRECT(ADDRESS(ROW(),MATCH("",$4:$4,-1),1,1)),"N/A")</f>
        <v>0</v>
      </c>
      <c r="O29" s="23">
        <f ca="1">VLOOKUP($D29,'parm(hidden)'!$B$8:$C$10,2,FALSE)*($F29-$J29)</f>
        <v>12</v>
      </c>
      <c r="P29" s="23">
        <f ca="1">VLOOKUP($D29,'parm(hidden)'!$B$8:$C$10,2,FALSE)*($F29-$N29)</f>
        <v>12</v>
      </c>
      <c r="Q29" s="34">
        <f ca="1">VLOOKUP($D29,'parm(hidden)'!$B$8:$C$10,2,FALSE)*($G29+$H29)</f>
        <v>6</v>
      </c>
      <c r="R29" s="23">
        <f ca="1">VLOOKUP($D29,'parm(hidden)'!$B$8:$C$10,2,FALSE)*($G29+$H29+$K29)</f>
        <v>6</v>
      </c>
      <c r="S29" s="45" t="str">
        <f t="shared" ca="1" si="0"/>
        <v>Y</v>
      </c>
      <c r="T29" s="45">
        <f t="shared" ca="1" si="0"/>
        <v>0</v>
      </c>
      <c r="U29" s="45">
        <f t="shared" ca="1" si="0"/>
        <v>0</v>
      </c>
      <c r="V29" s="45">
        <f t="shared" ca="1" si="0"/>
        <v>0</v>
      </c>
    </row>
    <row r="30" spans="1:22" ht="22.5">
      <c r="A30" s="108" t="str">
        <f>ChkList!A30</f>
        <v>패치 관리</v>
      </c>
      <c r="B30" s="156" t="str">
        <f>ChkList!$B30</f>
        <v>D-26</v>
      </c>
      <c r="C30" s="21" t="str">
        <f>ChkList!$C30</f>
        <v>데이터베이스의 접근, 변경, 삭제 등의 감사 기록이 기관의 감사 기록 정책에 적합하도록 설정</v>
      </c>
      <c r="D30" s="31" t="str">
        <f>ChkList!$D30</f>
        <v>H</v>
      </c>
      <c r="E30" s="31">
        <f>ChkList!E30</f>
        <v>3</v>
      </c>
      <c r="F30" s="23">
        <f ca="1">COUNTA($S30:INDIRECT(ADDRESS(ROW(),MATCH("",$4:$4,-1),1,1)))</f>
        <v>4</v>
      </c>
      <c r="G30" s="23">
        <f ca="1">'취약점 진단 항목별 통계'!G30</f>
        <v>0</v>
      </c>
      <c r="H30" s="23">
        <f ca="1">'취약점 진단 항목별 통계'!H30</f>
        <v>0</v>
      </c>
      <c r="I30" s="23">
        <f ca="1">'취약점 진단 항목별 통계'!I30</f>
        <v>0</v>
      </c>
      <c r="J30" s="23">
        <f ca="1">'취약점 진단 항목별 통계'!J30</f>
        <v>2</v>
      </c>
      <c r="K30" s="23">
        <f ca="1">COUNTIF($S30:INDIRECT(ADDRESS(ROW(),MATCH("",$4:$4,-1),1,1)),"조치")</f>
        <v>0</v>
      </c>
      <c r="L30" s="23">
        <f ca="1">COUNTIF($S30:INDIRECT(ADDRESS(ROW(),MATCH("",$4:$4,-1),1,1)),"미조치")</f>
        <v>0</v>
      </c>
      <c r="M30" s="23">
        <f ca="1">COUNTIF($S30:INDIRECT(ADDRESS(ROW(),MATCH("",$4:$4,-1),1,1)),"위험수용")</f>
        <v>0</v>
      </c>
      <c r="N30" s="23">
        <f ca="1">COUNTIF($S30:INDIRECT(ADDRESS(ROW(),MATCH("",$4:$4,-1),1,1)),"N/A")</f>
        <v>1</v>
      </c>
      <c r="O30" s="23">
        <f ca="1">VLOOKUP($D30,'parm(hidden)'!$B$8:$C$10,2,FALSE)*($F30-$J30)</f>
        <v>6</v>
      </c>
      <c r="P30" s="23">
        <f ca="1">VLOOKUP($D30,'parm(hidden)'!$B$8:$C$10,2,FALSE)*($F30-$N30)</f>
        <v>9</v>
      </c>
      <c r="Q30" s="34">
        <f ca="1">VLOOKUP($D30,'parm(hidden)'!$B$8:$C$10,2,FALSE)*($G30+$H30)</f>
        <v>0</v>
      </c>
      <c r="R30" s="23">
        <f ca="1">VLOOKUP($D30,'parm(hidden)'!$B$8:$C$10,2,FALSE)*($G30+$H30+$K30)</f>
        <v>0</v>
      </c>
      <c r="S30" s="45" t="str">
        <f t="shared" ca="1" si="0"/>
        <v>N/A</v>
      </c>
      <c r="T30" s="45">
        <f t="shared" ca="1" si="0"/>
        <v>0</v>
      </c>
      <c r="U30" s="45">
        <f t="shared" ca="1" si="0"/>
        <v>0</v>
      </c>
      <c r="V30" s="45">
        <f t="shared" ca="1" si="0"/>
        <v>0</v>
      </c>
    </row>
    <row r="31" spans="1:22" ht="12" thickBot="1">
      <c r="A31" s="78"/>
      <c r="B31" s="109"/>
      <c r="C31" s="110"/>
      <c r="D31" s="110"/>
      <c r="E31" s="110"/>
      <c r="F31" s="111">
        <f t="shared" ref="F31:R31" ca="1" si="1">SUM(F5:F30)</f>
        <v>104</v>
      </c>
      <c r="G31" s="111">
        <f t="shared" ca="1" si="1"/>
        <v>34</v>
      </c>
      <c r="H31" s="111">
        <f t="shared" ca="1" si="1"/>
        <v>0</v>
      </c>
      <c r="I31" s="111">
        <f t="shared" ca="1" si="1"/>
        <v>4</v>
      </c>
      <c r="J31" s="111">
        <f t="shared" ca="1" si="1"/>
        <v>54</v>
      </c>
      <c r="K31" s="111">
        <f t="shared" ca="1" si="1"/>
        <v>4</v>
      </c>
      <c r="L31" s="111">
        <f t="shared" ca="1" si="1"/>
        <v>4</v>
      </c>
      <c r="M31" s="111">
        <f t="shared" ca="1" si="1"/>
        <v>0</v>
      </c>
      <c r="N31" s="111">
        <f t="shared" ca="1" si="1"/>
        <v>29</v>
      </c>
      <c r="O31" s="111">
        <f t="shared" ca="1" si="1"/>
        <v>136</v>
      </c>
      <c r="P31" s="111">
        <f t="shared" ca="1" si="1"/>
        <v>185</v>
      </c>
      <c r="Q31" s="111">
        <f t="shared" ca="1" si="1"/>
        <v>94</v>
      </c>
      <c r="R31" s="111">
        <f t="shared" ca="1" si="1"/>
        <v>104</v>
      </c>
      <c r="S31" s="112">
        <f ca="1">COUNTIFS(S$5:S$30,"&lt;&gt;",S$5:S$30,"&lt;&gt;0")</f>
        <v>26</v>
      </c>
      <c r="T31" s="112">
        <f ca="1">COUNTIFS(T$5:T$30,"&lt;&gt;",T$5:T$30,"&lt;&gt;0")</f>
        <v>24</v>
      </c>
      <c r="U31" s="112">
        <f ca="1">COUNTIFS(U$5:U$30,"&lt;&gt;",U$5:U$30,"&lt;&gt;0")</f>
        <v>24</v>
      </c>
      <c r="V31" s="112">
        <f ca="1">COUNTIFS(V$5:V$30,"&lt;&gt;",V$5:V$30,"&lt;&gt;0")</f>
        <v>24</v>
      </c>
    </row>
  </sheetData>
  <mergeCells count="6">
    <mergeCell ref="O3:R3"/>
    <mergeCell ref="F3:J3"/>
    <mergeCell ref="A3:B4"/>
    <mergeCell ref="C3:C4"/>
    <mergeCell ref="D3:E4"/>
    <mergeCell ref="K3:N3"/>
  </mergeCells>
  <phoneticPr fontId="4" type="noConversion"/>
  <conditionalFormatting sqref="S1:U2 S3:V3">
    <cfRule type="cellIs" dxfId="129" priority="1" operator="equal">
      <formula>"Y"</formula>
    </cfRule>
    <cfRule type="cellIs" dxfId="128" priority="2" stopIfTrue="1" operator="equal">
      <formula>"인터뷰"</formula>
    </cfRule>
  </conditionalFormatting>
  <conditionalFormatting sqref="S5:V30">
    <cfRule type="containsText" dxfId="127" priority="45" operator="containsText" text="위험수용">
      <formula>NOT(ISERROR(SEARCH("위험수용",S5)))</formula>
    </cfRule>
    <cfRule type="containsText" dxfId="126" priority="46" operator="containsText" text="미조치">
      <formula>NOT(ISERROR(SEARCH("미조치",S5)))</formula>
    </cfRule>
    <cfRule type="cellIs" dxfId="125" priority="47" stopIfTrue="1" operator="equal">
      <formula>"인터뷰"</formula>
    </cfRule>
    <cfRule type="cellIs" dxfId="124" priority="48" stopIfTrue="1" operator="equal">
      <formula>"N/A"</formula>
    </cfRule>
    <cfRule type="cellIs" dxfId="123" priority="49" stopIfTrue="1" operator="equal">
      <formula>"N"</formula>
    </cfRule>
  </conditionalFormatting>
  <conditionalFormatting sqref="S31:V31 S32:U1048576">
    <cfRule type="cellIs" dxfId="122" priority="50" operator="equal">
      <formula>"Y"</formula>
    </cfRule>
    <cfRule type="cellIs" dxfId="121" priority="51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.39370078740157483" footer="0.39370078740157483"/>
  <pageSetup paperSize="9" scale="61" fitToHeight="99" orientation="landscape" horizontalDpi="4294967294" verticalDpi="4294967294" r:id="rId1"/>
  <headerFooter alignWithMargins="0">
    <oddHeader>&amp;L
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Y46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40" customWidth="1"/>
    <col min="4" max="5" width="7.6640625" style="140" customWidth="1"/>
    <col min="6" max="8" width="7.6640625" style="12" customWidth="1"/>
    <col min="9" max="9" width="102.109375" style="12" customWidth="1"/>
    <col min="10" max="15" width="7.6640625" style="12" customWidth="1"/>
    <col min="16" max="16" width="18.10937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DB_HQ_Rocky 상세 진단결과</v>
      </c>
      <c r="B1" s="13"/>
      <c r="C1" s="160"/>
      <c r="D1" s="160"/>
      <c r="E1" s="160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60"/>
      <c r="D2" s="160"/>
      <c r="E2" s="16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14.25" thickBot="1">
      <c r="A3" s="52" t="s">
        <v>109</v>
      </c>
      <c r="B3" s="52"/>
      <c r="C3" s="161"/>
      <c r="D3" s="161"/>
      <c r="E3" s="161"/>
      <c r="F3" s="52"/>
      <c r="G3" s="52"/>
      <c r="H3" s="5"/>
      <c r="I3" s="5"/>
      <c r="R3" s="5" t="s">
        <v>110</v>
      </c>
      <c r="X3" s="5"/>
      <c r="Y3" s="5"/>
    </row>
    <row r="4" spans="1:25" ht="14.25" thickBot="1">
      <c r="A4" s="116" t="s">
        <v>111</v>
      </c>
      <c r="B4" s="299" t="str">
        <f ca="1">REPLACE(CELL("filename",A1),1,FIND("]",CELL("filename",A1)),"")</f>
        <v>DB_HQ_Rocky</v>
      </c>
      <c r="C4" s="300"/>
      <c r="D4" s="243" t="s">
        <v>112</v>
      </c>
      <c r="E4" s="301"/>
      <c r="F4" s="303" t="str">
        <f ca="1">IFERROR(VLOOKUP($B$4,자산목록!$B$1:$Q$832,8,FALSE),"N/A")</f>
        <v>DB / 딩동독 서비스 MySQL</v>
      </c>
      <c r="G4" s="304"/>
      <c r="H4" s="61"/>
      <c r="I4" s="53"/>
      <c r="R4" s="25" t="s">
        <v>113</v>
      </c>
      <c r="S4" s="39">
        <f ca="1">IFERROR(VLOOKUP($B$4,자산목록!$B$1:$Q$832,13,FALSE),"N/A")</f>
        <v>3</v>
      </c>
      <c r="T4" s="302" t="s">
        <v>114</v>
      </c>
      <c r="U4" s="294" t="str">
        <f ca="1">IFERROR(VLOOKUP($B$4,자산목록!$B$1:$Q$832,16,FALSE),"N/A")</f>
        <v>H</v>
      </c>
      <c r="X4" s="5"/>
      <c r="Y4" s="5"/>
    </row>
    <row r="5" spans="1:25" ht="14.25" thickBot="1">
      <c r="A5" s="117" t="s">
        <v>115</v>
      </c>
      <c r="B5" s="295" t="str">
        <f ca="1">IFERROR(VLOOKUP($B$4,자산목록!$B$1:$Q$832,6,FALSE)&amp;" "&amp;VLOOKUP($B$4,자산목록!$B$1:$Q$832,7,FALSE),"N/A")</f>
        <v>MySQL Server 8.0.43</v>
      </c>
      <c r="C5" s="295"/>
      <c r="D5" s="296" t="s">
        <v>116</v>
      </c>
      <c r="E5" s="296"/>
      <c r="F5" s="295" t="str">
        <f ca="1">IFERROR(VLOOKUP($B$4,자산목록!$B$1:$Q$832,2,FALSE),"N/A")</f>
        <v>10.10.40.18</v>
      </c>
      <c r="G5" s="305"/>
      <c r="H5" s="61"/>
      <c r="I5" s="53"/>
      <c r="R5" s="25" t="s">
        <v>117</v>
      </c>
      <c r="S5" s="39">
        <f ca="1">IFERROR(VLOOKUP($B$4,자산목록!$B$1:$Q$832,14,FALSE),"N/A")</f>
        <v>3</v>
      </c>
      <c r="T5" s="302"/>
      <c r="U5" s="294"/>
      <c r="X5" s="5"/>
      <c r="Y5" s="5"/>
    </row>
    <row r="6" spans="1:25" ht="14.25" thickBot="1">
      <c r="A6" s="118" t="s">
        <v>118</v>
      </c>
      <c r="B6" s="297" t="str">
        <f ca="1">IFERROR(VLOOKUP($B$4,자산목록!$B$1:$Q$832,11,FALSE),"N/A")</f>
        <v>이지훈</v>
      </c>
      <c r="C6" s="297"/>
      <c r="D6" s="298" t="s">
        <v>119</v>
      </c>
      <c r="E6" s="298"/>
      <c r="F6" s="297" t="str">
        <f ca="1">IFERROR(VLOOKUP($B$4,자산목록!$B$1:$Q$832,9,FALSE),"N/A")</f>
        <v>본사 내부 서버망</v>
      </c>
      <c r="G6" s="306"/>
      <c r="H6" s="61"/>
      <c r="I6" s="53"/>
      <c r="R6" s="25" t="s">
        <v>120</v>
      </c>
      <c r="S6" s="39">
        <f ca="1">IFERROR(VLOOKUP($B$4,자산목록!$B$1:$Q$832,15,FALSE),"N/A")</f>
        <v>3</v>
      </c>
      <c r="T6" s="302"/>
      <c r="U6" s="294"/>
      <c r="X6" s="5"/>
      <c r="Y6" s="5"/>
    </row>
    <row r="7" spans="1:25" ht="13.5">
      <c r="R7" s="20"/>
      <c r="S7" s="17"/>
      <c r="X7" s="5"/>
      <c r="Y7" s="5"/>
    </row>
    <row r="8" spans="1:25" ht="13.5">
      <c r="A8" s="5" t="s">
        <v>121</v>
      </c>
      <c r="B8" s="5"/>
      <c r="C8" s="162"/>
      <c r="D8" s="162"/>
      <c r="E8" s="162"/>
      <c r="F8" s="5"/>
      <c r="G8" s="5"/>
      <c r="H8" s="5"/>
      <c r="I8" s="5"/>
      <c r="R8" s="5"/>
      <c r="X8" s="5"/>
      <c r="Y8" s="5"/>
    </row>
    <row r="9" spans="1:25" ht="14.25" thickBot="1">
      <c r="A9" s="54" t="s">
        <v>122</v>
      </c>
      <c r="B9" s="52"/>
      <c r="C9" s="161"/>
      <c r="D9" s="161"/>
      <c r="E9" s="161"/>
      <c r="F9" s="52"/>
      <c r="G9" s="52"/>
      <c r="H9" s="5"/>
      <c r="I9" s="5"/>
      <c r="M9" s="5"/>
      <c r="N9" s="5"/>
      <c r="O9" s="5"/>
      <c r="P9" s="5"/>
      <c r="R9" s="14"/>
      <c r="S9" s="55"/>
    </row>
    <row r="10" spans="1:25" ht="12.75" thickBot="1">
      <c r="A10" s="288" t="s">
        <v>61</v>
      </c>
      <c r="B10" s="222"/>
      <c r="C10" s="222"/>
      <c r="D10" s="268" t="s">
        <v>123</v>
      </c>
      <c r="E10" s="269"/>
      <c r="F10" s="269"/>
      <c r="G10" s="269"/>
      <c r="H10" s="269"/>
      <c r="I10" s="290" t="s">
        <v>124</v>
      </c>
      <c r="J10" s="292" t="s">
        <v>82</v>
      </c>
      <c r="K10" s="292"/>
      <c r="L10" s="292"/>
      <c r="M10" s="292"/>
      <c r="N10" s="292"/>
      <c r="O10" s="293"/>
      <c r="R10" s="275" t="s">
        <v>125</v>
      </c>
      <c r="S10" s="275"/>
      <c r="T10" s="275"/>
      <c r="U10" s="275"/>
      <c r="V10" s="281" t="s">
        <v>124</v>
      </c>
      <c r="W10" s="281"/>
      <c r="X10" s="281"/>
      <c r="Y10" s="281"/>
    </row>
    <row r="11" spans="1:25">
      <c r="A11" s="289"/>
      <c r="B11" s="257"/>
      <c r="C11" s="257"/>
      <c r="D11" s="163" t="s">
        <v>99</v>
      </c>
      <c r="E11" s="164" t="s">
        <v>71</v>
      </c>
      <c r="F11" s="121" t="s">
        <v>83</v>
      </c>
      <c r="G11" s="122" t="s">
        <v>102</v>
      </c>
      <c r="H11" s="122" t="s">
        <v>126</v>
      </c>
      <c r="I11" s="291"/>
      <c r="J11" s="133" t="s">
        <v>84</v>
      </c>
      <c r="K11" s="123" t="s">
        <v>85</v>
      </c>
      <c r="L11" s="124" t="s">
        <v>86</v>
      </c>
      <c r="M11" s="124" t="s">
        <v>102</v>
      </c>
      <c r="N11" s="124" t="s">
        <v>92</v>
      </c>
      <c r="O11" s="125" t="s">
        <v>126</v>
      </c>
      <c r="R11" s="47" t="s">
        <v>127</v>
      </c>
      <c r="S11" s="48" t="s">
        <v>128</v>
      </c>
      <c r="T11" s="48" t="s">
        <v>129</v>
      </c>
      <c r="U11" s="50" t="s">
        <v>130</v>
      </c>
      <c r="V11" s="287" t="s">
        <v>61</v>
      </c>
      <c r="W11" s="287"/>
      <c r="X11" s="11" t="s">
        <v>131</v>
      </c>
      <c r="Y11" s="11" t="s">
        <v>132</v>
      </c>
    </row>
    <row r="12" spans="1:25" ht="45.75" customHeight="1">
      <c r="A12" s="270" t="s">
        <v>151</v>
      </c>
      <c r="B12" s="271"/>
      <c r="C12" s="272"/>
      <c r="D12" s="165">
        <f ca="1">COUNTIF($A$21:INDIRECT(ADDRESS(MATCH("",$A:$A,-1),1,1,1)),$A12)</f>
        <v>9</v>
      </c>
      <c r="E12" s="165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3</v>
      </c>
      <c r="F12" s="39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2</v>
      </c>
      <c r="H12" s="64">
        <f t="shared" ref="H12:H17" ca="1" si="0">IF($G12=$D12, "N/A", (S12/R12))</f>
        <v>0.47368421052631576</v>
      </c>
      <c r="I12" s="276"/>
      <c r="J12" s="59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2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2</v>
      </c>
      <c r="N12" s="56">
        <f ca="1">IFERROR($J12/($F12-(M12-G12)),"N/A")</f>
        <v>1</v>
      </c>
      <c r="O12" s="126">
        <f ca="1">IF(OR($G12=$D12,$D12=$M12),"N/A", ($T12/$U12))</f>
        <v>0.73684210526315785</v>
      </c>
      <c r="R12" s="39">
        <f ca="1">SUMIF($A$21:INDIRECT(ADDRESS(MATCH("",$A:$A,-1),1,1,1)),$A12,$R$21:INDIRECT(ADDRESS(MATCH("",$A:$A,-1),18,1,1)))</f>
        <v>19</v>
      </c>
      <c r="S12" s="39">
        <f ca="1">SUMIF($A$21:INDIRECT(ADDRESS(MATCH("",$A:$A,-1),1,1,1)),$A12,$S$21:INDIRECT(ADDRESS(MATCH("",$A:$A,-1),19,1,1)))</f>
        <v>9</v>
      </c>
      <c r="T12" s="39">
        <f ca="1">SUMIF($A$21:INDIRECT(ADDRESS(MATCH("",$A:$A,-1),1,1,1)),$A12,$T$21:INDIRECT(ADDRESS(MATCH("",$A:$A,-1),20,1,1)))</f>
        <v>14</v>
      </c>
      <c r="U12" s="39">
        <f ca="1">SUMIF($A$21:INDIRECT(ADDRESS(MATCH("",$A:$A,-1),2,1,1)),$A12&amp;"*",$U$21:INDIRECT(ADDRESS(MATCH("",$A:$A,-1),21,1,1)))</f>
        <v>19</v>
      </c>
      <c r="V12" s="286">
        <f>B12</f>
        <v>0</v>
      </c>
      <c r="W12" s="272"/>
      <c r="X12" s="62">
        <f t="shared" ref="X12:X17" ca="1" si="1">H12</f>
        <v>0.47368421052631576</v>
      </c>
      <c r="Y12" s="62">
        <f ca="1">O12</f>
        <v>0.73684210526315785</v>
      </c>
    </row>
    <row r="13" spans="1:25" ht="45.75" customHeight="1">
      <c r="A13" s="270" t="s">
        <v>65</v>
      </c>
      <c r="B13" s="271"/>
      <c r="C13" s="272"/>
      <c r="D13" s="165">
        <f ca="1">COUNTIF($A$21:INDIRECT(ADDRESS(MATCH("",$A:$A,-1),1,1,1)),$A13)</f>
        <v>7</v>
      </c>
      <c r="E13" s="165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39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4</v>
      </c>
      <c r="H13" s="64">
        <f t="shared" ca="1" si="0"/>
        <v>1</v>
      </c>
      <c r="I13" s="276"/>
      <c r="J13" s="59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4</v>
      </c>
      <c r="N13" s="56" t="str">
        <f ca="1">IFERROR($J13/($F13-(M13-G13)),"N/A")</f>
        <v>N/A</v>
      </c>
      <c r="O13" s="126">
        <f ca="1">IF(OR($G13=$D13,$D13=$M13),"N/A", ($T13/$U13))</f>
        <v>1.6</v>
      </c>
      <c r="R13" s="39">
        <f ca="1">SUMIF($A$21:INDIRECT(ADDRESS(MATCH("",$A:$A,-1),1,1,1)),$A13,$R$21:INDIRECT(ADDRESS(MATCH("",$A:$A,-1),18,1,1)))</f>
        <v>8</v>
      </c>
      <c r="S13" s="39">
        <f ca="1">SUMIF($A$21:INDIRECT(ADDRESS(MATCH("",$A:$A,-1),1,1,1)),$A13,$S$21:INDIRECT(ADDRESS(MATCH("",$A:$A,-1),19,1,1)))</f>
        <v>8</v>
      </c>
      <c r="T13" s="39">
        <f ca="1">SUMIF($A$21:INDIRECT(ADDRESS(MATCH("",$A:$A,-1),1,1,1)),$A13,$T$21:INDIRECT(ADDRESS(MATCH("",$A:$A,-1),20,1,1)))</f>
        <v>8</v>
      </c>
      <c r="U13" s="39">
        <f ca="1">SUMIF($A$21:INDIRECT(ADDRESS(MATCH("",$A:$A,-1),2,1,1)),$A13&amp;"*",$U$21:INDIRECT(ADDRESS(MATCH("",$A:$A,-1),21,1,1)))</f>
        <v>5</v>
      </c>
      <c r="V13" s="286">
        <f>B13</f>
        <v>0</v>
      </c>
      <c r="W13" s="272"/>
      <c r="X13" s="62">
        <f t="shared" ca="1" si="1"/>
        <v>1</v>
      </c>
      <c r="Y13" s="62">
        <f t="shared" ref="Y13:Y16" ca="1" si="2">O13</f>
        <v>1.6</v>
      </c>
    </row>
    <row r="14" spans="1:25" ht="45.75" customHeight="1">
      <c r="A14" s="270" t="s">
        <v>179</v>
      </c>
      <c r="B14" s="271"/>
      <c r="C14" s="272"/>
      <c r="D14" s="165">
        <f ca="1">COUNTIF($A$21:INDIRECT(ADDRESS(MATCH("",$A:$A,-1),1,1,1)),$A14)</f>
        <v>8</v>
      </c>
      <c r="E14" s="165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9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8</v>
      </c>
      <c r="H14" s="64" t="str">
        <f t="shared" ca="1" si="0"/>
        <v>N/A</v>
      </c>
      <c r="I14" s="276"/>
      <c r="J14" s="59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8</v>
      </c>
      <c r="N14" s="56" t="str">
        <f ca="1">IFERROR($J14/($F14-(M14-G14)),"N/A")</f>
        <v>N/A</v>
      </c>
      <c r="O14" s="126" t="str">
        <f ca="1">IF(OR($G14=$D14,$D14=$M14),"N/A", ($T14/$U14))</f>
        <v>N/A</v>
      </c>
      <c r="R14" s="39">
        <f ca="1">SUMIF($A$21:INDIRECT(ADDRESS(MATCH("",$A:$A,-1),1,1,1)),$A14,$R$21:INDIRECT(ADDRESS(MATCH("",$A:$A,-1),18,1,1)))</f>
        <v>0</v>
      </c>
      <c r="S14" s="39">
        <f ca="1">SUMIF($A$21:INDIRECT(ADDRESS(MATCH("",$A:$A,-1),1,1,1)),$A14,$S$21:INDIRECT(ADDRESS(MATCH("",$A:$A,-1),19,1,1)))</f>
        <v>0</v>
      </c>
      <c r="T14" s="39">
        <f ca="1">SUMIF($A$21:INDIRECT(ADDRESS(MATCH("",$A:$A,-1),1,1,1)),$A14,$T$21:INDIRECT(ADDRESS(MATCH("",$A:$A,-1),20,1,1)))</f>
        <v>0</v>
      </c>
      <c r="U14" s="39">
        <f ca="1">SUMIF($A$21:INDIRECT(ADDRESS(MATCH("",$A:$A,-1),2,1,1)),$A14&amp;"*",$U$21:INDIRECT(ADDRESS(MATCH("",$A:$A,-1),21,1,1)))</f>
        <v>8</v>
      </c>
      <c r="V14" s="286">
        <f>B14</f>
        <v>0</v>
      </c>
      <c r="W14" s="272"/>
      <c r="X14" s="62" t="str">
        <f t="shared" ca="1" si="1"/>
        <v>N/A</v>
      </c>
      <c r="Y14" s="62" t="str">
        <f t="shared" ca="1" si="2"/>
        <v>N/A</v>
      </c>
    </row>
    <row r="15" spans="1:25" ht="45.75" customHeight="1">
      <c r="A15" s="270" t="s">
        <v>180</v>
      </c>
      <c r="B15" s="271"/>
      <c r="C15" s="272"/>
      <c r="D15" s="165">
        <f ca="1">COUNTIF($A$21:INDIRECT(ADDRESS(MATCH("",$A:$A,-1),1,1,1)),$A15)</f>
        <v>2</v>
      </c>
      <c r="E15" s="165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9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1</v>
      </c>
      <c r="H15" s="64" t="e">
        <f t="shared" ca="1" si="0"/>
        <v>#DIV/0!</v>
      </c>
      <c r="I15" s="276"/>
      <c r="J15" s="59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1</v>
      </c>
      <c r="N15" s="56" t="str">
        <f ca="1">IFERROR($J15/($F15-(M15-G15)),"N/A")</f>
        <v>N/A</v>
      </c>
      <c r="O15" s="126" t="e">
        <f ca="1">IF(OR($G15=$D15,$D15=$M15),"N/A", ($T15/$U15))</f>
        <v>#DIV/0!</v>
      </c>
      <c r="R15" s="39">
        <f ca="1">SUMIF($A$21:INDIRECT(ADDRESS(MATCH("",$A:$A,-1),1,1,1)),$A15,$R$21:INDIRECT(ADDRESS(MATCH("",$A:$A,-1),18,1,1)))</f>
        <v>0</v>
      </c>
      <c r="S15" s="39">
        <f ca="1">SUMIF($A$21:INDIRECT(ADDRESS(MATCH("",$A:$A,-1),1,1,1)),$A15,$S$21:INDIRECT(ADDRESS(MATCH("",$A:$A,-1),19,1,1)))</f>
        <v>0</v>
      </c>
      <c r="T15" s="39">
        <f ca="1">SUMIF($A$21:INDIRECT(ADDRESS(MATCH("",$A:$A,-1),1,1,1)),$A15,$T$21:INDIRECT(ADDRESS(MATCH("",$A:$A,-1),20,1,1)))</f>
        <v>0</v>
      </c>
      <c r="U15" s="39">
        <f ca="1">SUMIF($A$21:INDIRECT(ADDRESS(MATCH("",$A:$A,-1),2,1,1)),$A15&amp;"*",$U$21:INDIRECT(ADDRESS(MATCH("",$A:$A,-1),21,1,1)))</f>
        <v>0</v>
      </c>
      <c r="V15" s="286">
        <f>B15</f>
        <v>0</v>
      </c>
      <c r="W15" s="272"/>
      <c r="X15" s="62" t="e">
        <f t="shared" ca="1" si="1"/>
        <v>#DIV/0!</v>
      </c>
      <c r="Y15" s="62" t="e">
        <f t="shared" ref="Y15" ca="1" si="3">O15</f>
        <v>#DIV/0!</v>
      </c>
    </row>
    <row r="16" spans="1:25" ht="45.75" customHeight="1" thickBot="1">
      <c r="A16" s="270" t="s">
        <v>178</v>
      </c>
      <c r="B16" s="271"/>
      <c r="C16" s="272"/>
      <c r="D16" s="165">
        <f ca="1">COUNTIF($A$21:INDIRECT(ADDRESS(MATCH("",$A:$A,-1),1,1,1)),$A16)</f>
        <v>0</v>
      </c>
      <c r="E16" s="165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9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4" t="str">
        <f t="shared" ca="1" si="0"/>
        <v>N/A</v>
      </c>
      <c r="I16" s="276"/>
      <c r="J16" s="59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6" t="str">
        <f ca="1">IFERROR($J16/($F16-(M16-G16)),"N/A")</f>
        <v>N/A</v>
      </c>
      <c r="O16" s="126" t="str">
        <f ca="1">IF(OR($G16=$D16,$D16=$M16),"N/A", ($T16/$U16))</f>
        <v>N/A</v>
      </c>
      <c r="R16" s="39">
        <f ca="1">SUMIF($A$21:INDIRECT(ADDRESS(MATCH("",$A:$A,-1),1,1,1)),$A16,$R$21:INDIRECT(ADDRESS(MATCH("",$A:$A,-1),18,1,1)))</f>
        <v>0</v>
      </c>
      <c r="S16" s="39">
        <f ca="1">SUMIF($A$21:INDIRECT(ADDRESS(MATCH("",$A:$A,-1),1,1,1)),$A16,$S$21:INDIRECT(ADDRESS(MATCH("",$A:$A,-1),19,1,1)))</f>
        <v>0</v>
      </c>
      <c r="T16" s="39">
        <f ca="1">SUMIF($A$21:INDIRECT(ADDRESS(MATCH("",$A:$A,-1),1,1,1)),$A16,$T$21:INDIRECT(ADDRESS(MATCH("",$A:$A,-1),20,1,1)))</f>
        <v>0</v>
      </c>
      <c r="U16" s="39">
        <f ca="1">SUMIF($A$21:INDIRECT(ADDRESS(MATCH("",$A:$A,-1),2,1,1)),$A16&amp;"*",$U$21:INDIRECT(ADDRESS(MATCH("",$A:$A,-1),21,1,1)))</f>
        <v>0</v>
      </c>
      <c r="V16" s="284">
        <f>B16</f>
        <v>0</v>
      </c>
      <c r="W16" s="285"/>
      <c r="X16" s="66" t="str">
        <f t="shared" ca="1" si="1"/>
        <v>N/A</v>
      </c>
      <c r="Y16" s="66" t="str">
        <f t="shared" ca="1" si="2"/>
        <v>N/A</v>
      </c>
    </row>
    <row r="17" spans="1:25" ht="45.75" customHeight="1" thickTop="1" thickBot="1">
      <c r="A17" s="278" t="s">
        <v>133</v>
      </c>
      <c r="B17" s="279"/>
      <c r="C17" s="280"/>
      <c r="D17" s="166">
        <f ca="1">SUM(D12:D16)</f>
        <v>26</v>
      </c>
      <c r="E17" s="166">
        <f ca="1">SUM(E12:E16)</f>
        <v>7</v>
      </c>
      <c r="F17" s="128">
        <f ca="1">SUM(F12:F16)</f>
        <v>2</v>
      </c>
      <c r="G17" s="129">
        <f ca="1">SUM(G12:G16)</f>
        <v>15</v>
      </c>
      <c r="H17" s="130">
        <f t="shared" ca="1" si="0"/>
        <v>0.62962962962962965</v>
      </c>
      <c r="I17" s="277"/>
      <c r="J17" s="127">
        <f ca="1">SUM(J12:J16)</f>
        <v>2</v>
      </c>
      <c r="K17" s="128">
        <f ca="1">SUM(K12:K16)</f>
        <v>2</v>
      </c>
      <c r="L17" s="128">
        <f ca="1">SUM(L12:L16)</f>
        <v>0</v>
      </c>
      <c r="M17" s="128">
        <f ca="1">SUM(M12:M16)</f>
        <v>15</v>
      </c>
      <c r="N17" s="131">
        <f ca="1">IF($O17="N/A","N/A",IFERROR($J17/($F17-(M17-G17)),"N/A"))</f>
        <v>1</v>
      </c>
      <c r="O17" s="132">
        <f ca="1">IF($G17=$D17, "N/A", IFERROR((T17/U17),"N/A"))</f>
        <v>0.6875</v>
      </c>
      <c r="R17" s="41">
        <f ca="1">SUM(R12:R16)</f>
        <v>27</v>
      </c>
      <c r="S17" s="42">
        <f ca="1">SUM(S12:S16)</f>
        <v>17</v>
      </c>
      <c r="T17" s="42">
        <f ca="1">SUM(T12:T16)</f>
        <v>22</v>
      </c>
      <c r="U17" s="41">
        <f ca="1">SUM(U12:U16)</f>
        <v>32</v>
      </c>
      <c r="V17" s="282" t="s">
        <v>134</v>
      </c>
      <c r="W17" s="283"/>
      <c r="X17" s="65">
        <f t="shared" ca="1" si="1"/>
        <v>0.62962962962962965</v>
      </c>
      <c r="Y17" s="65">
        <f ca="1">O17</f>
        <v>0.6875</v>
      </c>
    </row>
    <row r="18" spans="1:25">
      <c r="A18" s="9"/>
      <c r="B18" s="9"/>
      <c r="C18" s="167"/>
      <c r="D18" s="167"/>
      <c r="E18" s="167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167"/>
      <c r="D19" s="167"/>
      <c r="E19" s="167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>
      <c r="A20" s="273" t="s">
        <v>61</v>
      </c>
      <c r="B20" s="274"/>
      <c r="C20" s="261" t="s">
        <v>137</v>
      </c>
      <c r="D20" s="261"/>
      <c r="E20" s="261"/>
      <c r="F20" s="260" t="s">
        <v>24</v>
      </c>
      <c r="G20" s="261"/>
      <c r="H20" s="135" t="s">
        <v>80</v>
      </c>
      <c r="I20" s="136" t="s">
        <v>138</v>
      </c>
      <c r="J20" s="134" t="s">
        <v>82</v>
      </c>
      <c r="K20" s="136" t="s">
        <v>139</v>
      </c>
      <c r="L20" s="262" t="s">
        <v>140</v>
      </c>
      <c r="M20" s="263"/>
      <c r="N20" s="263"/>
      <c r="O20" s="263"/>
      <c r="P20" s="264"/>
      <c r="Q20" s="137" t="s">
        <v>60</v>
      </c>
      <c r="R20" s="51" t="s">
        <v>141</v>
      </c>
      <c r="S20" s="50" t="s">
        <v>128</v>
      </c>
      <c r="T20" s="25" t="s">
        <v>129</v>
      </c>
      <c r="U20" s="50" t="s">
        <v>130</v>
      </c>
      <c r="V20" s="258" t="s">
        <v>82</v>
      </c>
      <c r="W20" s="259"/>
      <c r="Y20" s="67"/>
    </row>
    <row r="21" spans="1:25" ht="36" customHeight="1">
      <c r="A21" s="31" t="str">
        <f>ChkList!A5</f>
        <v>계정 관리</v>
      </c>
      <c r="B21" s="31" t="str">
        <f>ChkList!B5</f>
        <v>D-01</v>
      </c>
      <c r="C21" s="265" t="str">
        <f>ChkList!C5</f>
        <v>기본 계정의 비밀번호, 정책 등을 변경하여 사용</v>
      </c>
      <c r="D21" s="266"/>
      <c r="E21" s="267"/>
      <c r="F21" s="31" t="str">
        <f>ChkList!D5</f>
        <v>H</v>
      </c>
      <c r="G21" s="31">
        <f>ChkList!E5</f>
        <v>3</v>
      </c>
      <c r="H21" s="154" t="s">
        <v>148</v>
      </c>
      <c r="I21" s="311" t="s">
        <v>319</v>
      </c>
      <c r="J21" s="28" t="s">
        <v>146</v>
      </c>
      <c r="K21" s="28" t="str">
        <f t="shared" ref="K21:K46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5" t="s">
        <v>224</v>
      </c>
      <c r="M21" s="266"/>
      <c r="N21" s="266"/>
      <c r="O21" s="266"/>
      <c r="P21" s="267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7" t="s">
        <v>142</v>
      </c>
      <c r="W21" s="40" t="s">
        <v>25</v>
      </c>
      <c r="Y21" s="10"/>
    </row>
    <row r="22" spans="1:25" ht="36" customHeight="1">
      <c r="A22" s="31" t="str">
        <f>ChkList!A6</f>
        <v>계정 관리</v>
      </c>
      <c r="B22" s="31" t="str">
        <f>ChkList!B6</f>
        <v>D-02</v>
      </c>
      <c r="C22" s="265" t="str">
        <f>ChkList!C6</f>
        <v>데이터베이스의 불필요 계정을 제거하거나, 잠금설정 후 사용</v>
      </c>
      <c r="D22" s="266"/>
      <c r="E22" s="267"/>
      <c r="F22" s="31" t="str">
        <f>ChkList!D6</f>
        <v>H</v>
      </c>
      <c r="G22" s="31">
        <f>ChkList!E6</f>
        <v>3</v>
      </c>
      <c r="H22" s="154" t="s">
        <v>148</v>
      </c>
      <c r="I22" s="311" t="s">
        <v>320</v>
      </c>
      <c r="J22" s="28" t="s">
        <v>148</v>
      </c>
      <c r="K22" s="28" t="str">
        <f t="shared" si="4"/>
        <v>Y</v>
      </c>
      <c r="L22" s="265" t="s">
        <v>242</v>
      </c>
      <c r="M22" s="266"/>
      <c r="N22" s="266"/>
      <c r="O22" s="266"/>
      <c r="P22" s="267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9" t="s">
        <v>143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D-03</v>
      </c>
      <c r="C23" s="265" t="str">
        <f>ChkList!C7</f>
        <v>비밀번호 사용 기간 및 복잡도를 기관의 정책에 맞도록 설정</v>
      </c>
      <c r="D23" s="266"/>
      <c r="E23" s="267"/>
      <c r="F23" s="31" t="str">
        <f>ChkList!D7</f>
        <v>H</v>
      </c>
      <c r="G23" s="31">
        <f>ChkList!E7</f>
        <v>3</v>
      </c>
      <c r="H23" s="154" t="s">
        <v>203</v>
      </c>
      <c r="I23" s="311" t="s">
        <v>321</v>
      </c>
      <c r="J23" s="28" t="s">
        <v>148</v>
      </c>
      <c r="K23" s="28" t="str">
        <f t="shared" si="4"/>
        <v>미조치</v>
      </c>
      <c r="L23" s="265" t="s">
        <v>225</v>
      </c>
      <c r="M23" s="266"/>
      <c r="N23" s="266"/>
      <c r="O23" s="266"/>
      <c r="P23" s="267"/>
      <c r="Q23" s="21" t="str">
        <f>IF($J23="",IF(OR($H23="N",$H23="인터뷰"), ChkList!$F7, ""), IF(OR($J23="N",$J23="인터뷰"), ChkList!$F7,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0</v>
      </c>
      <c r="U23" s="11">
        <f>IF($J23="N/A",0,VLOOKUP($F23,'parm(hidden)'!$B$8:$C$10,2,FALSE))*1</f>
        <v>3</v>
      </c>
      <c r="V23" s="59" t="s">
        <v>144</v>
      </c>
      <c r="W23" s="28">
        <v>0</v>
      </c>
      <c r="Y23" s="10"/>
    </row>
    <row r="24" spans="1:25" ht="36" customHeight="1">
      <c r="A24" s="31" t="str">
        <f>ChkList!A8</f>
        <v>계정 관리</v>
      </c>
      <c r="B24" s="31" t="str">
        <f>ChkList!B8</f>
        <v>D-04</v>
      </c>
      <c r="C24" s="265" t="str">
        <f>ChkList!C8</f>
        <v>데이터베이스 관리자 권한을 꼭 필요한 계정 및 그룹에 대해서만 허용</v>
      </c>
      <c r="D24" s="266"/>
      <c r="E24" s="267"/>
      <c r="F24" s="31" t="str">
        <f>ChkList!D8</f>
        <v>H</v>
      </c>
      <c r="G24" s="31">
        <f>ChkList!E8</f>
        <v>3</v>
      </c>
      <c r="H24" s="154" t="s">
        <v>148</v>
      </c>
      <c r="I24" s="311" t="s">
        <v>322</v>
      </c>
      <c r="J24" s="28" t="s">
        <v>148</v>
      </c>
      <c r="K24" s="28" t="str">
        <f t="shared" si="4"/>
        <v>Y</v>
      </c>
      <c r="L24" s="265" t="s">
        <v>226</v>
      </c>
      <c r="M24" s="266"/>
      <c r="N24" s="266"/>
      <c r="O24" s="266"/>
      <c r="P24" s="267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9" t="s">
        <v>145</v>
      </c>
      <c r="W24" s="28">
        <v>0</v>
      </c>
      <c r="Y24" s="10"/>
    </row>
    <row r="25" spans="1:25" ht="36" customHeight="1">
      <c r="A25" s="31" t="str">
        <f>ChkList!A9</f>
        <v>계정 관리</v>
      </c>
      <c r="B25" s="31" t="str">
        <f>ChkList!B9</f>
        <v>D-05</v>
      </c>
      <c r="C25" s="265" t="str">
        <f>ChkList!C9</f>
        <v>비밀번호 재사용에 대한 제약 설정</v>
      </c>
      <c r="D25" s="266"/>
      <c r="E25" s="267"/>
      <c r="F25" s="31" t="str">
        <f>ChkList!D9</f>
        <v>M</v>
      </c>
      <c r="G25" s="31">
        <f>ChkList!E9</f>
        <v>2</v>
      </c>
      <c r="H25" s="154" t="s">
        <v>181</v>
      </c>
      <c r="I25" s="311" t="s">
        <v>182</v>
      </c>
      <c r="J25" s="28" t="s">
        <v>102</v>
      </c>
      <c r="K25" s="28" t="str">
        <f t="shared" si="4"/>
        <v>N/A</v>
      </c>
      <c r="L25" s="265" t="s">
        <v>182</v>
      </c>
      <c r="M25" s="266"/>
      <c r="N25" s="266"/>
      <c r="O25" s="266"/>
      <c r="P25" s="267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0</v>
      </c>
      <c r="V25" s="59" t="s">
        <v>36</v>
      </c>
      <c r="W25" s="28">
        <v>0</v>
      </c>
      <c r="Y25" s="10"/>
    </row>
    <row r="26" spans="1:25" ht="36" customHeight="1">
      <c r="A26" s="31" t="str">
        <f>ChkList!A10</f>
        <v>계정 관리</v>
      </c>
      <c r="B26" s="31" t="str">
        <f>ChkList!B10</f>
        <v>D-06</v>
      </c>
      <c r="C26" s="265" t="str">
        <f>ChkList!C10</f>
        <v>DB 사용자 계정을 개별적으로 부여하여 사용</v>
      </c>
      <c r="D26" s="266"/>
      <c r="E26" s="267"/>
      <c r="F26" s="31" t="str">
        <f>ChkList!D10</f>
        <v>M</v>
      </c>
      <c r="G26" s="31">
        <f>ChkList!E10</f>
        <v>2</v>
      </c>
      <c r="H26" s="154" t="s">
        <v>196</v>
      </c>
      <c r="I26" s="311" t="s">
        <v>323</v>
      </c>
      <c r="J26" s="28" t="s">
        <v>148</v>
      </c>
      <c r="K26" s="28" t="str">
        <f t="shared" si="4"/>
        <v>조치</v>
      </c>
      <c r="L26" s="265" t="s">
        <v>236</v>
      </c>
      <c r="M26" s="266"/>
      <c r="N26" s="266"/>
      <c r="O26" s="266"/>
      <c r="P26" s="267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0</v>
      </c>
      <c r="T26" s="31">
        <f>IFERROR(VLOOKUP($F26,'parm(hidden)'!$B$8:$C$10,2,FALSE)*VLOOKUP($K26,$V$22:$W$27,2,FALSE),0)</f>
        <v>2</v>
      </c>
      <c r="U26" s="11">
        <f>IF($J26="N/A",0,VLOOKUP($F26,'parm(hidden)'!$B$8:$C$10,2,FALSE))*1</f>
        <v>2</v>
      </c>
      <c r="V26" s="59" t="s">
        <v>146</v>
      </c>
      <c r="W26" s="28">
        <v>1</v>
      </c>
      <c r="Y26" s="10"/>
    </row>
    <row r="27" spans="1:25" ht="36" customHeight="1">
      <c r="A27" s="31" t="str">
        <f>ChkList!A11</f>
        <v>계정 관리</v>
      </c>
      <c r="B27" s="31" t="str">
        <f>ChkList!B11</f>
        <v>D-07</v>
      </c>
      <c r="C27" s="265" t="str">
        <f>ChkList!C11</f>
        <v>root 권한으로 서비스 구동 제한</v>
      </c>
      <c r="D27" s="266"/>
      <c r="E27" s="267"/>
      <c r="F27" s="31" t="str">
        <f>ChkList!D11</f>
        <v>M</v>
      </c>
      <c r="G27" s="31">
        <f>ChkList!E11</f>
        <v>2</v>
      </c>
      <c r="H27" s="154" t="s">
        <v>203</v>
      </c>
      <c r="I27" s="311" t="s">
        <v>324</v>
      </c>
      <c r="J27" s="28" t="s">
        <v>146</v>
      </c>
      <c r="K27" s="28" t="str">
        <f t="shared" si="4"/>
        <v>미조치</v>
      </c>
      <c r="L27" s="265" t="s">
        <v>227</v>
      </c>
      <c r="M27" s="266"/>
      <c r="N27" s="266"/>
      <c r="O27" s="266"/>
      <c r="P27" s="267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0</v>
      </c>
      <c r="T27" s="31">
        <f>IFERROR(VLOOKUP($F27,'parm(hidden)'!$B$8:$C$10,2,FALSE)*VLOOKUP($K27,$V$22:$W$27,2,FALSE),0)</f>
        <v>0</v>
      </c>
      <c r="U27" s="11">
        <f>IF($J27="N/A",0,VLOOKUP($F27,'parm(hidden)'!$B$8:$C$10,2,FALSE))*1</f>
        <v>2</v>
      </c>
      <c r="V27" s="59" t="s">
        <v>147</v>
      </c>
      <c r="W27" s="28">
        <v>1</v>
      </c>
      <c r="Y27" s="10"/>
    </row>
    <row r="28" spans="1:25" ht="36" customHeight="1">
      <c r="A28" s="31" t="str">
        <f>ChkList!A12</f>
        <v>계정 관리</v>
      </c>
      <c r="B28" s="31" t="str">
        <f>ChkList!B12</f>
        <v>D-08</v>
      </c>
      <c r="C28" s="265" t="str">
        <f>ChkList!C12</f>
        <v>안전한 암호화 알고리즘 사용</v>
      </c>
      <c r="D28" s="266"/>
      <c r="E28" s="267"/>
      <c r="F28" s="31" t="str">
        <f>ChkList!D12</f>
        <v>H</v>
      </c>
      <c r="G28" s="31">
        <f>ChkList!E12</f>
        <v>3</v>
      </c>
      <c r="H28" s="154" t="s">
        <v>196</v>
      </c>
      <c r="I28" s="311" t="s">
        <v>325</v>
      </c>
      <c r="J28" s="28" t="s">
        <v>148</v>
      </c>
      <c r="K28" s="28" t="str">
        <f t="shared" si="4"/>
        <v>조치</v>
      </c>
      <c r="L28" s="265" t="s">
        <v>241</v>
      </c>
      <c r="M28" s="266"/>
      <c r="N28" s="266"/>
      <c r="O28" s="266"/>
      <c r="P28" s="267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0</v>
      </c>
      <c r="T28" s="31">
        <f>IFERROR(VLOOKUP($F28,'parm(hidden)'!$B$8:$C$10,2,FALSE)*VLOOKUP($K28,$V$22:$W$27,2,FALSE),0)</f>
        <v>3</v>
      </c>
      <c r="U28" s="11">
        <f>IF($J28="N/A",0,VLOOKUP($F28,'parm(hidden)'!$B$8:$C$10,2,FALSE))*1</f>
        <v>3</v>
      </c>
      <c r="Y28" s="10"/>
    </row>
    <row r="29" spans="1:25" ht="36" customHeight="1">
      <c r="A29" s="31" t="str">
        <f>ChkList!A13</f>
        <v>계정 관리</v>
      </c>
      <c r="B29" s="31" t="str">
        <f>ChkList!B13</f>
        <v>D-09</v>
      </c>
      <c r="C29" s="265" t="str">
        <f>ChkList!C13</f>
        <v>일정 횟수의 로그인 실패 시 이에 대한 잠금정책 설정</v>
      </c>
      <c r="D29" s="266"/>
      <c r="E29" s="267"/>
      <c r="F29" s="31" t="str">
        <f>ChkList!D13</f>
        <v>M</v>
      </c>
      <c r="G29" s="31">
        <f>ChkList!E13</f>
        <v>2</v>
      </c>
      <c r="H29" s="154" t="s">
        <v>181</v>
      </c>
      <c r="I29" s="311" t="s">
        <v>182</v>
      </c>
      <c r="J29" s="28" t="s">
        <v>149</v>
      </c>
      <c r="K29" s="28" t="str">
        <f t="shared" si="4"/>
        <v>N/A</v>
      </c>
      <c r="L29" s="265" t="s">
        <v>182</v>
      </c>
      <c r="M29" s="266"/>
      <c r="N29" s="266"/>
      <c r="O29" s="266"/>
      <c r="P29" s="267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0</v>
      </c>
      <c r="Y29" s="10"/>
    </row>
    <row r="30" spans="1:25" ht="36" customHeight="1">
      <c r="A30" s="31" t="str">
        <f>ChkList!A14</f>
        <v>접근 관리</v>
      </c>
      <c r="B30" s="31" t="str">
        <f>ChkList!B14</f>
        <v>D-10</v>
      </c>
      <c r="C30" s="265" t="str">
        <f>ChkList!C14</f>
        <v>원격에서 DB 서버로의 접속 제한</v>
      </c>
      <c r="D30" s="266"/>
      <c r="E30" s="267"/>
      <c r="F30" s="31" t="str">
        <f>ChkList!D14</f>
        <v>H</v>
      </c>
      <c r="G30" s="31">
        <f>ChkList!E14</f>
        <v>3</v>
      </c>
      <c r="H30" s="154" t="s">
        <v>148</v>
      </c>
      <c r="I30" s="311" t="s">
        <v>326</v>
      </c>
      <c r="J30" s="28" t="s">
        <v>149</v>
      </c>
      <c r="K30" s="28" t="str">
        <f t="shared" si="4"/>
        <v>Y</v>
      </c>
      <c r="L30" s="265" t="s">
        <v>228</v>
      </c>
      <c r="M30" s="266"/>
      <c r="N30" s="266"/>
      <c r="O30" s="266"/>
      <c r="P30" s="267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3</v>
      </c>
      <c r="S30" s="31">
        <f>IFERROR(VLOOKUP($F30,'parm(hidden)'!$B$8:$C$10,2,FALSE)*VLOOKUP($H30,'parm(hidden)'!$B$15:$C$19,2,FALSE),0)</f>
        <v>3</v>
      </c>
      <c r="T30" s="31">
        <f>IFERROR(VLOOKUP($F30,'parm(hidden)'!$B$8:$C$10,2,FALSE)*VLOOKUP($K30,$V$22:$W$27,2,FALSE),0)</f>
        <v>3</v>
      </c>
      <c r="U30" s="11">
        <f>IF($J30="N/A",0,VLOOKUP($F30,'parm(hidden)'!$B$8:$C$10,2,FALSE))*1</f>
        <v>0</v>
      </c>
      <c r="Y30" s="10"/>
    </row>
    <row r="31" spans="1:25" ht="36" customHeight="1">
      <c r="A31" s="31" t="str">
        <f>ChkList!A15</f>
        <v>접근 관리</v>
      </c>
      <c r="B31" s="31" t="str">
        <f>ChkList!B15</f>
        <v>D-11</v>
      </c>
      <c r="C31" s="265" t="str">
        <f>ChkList!C15</f>
        <v>DBA 이외의 인가되지 않은 사용자가 시스템 테이블에 접근할 수 없도록 설정</v>
      </c>
      <c r="D31" s="266"/>
      <c r="E31" s="267"/>
      <c r="F31" s="31" t="str">
        <f>ChkList!D15</f>
        <v>H</v>
      </c>
      <c r="G31" s="31">
        <f>ChkList!E15</f>
        <v>3</v>
      </c>
      <c r="H31" s="155" t="s">
        <v>148</v>
      </c>
      <c r="I31" s="312" t="s">
        <v>327</v>
      </c>
      <c r="J31" s="28" t="s">
        <v>149</v>
      </c>
      <c r="K31" s="28" t="str">
        <f t="shared" si="4"/>
        <v>Y</v>
      </c>
      <c r="L31" s="265" t="s">
        <v>182</v>
      </c>
      <c r="M31" s="266"/>
      <c r="N31" s="266"/>
      <c r="O31" s="266"/>
      <c r="P31" s="267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3</v>
      </c>
      <c r="S31" s="31">
        <f>IFERROR(VLOOKUP($F31,'parm(hidden)'!$B$8:$C$10,2,FALSE)*VLOOKUP($H31,'parm(hidden)'!$B$15:$C$19,2,FALSE),0)</f>
        <v>3</v>
      </c>
      <c r="T31" s="31">
        <f>IFERROR(VLOOKUP($F31,'parm(hidden)'!$B$8:$C$10,2,FALSE)*VLOOKUP($K31,$V$22:$W$27,2,FALSE),0)</f>
        <v>3</v>
      </c>
      <c r="U31" s="11">
        <f>IF($J31="N/A",0,VLOOKUP($F31,'parm(hidden)'!$B$8:$C$10,2,FALSE))*1</f>
        <v>0</v>
      </c>
      <c r="Y31" s="10"/>
    </row>
    <row r="32" spans="1:25" ht="36" customHeight="1">
      <c r="A32" s="31" t="str">
        <f>ChkList!A16</f>
        <v>접근 관리</v>
      </c>
      <c r="B32" s="31" t="str">
        <f>ChkList!B16</f>
        <v>D-12</v>
      </c>
      <c r="C32" s="265" t="str">
        <f>ChkList!C16</f>
        <v>안전한 리스너 비밀번호 설정 및 사용</v>
      </c>
      <c r="D32" s="266"/>
      <c r="E32" s="267"/>
      <c r="F32" s="31" t="str">
        <f>ChkList!D16</f>
        <v>H</v>
      </c>
      <c r="G32" s="31">
        <f>ChkList!E16</f>
        <v>3</v>
      </c>
      <c r="H32" s="155" t="s">
        <v>149</v>
      </c>
      <c r="I32" s="312" t="s">
        <v>328</v>
      </c>
      <c r="J32" s="28" t="s">
        <v>148</v>
      </c>
      <c r="K32" s="28" t="str">
        <f t="shared" si="4"/>
        <v>N/A</v>
      </c>
      <c r="L32" s="265" t="s">
        <v>238</v>
      </c>
      <c r="M32" s="266"/>
      <c r="N32" s="266"/>
      <c r="O32" s="266"/>
      <c r="P32" s="267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0</v>
      </c>
      <c r="S32" s="31">
        <f>IFERROR(VLOOKUP($F32,'parm(hidden)'!$B$8:$C$10,2,FALSE)*VLOOKUP(#REF!,'parm(hidden)'!$B$15:$C$19,2,FALSE),0)</f>
        <v>0</v>
      </c>
      <c r="T32" s="31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 ht="36" customHeight="1">
      <c r="A33" s="31" t="str">
        <f>ChkList!A17</f>
        <v>접근 관리</v>
      </c>
      <c r="B33" s="31" t="str">
        <f>ChkList!B17</f>
        <v>D-13</v>
      </c>
      <c r="C33" s="265" t="str">
        <f>ChkList!C17</f>
        <v>불필요한 ODBC/OLE-DB 데이터 소스와 드라이브를 제거하여 사용</v>
      </c>
      <c r="D33" s="266"/>
      <c r="E33" s="267"/>
      <c r="F33" s="31" t="str">
        <f>ChkList!D17</f>
        <v>M</v>
      </c>
      <c r="G33" s="31">
        <f>ChkList!E17</f>
        <v>2</v>
      </c>
      <c r="H33" s="155" t="s">
        <v>149</v>
      </c>
      <c r="I33" s="311" t="s">
        <v>329</v>
      </c>
      <c r="J33" s="28" t="s">
        <v>148</v>
      </c>
      <c r="K33" s="28" t="str">
        <f t="shared" si="4"/>
        <v>N/A</v>
      </c>
      <c r="L33" s="265" t="s">
        <v>245</v>
      </c>
      <c r="M33" s="266"/>
      <c r="N33" s="266"/>
      <c r="O33" s="266"/>
      <c r="P33" s="267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0</v>
      </c>
      <c r="S33" s="31">
        <f>IFERROR(VLOOKUP($F33,'parm(hidden)'!$B$8:$C$10,2,FALSE)*VLOOKUP($H32,'parm(hidden)'!$B$15:$C$19,2,FALSE),0)</f>
        <v>0</v>
      </c>
      <c r="T33" s="31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36" customHeight="1">
      <c r="A34" s="31" t="str">
        <f>ChkList!A18</f>
        <v>접근 관리</v>
      </c>
      <c r="B34" s="31" t="str">
        <f>ChkList!B18</f>
        <v>D-14</v>
      </c>
      <c r="C34" s="265" t="str">
        <f>ChkList!C18</f>
        <v>데이터베이스의 주요 설정파일, 비밀번호 파일 등과 같은 주요 파일들의 접근 권한이 적절하게 설정</v>
      </c>
      <c r="D34" s="266"/>
      <c r="E34" s="267"/>
      <c r="F34" s="31" t="str">
        <f>ChkList!D18</f>
        <v>M</v>
      </c>
      <c r="G34" s="31">
        <f>ChkList!E18</f>
        <v>2</v>
      </c>
      <c r="H34" s="155" t="s">
        <v>148</v>
      </c>
      <c r="I34" s="311" t="s">
        <v>330</v>
      </c>
      <c r="J34" s="28" t="s">
        <v>149</v>
      </c>
      <c r="K34" s="28" t="str">
        <f t="shared" si="4"/>
        <v>Y</v>
      </c>
      <c r="L34" s="265" t="s">
        <v>182</v>
      </c>
      <c r="M34" s="266"/>
      <c r="N34" s="266"/>
      <c r="O34" s="266"/>
      <c r="P34" s="267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2</v>
      </c>
      <c r="S34" s="31">
        <f>IFERROR(VLOOKUP($F34,'parm(hidden)'!$B$8:$C$10,2,FALSE)*VLOOKUP($H34,'parm(hidden)'!$B$15:$C$19,2,FALSE),0)</f>
        <v>2</v>
      </c>
      <c r="T34" s="31">
        <f>IFERROR(VLOOKUP($F34,'parm(hidden)'!$B$8:$C$10,2,FALSE)*VLOOKUP($K34,$V$22:$W$27,2,FALSE),0)</f>
        <v>2</v>
      </c>
      <c r="U34" s="11">
        <f>IF($J34="N/A",0,VLOOKUP($F34,'parm(hidden)'!$B$8:$C$10,2,FALSE))*1</f>
        <v>0</v>
      </c>
      <c r="Y34" s="10"/>
    </row>
    <row r="35" spans="1:25" ht="36" customHeight="1">
      <c r="A35" s="31" t="str">
        <f>ChkList!A19</f>
        <v>접근 관리</v>
      </c>
      <c r="B35" s="31" t="str">
        <f>ChkList!B19</f>
        <v>D-15</v>
      </c>
      <c r="C35" s="265" t="str">
        <f>ChkList!C19</f>
        <v>관리자 이외의 사용자가 오라클 리스너의 접속을 통해 리스너 로그 및 trace 파일에 대한 변경 제한</v>
      </c>
      <c r="D35" s="266"/>
      <c r="E35" s="267"/>
      <c r="F35" s="31" t="str">
        <f>ChkList!D19</f>
        <v>L</v>
      </c>
      <c r="G35" s="31">
        <f>ChkList!E19</f>
        <v>1</v>
      </c>
      <c r="H35" s="155" t="s">
        <v>149</v>
      </c>
      <c r="I35" s="311" t="s">
        <v>182</v>
      </c>
      <c r="J35" s="28" t="s">
        <v>149</v>
      </c>
      <c r="K35" s="28" t="str">
        <f t="shared" si="4"/>
        <v>N/A</v>
      </c>
      <c r="L35" s="265" t="s">
        <v>182</v>
      </c>
      <c r="M35" s="266"/>
      <c r="N35" s="266"/>
      <c r="O35" s="266"/>
      <c r="P35" s="267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0</v>
      </c>
      <c r="Y35" s="10"/>
    </row>
    <row r="36" spans="1:25" ht="36" customHeight="1">
      <c r="A36" s="31" t="str">
        <f>ChkList!A20</f>
        <v>접근 관리</v>
      </c>
      <c r="B36" s="31" t="str">
        <f>ChkList!B20</f>
        <v>D-16</v>
      </c>
      <c r="C36" s="265" t="str">
        <f>ChkList!C20</f>
        <v>Windows 인증 모드 사용</v>
      </c>
      <c r="D36" s="266"/>
      <c r="E36" s="267"/>
      <c r="F36" s="31" t="str">
        <f>ChkList!D20</f>
        <v>L</v>
      </c>
      <c r="G36" s="31">
        <f>ChkList!E20</f>
        <v>1</v>
      </c>
      <c r="H36" s="155" t="s">
        <v>149</v>
      </c>
      <c r="I36" s="311" t="s">
        <v>182</v>
      </c>
      <c r="J36" s="28" t="s">
        <v>149</v>
      </c>
      <c r="K36" s="28" t="str">
        <f t="shared" si="4"/>
        <v>N/A</v>
      </c>
      <c r="L36" s="265" t="s">
        <v>182</v>
      </c>
      <c r="M36" s="266"/>
      <c r="N36" s="266"/>
      <c r="O36" s="266"/>
      <c r="P36" s="267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0</v>
      </c>
      <c r="Y36" s="10"/>
    </row>
    <row r="37" spans="1:25" ht="36" customHeight="1">
      <c r="A37" s="31" t="str">
        <f>ChkList!A21</f>
        <v>옵션 관리</v>
      </c>
      <c r="B37" s="31" t="str">
        <f>ChkList!B21</f>
        <v>D-17</v>
      </c>
      <c r="C37" s="265" t="str">
        <f>ChkList!C21</f>
        <v>Audit Table은 데이터베이스 관리자 계정에 접근하도록 제한</v>
      </c>
      <c r="D37" s="266"/>
      <c r="E37" s="267"/>
      <c r="F37" s="31" t="str">
        <f>ChkList!D21</f>
        <v>L</v>
      </c>
      <c r="G37" s="31">
        <f>ChkList!E21</f>
        <v>1</v>
      </c>
      <c r="H37" s="155" t="s">
        <v>149</v>
      </c>
      <c r="I37" s="311" t="s">
        <v>182</v>
      </c>
      <c r="J37" s="28" t="s">
        <v>149</v>
      </c>
      <c r="K37" s="28" t="str">
        <f t="shared" si="4"/>
        <v>N/A</v>
      </c>
      <c r="L37" s="265" t="s">
        <v>182</v>
      </c>
      <c r="M37" s="266"/>
      <c r="N37" s="266"/>
      <c r="O37" s="266"/>
      <c r="P37" s="267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0</v>
      </c>
      <c r="Y37" s="10"/>
    </row>
    <row r="38" spans="1:25" ht="36" customHeight="1">
      <c r="A38" s="31" t="str">
        <f>ChkList!A22</f>
        <v>옵션 관리</v>
      </c>
      <c r="B38" s="31" t="str">
        <f>ChkList!B22</f>
        <v>D-18</v>
      </c>
      <c r="C38" s="265" t="str">
        <f>ChkList!C22</f>
        <v>응용프로그램 또는 DBA 계정의 Role이 Public으로 설정되지 않도록 조정</v>
      </c>
      <c r="D38" s="266"/>
      <c r="E38" s="267"/>
      <c r="F38" s="31" t="str">
        <f>ChkList!D22</f>
        <v>H</v>
      </c>
      <c r="G38" s="31">
        <f>ChkList!E22</f>
        <v>3</v>
      </c>
      <c r="H38" s="155" t="s">
        <v>149</v>
      </c>
      <c r="I38" s="311" t="s">
        <v>182</v>
      </c>
      <c r="J38" s="28" t="s">
        <v>149</v>
      </c>
      <c r="K38" s="28" t="str">
        <f t="shared" si="4"/>
        <v>N/A</v>
      </c>
      <c r="L38" s="265" t="s">
        <v>182</v>
      </c>
      <c r="M38" s="266"/>
      <c r="N38" s="266"/>
      <c r="O38" s="266"/>
      <c r="P38" s="267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0</v>
      </c>
      <c r="Y38" s="10"/>
    </row>
    <row r="39" spans="1:25" ht="36" customHeight="1">
      <c r="A39" s="31" t="str">
        <f>ChkList!A23</f>
        <v>옵션 관리</v>
      </c>
      <c r="B39" s="31" t="str">
        <f>ChkList!B23</f>
        <v>D-19</v>
      </c>
      <c r="C39" s="265" t="str">
        <f>ChkList!C23</f>
        <v>OS_ROLES, REMOTE_OS_AUTHENTICATION, REMOTE_OS_ROLES를 FALSE로 설정</v>
      </c>
      <c r="D39" s="266"/>
      <c r="E39" s="267"/>
      <c r="F39" s="31" t="str">
        <f>ChkList!D23</f>
        <v>H</v>
      </c>
      <c r="G39" s="31">
        <f>ChkList!E23</f>
        <v>3</v>
      </c>
      <c r="H39" s="155" t="s">
        <v>149</v>
      </c>
      <c r="I39" s="312" t="s">
        <v>328</v>
      </c>
      <c r="J39" s="28" t="s">
        <v>148</v>
      </c>
      <c r="K39" s="28" t="str">
        <f t="shared" si="4"/>
        <v>N/A</v>
      </c>
      <c r="L39" s="265" t="s">
        <v>239</v>
      </c>
      <c r="M39" s="266"/>
      <c r="N39" s="266"/>
      <c r="O39" s="266"/>
      <c r="P39" s="267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0</v>
      </c>
      <c r="S39" s="31">
        <f>IFERROR(VLOOKUP($F39,'parm(hidden)'!$B$8:$C$10,2,FALSE)*VLOOKUP($H39,'parm(hidden)'!$B$15:$C$19,2,FALSE),0)</f>
        <v>0</v>
      </c>
      <c r="T39" s="31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Y39" s="10"/>
    </row>
    <row r="40" spans="1:25" ht="36" customHeight="1">
      <c r="A40" s="31" t="str">
        <f>ChkList!A24</f>
        <v>옵션 관리</v>
      </c>
      <c r="B40" s="31" t="str">
        <f>ChkList!B24</f>
        <v>D-20</v>
      </c>
      <c r="C40" s="265" t="str">
        <f>ChkList!C24</f>
        <v>인가되지 않은 Object Owner의 제한</v>
      </c>
      <c r="D40" s="266"/>
      <c r="E40" s="267"/>
      <c r="F40" s="31" t="str">
        <f>ChkList!D24</f>
        <v>L</v>
      </c>
      <c r="G40" s="31">
        <f>ChkList!E24</f>
        <v>1</v>
      </c>
      <c r="H40" s="154" t="s">
        <v>149</v>
      </c>
      <c r="I40" s="311" t="s">
        <v>182</v>
      </c>
      <c r="J40" s="28" t="s">
        <v>149</v>
      </c>
      <c r="K40" s="28" t="str">
        <f t="shared" si="4"/>
        <v>N/A</v>
      </c>
      <c r="L40" s="265" t="s">
        <v>182</v>
      </c>
      <c r="M40" s="266"/>
      <c r="N40" s="266"/>
      <c r="O40" s="266"/>
      <c r="P40" s="267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0</v>
      </c>
      <c r="Y40" s="10"/>
    </row>
    <row r="41" spans="1:25" ht="36" customHeight="1">
      <c r="A41" s="31" t="str">
        <f>ChkList!A25</f>
        <v>옵션 관리</v>
      </c>
      <c r="B41" s="31" t="str">
        <f>ChkList!B25</f>
        <v>D-21</v>
      </c>
      <c r="C41" s="265" t="str">
        <f>ChkList!C25</f>
        <v>인가되지 않은 GRANT OPTION 사용 제한</v>
      </c>
      <c r="D41" s="266"/>
      <c r="E41" s="267"/>
      <c r="F41" s="31" t="str">
        <f>ChkList!D25</f>
        <v>M</v>
      </c>
      <c r="G41" s="31">
        <f>ChkList!E25</f>
        <v>2</v>
      </c>
      <c r="H41" s="154" t="s">
        <v>149</v>
      </c>
      <c r="I41" s="311" t="s">
        <v>331</v>
      </c>
      <c r="J41" s="28" t="s">
        <v>203</v>
      </c>
      <c r="K41" s="28" t="str">
        <f t="shared" si="4"/>
        <v>N/A</v>
      </c>
      <c r="L41" s="265" t="s">
        <v>204</v>
      </c>
      <c r="M41" s="266"/>
      <c r="N41" s="266"/>
      <c r="O41" s="266"/>
      <c r="P41" s="267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0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36" customHeight="1">
      <c r="A42" s="31" t="str">
        <f>ChkList!A26</f>
        <v>옵션 관리</v>
      </c>
      <c r="B42" s="31" t="str">
        <f>ChkList!B26</f>
        <v>D-22</v>
      </c>
      <c r="C42" s="265" t="str">
        <f>ChkList!C26</f>
        <v>데이터베이스의 자원 제한 기능을 TRUE로 설정</v>
      </c>
      <c r="D42" s="266"/>
      <c r="E42" s="267"/>
      <c r="F42" s="31" t="str">
        <f>ChkList!D26</f>
        <v>L</v>
      </c>
      <c r="G42" s="31">
        <f>ChkList!E26</f>
        <v>1</v>
      </c>
      <c r="H42" s="139" t="s">
        <v>149</v>
      </c>
      <c r="I42" s="311" t="s">
        <v>182</v>
      </c>
      <c r="J42" s="28" t="s">
        <v>149</v>
      </c>
      <c r="K42" s="28" t="str">
        <f t="shared" si="4"/>
        <v>N/A</v>
      </c>
      <c r="L42" s="265" t="s">
        <v>229</v>
      </c>
      <c r="M42" s="266"/>
      <c r="N42" s="266"/>
      <c r="O42" s="266"/>
      <c r="P42" s="267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0</v>
      </c>
      <c r="Y42" s="10"/>
    </row>
    <row r="43" spans="1:25" ht="36" customHeight="1">
      <c r="A43" s="31" t="str">
        <f>ChkList!A27</f>
        <v>옵션 관리</v>
      </c>
      <c r="B43" s="31" t="str">
        <f>ChkList!B27</f>
        <v>D-23</v>
      </c>
      <c r="C43" s="265" t="str">
        <f>ChkList!C27</f>
        <v>xp_cmdshell 사용 제한</v>
      </c>
      <c r="D43" s="266"/>
      <c r="E43" s="267"/>
      <c r="F43" s="31" t="str">
        <f>ChkList!D27</f>
        <v>H</v>
      </c>
      <c r="G43" s="31">
        <f>ChkList!E27</f>
        <v>3</v>
      </c>
      <c r="H43" s="146" t="s">
        <v>149</v>
      </c>
      <c r="I43" s="312" t="s">
        <v>329</v>
      </c>
      <c r="J43" s="28" t="s">
        <v>148</v>
      </c>
      <c r="K43" s="28" t="str">
        <f t="shared" si="4"/>
        <v>N/A</v>
      </c>
      <c r="L43" s="265" t="s">
        <v>240</v>
      </c>
      <c r="M43" s="266"/>
      <c r="N43" s="266"/>
      <c r="O43" s="266"/>
      <c r="P43" s="267"/>
      <c r="Q43" s="21" t="str">
        <f>IF($J43="",IF(OR($H43="N",$H43="인터뷰"), ChkList!$F27, ""), IF(OR($J43="N",$J43="인터뷰"), ChkList!$F27, ""))</f>
        <v/>
      </c>
      <c r="R43" s="31">
        <f>IF($H43="N/A",0,VLOOKUP($F43,'parm(hidden)'!$B$8:$C$10,2,FALSE))*1</f>
        <v>0</v>
      </c>
      <c r="S43" s="31">
        <f>IFERROR(VLOOKUP($F43,'parm(hidden)'!$B$8:$C$10,2,FALSE)*VLOOKUP($H43,'parm(hidden)'!$B$15:$C$19,2,FALSE),0)</f>
        <v>0</v>
      </c>
      <c r="T43" s="31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 ht="36" customHeight="1">
      <c r="A44" s="31" t="str">
        <f>ChkList!A28</f>
        <v>옵션 관리</v>
      </c>
      <c r="B44" s="31" t="str">
        <f>ChkList!B28</f>
        <v>D-24</v>
      </c>
      <c r="C44" s="265" t="str">
        <f>ChkList!C28</f>
        <v>Registry Procedure 권한 제한</v>
      </c>
      <c r="D44" s="266"/>
      <c r="E44" s="267"/>
      <c r="F44" s="31" t="str">
        <f>ChkList!D28</f>
        <v>H</v>
      </c>
      <c r="G44" s="31">
        <f>ChkList!E28</f>
        <v>3</v>
      </c>
      <c r="H44" s="155" t="s">
        <v>149</v>
      </c>
      <c r="I44" s="311" t="s">
        <v>329</v>
      </c>
      <c r="J44" s="28" t="s">
        <v>149</v>
      </c>
      <c r="K44" s="28" t="str">
        <f t="shared" si="4"/>
        <v>N/A</v>
      </c>
      <c r="L44" s="265" t="s">
        <v>230</v>
      </c>
      <c r="M44" s="266"/>
      <c r="N44" s="266"/>
      <c r="O44" s="266"/>
      <c r="P44" s="267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0</v>
      </c>
      <c r="Y44" s="10"/>
    </row>
    <row r="45" spans="1:25" ht="36" customHeight="1">
      <c r="A45" s="31" t="str">
        <f>ChkList!A29</f>
        <v>패치 관리</v>
      </c>
      <c r="B45" s="31" t="str">
        <f>ChkList!B29</f>
        <v>D-25</v>
      </c>
      <c r="C45" s="265" t="str">
        <f>ChkList!C29</f>
        <v>주기적 보안 패치 및 벤더 권고 사항 적용</v>
      </c>
      <c r="D45" s="266"/>
      <c r="E45" s="267"/>
      <c r="F45" s="31" t="str">
        <f>ChkList!D29</f>
        <v>H</v>
      </c>
      <c r="G45" s="31">
        <f>ChkList!E29</f>
        <v>3</v>
      </c>
      <c r="H45" s="146" t="s">
        <v>148</v>
      </c>
      <c r="I45" s="12" t="s">
        <v>332</v>
      </c>
      <c r="J45" s="156" t="s">
        <v>148</v>
      </c>
      <c r="K45" s="156" t="str">
        <f t="shared" si="4"/>
        <v>Y</v>
      </c>
      <c r="L45" s="265" t="s">
        <v>305</v>
      </c>
      <c r="M45" s="266"/>
      <c r="N45" s="266"/>
      <c r="O45" s="266"/>
      <c r="P45" s="267"/>
      <c r="Q45" s="21" t="str">
        <f>IF($J45="",IF(OR($H45="N",$H45="인터뷰"), ChkList!$F29, ""), IF(OR($J45="N",$J45="인터뷰"), ChkList!$F29, ""))</f>
        <v/>
      </c>
    </row>
    <row r="46" spans="1:25" ht="36" customHeight="1">
      <c r="A46" s="31" t="str">
        <f>ChkList!A30</f>
        <v>패치 관리</v>
      </c>
      <c r="B46" s="31" t="str">
        <f>ChkList!B30</f>
        <v>D-26</v>
      </c>
      <c r="C46" s="265" t="str">
        <f>ChkList!C30</f>
        <v>데이터베이스의 접근, 변경, 삭제 등의 감사 기록이 기관의 감사 기록 정책에 적합하도록 설정</v>
      </c>
      <c r="D46" s="266"/>
      <c r="E46" s="267"/>
      <c r="F46" s="31" t="str">
        <f>ChkList!D30</f>
        <v>H</v>
      </c>
      <c r="G46" s="31">
        <f>ChkList!E30</f>
        <v>3</v>
      </c>
      <c r="H46" s="155" t="s">
        <v>149</v>
      </c>
      <c r="I46" s="12" t="s">
        <v>333</v>
      </c>
      <c r="J46" s="156" t="s">
        <v>149</v>
      </c>
      <c r="K46" s="156" t="str">
        <f t="shared" si="4"/>
        <v>N/A</v>
      </c>
      <c r="L46" s="265" t="s">
        <v>230</v>
      </c>
      <c r="M46" s="266"/>
      <c r="N46" s="266"/>
      <c r="O46" s="266"/>
      <c r="P46" s="267"/>
      <c r="Q46" s="21" t="str">
        <f>IF($J46="",IF(OR($H46="N",$H46="인터뷰"), ChkList!$F30, ""), IF(OR($J46="N",$J46="인터뷰"), ChkList!$F30, ""))</f>
        <v/>
      </c>
    </row>
  </sheetData>
  <mergeCells count="88">
    <mergeCell ref="C32:E32"/>
    <mergeCell ref="C45:E45"/>
    <mergeCell ref="L45:P45"/>
    <mergeCell ref="C46:E46"/>
    <mergeCell ref="L46:P46"/>
    <mergeCell ref="C36:E36"/>
    <mergeCell ref="L36:P36"/>
    <mergeCell ref="C40:E40"/>
    <mergeCell ref="L40:P40"/>
    <mergeCell ref="C29:E29"/>
    <mergeCell ref="L29:P29"/>
    <mergeCell ref="C30:E30"/>
    <mergeCell ref="L30:P30"/>
    <mergeCell ref="C31:E31"/>
    <mergeCell ref="L31:P31"/>
    <mergeCell ref="C35:E35"/>
    <mergeCell ref="C44:E44"/>
    <mergeCell ref="L44:P44"/>
    <mergeCell ref="L34:P34"/>
    <mergeCell ref="C41:E41"/>
    <mergeCell ref="C43:E43"/>
    <mergeCell ref="L43:P43"/>
    <mergeCell ref="C37:E37"/>
    <mergeCell ref="L37:P37"/>
    <mergeCell ref="C38:E38"/>
    <mergeCell ref="L38:P38"/>
    <mergeCell ref="C39:E39"/>
    <mergeCell ref="L41:P41"/>
    <mergeCell ref="C42:E42"/>
    <mergeCell ref="L42:P42"/>
    <mergeCell ref="L39:P39"/>
    <mergeCell ref="U4:U6"/>
    <mergeCell ref="B5:C5"/>
    <mergeCell ref="D5:E5"/>
    <mergeCell ref="B6:C6"/>
    <mergeCell ref="D6:E6"/>
    <mergeCell ref="B4:C4"/>
    <mergeCell ref="D4:E4"/>
    <mergeCell ref="T4:T6"/>
    <mergeCell ref="F4:G4"/>
    <mergeCell ref="F5:G5"/>
    <mergeCell ref="F6:G6"/>
    <mergeCell ref="C34:E34"/>
    <mergeCell ref="V10:Y10"/>
    <mergeCell ref="V17:W17"/>
    <mergeCell ref="V16:W16"/>
    <mergeCell ref="V14:W14"/>
    <mergeCell ref="V13:W13"/>
    <mergeCell ref="V11:W11"/>
    <mergeCell ref="V12:W12"/>
    <mergeCell ref="V15:W15"/>
    <mergeCell ref="A10:C11"/>
    <mergeCell ref="I10:I11"/>
    <mergeCell ref="J10:O10"/>
    <mergeCell ref="A12:C12"/>
    <mergeCell ref="L32:P32"/>
    <mergeCell ref="C28:E28"/>
    <mergeCell ref="L28:P28"/>
    <mergeCell ref="L23:P23"/>
    <mergeCell ref="C26:E26"/>
    <mergeCell ref="L26:P26"/>
    <mergeCell ref="C27:E27"/>
    <mergeCell ref="R10:U10"/>
    <mergeCell ref="I12:I17"/>
    <mergeCell ref="A17:C17"/>
    <mergeCell ref="D10:H10"/>
    <mergeCell ref="L35:P35"/>
    <mergeCell ref="L27:P27"/>
    <mergeCell ref="A14:C14"/>
    <mergeCell ref="A20:B20"/>
    <mergeCell ref="C20:E20"/>
    <mergeCell ref="C23:E23"/>
    <mergeCell ref="L24:P24"/>
    <mergeCell ref="C25:E25"/>
    <mergeCell ref="L25:P25"/>
    <mergeCell ref="C24:E24"/>
    <mergeCell ref="A15:C15"/>
    <mergeCell ref="A16:C16"/>
    <mergeCell ref="A13:C13"/>
    <mergeCell ref="C33:E33"/>
    <mergeCell ref="L33:P33"/>
    <mergeCell ref="V20:W20"/>
    <mergeCell ref="F20:G20"/>
    <mergeCell ref="L20:P20"/>
    <mergeCell ref="C22:E22"/>
    <mergeCell ref="L22:P22"/>
    <mergeCell ref="C21:E21"/>
    <mergeCell ref="L21:P21"/>
  </mergeCells>
  <phoneticPr fontId="4" type="noConversion"/>
  <conditionalFormatting sqref="H21:H46">
    <cfRule type="cellIs" priority="1" operator="equal">
      <formula>"양호"</formula>
    </cfRule>
    <cfRule type="cellIs" dxfId="120" priority="2" operator="equal">
      <formula>"취약"</formula>
    </cfRule>
  </conditionalFormatting>
  <conditionalFormatting sqref="J21:K46">
    <cfRule type="cellIs" dxfId="119" priority="216" stopIfTrue="1" operator="equal">
      <formula>"인터뷰"</formula>
    </cfRule>
    <cfRule type="cellIs" dxfId="118" priority="217" stopIfTrue="1" operator="equal">
      <formula>"R/A"</formula>
    </cfRule>
    <cfRule type="cellIs" dxfId="117" priority="218" stopIfTrue="1" operator="equal">
      <formula>"N/A"</formula>
    </cfRule>
    <cfRule type="cellIs" dxfId="116" priority="219" stopIfTrue="1" operator="equal">
      <formula>"N"</formula>
    </cfRule>
    <cfRule type="expression" dxfId="115" priority="220">
      <formula>OR(IF(J21=0,1,0),IF(J21="-",1,0))</formula>
    </cfRule>
  </conditionalFormatting>
  <conditionalFormatting sqref="K21:K46">
    <cfRule type="cellIs" dxfId="114" priority="180" operator="equal">
      <formula>"위험수용"</formula>
    </cfRule>
    <cfRule type="cellIs" dxfId="113" priority="181" operator="equal">
      <formula>"미조치"</formula>
    </cfRule>
    <cfRule type="cellIs" dxfId="112" priority="182" operator="equal">
      <formula>"조치"</formula>
    </cfRule>
  </conditionalFormatting>
  <conditionalFormatting sqref="K22:K46">
    <cfRule type="cellIs" dxfId="111" priority="183" stopIfTrue="1" operator="equal">
      <formula>"인터뷰"</formula>
    </cfRule>
    <cfRule type="cellIs" dxfId="110" priority="184" stopIfTrue="1" operator="equal">
      <formula>"R/A"</formula>
    </cfRule>
    <cfRule type="cellIs" dxfId="109" priority="185" stopIfTrue="1" operator="equal">
      <formula>"N/A"</formula>
    </cfRule>
    <cfRule type="cellIs" dxfId="108" priority="186" stopIfTrue="1" operator="equal">
      <formula>"N"</formula>
    </cfRule>
    <cfRule type="expression" dxfId="107" priority="187">
      <formula>OR(IF(K22=0,1,0),IF(K22="-",1,0))</formula>
    </cfRule>
  </conditionalFormatting>
  <conditionalFormatting sqref="L21:L46">
    <cfRule type="cellIs" dxfId="106" priority="144" stopIfTrue="1" operator="equal">
      <formula>"인터뷰"</formula>
    </cfRule>
    <cfRule type="cellIs" dxfId="105" priority="145" stopIfTrue="1" operator="equal">
      <formula>"R/A"</formula>
    </cfRule>
    <cfRule type="cellIs" dxfId="104" priority="146" stopIfTrue="1" operator="equal">
      <formula>"N/A"</formula>
    </cfRule>
    <cfRule type="cellIs" dxfId="103" priority="147" stopIfTrue="1" operator="equal">
      <formula>"N"</formula>
    </cfRule>
    <cfRule type="expression" dxfId="102" priority="148">
      <formula>OR(IF(L21=0,1,0),IF(L21="-",1,0))</formula>
    </cfRule>
  </conditionalFormatting>
  <conditionalFormatting sqref="Y21:Y44">
    <cfRule type="cellIs" dxfId="101" priority="299" operator="equal">
      <formula>"신규 취약점(즉시조치)"</formula>
    </cfRule>
    <cfRule type="cellIs" dxfId="100" priority="300" operator="equal">
      <formula>"기존 취약점(즉시조치)"</formula>
    </cfRule>
    <cfRule type="cellIs" dxfId="99" priority="301" operator="equal">
      <formula>"기존 취약점"</formula>
    </cfRule>
    <cfRule type="cellIs" dxfId="98" priority="302" operator="equal">
      <formula>"신규 취약점"</formula>
    </cfRule>
    <cfRule type="cellIs" dxfId="97" priority="303" operator="equal">
      <formula>"확인필요"</formula>
    </cfRule>
    <cfRule type="cellIs" dxfId="96" priority="304" operator="equal">
      <formula>"확인필요"</formula>
    </cfRule>
    <cfRule type="cellIs" dxfId="95" priority="305" operator="equal">
      <formula>"신규취약점"</formula>
    </cfRule>
    <cfRule type="cellIs" dxfId="94" priority="306" operator="equal">
      <formula>"조치완료"</formula>
    </cfRule>
  </conditionalFormatting>
  <dataValidations count="4">
    <dataValidation allowBlank="1" showInputMessage="1" showErrorMessage="1" errorTitle="오류!" error="Y, N, N/A 중에 선택" sqref="L21:L46 I21:I44"/>
    <dataValidation type="list" errorStyle="warning" allowBlank="1" showInputMessage="1" showErrorMessage="1" errorTitle="오류!" error="Y, N, N/A 중에 선택" sqref="H21:H46">
      <formula1>"Y,N,N/A,인터뷰,Y(즉시조치)"</formula1>
    </dataValidation>
    <dataValidation type="list" errorStyle="warning" showInputMessage="1" showErrorMessage="1" errorTitle="오류!" error="Y, N, N/A 중에 선택" sqref="J21:J46">
      <formula1>"Y,N,N/A,인터뷰,Y(즉시조치)"</formula1>
    </dataValidation>
    <dataValidation errorStyle="warning" allowBlank="1" showInputMessage="1" showErrorMessage="1" sqref="K21:K46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29" fitToHeight="0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DB_BR_Rocky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2" t="s">
        <v>109</v>
      </c>
      <c r="B3" s="52"/>
      <c r="C3" s="52"/>
      <c r="D3" s="52"/>
      <c r="E3" s="52"/>
      <c r="F3" s="52"/>
      <c r="G3" s="52"/>
      <c r="H3" s="5"/>
      <c r="I3" s="5"/>
      <c r="R3" s="5" t="s">
        <v>110</v>
      </c>
      <c r="X3" s="5"/>
      <c r="Y3" s="5"/>
    </row>
    <row r="4" spans="1:25" ht="17.100000000000001" customHeight="1" thickBot="1">
      <c r="A4" s="116" t="s">
        <v>111</v>
      </c>
      <c r="B4" s="299" t="str">
        <f ca="1">REPLACE(CELL("filename",A1),1,FIND("]",CELL("filename",A1)),"")</f>
        <v>DB_BR_Rocky</v>
      </c>
      <c r="C4" s="300"/>
      <c r="D4" s="307" t="s">
        <v>112</v>
      </c>
      <c r="E4" s="308"/>
      <c r="F4" s="303" t="str">
        <f ca="1">IFERROR(VLOOKUP($B$4,자산목록!$B$1:$Q$832,8,FALSE),"N/A")</f>
        <v>DB / php 서비스 Maria</v>
      </c>
      <c r="G4" s="304"/>
      <c r="H4" s="61"/>
      <c r="I4" s="53"/>
      <c r="R4" s="25" t="s">
        <v>113</v>
      </c>
      <c r="S4" s="39">
        <f ca="1">IFERROR(VLOOKUP($B$4,자산목록!$B$1:$Q$832,13,FALSE),"N/A")</f>
        <v>3</v>
      </c>
      <c r="T4" s="302" t="s">
        <v>114</v>
      </c>
      <c r="U4" s="294" t="str">
        <f ca="1">IFERROR(VLOOKUP($B$4,자산목록!$B$1:$Q$832,16,FALSE),"N/A")</f>
        <v>H</v>
      </c>
      <c r="X4" s="5"/>
      <c r="Y4" s="5"/>
    </row>
    <row r="5" spans="1:25" ht="17.100000000000001" customHeight="1" thickBot="1">
      <c r="A5" s="117" t="s">
        <v>115</v>
      </c>
      <c r="B5" s="295" t="str">
        <f ca="1">IFERROR(VLOOKUP($B$4,자산목록!$B$1:$Q$832,6,FALSE)&amp;" "&amp;VLOOKUP($B$4,자산목록!$B$1:$Q$832,7,FALSE),"N/A")</f>
        <v>MariaDB Server 10.3.39</v>
      </c>
      <c r="C5" s="295"/>
      <c r="D5" s="309" t="s">
        <v>116</v>
      </c>
      <c r="E5" s="309"/>
      <c r="F5" s="295" t="str">
        <f ca="1">IFERROR(VLOOKUP($B$4,자산목록!$B$1:$Q$832,2,FALSE),"N/A")</f>
        <v>10.200.40.18</v>
      </c>
      <c r="G5" s="305"/>
      <c r="H5" s="61"/>
      <c r="I5" s="53"/>
      <c r="R5" s="25" t="s">
        <v>117</v>
      </c>
      <c r="S5" s="39">
        <f ca="1">IFERROR(VLOOKUP($B$4,자산목록!$B$1:$Q$832,14,FALSE),"N/A")</f>
        <v>3</v>
      </c>
      <c r="T5" s="302"/>
      <c r="U5" s="294"/>
      <c r="X5" s="5"/>
      <c r="Y5" s="5"/>
    </row>
    <row r="6" spans="1:25" ht="17.100000000000001" customHeight="1" thickBot="1">
      <c r="A6" s="118" t="s">
        <v>118</v>
      </c>
      <c r="B6" s="297" t="str">
        <f ca="1">IFERROR(VLOOKUP($B$4,자산목록!$B$1:$Q$832,11,FALSE),"N/A")</f>
        <v>김승우</v>
      </c>
      <c r="C6" s="297"/>
      <c r="D6" s="310" t="s">
        <v>119</v>
      </c>
      <c r="E6" s="310"/>
      <c r="F6" s="297" t="str">
        <f ca="1">IFERROR(VLOOKUP($B$4,자산목록!$B$1:$Q$832,9,FALSE),"N/A")</f>
        <v>지사 내부 서버망</v>
      </c>
      <c r="G6" s="306"/>
      <c r="H6" s="61"/>
      <c r="I6" s="53"/>
      <c r="R6" s="25" t="s">
        <v>120</v>
      </c>
      <c r="S6" s="39">
        <f ca="1">IFERROR(VLOOKUP($B$4,자산목록!$B$1:$Q$832,15,FALSE),"N/A")</f>
        <v>3</v>
      </c>
      <c r="T6" s="302"/>
      <c r="U6" s="294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54" t="s">
        <v>122</v>
      </c>
      <c r="B9" s="52"/>
      <c r="C9" s="52"/>
      <c r="D9" s="52"/>
      <c r="E9" s="52"/>
      <c r="F9" s="52"/>
      <c r="G9" s="52"/>
      <c r="H9" s="5"/>
      <c r="I9" s="5"/>
      <c r="M9" s="5"/>
      <c r="N9" s="5"/>
      <c r="O9" s="5"/>
      <c r="P9" s="5"/>
      <c r="R9" s="14"/>
      <c r="S9" s="55"/>
    </row>
    <row r="10" spans="1:25" ht="20.100000000000001" customHeight="1" thickBot="1">
      <c r="A10" s="288" t="s">
        <v>61</v>
      </c>
      <c r="B10" s="222"/>
      <c r="C10" s="222"/>
      <c r="D10" s="268" t="s">
        <v>123</v>
      </c>
      <c r="E10" s="269"/>
      <c r="F10" s="269"/>
      <c r="G10" s="269"/>
      <c r="H10" s="269"/>
      <c r="I10" s="290" t="s">
        <v>124</v>
      </c>
      <c r="J10" s="292" t="s">
        <v>82</v>
      </c>
      <c r="K10" s="292"/>
      <c r="L10" s="292"/>
      <c r="M10" s="292"/>
      <c r="N10" s="292"/>
      <c r="O10" s="293"/>
      <c r="R10" s="275" t="s">
        <v>125</v>
      </c>
      <c r="S10" s="275"/>
      <c r="T10" s="275"/>
      <c r="U10" s="275"/>
      <c r="V10" s="281" t="s">
        <v>124</v>
      </c>
      <c r="W10" s="281"/>
      <c r="X10" s="281"/>
      <c r="Y10" s="281"/>
    </row>
    <row r="11" spans="1:25" ht="20.100000000000001" customHeight="1">
      <c r="A11" s="289"/>
      <c r="B11" s="257"/>
      <c r="C11" s="257"/>
      <c r="D11" s="119" t="s">
        <v>99</v>
      </c>
      <c r="E11" s="120" t="s">
        <v>71</v>
      </c>
      <c r="F11" s="121" t="s">
        <v>83</v>
      </c>
      <c r="G11" s="122" t="s">
        <v>102</v>
      </c>
      <c r="H11" s="122" t="s">
        <v>126</v>
      </c>
      <c r="I11" s="291"/>
      <c r="J11" s="133" t="s">
        <v>84</v>
      </c>
      <c r="K11" s="123" t="s">
        <v>85</v>
      </c>
      <c r="L11" s="124" t="s">
        <v>86</v>
      </c>
      <c r="M11" s="124" t="s">
        <v>102</v>
      </c>
      <c r="N11" s="124" t="s">
        <v>92</v>
      </c>
      <c r="O11" s="125" t="s">
        <v>126</v>
      </c>
      <c r="R11" s="47" t="s">
        <v>127</v>
      </c>
      <c r="S11" s="48" t="s">
        <v>128</v>
      </c>
      <c r="T11" s="48" t="s">
        <v>129</v>
      </c>
      <c r="U11" s="50" t="s">
        <v>130</v>
      </c>
      <c r="V11" s="287" t="s">
        <v>61</v>
      </c>
      <c r="W11" s="287"/>
      <c r="X11" s="11" t="s">
        <v>131</v>
      </c>
      <c r="Y11" s="11" t="s">
        <v>132</v>
      </c>
    </row>
    <row r="12" spans="1:25" ht="32.1" customHeight="1">
      <c r="A12" s="270" t="s">
        <v>151</v>
      </c>
      <c r="B12" s="271"/>
      <c r="C12" s="272"/>
      <c r="D12" s="39">
        <f ca="1">COUNTIF($A$21:INDIRECT(ADDRESS(MATCH("",$A:$A,-1),1,1,1)),$A12)</f>
        <v>9</v>
      </c>
      <c r="E12" s="39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3</v>
      </c>
      <c r="F12" s="39">
        <f ca="1">COUNTIFS($A$21:INDIRECT(ADDRESS(MATCH("",$A:$A,-1),1,1,1)),$A12&amp;"*",$H$21:INDIRECT(ADDRESS(MATCH("",$A:$A,-1),8,1,1)),"N")</f>
        <v>2</v>
      </c>
      <c r="G12" s="28">
        <f ca="1">COUNTIFS($A$21:INDIRECT(ADDRESS(MATCH("",$A:$A,-1),1,1,1)),$A12&amp;"*",$H$21:INDIRECT(ADDRESS(MATCH("",$A:$A,-1),8,1,1)),"N/A")</f>
        <v>2</v>
      </c>
      <c r="H12" s="64">
        <f ca="1">IF($G12=$D12, "N/A", (S12/R12))</f>
        <v>0.47368421052631576</v>
      </c>
      <c r="I12" s="276"/>
      <c r="J12" s="59">
        <f ca="1">COUNTIFS($A$21:INDIRECT(ADDRESS(MATCH("",$A:$A,-1),1,1,1)),$A12,$K$21:INDIRECT(ADDRESS(MATCH("",$B:$B,-1),11,1,1)),"조치")</f>
        <v>2</v>
      </c>
      <c r="K12" s="28">
        <f ca="1">COUNTIFS($A$21:INDIRECT(ADDRESS(MATCH("",$A:$A,-1),1,1,1)),$A12,$K$21:INDIRECT(ADDRESS(MATCH("",$B:$B,-1),11,1,1)),"미조치")</f>
        <v>2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2</v>
      </c>
      <c r="N12" s="56">
        <f ca="1">IFERROR($J12/($F12-(M12-G12)),"N/A")</f>
        <v>1</v>
      </c>
      <c r="O12" s="126">
        <f ca="1">IF(OR($G12=$D12,$D12=$M12),"N/A", ($T12/$U12))</f>
        <v>0.73684210526315785</v>
      </c>
      <c r="R12" s="39">
        <f ca="1">SUMIF($A$21:INDIRECT(ADDRESS(MATCH("",$A:$A,-1),1,1,1)),$A12,$R$21:INDIRECT(ADDRESS(MATCH("",$A:$A,-1),18,1,1)))</f>
        <v>19</v>
      </c>
      <c r="S12" s="39">
        <f ca="1">SUMIF($A$21:INDIRECT(ADDRESS(MATCH("",$A:$A,-1),1,1,1)),$A12,$S$21:INDIRECT(ADDRESS(MATCH("",$A:$A,-1),19,1,1)))</f>
        <v>9</v>
      </c>
      <c r="T12" s="39">
        <f ca="1">SUMIF($A$21:INDIRECT(ADDRESS(MATCH("",$A:$A,-1),1,1,1)),$A12,$T$21:INDIRECT(ADDRESS(MATCH("",$A:$A,-1),20,1,1)))</f>
        <v>14</v>
      </c>
      <c r="U12" s="39">
        <f ca="1">SUMIF($A$21:INDIRECT(ADDRESS(MATCH("",$A:$A,-1),2,1,1)),$A12&amp;"*",$U$21:INDIRECT(ADDRESS(MATCH("",$A:$A,-1),21,1,1)))</f>
        <v>19</v>
      </c>
      <c r="V12" s="286">
        <f>B12</f>
        <v>0</v>
      </c>
      <c r="W12" s="272"/>
      <c r="X12" s="62">
        <f t="shared" ref="X12:X17" ca="1" si="0">H12</f>
        <v>0.47368421052631576</v>
      </c>
      <c r="Y12" s="62">
        <f ca="1">O12</f>
        <v>0.73684210526315785</v>
      </c>
    </row>
    <row r="13" spans="1:25" ht="32.1" customHeight="1">
      <c r="A13" s="270" t="s">
        <v>65</v>
      </c>
      <c r="B13" s="271"/>
      <c r="C13" s="272"/>
      <c r="D13" s="39">
        <f ca="1">COUNTIF($A$21:INDIRECT(ADDRESS(MATCH("",$A:$A,-1),1,1,1)),$A13)</f>
        <v>7</v>
      </c>
      <c r="E13" s="39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39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4</v>
      </c>
      <c r="H13" s="64">
        <f t="shared" ref="H13:H16" ca="1" si="1">IF($G13=$D13, "N/A", (S13/R13))</f>
        <v>1</v>
      </c>
      <c r="I13" s="276"/>
      <c r="J13" s="59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4</v>
      </c>
      <c r="N13" s="56" t="str">
        <f ca="1">IFERROR($J13/($F13-(M13-G13)),"N/A")</f>
        <v>N/A</v>
      </c>
      <c r="O13" s="126">
        <f ca="1">IF(OR($G13=$D13,$D13=$M13),"N/A", ($T13/$U13))</f>
        <v>1.6</v>
      </c>
      <c r="R13" s="39">
        <f ca="1">SUMIF($A$21:INDIRECT(ADDRESS(MATCH("",$A:$A,-1),1,1,1)),$A13,$R$21:INDIRECT(ADDRESS(MATCH("",$A:$A,-1),18,1,1)))</f>
        <v>8</v>
      </c>
      <c r="S13" s="39">
        <f ca="1">SUMIF($A$21:INDIRECT(ADDRESS(MATCH("",$A:$A,-1),1,1,1)),$A13,$S$21:INDIRECT(ADDRESS(MATCH("",$A:$A,-1),19,1,1)))</f>
        <v>8</v>
      </c>
      <c r="T13" s="39">
        <f ca="1">SUMIF($A$21:INDIRECT(ADDRESS(MATCH("",$A:$A,-1),1,1,1)),$A13,$T$21:INDIRECT(ADDRESS(MATCH("",$A:$A,-1),20,1,1)))</f>
        <v>8</v>
      </c>
      <c r="U13" s="39">
        <f ca="1">SUMIF($A$21:INDIRECT(ADDRESS(MATCH("",$A:$A,-1),2,1,1)),$A13&amp;"*",$U$21:INDIRECT(ADDRESS(MATCH("",$A:$A,-1),21,1,1)))</f>
        <v>5</v>
      </c>
      <c r="V13" s="286">
        <f>B13</f>
        <v>0</v>
      </c>
      <c r="W13" s="272"/>
      <c r="X13" s="62">
        <f t="shared" ca="1" si="0"/>
        <v>1</v>
      </c>
      <c r="Y13" s="62">
        <f t="shared" ref="Y13:Y16" ca="1" si="2">O13</f>
        <v>1.6</v>
      </c>
    </row>
    <row r="14" spans="1:25" ht="32.1" customHeight="1">
      <c r="A14" s="270" t="s">
        <v>179</v>
      </c>
      <c r="B14" s="271"/>
      <c r="C14" s="272"/>
      <c r="D14" s="39">
        <f ca="1">COUNTIF($A$21:INDIRECT(ADDRESS(MATCH("",$A:$A,-1),1,1,1)),$A14)</f>
        <v>8</v>
      </c>
      <c r="E14" s="39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39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8</v>
      </c>
      <c r="H14" s="64" t="str">
        <f t="shared" ca="1" si="1"/>
        <v>N/A</v>
      </c>
      <c r="I14" s="276"/>
      <c r="J14" s="59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8</v>
      </c>
      <c r="N14" s="56" t="str">
        <f ca="1">IFERROR($J14/($F14-(M14-G14)),"N/A")</f>
        <v>N/A</v>
      </c>
      <c r="O14" s="126" t="str">
        <f ca="1">IF(OR($G14=$D14,$D14=$M14),"N/A", ($T14/$U14))</f>
        <v>N/A</v>
      </c>
      <c r="R14" s="39">
        <f ca="1">SUMIF($A$21:INDIRECT(ADDRESS(MATCH("",$A:$A,-1),1,1,1)),$A14,$R$21:INDIRECT(ADDRESS(MATCH("",$A:$A,-1),18,1,1)))</f>
        <v>0</v>
      </c>
      <c r="S14" s="39">
        <f ca="1">SUMIF($A$21:INDIRECT(ADDRESS(MATCH("",$A:$A,-1),1,1,1)),$A14,$S$21:INDIRECT(ADDRESS(MATCH("",$A:$A,-1),19,1,1)))</f>
        <v>0</v>
      </c>
      <c r="T14" s="39">
        <f ca="1">SUMIF($A$21:INDIRECT(ADDRESS(MATCH("",$A:$A,-1),1,1,1)),$A14,$T$21:INDIRECT(ADDRESS(MATCH("",$A:$A,-1),20,1,1)))</f>
        <v>0</v>
      </c>
      <c r="U14" s="39">
        <f ca="1">SUMIF($A$21:INDIRECT(ADDRESS(MATCH("",$A:$A,-1),2,1,1)),$A14&amp;"*",$U$21:INDIRECT(ADDRESS(MATCH("",$A:$A,-1),21,1,1)))</f>
        <v>8</v>
      </c>
      <c r="V14" s="286">
        <f>B14</f>
        <v>0</v>
      </c>
      <c r="W14" s="272"/>
      <c r="X14" s="62" t="str">
        <f t="shared" ca="1" si="0"/>
        <v>N/A</v>
      </c>
      <c r="Y14" s="62" t="str">
        <f t="shared" ca="1" si="2"/>
        <v>N/A</v>
      </c>
    </row>
    <row r="15" spans="1:25" ht="32.1" customHeight="1">
      <c r="A15" s="270" t="s">
        <v>180</v>
      </c>
      <c r="B15" s="271"/>
      <c r="C15" s="272"/>
      <c r="D15" s="39">
        <f ca="1">COUNTIF($A$21:INDIRECT(ADDRESS(MATCH("",$A:$A,-1),1,1,1)),$A15)</f>
        <v>2</v>
      </c>
      <c r="E15" s="39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1</v>
      </c>
      <c r="F15" s="39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1</v>
      </c>
      <c r="H15" s="64" t="e">
        <f t="shared" ca="1" si="1"/>
        <v>#DIV/0!</v>
      </c>
      <c r="I15" s="276"/>
      <c r="J15" s="59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6">
        <f ca="1">IFERROR($J15/($F15-(M15-G15)),"N/A")</f>
        <v>0</v>
      </c>
      <c r="O15" s="126" t="e">
        <f ca="1">IF(OR($G15=$D15,$D15=$M15),"N/A", ($T15/$U15))</f>
        <v>#DIV/0!</v>
      </c>
      <c r="R15" s="39">
        <f ca="1">SUMIF($A$21:INDIRECT(ADDRESS(MATCH("",$A:$A,-1),1,1,1)),$A15,$R$21:INDIRECT(ADDRESS(MATCH("",$A:$A,-1),18,1,1)))</f>
        <v>0</v>
      </c>
      <c r="S15" s="39">
        <f ca="1">SUMIF($A$21:INDIRECT(ADDRESS(MATCH("",$A:$A,-1),1,1,1)),$A15,$S$21:INDIRECT(ADDRESS(MATCH("",$A:$A,-1),19,1,1)))</f>
        <v>0</v>
      </c>
      <c r="T15" s="39">
        <f ca="1">SUMIF($A$21:INDIRECT(ADDRESS(MATCH("",$A:$A,-1),1,1,1)),$A15,$T$21:INDIRECT(ADDRESS(MATCH("",$A:$A,-1),20,1,1)))</f>
        <v>0</v>
      </c>
      <c r="U15" s="39">
        <f ca="1">SUMIF($A$21:INDIRECT(ADDRESS(MATCH("",$A:$A,-1),2,1,1)),$A15&amp;"*",$U$21:INDIRECT(ADDRESS(MATCH("",$A:$A,-1),21,1,1)))</f>
        <v>0</v>
      </c>
      <c r="V15" s="286">
        <f>B15</f>
        <v>0</v>
      </c>
      <c r="W15" s="272"/>
      <c r="X15" s="62" t="e">
        <f t="shared" ca="1" si="0"/>
        <v>#DIV/0!</v>
      </c>
      <c r="Y15" s="62" t="e">
        <f t="shared" ca="1" si="2"/>
        <v>#DIV/0!</v>
      </c>
    </row>
    <row r="16" spans="1:25" ht="32.1" customHeight="1" thickBot="1">
      <c r="A16" s="270" t="s">
        <v>178</v>
      </c>
      <c r="B16" s="271"/>
      <c r="C16" s="272"/>
      <c r="D16" s="39">
        <f ca="1">COUNTIF($A$21:INDIRECT(ADDRESS(MATCH("",$A:$A,-1),1,1,1)),$A16)</f>
        <v>0</v>
      </c>
      <c r="E16" s="39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9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4" t="str">
        <f t="shared" ca="1" si="1"/>
        <v>N/A</v>
      </c>
      <c r="I16" s="276"/>
      <c r="J16" s="59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6" t="str">
        <f ca="1">IFERROR($J16/($F16-(M16-G16)),"N/A")</f>
        <v>N/A</v>
      </c>
      <c r="O16" s="126" t="str">
        <f ca="1">IF(OR($G16=$D16,$D16=$M16),"N/A", ($T16/$U16))</f>
        <v>N/A</v>
      </c>
      <c r="R16" s="39">
        <f ca="1">SUMIF($A$21:INDIRECT(ADDRESS(MATCH("",$A:$A,-1),1,1,1)),$A16,$R$21:INDIRECT(ADDRESS(MATCH("",$A:$A,-1),18,1,1)))</f>
        <v>0</v>
      </c>
      <c r="S16" s="39">
        <f ca="1">SUMIF($A$21:INDIRECT(ADDRESS(MATCH("",$A:$A,-1),1,1,1)),$A16,$S$21:INDIRECT(ADDRESS(MATCH("",$A:$A,-1),19,1,1)))</f>
        <v>0</v>
      </c>
      <c r="T16" s="39">
        <f ca="1">SUMIF($A$21:INDIRECT(ADDRESS(MATCH("",$A:$A,-1),1,1,1)),$A16,$T$21:INDIRECT(ADDRESS(MATCH("",$A:$A,-1),20,1,1)))</f>
        <v>0</v>
      </c>
      <c r="U16" s="39">
        <f ca="1">SUMIF($A$21:INDIRECT(ADDRESS(MATCH("",$A:$A,-1),2,1,1)),$A16&amp;"*",$U$21:INDIRECT(ADDRESS(MATCH("",$A:$A,-1),21,1,1)))</f>
        <v>0</v>
      </c>
      <c r="V16" s="284">
        <f>B16</f>
        <v>0</v>
      </c>
      <c r="W16" s="285"/>
      <c r="X16" s="66" t="str">
        <f t="shared" ca="1" si="0"/>
        <v>N/A</v>
      </c>
      <c r="Y16" s="66" t="str">
        <f t="shared" ca="1" si="2"/>
        <v>N/A</v>
      </c>
    </row>
    <row r="17" spans="1:25" ht="20.100000000000001" customHeight="1" thickTop="1" thickBot="1">
      <c r="A17" s="278" t="s">
        <v>133</v>
      </c>
      <c r="B17" s="279"/>
      <c r="C17" s="280"/>
      <c r="D17" s="128">
        <f ca="1">SUM(D12:D16)</f>
        <v>26</v>
      </c>
      <c r="E17" s="128">
        <f ca="1">SUM(E12:E16)</f>
        <v>7</v>
      </c>
      <c r="F17" s="128">
        <f ca="1">SUM(F12:F16)</f>
        <v>2</v>
      </c>
      <c r="G17" s="129">
        <f ca="1">SUM(G12:G16)</f>
        <v>15</v>
      </c>
      <c r="H17" s="130">
        <f t="shared" ref="H17" ca="1" si="3">IF($G17=$D17, "N/A", (S17/R17))</f>
        <v>0.62962962962962965</v>
      </c>
      <c r="I17" s="277"/>
      <c r="J17" s="127">
        <f ca="1">SUM(J12:J16)</f>
        <v>2</v>
      </c>
      <c r="K17" s="128">
        <f ca="1">SUM(K12:K16)</f>
        <v>2</v>
      </c>
      <c r="L17" s="128">
        <f ca="1">SUM(L12:L16)</f>
        <v>0</v>
      </c>
      <c r="M17" s="128">
        <f ca="1">SUM(M12:M16)</f>
        <v>14</v>
      </c>
      <c r="N17" s="131">
        <f ca="1">IF($O17="N/A","N/A",IFERROR($J17/($F17-(M17-G17)),"N/A"))</f>
        <v>0.66666666666666663</v>
      </c>
      <c r="O17" s="132">
        <f ca="1">IF($G17=$D17, "N/A", IFERROR((T17/U17),"N/A"))</f>
        <v>0.6875</v>
      </c>
      <c r="R17" s="41">
        <f ca="1">SUM(R12:R16)</f>
        <v>27</v>
      </c>
      <c r="S17" s="42">
        <f ca="1">SUM(S12:S16)</f>
        <v>17</v>
      </c>
      <c r="T17" s="42">
        <f ca="1">SUM(T12:T16)</f>
        <v>22</v>
      </c>
      <c r="U17" s="41">
        <f ca="1">SUM(U12:U16)</f>
        <v>32</v>
      </c>
      <c r="V17" s="282" t="s">
        <v>134</v>
      </c>
      <c r="W17" s="283"/>
      <c r="X17" s="65">
        <f t="shared" ca="1" si="0"/>
        <v>0.62962962962962965</v>
      </c>
      <c r="Y17" s="65">
        <f ca="1">O17</f>
        <v>0.6875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 ht="21.95" customHeight="1">
      <c r="A20" s="273" t="s">
        <v>61</v>
      </c>
      <c r="B20" s="274"/>
      <c r="C20" s="261" t="s">
        <v>137</v>
      </c>
      <c r="D20" s="261"/>
      <c r="E20" s="261"/>
      <c r="F20" s="260" t="s">
        <v>24</v>
      </c>
      <c r="G20" s="261"/>
      <c r="H20" s="135" t="s">
        <v>80</v>
      </c>
      <c r="I20" s="136" t="s">
        <v>138</v>
      </c>
      <c r="J20" s="134" t="s">
        <v>82</v>
      </c>
      <c r="K20" s="136" t="s">
        <v>139</v>
      </c>
      <c r="L20" s="262" t="s">
        <v>140</v>
      </c>
      <c r="M20" s="263"/>
      <c r="N20" s="263"/>
      <c r="O20" s="263"/>
      <c r="P20" s="264"/>
      <c r="Q20" s="137" t="s">
        <v>60</v>
      </c>
      <c r="R20" s="51" t="s">
        <v>141</v>
      </c>
      <c r="S20" s="50" t="s">
        <v>128</v>
      </c>
      <c r="T20" s="25" t="s">
        <v>129</v>
      </c>
      <c r="U20" s="50" t="s">
        <v>130</v>
      </c>
      <c r="V20" s="258" t="s">
        <v>82</v>
      </c>
      <c r="W20" s="259"/>
      <c r="Y20" s="67"/>
    </row>
    <row r="21" spans="1:25" ht="36" customHeight="1">
      <c r="A21" s="31" t="str">
        <f>ChkList!A5</f>
        <v>계정 관리</v>
      </c>
      <c r="B21" s="31" t="str">
        <f>ChkList!B5</f>
        <v>D-01</v>
      </c>
      <c r="C21" s="265" t="str">
        <f>ChkList!C5</f>
        <v>기본 계정의 비밀번호, 정책 등을 변경하여 사용</v>
      </c>
      <c r="D21" s="266"/>
      <c r="E21" s="267"/>
      <c r="F21" s="31" t="str">
        <f>ChkList!D5</f>
        <v>H</v>
      </c>
      <c r="G21" s="31">
        <f>ChkList!E5</f>
        <v>3</v>
      </c>
      <c r="H21" s="154" t="s">
        <v>148</v>
      </c>
      <c r="I21" s="311" t="s">
        <v>319</v>
      </c>
      <c r="J21" s="28" t="s">
        <v>146</v>
      </c>
      <c r="K21" s="28" t="str">
        <f t="shared" ref="K21:K44" si="4">IF($J21="", "", IF(OR($H21="Y", $H21="N/A",$H21="Y(즉시조치)"), $H21, IF(AND($H21="N", $J21="Y"), "조치", IF(AND($H21="N",$J21="N/A"), "N/A", IF(IFERROR(FIND("위험수용", $L21), 0), "위험수용", "미조치")))))</f>
        <v>Y</v>
      </c>
      <c r="L21" s="265" t="s">
        <v>224</v>
      </c>
      <c r="M21" s="266"/>
      <c r="N21" s="266"/>
      <c r="O21" s="266"/>
      <c r="P21" s="267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3</v>
      </c>
      <c r="U21" s="11">
        <f>IF($J21="N/A",0,VLOOKUP($F21,'parm(hidden)'!$B$8:$C$10,2,FALSE))*1</f>
        <v>3</v>
      </c>
      <c r="V21" s="57" t="s">
        <v>142</v>
      </c>
      <c r="W21" s="40" t="s">
        <v>25</v>
      </c>
      <c r="Y21" s="10"/>
    </row>
    <row r="22" spans="1:25" ht="36" customHeight="1">
      <c r="A22" s="31" t="str">
        <f>ChkList!A6</f>
        <v>계정 관리</v>
      </c>
      <c r="B22" s="31" t="str">
        <f>ChkList!B6</f>
        <v>D-02</v>
      </c>
      <c r="C22" s="265" t="str">
        <f>ChkList!C6</f>
        <v>데이터베이스의 불필요 계정을 제거하거나, 잠금설정 후 사용</v>
      </c>
      <c r="D22" s="266"/>
      <c r="E22" s="267"/>
      <c r="F22" s="31" t="str">
        <f>ChkList!D6</f>
        <v>H</v>
      </c>
      <c r="G22" s="31">
        <f>ChkList!E6</f>
        <v>3</v>
      </c>
      <c r="H22" s="154" t="s">
        <v>148</v>
      </c>
      <c r="I22" s="311" t="s">
        <v>320</v>
      </c>
      <c r="J22" s="28" t="s">
        <v>148</v>
      </c>
      <c r="K22" s="28" t="str">
        <f t="shared" si="4"/>
        <v>Y</v>
      </c>
      <c r="L22" s="265" t="s">
        <v>242</v>
      </c>
      <c r="M22" s="266"/>
      <c r="N22" s="266"/>
      <c r="O22" s="266"/>
      <c r="P22" s="267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3</v>
      </c>
      <c r="U22" s="11">
        <f>IF($J22="N/A",0,VLOOKUP($F22,'parm(hidden)'!$B$8:$C$10,2,FALSE))*1</f>
        <v>3</v>
      </c>
      <c r="V22" s="59" t="s">
        <v>143</v>
      </c>
      <c r="W22" s="28">
        <v>1</v>
      </c>
      <c r="Y22" s="10"/>
    </row>
    <row r="23" spans="1:25" ht="36" customHeight="1">
      <c r="A23" s="31" t="str">
        <f>ChkList!A7</f>
        <v>계정 관리</v>
      </c>
      <c r="B23" s="31" t="str">
        <f>ChkList!B7</f>
        <v>D-03</v>
      </c>
      <c r="C23" s="265" t="str">
        <f>ChkList!C7</f>
        <v>비밀번호 사용 기간 및 복잡도를 기관의 정책에 맞도록 설정</v>
      </c>
      <c r="D23" s="266"/>
      <c r="E23" s="267"/>
      <c r="F23" s="31" t="str">
        <f>ChkList!D7</f>
        <v>H</v>
      </c>
      <c r="G23" s="31">
        <f>ChkList!E7</f>
        <v>3</v>
      </c>
      <c r="H23" s="154" t="s">
        <v>203</v>
      </c>
      <c r="I23" s="311" t="s">
        <v>321</v>
      </c>
      <c r="J23" s="28" t="s">
        <v>203</v>
      </c>
      <c r="K23" s="28" t="str">
        <f t="shared" si="4"/>
        <v>미조치</v>
      </c>
      <c r="L23" s="265" t="s">
        <v>232</v>
      </c>
      <c r="M23" s="266"/>
      <c r="N23" s="266"/>
      <c r="O23" s="266"/>
      <c r="P23" s="267"/>
      <c r="Q23" s="21" t="str">
        <f>IF($J23="",IF(OR($H23="N",$H23="인터뷰"), ChkList!$F7, ""), IF(OR($J23="N",$J23="인터뷰"), ChkList!$F7, ""))</f>
        <v>기관 정책에 맞게 비밀번호 사용 기간 및 복잡도 정책 설정</v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0</v>
      </c>
      <c r="U23" s="11">
        <f>IF($J23="N/A",0,VLOOKUP($F23,'parm(hidden)'!$B$8:$C$10,2,FALSE))*1</f>
        <v>3</v>
      </c>
      <c r="V23" s="59" t="s">
        <v>144</v>
      </c>
      <c r="W23" s="28">
        <v>0</v>
      </c>
      <c r="Y23" s="10"/>
    </row>
    <row r="24" spans="1:25" ht="36" customHeight="1">
      <c r="A24" s="31" t="str">
        <f>ChkList!A8</f>
        <v>계정 관리</v>
      </c>
      <c r="B24" s="31" t="str">
        <f>ChkList!B8</f>
        <v>D-04</v>
      </c>
      <c r="C24" s="265" t="str">
        <f>ChkList!C8</f>
        <v>데이터베이스 관리자 권한을 꼭 필요한 계정 및 그룹에 대해서만 허용</v>
      </c>
      <c r="D24" s="266"/>
      <c r="E24" s="267"/>
      <c r="F24" s="31" t="str">
        <f>ChkList!D8</f>
        <v>H</v>
      </c>
      <c r="G24" s="31">
        <f>ChkList!E8</f>
        <v>3</v>
      </c>
      <c r="H24" s="154" t="s">
        <v>148</v>
      </c>
      <c r="I24" s="311" t="s">
        <v>322</v>
      </c>
      <c r="J24" s="28" t="s">
        <v>148</v>
      </c>
      <c r="K24" s="28" t="str">
        <f t="shared" si="4"/>
        <v>Y</v>
      </c>
      <c r="L24" s="265" t="s">
        <v>226</v>
      </c>
      <c r="M24" s="266"/>
      <c r="N24" s="266"/>
      <c r="O24" s="266"/>
      <c r="P24" s="267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3</v>
      </c>
      <c r="U24" s="11">
        <f>IF($J24="N/A",0,VLOOKUP($F24,'parm(hidden)'!$B$8:$C$10,2,FALSE))*1</f>
        <v>3</v>
      </c>
      <c r="V24" s="59" t="s">
        <v>145</v>
      </c>
      <c r="W24" s="28">
        <v>0</v>
      </c>
      <c r="Y24" s="10"/>
    </row>
    <row r="25" spans="1:25" ht="36" customHeight="1">
      <c r="A25" s="31" t="str">
        <f>ChkList!A9</f>
        <v>계정 관리</v>
      </c>
      <c r="B25" s="31" t="str">
        <f>ChkList!B9</f>
        <v>D-05</v>
      </c>
      <c r="C25" s="265" t="str">
        <f>ChkList!C9</f>
        <v>비밀번호 재사용에 대한 제약 설정</v>
      </c>
      <c r="D25" s="266"/>
      <c r="E25" s="267"/>
      <c r="F25" s="31" t="str">
        <f>ChkList!D9</f>
        <v>M</v>
      </c>
      <c r="G25" s="31">
        <f>ChkList!E9</f>
        <v>2</v>
      </c>
      <c r="H25" s="154" t="s">
        <v>181</v>
      </c>
      <c r="I25" s="311" t="s">
        <v>197</v>
      </c>
      <c r="J25" s="28" t="s">
        <v>102</v>
      </c>
      <c r="K25" s="28" t="str">
        <f t="shared" si="4"/>
        <v>N/A</v>
      </c>
      <c r="L25" s="265" t="s">
        <v>182</v>
      </c>
      <c r="M25" s="266"/>
      <c r="N25" s="266"/>
      <c r="O25" s="266"/>
      <c r="P25" s="267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0</v>
      </c>
      <c r="V25" s="59" t="s">
        <v>36</v>
      </c>
      <c r="W25" s="28">
        <v>0</v>
      </c>
      <c r="Y25" s="10"/>
    </row>
    <row r="26" spans="1:25" ht="36" customHeight="1">
      <c r="A26" s="31" t="str">
        <f>ChkList!A10</f>
        <v>계정 관리</v>
      </c>
      <c r="B26" s="31" t="str">
        <f>ChkList!B10</f>
        <v>D-06</v>
      </c>
      <c r="C26" s="265" t="str">
        <f>ChkList!C10</f>
        <v>DB 사용자 계정을 개별적으로 부여하여 사용</v>
      </c>
      <c r="D26" s="266"/>
      <c r="E26" s="267"/>
      <c r="F26" s="31" t="str">
        <f>ChkList!D10</f>
        <v>M</v>
      </c>
      <c r="G26" s="31">
        <f>ChkList!E10</f>
        <v>2</v>
      </c>
      <c r="H26" s="154" t="s">
        <v>196</v>
      </c>
      <c r="I26" s="311" t="s">
        <v>323</v>
      </c>
      <c r="J26" s="28" t="s">
        <v>148</v>
      </c>
      <c r="K26" s="28" t="str">
        <f t="shared" si="4"/>
        <v>조치</v>
      </c>
      <c r="L26" s="265" t="s">
        <v>236</v>
      </c>
      <c r="M26" s="266"/>
      <c r="N26" s="266"/>
      <c r="O26" s="266"/>
      <c r="P26" s="267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0</v>
      </c>
      <c r="T26" s="31">
        <f>IFERROR(VLOOKUP($F26,'parm(hidden)'!$B$8:$C$10,2,FALSE)*VLOOKUP($K26,$V$22:$W$27,2,FALSE),0)</f>
        <v>2</v>
      </c>
      <c r="U26" s="11">
        <f>IF($J26="N/A",0,VLOOKUP($F26,'parm(hidden)'!$B$8:$C$10,2,FALSE))*1</f>
        <v>2</v>
      </c>
      <c r="V26" s="59" t="s">
        <v>146</v>
      </c>
      <c r="W26" s="28">
        <v>1</v>
      </c>
      <c r="Y26" s="10"/>
    </row>
    <row r="27" spans="1:25" ht="36" customHeight="1">
      <c r="A27" s="31" t="str">
        <f>ChkList!A11</f>
        <v>계정 관리</v>
      </c>
      <c r="B27" s="31" t="str">
        <f>ChkList!B11</f>
        <v>D-07</v>
      </c>
      <c r="C27" s="265" t="str">
        <f>ChkList!C11</f>
        <v>root 권한으로 서비스 구동 제한</v>
      </c>
      <c r="D27" s="266"/>
      <c r="E27" s="267"/>
      <c r="F27" s="31" t="str">
        <f>ChkList!D11</f>
        <v>M</v>
      </c>
      <c r="G27" s="31">
        <f>ChkList!E11</f>
        <v>2</v>
      </c>
      <c r="H27" s="154" t="s">
        <v>203</v>
      </c>
      <c r="I27" s="311" t="s">
        <v>324</v>
      </c>
      <c r="J27" s="28" t="s">
        <v>146</v>
      </c>
      <c r="K27" s="28" t="str">
        <f t="shared" si="4"/>
        <v>미조치</v>
      </c>
      <c r="L27" s="265" t="s">
        <v>227</v>
      </c>
      <c r="M27" s="266"/>
      <c r="N27" s="266"/>
      <c r="O27" s="266"/>
      <c r="P27" s="267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0</v>
      </c>
      <c r="T27" s="31">
        <f>IFERROR(VLOOKUP($F27,'parm(hidden)'!$B$8:$C$10,2,FALSE)*VLOOKUP($K27,$V$22:$W$27,2,FALSE),0)</f>
        <v>0</v>
      </c>
      <c r="U27" s="11">
        <f>IF($J27="N/A",0,VLOOKUP($F27,'parm(hidden)'!$B$8:$C$10,2,FALSE))*1</f>
        <v>2</v>
      </c>
      <c r="V27" s="59" t="s">
        <v>147</v>
      </c>
      <c r="W27" s="28">
        <v>1</v>
      </c>
      <c r="Y27" s="10"/>
    </row>
    <row r="28" spans="1:25" ht="36" customHeight="1">
      <c r="A28" s="31" t="str">
        <f>ChkList!A12</f>
        <v>계정 관리</v>
      </c>
      <c r="B28" s="31" t="str">
        <f>ChkList!B12</f>
        <v>D-08</v>
      </c>
      <c r="C28" s="265" t="str">
        <f>ChkList!C12</f>
        <v>안전한 암호화 알고리즘 사용</v>
      </c>
      <c r="D28" s="266"/>
      <c r="E28" s="267"/>
      <c r="F28" s="31" t="str">
        <f>ChkList!D12</f>
        <v>H</v>
      </c>
      <c r="G28" s="31">
        <f>ChkList!E12</f>
        <v>3</v>
      </c>
      <c r="H28" s="154" t="s">
        <v>196</v>
      </c>
      <c r="I28" s="311" t="s">
        <v>325</v>
      </c>
      <c r="J28" s="28" t="s">
        <v>148</v>
      </c>
      <c r="K28" s="28" t="str">
        <f t="shared" si="4"/>
        <v>조치</v>
      </c>
      <c r="L28" s="265" t="s">
        <v>237</v>
      </c>
      <c r="M28" s="266"/>
      <c r="N28" s="266"/>
      <c r="O28" s="266"/>
      <c r="P28" s="267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0</v>
      </c>
      <c r="T28" s="31">
        <f>IFERROR(VLOOKUP($F28,'parm(hidden)'!$B$8:$C$10,2,FALSE)*VLOOKUP($K28,$V$22:$W$27,2,FALSE),0)</f>
        <v>3</v>
      </c>
      <c r="U28" s="11">
        <f>IF($J28="N/A",0,VLOOKUP($F28,'parm(hidden)'!$B$8:$C$10,2,FALSE))*1</f>
        <v>3</v>
      </c>
      <c r="Y28" s="10"/>
    </row>
    <row r="29" spans="1:25" ht="36" customHeight="1">
      <c r="A29" s="31" t="str">
        <f>ChkList!A13</f>
        <v>계정 관리</v>
      </c>
      <c r="B29" s="31" t="str">
        <f>ChkList!B13</f>
        <v>D-09</v>
      </c>
      <c r="C29" s="265" t="str">
        <f>ChkList!C13</f>
        <v>일정 횟수의 로그인 실패 시 이에 대한 잠금정책 설정</v>
      </c>
      <c r="D29" s="266"/>
      <c r="E29" s="267"/>
      <c r="F29" s="31" t="str">
        <f>ChkList!D13</f>
        <v>M</v>
      </c>
      <c r="G29" s="31">
        <f>ChkList!E13</f>
        <v>2</v>
      </c>
      <c r="H29" s="154" t="s">
        <v>181</v>
      </c>
      <c r="I29" s="311" t="s">
        <v>182</v>
      </c>
      <c r="J29" s="28" t="s">
        <v>149</v>
      </c>
      <c r="K29" s="28" t="str">
        <f t="shared" si="4"/>
        <v>N/A</v>
      </c>
      <c r="L29" s="265" t="s">
        <v>182</v>
      </c>
      <c r="M29" s="266"/>
      <c r="N29" s="266"/>
      <c r="O29" s="266"/>
      <c r="P29" s="267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0</v>
      </c>
      <c r="Y29" s="10"/>
    </row>
    <row r="30" spans="1:25" ht="36" customHeight="1">
      <c r="A30" s="31" t="str">
        <f>ChkList!A14</f>
        <v>접근 관리</v>
      </c>
      <c r="B30" s="31" t="str">
        <f>ChkList!B14</f>
        <v>D-10</v>
      </c>
      <c r="C30" s="265" t="str">
        <f>ChkList!C14</f>
        <v>원격에서 DB 서버로의 접속 제한</v>
      </c>
      <c r="D30" s="266"/>
      <c r="E30" s="267"/>
      <c r="F30" s="31" t="str">
        <f>ChkList!D14</f>
        <v>H</v>
      </c>
      <c r="G30" s="31">
        <f>ChkList!E14</f>
        <v>3</v>
      </c>
      <c r="H30" s="154" t="s">
        <v>148</v>
      </c>
      <c r="I30" s="311" t="s">
        <v>326</v>
      </c>
      <c r="J30" s="28" t="s">
        <v>149</v>
      </c>
      <c r="K30" s="28" t="str">
        <f t="shared" si="4"/>
        <v>Y</v>
      </c>
      <c r="L30" s="265" t="s">
        <v>228</v>
      </c>
      <c r="M30" s="266"/>
      <c r="N30" s="266"/>
      <c r="O30" s="266"/>
      <c r="P30" s="267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3</v>
      </c>
      <c r="S30" s="31">
        <f>IFERROR(VLOOKUP($F30,'parm(hidden)'!$B$8:$C$10,2,FALSE)*VLOOKUP($H30,'parm(hidden)'!$B$15:$C$19,2,FALSE),0)</f>
        <v>3</v>
      </c>
      <c r="T30" s="31">
        <f>IFERROR(VLOOKUP($F30,'parm(hidden)'!$B$8:$C$10,2,FALSE)*VLOOKUP($K30,$V$22:$W$27,2,FALSE),0)</f>
        <v>3</v>
      </c>
      <c r="U30" s="11">
        <f>IF($J30="N/A",0,VLOOKUP($F30,'parm(hidden)'!$B$8:$C$10,2,FALSE))*1</f>
        <v>0</v>
      </c>
      <c r="Y30" s="10"/>
    </row>
    <row r="31" spans="1:25" ht="36" customHeight="1">
      <c r="A31" s="31" t="str">
        <f>ChkList!A15</f>
        <v>접근 관리</v>
      </c>
      <c r="B31" s="31" t="str">
        <f>ChkList!B15</f>
        <v>D-11</v>
      </c>
      <c r="C31" s="265" t="str">
        <f>ChkList!C15</f>
        <v>DBA 이외의 인가되지 않은 사용자가 시스템 테이블에 접근할 수 없도록 설정</v>
      </c>
      <c r="D31" s="266"/>
      <c r="E31" s="267"/>
      <c r="F31" s="31" t="str">
        <f>ChkList!D15</f>
        <v>H</v>
      </c>
      <c r="G31" s="31">
        <f>ChkList!E15</f>
        <v>3</v>
      </c>
      <c r="H31" s="155" t="s">
        <v>148</v>
      </c>
      <c r="I31" s="312" t="s">
        <v>327</v>
      </c>
      <c r="J31" s="28" t="s">
        <v>149</v>
      </c>
      <c r="K31" s="28" t="str">
        <f t="shared" si="4"/>
        <v>Y</v>
      </c>
      <c r="L31" s="265" t="s">
        <v>182</v>
      </c>
      <c r="M31" s="266"/>
      <c r="N31" s="266"/>
      <c r="O31" s="266"/>
      <c r="P31" s="267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3</v>
      </c>
      <c r="S31" s="31">
        <f>IFERROR(VLOOKUP($F31,'parm(hidden)'!$B$8:$C$10,2,FALSE)*VLOOKUP($H31,'parm(hidden)'!$B$15:$C$19,2,FALSE),0)</f>
        <v>3</v>
      </c>
      <c r="T31" s="31">
        <f>IFERROR(VLOOKUP($F31,'parm(hidden)'!$B$8:$C$10,2,FALSE)*VLOOKUP($K31,$V$22:$W$27,2,FALSE),0)</f>
        <v>3</v>
      </c>
      <c r="U31" s="11">
        <f>IF($J31="N/A",0,VLOOKUP($F31,'parm(hidden)'!$B$8:$C$10,2,FALSE))*1</f>
        <v>0</v>
      </c>
      <c r="Y31" s="10"/>
    </row>
    <row r="32" spans="1:25" ht="36" customHeight="1">
      <c r="A32" s="31" t="str">
        <f>ChkList!A16</f>
        <v>접근 관리</v>
      </c>
      <c r="B32" s="31" t="str">
        <f>ChkList!B16</f>
        <v>D-12</v>
      </c>
      <c r="C32" s="265" t="str">
        <f>ChkList!C16</f>
        <v>안전한 리스너 비밀번호 설정 및 사용</v>
      </c>
      <c r="D32" s="266"/>
      <c r="E32" s="267"/>
      <c r="F32" s="31" t="str">
        <f>ChkList!D16</f>
        <v>H</v>
      </c>
      <c r="G32" s="31">
        <f>ChkList!E16</f>
        <v>3</v>
      </c>
      <c r="H32" s="155" t="s">
        <v>149</v>
      </c>
      <c r="I32" s="312" t="s">
        <v>328</v>
      </c>
      <c r="J32" s="28" t="s">
        <v>148</v>
      </c>
      <c r="K32" s="28" t="str">
        <f t="shared" si="4"/>
        <v>N/A</v>
      </c>
      <c r="L32" s="265" t="s">
        <v>238</v>
      </c>
      <c r="M32" s="266"/>
      <c r="N32" s="266"/>
      <c r="O32" s="266"/>
      <c r="P32" s="267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0</v>
      </c>
      <c r="S32" s="31">
        <f>IFERROR(VLOOKUP($F32,'parm(hidden)'!$B$8:$C$10,2,FALSE)*VLOOKUP($H32,'parm(hidden)'!$B$15:$C$19,2,FALSE),0)</f>
        <v>0</v>
      </c>
      <c r="T32" s="31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 ht="36" customHeight="1">
      <c r="A33" s="31" t="str">
        <f>ChkList!A17</f>
        <v>접근 관리</v>
      </c>
      <c r="B33" s="31" t="str">
        <f>ChkList!B17</f>
        <v>D-13</v>
      </c>
      <c r="C33" s="265" t="str">
        <f>ChkList!C17</f>
        <v>불필요한 ODBC/OLE-DB 데이터 소스와 드라이브를 제거하여 사용</v>
      </c>
      <c r="D33" s="266"/>
      <c r="E33" s="267"/>
      <c r="F33" s="31" t="str">
        <f>ChkList!D17</f>
        <v>M</v>
      </c>
      <c r="G33" s="31">
        <f>ChkList!E17</f>
        <v>2</v>
      </c>
      <c r="H33" s="155" t="s">
        <v>149</v>
      </c>
      <c r="I33" s="311" t="s">
        <v>329</v>
      </c>
      <c r="J33" s="28" t="s">
        <v>148</v>
      </c>
      <c r="K33" s="28" t="str">
        <f t="shared" si="4"/>
        <v>N/A</v>
      </c>
      <c r="L33" s="265" t="s">
        <v>245</v>
      </c>
      <c r="M33" s="266"/>
      <c r="N33" s="266"/>
      <c r="O33" s="266"/>
      <c r="P33" s="267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0</v>
      </c>
      <c r="S33" s="31">
        <f>IFERROR(VLOOKUP($F33,'parm(hidden)'!$B$8:$C$10,2,FALSE)*VLOOKUP($H33,'parm(hidden)'!$B$15:$C$19,2,FALSE),0)</f>
        <v>0</v>
      </c>
      <c r="T33" s="31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36" customHeight="1">
      <c r="A34" s="31" t="str">
        <f>ChkList!A18</f>
        <v>접근 관리</v>
      </c>
      <c r="B34" s="31" t="str">
        <f>ChkList!B18</f>
        <v>D-14</v>
      </c>
      <c r="C34" s="265" t="str">
        <f>ChkList!C18</f>
        <v>데이터베이스의 주요 설정파일, 비밀번호 파일 등과 같은 주요 파일들의 접근 권한이 적절하게 설정</v>
      </c>
      <c r="D34" s="266"/>
      <c r="E34" s="267"/>
      <c r="F34" s="31" t="str">
        <f>ChkList!D18</f>
        <v>M</v>
      </c>
      <c r="G34" s="31">
        <f>ChkList!E18</f>
        <v>2</v>
      </c>
      <c r="H34" s="155" t="s">
        <v>148</v>
      </c>
      <c r="I34" s="311" t="s">
        <v>330</v>
      </c>
      <c r="J34" s="28" t="s">
        <v>149</v>
      </c>
      <c r="K34" s="28" t="str">
        <f t="shared" si="4"/>
        <v>Y</v>
      </c>
      <c r="L34" s="265" t="s">
        <v>182</v>
      </c>
      <c r="M34" s="266"/>
      <c r="N34" s="266"/>
      <c r="O34" s="266"/>
      <c r="P34" s="267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2</v>
      </c>
      <c r="S34" s="31">
        <f>IFERROR(VLOOKUP($F34,'parm(hidden)'!$B$8:$C$10,2,FALSE)*VLOOKUP($H34,'parm(hidden)'!$B$15:$C$19,2,FALSE),0)</f>
        <v>2</v>
      </c>
      <c r="T34" s="31">
        <f>IFERROR(VLOOKUP($F34,'parm(hidden)'!$B$8:$C$10,2,FALSE)*VLOOKUP($K34,$V$22:$W$27,2,FALSE),0)</f>
        <v>2</v>
      </c>
      <c r="U34" s="11">
        <f>IF($J34="N/A",0,VLOOKUP($F34,'parm(hidden)'!$B$8:$C$10,2,FALSE))*1</f>
        <v>0</v>
      </c>
      <c r="Y34" s="10"/>
    </row>
    <row r="35" spans="1:25" ht="36" customHeight="1">
      <c r="A35" s="31" t="str">
        <f>ChkList!A19</f>
        <v>접근 관리</v>
      </c>
      <c r="B35" s="31" t="str">
        <f>ChkList!B19</f>
        <v>D-15</v>
      </c>
      <c r="C35" s="265" t="str">
        <f>ChkList!C19</f>
        <v>관리자 이외의 사용자가 오라클 리스너의 접속을 통해 리스너 로그 및 trace 파일에 대한 변경 제한</v>
      </c>
      <c r="D35" s="266"/>
      <c r="E35" s="267"/>
      <c r="F35" s="31" t="str">
        <f>ChkList!D19</f>
        <v>L</v>
      </c>
      <c r="G35" s="31">
        <f>ChkList!E19</f>
        <v>1</v>
      </c>
      <c r="H35" s="155" t="s">
        <v>149</v>
      </c>
      <c r="I35" s="311" t="s">
        <v>201</v>
      </c>
      <c r="J35" s="28" t="s">
        <v>149</v>
      </c>
      <c r="K35" s="28" t="str">
        <f t="shared" si="4"/>
        <v>N/A</v>
      </c>
      <c r="L35" s="265" t="s">
        <v>182</v>
      </c>
      <c r="M35" s="266"/>
      <c r="N35" s="266"/>
      <c r="O35" s="266"/>
      <c r="P35" s="267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0</v>
      </c>
      <c r="Y35" s="10"/>
    </row>
    <row r="36" spans="1:25" ht="36" customHeight="1">
      <c r="A36" s="31" t="str">
        <f>ChkList!A20</f>
        <v>접근 관리</v>
      </c>
      <c r="B36" s="31" t="str">
        <f>ChkList!B20</f>
        <v>D-16</v>
      </c>
      <c r="C36" s="265" t="str">
        <f>ChkList!C20</f>
        <v>Windows 인증 모드 사용</v>
      </c>
      <c r="D36" s="266"/>
      <c r="E36" s="267"/>
      <c r="F36" s="31" t="str">
        <f>ChkList!D20</f>
        <v>L</v>
      </c>
      <c r="G36" s="31">
        <f>ChkList!E20</f>
        <v>1</v>
      </c>
      <c r="H36" s="155" t="s">
        <v>149</v>
      </c>
      <c r="I36" s="311" t="s">
        <v>182</v>
      </c>
      <c r="J36" s="28" t="s">
        <v>149</v>
      </c>
      <c r="K36" s="28" t="str">
        <f t="shared" si="4"/>
        <v>N/A</v>
      </c>
      <c r="L36" s="265" t="s">
        <v>182</v>
      </c>
      <c r="M36" s="266"/>
      <c r="N36" s="266"/>
      <c r="O36" s="266"/>
      <c r="P36" s="267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0</v>
      </c>
      <c r="Y36" s="10"/>
    </row>
    <row r="37" spans="1:25" ht="36" customHeight="1">
      <c r="A37" s="31" t="str">
        <f>ChkList!A21</f>
        <v>옵션 관리</v>
      </c>
      <c r="B37" s="31" t="str">
        <f>ChkList!B21</f>
        <v>D-17</v>
      </c>
      <c r="C37" s="265" t="str">
        <f>ChkList!C21</f>
        <v>Audit Table은 데이터베이스 관리자 계정에 접근하도록 제한</v>
      </c>
      <c r="D37" s="266"/>
      <c r="E37" s="267"/>
      <c r="F37" s="31" t="str">
        <f>ChkList!D21</f>
        <v>L</v>
      </c>
      <c r="G37" s="31">
        <f>ChkList!E21</f>
        <v>1</v>
      </c>
      <c r="H37" s="155" t="s">
        <v>149</v>
      </c>
      <c r="I37" s="311" t="s">
        <v>182</v>
      </c>
      <c r="J37" s="28" t="s">
        <v>149</v>
      </c>
      <c r="K37" s="28" t="str">
        <f t="shared" si="4"/>
        <v>N/A</v>
      </c>
      <c r="L37" s="265" t="s">
        <v>182</v>
      </c>
      <c r="M37" s="266"/>
      <c r="N37" s="266"/>
      <c r="O37" s="266"/>
      <c r="P37" s="267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0</v>
      </c>
      <c r="Y37" s="10"/>
    </row>
    <row r="38" spans="1:25" ht="36" customHeight="1">
      <c r="A38" s="31" t="str">
        <f>ChkList!A22</f>
        <v>옵션 관리</v>
      </c>
      <c r="B38" s="31" t="str">
        <f>ChkList!B22</f>
        <v>D-18</v>
      </c>
      <c r="C38" s="265" t="str">
        <f>ChkList!C22</f>
        <v>응용프로그램 또는 DBA 계정의 Role이 Public으로 설정되지 않도록 조정</v>
      </c>
      <c r="D38" s="266"/>
      <c r="E38" s="267"/>
      <c r="F38" s="31" t="str">
        <f>ChkList!D22</f>
        <v>H</v>
      </c>
      <c r="G38" s="31">
        <f>ChkList!E22</f>
        <v>3</v>
      </c>
      <c r="H38" s="155" t="s">
        <v>149</v>
      </c>
      <c r="I38" s="311" t="s">
        <v>182</v>
      </c>
      <c r="J38" s="28" t="s">
        <v>149</v>
      </c>
      <c r="K38" s="28" t="str">
        <f t="shared" si="4"/>
        <v>N/A</v>
      </c>
      <c r="L38" s="265" t="s">
        <v>182</v>
      </c>
      <c r="M38" s="266"/>
      <c r="N38" s="266"/>
      <c r="O38" s="266"/>
      <c r="P38" s="267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0</v>
      </c>
      <c r="Y38" s="10"/>
    </row>
    <row r="39" spans="1:25" ht="36" customHeight="1">
      <c r="A39" s="31" t="str">
        <f>ChkList!A23</f>
        <v>옵션 관리</v>
      </c>
      <c r="B39" s="31" t="str">
        <f>ChkList!B23</f>
        <v>D-19</v>
      </c>
      <c r="C39" s="265" t="str">
        <f>ChkList!C23</f>
        <v>OS_ROLES, REMOTE_OS_AUTHENTICATION, REMOTE_OS_ROLES를 FALSE로 설정</v>
      </c>
      <c r="D39" s="266"/>
      <c r="E39" s="267"/>
      <c r="F39" s="31" t="str">
        <f>ChkList!D23</f>
        <v>H</v>
      </c>
      <c r="G39" s="31">
        <f>ChkList!E23</f>
        <v>3</v>
      </c>
      <c r="H39" s="155" t="s">
        <v>149</v>
      </c>
      <c r="I39" s="312" t="s">
        <v>328</v>
      </c>
      <c r="J39" s="28" t="s">
        <v>148</v>
      </c>
      <c r="K39" s="28" t="str">
        <f t="shared" si="4"/>
        <v>N/A</v>
      </c>
      <c r="L39" s="265" t="s">
        <v>239</v>
      </c>
      <c r="M39" s="266"/>
      <c r="N39" s="266"/>
      <c r="O39" s="266"/>
      <c r="P39" s="267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0</v>
      </c>
      <c r="S39" s="31">
        <f>IFERROR(VLOOKUP($F39,'parm(hidden)'!$B$8:$C$10,2,FALSE)*VLOOKUP($H39,'parm(hidden)'!$B$15:$C$19,2,FALSE),0)</f>
        <v>0</v>
      </c>
      <c r="T39" s="31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Y39" s="10"/>
    </row>
    <row r="40" spans="1:25" ht="36" customHeight="1">
      <c r="A40" s="31" t="str">
        <f>ChkList!A24</f>
        <v>옵션 관리</v>
      </c>
      <c r="B40" s="31" t="str">
        <f>ChkList!B24</f>
        <v>D-20</v>
      </c>
      <c r="C40" s="265" t="str">
        <f>ChkList!C24</f>
        <v>인가되지 않은 Object Owner의 제한</v>
      </c>
      <c r="D40" s="266"/>
      <c r="E40" s="267"/>
      <c r="F40" s="31" t="str">
        <f>ChkList!D24</f>
        <v>L</v>
      </c>
      <c r="G40" s="31">
        <f>ChkList!E24</f>
        <v>1</v>
      </c>
      <c r="H40" s="154" t="s">
        <v>149</v>
      </c>
      <c r="I40" s="311" t="s">
        <v>201</v>
      </c>
      <c r="J40" s="28" t="s">
        <v>149</v>
      </c>
      <c r="K40" s="28" t="str">
        <f t="shared" si="4"/>
        <v>N/A</v>
      </c>
      <c r="L40" s="265" t="s">
        <v>182</v>
      </c>
      <c r="M40" s="266"/>
      <c r="N40" s="266"/>
      <c r="O40" s="266"/>
      <c r="P40" s="267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0</v>
      </c>
      <c r="Y40" s="10"/>
    </row>
    <row r="41" spans="1:25" ht="36" customHeight="1">
      <c r="A41" s="31" t="str">
        <f>ChkList!A25</f>
        <v>옵션 관리</v>
      </c>
      <c r="B41" s="31" t="str">
        <f>ChkList!B25</f>
        <v>D-21</v>
      </c>
      <c r="C41" s="265" t="str">
        <f>ChkList!C25</f>
        <v>인가되지 않은 GRANT OPTION 사용 제한</v>
      </c>
      <c r="D41" s="266"/>
      <c r="E41" s="267"/>
      <c r="F41" s="31" t="str">
        <f>ChkList!D25</f>
        <v>M</v>
      </c>
      <c r="G41" s="31">
        <f>ChkList!E25</f>
        <v>2</v>
      </c>
      <c r="H41" s="154" t="s">
        <v>149</v>
      </c>
      <c r="I41" s="311" t="s">
        <v>331</v>
      </c>
      <c r="J41" s="28" t="s">
        <v>203</v>
      </c>
      <c r="K41" s="28" t="str">
        <f t="shared" si="4"/>
        <v>N/A</v>
      </c>
      <c r="L41" s="265" t="s">
        <v>233</v>
      </c>
      <c r="M41" s="266"/>
      <c r="N41" s="266"/>
      <c r="O41" s="266"/>
      <c r="P41" s="267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0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36" customHeight="1">
      <c r="A42" s="31" t="str">
        <f>ChkList!A26</f>
        <v>옵션 관리</v>
      </c>
      <c r="B42" s="31" t="str">
        <f>ChkList!B26</f>
        <v>D-22</v>
      </c>
      <c r="C42" s="265" t="str">
        <f>ChkList!C26</f>
        <v>데이터베이스의 자원 제한 기능을 TRUE로 설정</v>
      </c>
      <c r="D42" s="266"/>
      <c r="E42" s="267"/>
      <c r="F42" s="31" t="str">
        <f>ChkList!D26</f>
        <v>L</v>
      </c>
      <c r="G42" s="31">
        <f>ChkList!E26</f>
        <v>1</v>
      </c>
      <c r="H42" s="139" t="s">
        <v>149</v>
      </c>
      <c r="I42" s="311" t="s">
        <v>182</v>
      </c>
      <c r="J42" s="28" t="s">
        <v>149</v>
      </c>
      <c r="K42" s="28" t="str">
        <f t="shared" si="4"/>
        <v>N/A</v>
      </c>
      <c r="L42" s="265" t="s">
        <v>234</v>
      </c>
      <c r="M42" s="266"/>
      <c r="N42" s="266"/>
      <c r="O42" s="266"/>
      <c r="P42" s="267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0</v>
      </c>
      <c r="Y42" s="10"/>
    </row>
    <row r="43" spans="1:25" ht="36" customHeight="1">
      <c r="A43" s="31" t="str">
        <f>ChkList!A27</f>
        <v>옵션 관리</v>
      </c>
      <c r="B43" s="31" t="str">
        <f>ChkList!B27</f>
        <v>D-23</v>
      </c>
      <c r="C43" s="265" t="str">
        <f>ChkList!C27</f>
        <v>xp_cmdshell 사용 제한</v>
      </c>
      <c r="D43" s="266"/>
      <c r="E43" s="267"/>
      <c r="F43" s="31" t="str">
        <f>ChkList!D27</f>
        <v>H</v>
      </c>
      <c r="G43" s="31">
        <f>ChkList!E27</f>
        <v>3</v>
      </c>
      <c r="H43" s="146" t="s">
        <v>149</v>
      </c>
      <c r="I43" s="312" t="s">
        <v>329</v>
      </c>
      <c r="J43" s="28" t="s">
        <v>203</v>
      </c>
      <c r="K43" s="28" t="str">
        <f t="shared" si="4"/>
        <v>N/A</v>
      </c>
      <c r="L43" s="265" t="s">
        <v>231</v>
      </c>
      <c r="M43" s="266"/>
      <c r="N43" s="266"/>
      <c r="O43" s="266"/>
      <c r="P43" s="267"/>
      <c r="Q43" s="21" t="str">
        <f>IF($J43="",IF(OR($H43="N",$H43="인터뷰"), ChkList!$F27, ""), IF(OR($J43="N",$J43="인터뷰"), ChkList!$F27, ""))</f>
        <v>xp_cmdshell 설정 값을 0 또는 False로 설정</v>
      </c>
      <c r="R43" s="31">
        <f>IF($H43="N/A",0,VLOOKUP($F43,'parm(hidden)'!$B$8:$C$10,2,FALSE))*1</f>
        <v>0</v>
      </c>
      <c r="S43" s="31">
        <f>IFERROR(VLOOKUP($F43,'parm(hidden)'!$B$8:$C$10,2,FALSE)*VLOOKUP($H43,'parm(hidden)'!$B$15:$C$19,2,FALSE),0)</f>
        <v>0</v>
      </c>
      <c r="T43" s="31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 ht="36" customHeight="1">
      <c r="A44" s="31" t="str">
        <f>ChkList!A28</f>
        <v>옵션 관리</v>
      </c>
      <c r="B44" s="31" t="str">
        <f>ChkList!B28</f>
        <v>D-24</v>
      </c>
      <c r="C44" s="265" t="str">
        <f>ChkList!C28</f>
        <v>Registry Procedure 권한 제한</v>
      </c>
      <c r="D44" s="266"/>
      <c r="E44" s="267"/>
      <c r="F44" s="31" t="str">
        <f>ChkList!D28</f>
        <v>H</v>
      </c>
      <c r="G44" s="31">
        <f>ChkList!E28</f>
        <v>3</v>
      </c>
      <c r="H44" s="155" t="s">
        <v>149</v>
      </c>
      <c r="I44" s="311" t="s">
        <v>329</v>
      </c>
      <c r="J44" s="28" t="s">
        <v>149</v>
      </c>
      <c r="K44" s="28" t="str">
        <f t="shared" si="4"/>
        <v>N/A</v>
      </c>
      <c r="L44" s="265" t="s">
        <v>235</v>
      </c>
      <c r="M44" s="266"/>
      <c r="N44" s="266"/>
      <c r="O44" s="266"/>
      <c r="P44" s="267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0</v>
      </c>
      <c r="Y44" s="10"/>
    </row>
    <row r="45" spans="1:25" ht="36" customHeight="1">
      <c r="A45" s="31" t="str">
        <f>ChkList!A29</f>
        <v>패치 관리</v>
      </c>
      <c r="B45" s="31" t="str">
        <f>ChkList!B29</f>
        <v>D-25</v>
      </c>
      <c r="C45" s="265" t="str">
        <f>ChkList!C29</f>
        <v>주기적 보안 패치 및 벤더 권고 사항 적용</v>
      </c>
      <c r="D45" s="266"/>
      <c r="E45" s="267"/>
      <c r="F45" s="31" t="str">
        <f>ChkList!D29</f>
        <v>H</v>
      </c>
      <c r="G45" s="31">
        <f>ChkList!E29</f>
        <v>3</v>
      </c>
      <c r="H45" s="146" t="s">
        <v>148</v>
      </c>
      <c r="I45" s="12" t="s">
        <v>332</v>
      </c>
    </row>
    <row r="46" spans="1:25" ht="36" customHeight="1">
      <c r="A46" s="31" t="str">
        <f>ChkList!A30</f>
        <v>패치 관리</v>
      </c>
      <c r="B46" s="31" t="str">
        <f>ChkList!B30</f>
        <v>D-26</v>
      </c>
      <c r="C46" s="265" t="str">
        <f>ChkList!C30</f>
        <v>데이터베이스의 접근, 변경, 삭제 등의 감사 기록이 기관의 감사 기록 정책에 적합하도록 설정</v>
      </c>
      <c r="D46" s="266"/>
      <c r="E46" s="267"/>
      <c r="F46" s="31" t="str">
        <f>ChkList!D30</f>
        <v>H</v>
      </c>
      <c r="G46" s="31">
        <f>ChkList!E30</f>
        <v>3</v>
      </c>
      <c r="H46" s="155" t="s">
        <v>149</v>
      </c>
      <c r="I46" s="12" t="s">
        <v>333</v>
      </c>
    </row>
  </sheetData>
  <mergeCells count="86">
    <mergeCell ref="C45:E45"/>
    <mergeCell ref="C46:E46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4" type="noConversion"/>
  <conditionalFormatting sqref="J21:J44">
    <cfRule type="cellIs" dxfId="93" priority="8" stopIfTrue="1" operator="equal">
      <formula>"인터뷰"</formula>
    </cfRule>
    <cfRule type="cellIs" dxfId="92" priority="9" stopIfTrue="1" operator="equal">
      <formula>"R/A"</formula>
    </cfRule>
    <cfRule type="cellIs" dxfId="91" priority="10" stopIfTrue="1" operator="equal">
      <formula>"N/A"</formula>
    </cfRule>
    <cfRule type="cellIs" dxfId="90" priority="11" stopIfTrue="1" operator="equal">
      <formula>"N"</formula>
    </cfRule>
    <cfRule type="expression" dxfId="89" priority="12">
      <formula>OR(IF(J21=0,1,0),IF(J21="-",1,0))</formula>
    </cfRule>
  </conditionalFormatting>
  <conditionalFormatting sqref="K21:K44">
    <cfRule type="cellIs" dxfId="88" priority="71" operator="equal">
      <formula>"위험수용"</formula>
    </cfRule>
    <cfRule type="cellIs" dxfId="87" priority="72" operator="equal">
      <formula>"미조치"</formula>
    </cfRule>
    <cfRule type="cellIs" dxfId="86" priority="73" operator="equal">
      <formula>"조치"</formula>
    </cfRule>
    <cfRule type="cellIs" dxfId="85" priority="74" stopIfTrue="1" operator="equal">
      <formula>"인터뷰"</formula>
    </cfRule>
    <cfRule type="cellIs" dxfId="84" priority="75" stopIfTrue="1" operator="equal">
      <formula>"R/A"</formula>
    </cfRule>
    <cfRule type="cellIs" dxfId="83" priority="76" stopIfTrue="1" operator="equal">
      <formula>"N/A"</formula>
    </cfRule>
    <cfRule type="cellIs" dxfId="82" priority="77" stopIfTrue="1" operator="equal">
      <formula>"N"</formula>
    </cfRule>
    <cfRule type="expression" dxfId="81" priority="78">
      <formula>OR(IF(K21=0,1,0),IF(K21="-",1,0))</formula>
    </cfRule>
  </conditionalFormatting>
  <conditionalFormatting sqref="K22:K44">
    <cfRule type="cellIs" dxfId="80" priority="79" stopIfTrue="1" operator="equal">
      <formula>"인터뷰"</formula>
    </cfRule>
    <cfRule type="cellIs" dxfId="79" priority="80" stopIfTrue="1" operator="equal">
      <formula>"R/A"</formula>
    </cfRule>
    <cfRule type="cellIs" dxfId="78" priority="81" stopIfTrue="1" operator="equal">
      <formula>"N/A"</formula>
    </cfRule>
    <cfRule type="cellIs" dxfId="77" priority="82" stopIfTrue="1" operator="equal">
      <formula>"N"</formula>
    </cfRule>
    <cfRule type="expression" dxfId="76" priority="83">
      <formula>OR(IF(K22=0,1,0),IF(K22="-",1,0))</formula>
    </cfRule>
  </conditionalFormatting>
  <conditionalFormatting sqref="L21:L44">
    <cfRule type="cellIs" dxfId="75" priority="3" stopIfTrue="1" operator="equal">
      <formula>"인터뷰"</formula>
    </cfRule>
    <cfRule type="cellIs" dxfId="74" priority="4" stopIfTrue="1" operator="equal">
      <formula>"R/A"</formula>
    </cfRule>
    <cfRule type="cellIs" dxfId="73" priority="5" stopIfTrue="1" operator="equal">
      <formula>"N/A"</formula>
    </cfRule>
    <cfRule type="cellIs" dxfId="72" priority="6" stopIfTrue="1" operator="equal">
      <formula>"N"</formula>
    </cfRule>
    <cfRule type="expression" dxfId="71" priority="7">
      <formula>OR(IF(L21=0,1,0),IF(L21="-",1,0))</formula>
    </cfRule>
  </conditionalFormatting>
  <conditionalFormatting sqref="Y21:Y44">
    <cfRule type="cellIs" dxfId="70" priority="84" operator="equal">
      <formula>"신규 취약점(즉시조치)"</formula>
    </cfRule>
    <cfRule type="cellIs" dxfId="69" priority="85" operator="equal">
      <formula>"기존 취약점(즉시조치)"</formula>
    </cfRule>
    <cfRule type="cellIs" dxfId="68" priority="86" operator="equal">
      <formula>"기존 취약점"</formula>
    </cfRule>
    <cfRule type="cellIs" dxfId="67" priority="87" operator="equal">
      <formula>"신규 취약점"</formula>
    </cfRule>
    <cfRule type="cellIs" dxfId="66" priority="88" operator="equal">
      <formula>"확인필요"</formula>
    </cfRule>
    <cfRule type="cellIs" dxfId="65" priority="89" operator="equal">
      <formula>"확인필요"</formula>
    </cfRule>
    <cfRule type="cellIs" dxfId="64" priority="90" operator="equal">
      <formula>"신규취약점"</formula>
    </cfRule>
    <cfRule type="cellIs" dxfId="63" priority="91" operator="equal">
      <formula>"조치완료"</formula>
    </cfRule>
  </conditionalFormatting>
  <conditionalFormatting sqref="H21:H46">
    <cfRule type="cellIs" priority="1" operator="equal">
      <formula>"양호"</formula>
    </cfRule>
    <cfRule type="cellIs" dxfId="62" priority="2" operator="equal">
      <formula>"취약"</formula>
    </cfRule>
  </conditionalFormatting>
  <dataValidations count="4">
    <dataValidation errorStyle="warning" allowBlank="1" showInputMessage="1" showErrorMessage="1" sqref="K21:K44"/>
    <dataValidation type="list" errorStyle="warning" showInputMessage="1" showErrorMessage="1" errorTitle="오류!" error="Y, N, N/A 중에 선택" sqref="J21:J44">
      <formula1>"Y,N,N/A,인터뷰,Y(즉시조치)"</formula1>
    </dataValidation>
    <dataValidation type="list" errorStyle="warning" allowBlank="1" showInputMessage="1" showErrorMessage="1" errorTitle="오류!" error="Y, N, N/A 중에 선택" sqref="H21:H46">
      <formula1>"Y,N,N/A,인터뷰,Y(즉시조치)"</formula1>
    </dataValidation>
    <dataValidation allowBlank="1" showInputMessage="1" showErrorMessage="1" errorTitle="오류!" error="Y, N, N/A 중에 선택" sqref="I21:I44 L21:L44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BDB_HQ_Rocky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2" t="s">
        <v>109</v>
      </c>
      <c r="B3" s="52"/>
      <c r="C3" s="52"/>
      <c r="D3" s="52"/>
      <c r="E3" s="52"/>
      <c r="F3" s="52"/>
      <c r="G3" s="52"/>
      <c r="H3" s="5"/>
      <c r="I3" s="5"/>
      <c r="R3" s="5" t="s">
        <v>110</v>
      </c>
      <c r="X3" s="5"/>
      <c r="Y3" s="5"/>
    </row>
    <row r="4" spans="1:25" ht="17.100000000000001" customHeight="1" thickBot="1">
      <c r="A4" s="116" t="s">
        <v>111</v>
      </c>
      <c r="B4" s="299" t="str">
        <f ca="1">REPLACE(CELL("filename",A1),1,FIND("]",CELL("filename",A1)),"")</f>
        <v>BDB_HQ_Rocky</v>
      </c>
      <c r="C4" s="300"/>
      <c r="D4" s="307" t="s">
        <v>112</v>
      </c>
      <c r="E4" s="308"/>
      <c r="F4" s="303" t="str">
        <f ca="1">IFERROR(VLOOKUP($B$4,자산목록!$B$1:$Q$832,8,FALSE),"N/A")</f>
        <v>지사 DB 데이터 백업</v>
      </c>
      <c r="G4" s="304"/>
      <c r="H4" s="61"/>
      <c r="I4" s="53"/>
      <c r="R4" s="25" t="s">
        <v>113</v>
      </c>
      <c r="S4" s="39">
        <f ca="1">IFERROR(VLOOKUP($B$4,자산목록!$B$1:$Q$832,13,FALSE),"N/A")</f>
        <v>3</v>
      </c>
      <c r="T4" s="302" t="s">
        <v>114</v>
      </c>
      <c r="U4" s="294" t="str">
        <f ca="1">IFERROR(VLOOKUP($B$4,자산목록!$B$1:$Q$832,16,FALSE),"N/A")</f>
        <v>H</v>
      </c>
      <c r="X4" s="5"/>
      <c r="Y4" s="5"/>
    </row>
    <row r="5" spans="1:25" ht="17.100000000000001" customHeight="1" thickBot="1">
      <c r="A5" s="117" t="s">
        <v>115</v>
      </c>
      <c r="B5" s="295" t="str">
        <f ca="1">IFERROR(VLOOKUP($B$4,자산목록!$B$1:$Q$832,6,FALSE)&amp;" "&amp;VLOOKUP($B$4,자산목록!$B$1:$Q$832,7,FALSE),"N/A")</f>
        <v>MySQL Server 8.0.43</v>
      </c>
      <c r="C5" s="295"/>
      <c r="D5" s="309" t="s">
        <v>116</v>
      </c>
      <c r="E5" s="309"/>
      <c r="F5" s="295" t="str">
        <f ca="1">IFERROR(VLOOKUP($B$4,자산목록!$B$1:$Q$832,2,FALSE),"N/A")</f>
        <v>10.10.40.33</v>
      </c>
      <c r="G5" s="305"/>
      <c r="H5" s="61"/>
      <c r="I5" s="53"/>
      <c r="R5" s="25" t="s">
        <v>117</v>
      </c>
      <c r="S5" s="39">
        <f ca="1">IFERROR(VLOOKUP($B$4,자산목록!$B$1:$Q$832,14,FALSE),"N/A")</f>
        <v>3</v>
      </c>
      <c r="T5" s="302"/>
      <c r="U5" s="294"/>
      <c r="X5" s="5"/>
      <c r="Y5" s="5"/>
    </row>
    <row r="6" spans="1:25" ht="17.100000000000001" customHeight="1" thickBot="1">
      <c r="A6" s="118" t="s">
        <v>118</v>
      </c>
      <c r="B6" s="297" t="str">
        <f ca="1">IFERROR(VLOOKUP($B$4,자산목록!$B$1:$Q$832,11,FALSE),"N/A")</f>
        <v>이지훈</v>
      </c>
      <c r="C6" s="297"/>
      <c r="D6" s="310" t="s">
        <v>119</v>
      </c>
      <c r="E6" s="310"/>
      <c r="F6" s="297" t="str">
        <f ca="1">IFERROR(VLOOKUP($B$4,자산목록!$B$1:$Q$832,9,FALSE),"N/A")</f>
        <v>본사 백업 서버망</v>
      </c>
      <c r="G6" s="306"/>
      <c r="H6" s="61"/>
      <c r="I6" s="53"/>
      <c r="R6" s="25" t="s">
        <v>120</v>
      </c>
      <c r="S6" s="39">
        <f ca="1">IFERROR(VLOOKUP($B$4,자산목록!$B$1:$Q$832,15,FALSE),"N/A")</f>
        <v>3</v>
      </c>
      <c r="T6" s="302"/>
      <c r="U6" s="294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54" t="s">
        <v>122</v>
      </c>
      <c r="B9" s="52"/>
      <c r="C9" s="52"/>
      <c r="D9" s="52"/>
      <c r="E9" s="52"/>
      <c r="F9" s="52"/>
      <c r="G9" s="52"/>
      <c r="H9" s="5"/>
      <c r="I9" s="5"/>
      <c r="M9" s="5"/>
      <c r="N9" s="5"/>
      <c r="O9" s="5"/>
      <c r="P9" s="5"/>
      <c r="R9" s="14"/>
      <c r="S9" s="55"/>
    </row>
    <row r="10" spans="1:25" ht="20.100000000000001" customHeight="1" thickBot="1">
      <c r="A10" s="288" t="s">
        <v>61</v>
      </c>
      <c r="B10" s="222"/>
      <c r="C10" s="222"/>
      <c r="D10" s="268" t="s">
        <v>123</v>
      </c>
      <c r="E10" s="269"/>
      <c r="F10" s="269"/>
      <c r="G10" s="269"/>
      <c r="H10" s="269"/>
      <c r="I10" s="290" t="s">
        <v>124</v>
      </c>
      <c r="J10" s="292" t="s">
        <v>82</v>
      </c>
      <c r="K10" s="292"/>
      <c r="L10" s="292"/>
      <c r="M10" s="292"/>
      <c r="N10" s="292"/>
      <c r="O10" s="293"/>
      <c r="R10" s="275" t="s">
        <v>125</v>
      </c>
      <c r="S10" s="275"/>
      <c r="T10" s="275"/>
      <c r="U10" s="275"/>
      <c r="V10" s="281" t="s">
        <v>124</v>
      </c>
      <c r="W10" s="281"/>
      <c r="X10" s="281"/>
      <c r="Y10" s="281"/>
    </row>
    <row r="11" spans="1:25" ht="20.100000000000001" customHeight="1">
      <c r="A11" s="289"/>
      <c r="B11" s="257"/>
      <c r="C11" s="257"/>
      <c r="D11" s="119" t="s">
        <v>99</v>
      </c>
      <c r="E11" s="120" t="s">
        <v>71</v>
      </c>
      <c r="F11" s="121" t="s">
        <v>83</v>
      </c>
      <c r="G11" s="122" t="s">
        <v>102</v>
      </c>
      <c r="H11" s="122" t="s">
        <v>126</v>
      </c>
      <c r="I11" s="291"/>
      <c r="J11" s="133" t="s">
        <v>84</v>
      </c>
      <c r="K11" s="123" t="s">
        <v>85</v>
      </c>
      <c r="L11" s="124" t="s">
        <v>86</v>
      </c>
      <c r="M11" s="124" t="s">
        <v>102</v>
      </c>
      <c r="N11" s="124" t="s">
        <v>92</v>
      </c>
      <c r="O11" s="125" t="s">
        <v>126</v>
      </c>
      <c r="R11" s="47" t="s">
        <v>127</v>
      </c>
      <c r="S11" s="48" t="s">
        <v>128</v>
      </c>
      <c r="T11" s="48" t="s">
        <v>129</v>
      </c>
      <c r="U11" s="50" t="s">
        <v>130</v>
      </c>
      <c r="V11" s="287" t="s">
        <v>61</v>
      </c>
      <c r="W11" s="287"/>
      <c r="X11" s="11" t="s">
        <v>131</v>
      </c>
      <c r="Y11" s="11" t="s">
        <v>132</v>
      </c>
    </row>
    <row r="12" spans="1:25" ht="32.1" customHeight="1">
      <c r="A12" s="270" t="s">
        <v>64</v>
      </c>
      <c r="B12" s="271"/>
      <c r="C12" s="272"/>
      <c r="D12" s="39">
        <f ca="1">COUNTIF($A$21:INDIRECT(ADDRESS(MATCH("",$A:$A,-1),1,1,1)),$A12)</f>
        <v>9</v>
      </c>
      <c r="E12" s="39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6</v>
      </c>
      <c r="F12" s="39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2</v>
      </c>
      <c r="H12" s="64">
        <f ca="1">IF($G12=$D12, "N/A", (S12/R12))</f>
        <v>0.84210526315789469</v>
      </c>
      <c r="I12" s="276"/>
      <c r="J12" s="59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6">
        <f ca="1">IFERROR($J12/($F12-(M12-G12)),"N/A")</f>
        <v>0</v>
      </c>
      <c r="O12" s="126">
        <f ca="1">IF(OR($G12=$D12,$D12=$M12),"N/A", ($T12/$U12))</f>
        <v>0</v>
      </c>
      <c r="R12" s="39">
        <f ca="1">SUMIF($A$21:INDIRECT(ADDRESS(MATCH("",$A:$A,-1),1,1,1)),$A12,$R$21:INDIRECT(ADDRESS(MATCH("",$A:$A,-1),18,1,1)))</f>
        <v>19</v>
      </c>
      <c r="S12" s="39">
        <f ca="1">SUMIF($A$21:INDIRECT(ADDRESS(MATCH("",$A:$A,-1),1,1,1)),$A12,$S$21:INDIRECT(ADDRESS(MATCH("",$A:$A,-1),19,1,1)))</f>
        <v>16</v>
      </c>
      <c r="T12" s="39">
        <f ca="1">SUMIF($A$21:INDIRECT(ADDRESS(MATCH("",$A:$A,-1),1,1,1)),$A12,$T$21:INDIRECT(ADDRESS(MATCH("",$A:$A,-1),20,1,1)))</f>
        <v>0</v>
      </c>
      <c r="U12" s="39">
        <f ca="1">SUMIF($A$21:INDIRECT(ADDRESS(MATCH("",$A:$A,-1),2,1,1)),$A12&amp;"*",$U$21:INDIRECT(ADDRESS(MATCH("",$A:$A,-1),21,1,1)))</f>
        <v>23</v>
      </c>
      <c r="V12" s="286">
        <f>B12</f>
        <v>0</v>
      </c>
      <c r="W12" s="272"/>
      <c r="X12" s="62">
        <f t="shared" ref="X12:X17" ca="1" si="0">H12</f>
        <v>0.84210526315789469</v>
      </c>
      <c r="Y12" s="62">
        <f ca="1">O12</f>
        <v>0</v>
      </c>
    </row>
    <row r="13" spans="1:25" ht="32.1" customHeight="1">
      <c r="A13" s="270" t="s">
        <v>65</v>
      </c>
      <c r="B13" s="271"/>
      <c r="C13" s="272"/>
      <c r="D13" s="39">
        <f ca="1">COUNTIF($A$21:INDIRECT(ADDRESS(MATCH("",$A:$A,-1),1,1,1)),$A13)</f>
        <v>7</v>
      </c>
      <c r="E13" s="39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</v>
      </c>
      <c r="F13" s="39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5</v>
      </c>
      <c r="H13" s="64">
        <f t="shared" ref="H13:H17" ca="1" si="1">IF($G13=$D13, "N/A", (S13/R13))</f>
        <v>1</v>
      </c>
      <c r="I13" s="276"/>
      <c r="J13" s="59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6">
        <f ca="1">IFERROR($J13/($F13-(M13-G13)),"N/A")</f>
        <v>0</v>
      </c>
      <c r="O13" s="126">
        <f ca="1">IF(OR($G13=$D13,$D13=$M13),"N/A", ($T13/$U13))</f>
        <v>0</v>
      </c>
      <c r="R13" s="39">
        <f ca="1">SUMIF($A$21:INDIRECT(ADDRESS(MATCH("",$A:$A,-1),1,1,1)),$A13,$R$21:INDIRECT(ADDRESS(MATCH("",$A:$A,-1),18,1,1)))</f>
        <v>5</v>
      </c>
      <c r="S13" s="39">
        <f ca="1">SUMIF($A$21:INDIRECT(ADDRESS(MATCH("",$A:$A,-1),1,1,1)),$A13,$S$21:INDIRECT(ADDRESS(MATCH("",$A:$A,-1),19,1,1)))</f>
        <v>5</v>
      </c>
      <c r="T13" s="39">
        <f ca="1">SUMIF($A$21:INDIRECT(ADDRESS(MATCH("",$A:$A,-1),1,1,1)),$A13,$T$21:INDIRECT(ADDRESS(MATCH("",$A:$A,-1),20,1,1)))</f>
        <v>0</v>
      </c>
      <c r="U13" s="39">
        <f ca="1">SUMIF($A$21:INDIRECT(ADDRESS(MATCH("",$A:$A,-1),2,1,1)),$A13&amp;"*",$U$21:INDIRECT(ADDRESS(MATCH("",$A:$A,-1),21,1,1)))</f>
        <v>15</v>
      </c>
      <c r="V13" s="286">
        <f>B13</f>
        <v>0</v>
      </c>
      <c r="W13" s="272"/>
      <c r="X13" s="62">
        <f t="shared" ca="1" si="0"/>
        <v>1</v>
      </c>
      <c r="Y13" s="62">
        <f t="shared" ref="Y13:Y16" ca="1" si="2">O13</f>
        <v>0</v>
      </c>
    </row>
    <row r="14" spans="1:25" ht="32.1" customHeight="1">
      <c r="A14" s="270" t="s">
        <v>176</v>
      </c>
      <c r="B14" s="271"/>
      <c r="C14" s="272"/>
      <c r="D14" s="39">
        <f ca="1">COUNTIF($A$21:INDIRECT(ADDRESS(MATCH("",$A:$A,-1),1,1,1)),$A14)</f>
        <v>8</v>
      </c>
      <c r="E14" s="39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1</v>
      </c>
      <c r="F14" s="39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5</v>
      </c>
      <c r="H14" s="64">
        <f t="shared" ca="1" si="1"/>
        <v>0.375</v>
      </c>
      <c r="I14" s="276"/>
      <c r="J14" s="59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6">
        <f ca="1">IFERROR($J14/($F14-(M14-G14)),"N/A")</f>
        <v>0</v>
      </c>
      <c r="O14" s="126">
        <f ca="1">IF(OR($G14=$D14,$D14=$M14),"N/A", ($T14/$U14))</f>
        <v>0</v>
      </c>
      <c r="R14" s="39">
        <f ca="1">SUMIF($A$21:INDIRECT(ADDRESS(MATCH("",$A:$A,-1),1,1,1)),$A14,$R$21:INDIRECT(ADDRESS(MATCH("",$A:$A,-1),18,1,1)))</f>
        <v>8</v>
      </c>
      <c r="S14" s="39">
        <f ca="1">SUMIF($A$21:INDIRECT(ADDRESS(MATCH("",$A:$A,-1),1,1,1)),$A14,$S$21:INDIRECT(ADDRESS(MATCH("",$A:$A,-1),19,1,1)))</f>
        <v>3</v>
      </c>
      <c r="T14" s="39">
        <f ca="1">SUMIF($A$21:INDIRECT(ADDRESS(MATCH("",$A:$A,-1),1,1,1)),$A14,$T$21:INDIRECT(ADDRESS(MATCH("",$A:$A,-1),20,1,1)))</f>
        <v>0</v>
      </c>
      <c r="U14" s="39">
        <f ca="1">SUMIF($A$21:INDIRECT(ADDRESS(MATCH("",$A:$A,-1),2,1,1)),$A14&amp;"*",$U$21:INDIRECT(ADDRESS(MATCH("",$A:$A,-1),21,1,1)))</f>
        <v>17</v>
      </c>
      <c r="V14" s="286">
        <f>B14</f>
        <v>0</v>
      </c>
      <c r="W14" s="272"/>
      <c r="X14" s="62">
        <f t="shared" ca="1" si="0"/>
        <v>0.375</v>
      </c>
      <c r="Y14" s="62">
        <f t="shared" ca="1" si="2"/>
        <v>0</v>
      </c>
    </row>
    <row r="15" spans="1:25" ht="32.1" customHeight="1">
      <c r="A15" s="270" t="s">
        <v>177</v>
      </c>
      <c r="B15" s="271"/>
      <c r="C15" s="272"/>
      <c r="D15" s="39">
        <f ca="1">COUNTIF($A$21:INDIRECT(ADDRESS(MATCH("",$A:$A,-1),1,1,1)),$A15)</f>
        <v>2</v>
      </c>
      <c r="E15" s="39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9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4" t="e">
        <f t="shared" ca="1" si="1"/>
        <v>#DIV/0!</v>
      </c>
      <c r="I15" s="276"/>
      <c r="J15" s="59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6" t="str">
        <f ca="1">IFERROR($J15/($F15-(M15-G15)),"N/A")</f>
        <v>N/A</v>
      </c>
      <c r="O15" s="126" t="e">
        <f ca="1">IF(OR($G15=$D15,$D15=$M15),"N/A", ($T15/$U15))</f>
        <v>#DIV/0!</v>
      </c>
      <c r="R15" s="39">
        <f ca="1">SUMIF($A$21:INDIRECT(ADDRESS(MATCH("",$A:$A,-1),1,1,1)),$A15,$R$21:INDIRECT(ADDRESS(MATCH("",$A:$A,-1),18,1,1)))</f>
        <v>0</v>
      </c>
      <c r="S15" s="39">
        <f ca="1">SUMIF($A$21:INDIRECT(ADDRESS(MATCH("",$A:$A,-1),1,1,1)),$A15,$S$21:INDIRECT(ADDRESS(MATCH("",$A:$A,-1),19,1,1)))</f>
        <v>0</v>
      </c>
      <c r="T15" s="39">
        <f ca="1">SUMIF($A$21:INDIRECT(ADDRESS(MATCH("",$A:$A,-1),1,1,1)),$A15,$T$21:INDIRECT(ADDRESS(MATCH("",$A:$A,-1),20,1,1)))</f>
        <v>0</v>
      </c>
      <c r="U15" s="39">
        <f ca="1">SUMIF($A$21:INDIRECT(ADDRESS(MATCH("",$A:$A,-1),2,1,1)),$A15&amp;"*",$U$21:INDIRECT(ADDRESS(MATCH("",$A:$A,-1),21,1,1)))</f>
        <v>0</v>
      </c>
      <c r="V15" s="286">
        <f>B15</f>
        <v>0</v>
      </c>
      <c r="W15" s="272"/>
      <c r="X15" s="62" t="e">
        <f t="shared" ca="1" si="0"/>
        <v>#DIV/0!</v>
      </c>
      <c r="Y15" s="62" t="e">
        <f t="shared" ca="1" si="2"/>
        <v>#DIV/0!</v>
      </c>
    </row>
    <row r="16" spans="1:25" ht="32.1" customHeight="1" thickBot="1">
      <c r="A16" s="270" t="s">
        <v>178</v>
      </c>
      <c r="B16" s="271"/>
      <c r="C16" s="272"/>
      <c r="D16" s="39">
        <f ca="1">COUNTIF($A$21:INDIRECT(ADDRESS(MATCH("",$A:$A,-1),1,1,1)),$A16)</f>
        <v>0</v>
      </c>
      <c r="E16" s="39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9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4" t="str">
        <f t="shared" ca="1" si="1"/>
        <v>N/A</v>
      </c>
      <c r="I16" s="276"/>
      <c r="J16" s="59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6" t="str">
        <f ca="1">IFERROR($J16/($F16-(M16-G16)),"N/A")</f>
        <v>N/A</v>
      </c>
      <c r="O16" s="126" t="str">
        <f ca="1">IF(OR($G16=$D16,$D16=$M16),"N/A", ($T16/$U16))</f>
        <v>N/A</v>
      </c>
      <c r="R16" s="39">
        <f ca="1">SUMIF($A$21:INDIRECT(ADDRESS(MATCH("",$A:$A,-1),1,1,1)),$A16,$R$21:INDIRECT(ADDRESS(MATCH("",$A:$A,-1),18,1,1)))</f>
        <v>0</v>
      </c>
      <c r="S16" s="39">
        <f ca="1">SUMIF($A$21:INDIRECT(ADDRESS(MATCH("",$A:$A,-1),1,1,1)),$A16,$S$21:INDIRECT(ADDRESS(MATCH("",$A:$A,-1),19,1,1)))</f>
        <v>0</v>
      </c>
      <c r="T16" s="39">
        <f ca="1">SUMIF($A$21:INDIRECT(ADDRESS(MATCH("",$A:$A,-1),1,1,1)),$A16,$T$21:INDIRECT(ADDRESS(MATCH("",$A:$A,-1),20,1,1)))</f>
        <v>0</v>
      </c>
      <c r="U16" s="39">
        <f ca="1">SUMIF($A$21:INDIRECT(ADDRESS(MATCH("",$A:$A,-1),2,1,1)),$A16&amp;"*",$U$21:INDIRECT(ADDRESS(MATCH("",$A:$A,-1),21,1,1)))</f>
        <v>0</v>
      </c>
      <c r="V16" s="284">
        <f>B16</f>
        <v>0</v>
      </c>
      <c r="W16" s="285"/>
      <c r="X16" s="66" t="str">
        <f t="shared" ca="1" si="0"/>
        <v>N/A</v>
      </c>
      <c r="Y16" s="66" t="str">
        <f t="shared" ca="1" si="2"/>
        <v>N/A</v>
      </c>
    </row>
    <row r="17" spans="1:25" ht="20.100000000000001" customHeight="1" thickTop="1" thickBot="1">
      <c r="A17" s="278" t="s">
        <v>133</v>
      </c>
      <c r="B17" s="279"/>
      <c r="C17" s="280"/>
      <c r="D17" s="128">
        <f ca="1">SUM(D12:D16)</f>
        <v>26</v>
      </c>
      <c r="E17" s="128">
        <f ca="1">SUM(E12:E16)</f>
        <v>9</v>
      </c>
      <c r="F17" s="128">
        <f ca="1">SUM(F12:F16)</f>
        <v>0</v>
      </c>
      <c r="G17" s="129">
        <f ca="1">SUM(G12:G16)</f>
        <v>12</v>
      </c>
      <c r="H17" s="130">
        <f t="shared" ca="1" si="1"/>
        <v>0.75</v>
      </c>
      <c r="I17" s="277"/>
      <c r="J17" s="127">
        <f ca="1">SUM(J12:J16)</f>
        <v>0</v>
      </c>
      <c r="K17" s="128">
        <f ca="1">SUM(K12:K16)</f>
        <v>0</v>
      </c>
      <c r="L17" s="128">
        <f ca="1">SUM(L12:L16)</f>
        <v>0</v>
      </c>
      <c r="M17" s="128">
        <f ca="1">SUM(M12:M16)</f>
        <v>0</v>
      </c>
      <c r="N17" s="131">
        <f ca="1">IF($O17="N/A","N/A",IFERROR($J17/($F17-(M17-G17)),"N/A"))</f>
        <v>0</v>
      </c>
      <c r="O17" s="132">
        <f ca="1">IF($G17=$D17, "N/A", IFERROR((T17/U17),"N/A"))</f>
        <v>0</v>
      </c>
      <c r="R17" s="41">
        <f ca="1">SUM(R12:R16)</f>
        <v>32</v>
      </c>
      <c r="S17" s="42">
        <f ca="1">SUM(S12:S16)</f>
        <v>24</v>
      </c>
      <c r="T17" s="42">
        <f ca="1">SUM(T12:T16)</f>
        <v>0</v>
      </c>
      <c r="U17" s="41">
        <f ca="1">SUM(U12:U16)</f>
        <v>55</v>
      </c>
      <c r="V17" s="282" t="s">
        <v>134</v>
      </c>
      <c r="W17" s="283"/>
      <c r="X17" s="65">
        <f t="shared" ca="1" si="0"/>
        <v>0.75</v>
      </c>
      <c r="Y17" s="65">
        <f ca="1">O17</f>
        <v>0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 ht="21.95" customHeight="1">
      <c r="A20" s="273" t="s">
        <v>61</v>
      </c>
      <c r="B20" s="274"/>
      <c r="C20" s="261" t="s">
        <v>137</v>
      </c>
      <c r="D20" s="261"/>
      <c r="E20" s="261"/>
      <c r="F20" s="260" t="s">
        <v>24</v>
      </c>
      <c r="G20" s="261"/>
      <c r="H20" s="135" t="s">
        <v>80</v>
      </c>
      <c r="I20" s="136" t="s">
        <v>138</v>
      </c>
      <c r="J20" s="134" t="s">
        <v>82</v>
      </c>
      <c r="K20" s="136" t="s">
        <v>139</v>
      </c>
      <c r="L20" s="262" t="s">
        <v>140</v>
      </c>
      <c r="M20" s="263"/>
      <c r="N20" s="263"/>
      <c r="O20" s="263"/>
      <c r="P20" s="264"/>
      <c r="Q20" s="137" t="s">
        <v>60</v>
      </c>
      <c r="R20" s="51" t="s">
        <v>141</v>
      </c>
      <c r="S20" s="50" t="s">
        <v>128</v>
      </c>
      <c r="T20" s="25" t="s">
        <v>129</v>
      </c>
      <c r="U20" s="50" t="s">
        <v>130</v>
      </c>
      <c r="V20" s="258" t="s">
        <v>82</v>
      </c>
      <c r="W20" s="259"/>
      <c r="Y20" s="67"/>
    </row>
    <row r="21" spans="1:25" ht="12" customHeight="1">
      <c r="A21" s="31" t="str">
        <f>ChkList!A5</f>
        <v>계정 관리</v>
      </c>
      <c r="B21" s="31" t="str">
        <f>ChkList!B5</f>
        <v>D-01</v>
      </c>
      <c r="C21" s="265" t="str">
        <f>ChkList!C5</f>
        <v>기본 계정의 비밀번호, 정책 등을 변경하여 사용</v>
      </c>
      <c r="D21" s="266"/>
      <c r="E21" s="267"/>
      <c r="F21" s="31" t="str">
        <f>ChkList!D5</f>
        <v>H</v>
      </c>
      <c r="G21" s="31">
        <f>ChkList!E5</f>
        <v>3</v>
      </c>
      <c r="H21" s="28" t="s">
        <v>146</v>
      </c>
      <c r="I21" s="145" t="s">
        <v>243</v>
      </c>
      <c r="J21" s="28" t="str">
        <f t="shared" ref="J21:J44" si="3">IF(OR(ISBLANK($L21), $L21=" - 이행진단 시 평가 - "), "", IF(OR($H21="Y",$H21="N/A",$H21="Y(즉시조치)"),$H21,IF(IFERROR(FIND("양호함",$L21),0),"Y",IF(IFERROR(FIND("해당사항",$L21),0),"N/A",IF(IFERROR(FIND("해당 사항",$L21),0),"N/A","N")))))</f>
        <v/>
      </c>
      <c r="K21" s="28" t="str">
        <f t="shared" ref="K21:K44" si="4">IF($J21="", "", IF(OR($H21="Y", $H21="N/A",$H21="Y(즉시조치)"), $H21, IF(AND($H21="N", $J21="Y"), "조치", IF(AND($H21="N",$J21="N/A"), "N/A", IF(IFERROR(FIND("위험수용", $L21), 0), "위험수용", "미조치")))))</f>
        <v/>
      </c>
      <c r="L21" s="265"/>
      <c r="M21" s="266"/>
      <c r="N21" s="266"/>
      <c r="O21" s="266"/>
      <c r="P21" s="267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0</v>
      </c>
      <c r="U21" s="11">
        <f>IF($J21="N/A",0,VLOOKUP($F21,'parm(hidden)'!$B$8:$C$10,2,FALSE))*1</f>
        <v>3</v>
      </c>
      <c r="V21" s="57" t="s">
        <v>142</v>
      </c>
      <c r="W21" s="40" t="s">
        <v>25</v>
      </c>
      <c r="Y21" s="10"/>
    </row>
    <row r="22" spans="1:25" ht="12" customHeight="1">
      <c r="A22" s="31" t="str">
        <f>ChkList!A6</f>
        <v>계정 관리</v>
      </c>
      <c r="B22" s="31" t="str">
        <f>ChkList!B6</f>
        <v>D-02</v>
      </c>
      <c r="C22" s="265" t="str">
        <f>ChkList!C6</f>
        <v>데이터베이스의 불필요 계정을 제거하거나, 잠금설정 후 사용</v>
      </c>
      <c r="D22" s="266"/>
      <c r="E22" s="267"/>
      <c r="F22" s="31" t="str">
        <f>ChkList!D6</f>
        <v>H</v>
      </c>
      <c r="G22" s="31">
        <f>ChkList!E6</f>
        <v>3</v>
      </c>
      <c r="H22" s="28" t="s">
        <v>148</v>
      </c>
      <c r="I22" s="145" t="s">
        <v>208</v>
      </c>
      <c r="J22" s="28" t="str">
        <f t="shared" si="3"/>
        <v/>
      </c>
      <c r="K22" s="28" t="str">
        <f t="shared" si="4"/>
        <v/>
      </c>
      <c r="L22" s="265"/>
      <c r="M22" s="266"/>
      <c r="N22" s="266"/>
      <c r="O22" s="266"/>
      <c r="P22" s="267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0</v>
      </c>
      <c r="U22" s="11">
        <f>IF($J22="N/A",0,VLOOKUP($F22,'parm(hidden)'!$B$8:$C$10,2,FALSE))*1</f>
        <v>3</v>
      </c>
      <c r="V22" s="59" t="s">
        <v>143</v>
      </c>
      <c r="W22" s="28">
        <v>1</v>
      </c>
      <c r="Y22" s="10"/>
    </row>
    <row r="23" spans="1:25" ht="12" customHeight="1">
      <c r="A23" s="31" t="str">
        <f>ChkList!A7</f>
        <v>계정 관리</v>
      </c>
      <c r="B23" s="31" t="str">
        <f>ChkList!B7</f>
        <v>D-03</v>
      </c>
      <c r="C23" s="265" t="str">
        <f>ChkList!C7</f>
        <v>비밀번호 사용 기간 및 복잡도를 기관의 정책에 맞도록 설정</v>
      </c>
      <c r="D23" s="266"/>
      <c r="E23" s="267"/>
      <c r="F23" s="31" t="str">
        <f>ChkList!D7</f>
        <v>H</v>
      </c>
      <c r="G23" s="31">
        <f>ChkList!E7</f>
        <v>3</v>
      </c>
      <c r="H23" s="28" t="s">
        <v>203</v>
      </c>
      <c r="I23" s="145" t="s">
        <v>244</v>
      </c>
      <c r="J23" s="28" t="str">
        <f t="shared" si="3"/>
        <v/>
      </c>
      <c r="K23" s="28" t="str">
        <f t="shared" si="4"/>
        <v/>
      </c>
      <c r="L23" s="265"/>
      <c r="M23" s="266"/>
      <c r="N23" s="266"/>
      <c r="O23" s="266"/>
      <c r="P23" s="267"/>
      <c r="Q23" s="21" t="str">
        <f>IF($J23="",IF(OR($H23="N",$H23="인터뷰"), ChkList!$F7, ""), IF(OR($J23="N",$J23="인터뷰"), ChkList!$F7, ""))</f>
        <v>기관 정책에 맞게 비밀번호 사용 기간 및 복잡도 정책 설정</v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0</v>
      </c>
      <c r="T23" s="31">
        <f>IFERROR(VLOOKUP($F23,'parm(hidden)'!$B$8:$C$10,2,FALSE)*VLOOKUP($K23,$V$22:$W$27,2,FALSE),0)</f>
        <v>0</v>
      </c>
      <c r="U23" s="11">
        <f>IF($J23="N/A",0,VLOOKUP($F23,'parm(hidden)'!$B$8:$C$10,2,FALSE))*1</f>
        <v>3</v>
      </c>
      <c r="V23" s="59" t="s">
        <v>144</v>
      </c>
      <c r="W23" s="28">
        <v>0</v>
      </c>
      <c r="Y23" s="10"/>
    </row>
    <row r="24" spans="1:25" ht="12" customHeight="1">
      <c r="A24" s="31" t="str">
        <f>ChkList!A8</f>
        <v>계정 관리</v>
      </c>
      <c r="B24" s="31" t="str">
        <f>ChkList!B8</f>
        <v>D-04</v>
      </c>
      <c r="C24" s="265" t="str">
        <f>ChkList!C8</f>
        <v>데이터베이스 관리자 권한을 꼭 필요한 계정 및 그룹에 대해서만 허용</v>
      </c>
      <c r="D24" s="266"/>
      <c r="E24" s="267"/>
      <c r="F24" s="31" t="str">
        <f>ChkList!D8</f>
        <v>H</v>
      </c>
      <c r="G24" s="31">
        <f>ChkList!E8</f>
        <v>3</v>
      </c>
      <c r="H24" s="28" t="s">
        <v>148</v>
      </c>
      <c r="I24" s="145" t="s">
        <v>226</v>
      </c>
      <c r="J24" s="28" t="str">
        <f t="shared" si="3"/>
        <v/>
      </c>
      <c r="K24" s="28" t="str">
        <f t="shared" si="4"/>
        <v/>
      </c>
      <c r="L24" s="265"/>
      <c r="M24" s="266"/>
      <c r="N24" s="266"/>
      <c r="O24" s="266"/>
      <c r="P24" s="267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0</v>
      </c>
      <c r="U24" s="11">
        <f>IF($J24="N/A",0,VLOOKUP($F24,'parm(hidden)'!$B$8:$C$10,2,FALSE))*1</f>
        <v>3</v>
      </c>
      <c r="V24" s="59" t="s">
        <v>145</v>
      </c>
      <c r="W24" s="28">
        <v>0</v>
      </c>
      <c r="Y24" s="10"/>
    </row>
    <row r="25" spans="1:25" ht="12" customHeight="1">
      <c r="A25" s="31" t="str">
        <f>ChkList!A9</f>
        <v>계정 관리</v>
      </c>
      <c r="B25" s="31" t="str">
        <f>ChkList!B9</f>
        <v>D-05</v>
      </c>
      <c r="C25" s="265" t="str">
        <f>ChkList!C9</f>
        <v>비밀번호 재사용에 대한 제약 설정</v>
      </c>
      <c r="D25" s="266"/>
      <c r="E25" s="267"/>
      <c r="F25" s="31" t="str">
        <f>ChkList!D9</f>
        <v>M</v>
      </c>
      <c r="G25" s="31">
        <f>ChkList!E9</f>
        <v>2</v>
      </c>
      <c r="H25" s="28" t="s">
        <v>102</v>
      </c>
      <c r="I25" s="145" t="s">
        <v>182</v>
      </c>
      <c r="J25" s="28" t="str">
        <f t="shared" si="3"/>
        <v/>
      </c>
      <c r="K25" s="28" t="str">
        <f t="shared" si="4"/>
        <v/>
      </c>
      <c r="L25" s="265"/>
      <c r="M25" s="266"/>
      <c r="N25" s="266"/>
      <c r="O25" s="266"/>
      <c r="P25" s="267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2</v>
      </c>
      <c r="V25" s="59" t="s">
        <v>36</v>
      </c>
      <c r="W25" s="28">
        <v>0</v>
      </c>
      <c r="Y25" s="10"/>
    </row>
    <row r="26" spans="1:25" ht="12" customHeight="1">
      <c r="A26" s="31" t="str">
        <f>ChkList!A10</f>
        <v>계정 관리</v>
      </c>
      <c r="B26" s="31" t="str">
        <f>ChkList!B10</f>
        <v>D-06</v>
      </c>
      <c r="C26" s="265" t="str">
        <f>ChkList!C10</f>
        <v>DB 사용자 계정을 개별적으로 부여하여 사용</v>
      </c>
      <c r="D26" s="266"/>
      <c r="E26" s="267"/>
      <c r="F26" s="31" t="str">
        <f>ChkList!D10</f>
        <v>M</v>
      </c>
      <c r="G26" s="31">
        <f>ChkList!E10</f>
        <v>2</v>
      </c>
      <c r="H26" s="28" t="s">
        <v>148</v>
      </c>
      <c r="I26" s="145" t="s">
        <v>209</v>
      </c>
      <c r="J26" s="28" t="str">
        <f t="shared" si="3"/>
        <v/>
      </c>
      <c r="K26" s="28" t="str">
        <f t="shared" si="4"/>
        <v/>
      </c>
      <c r="L26" s="265"/>
      <c r="M26" s="266"/>
      <c r="N26" s="266"/>
      <c r="O26" s="266"/>
      <c r="P26" s="267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2</v>
      </c>
      <c r="T26" s="31">
        <f>IFERROR(VLOOKUP($F26,'parm(hidden)'!$B$8:$C$10,2,FALSE)*VLOOKUP($K26,$V$22:$W$27,2,FALSE),0)</f>
        <v>0</v>
      </c>
      <c r="U26" s="11">
        <f>IF($J26="N/A",0,VLOOKUP($F26,'parm(hidden)'!$B$8:$C$10,2,FALSE))*1</f>
        <v>2</v>
      </c>
      <c r="V26" s="59" t="s">
        <v>146</v>
      </c>
      <c r="W26" s="28">
        <v>1</v>
      </c>
      <c r="Y26" s="10"/>
    </row>
    <row r="27" spans="1:25" ht="12" customHeight="1">
      <c r="A27" s="31" t="str">
        <f>ChkList!A11</f>
        <v>계정 관리</v>
      </c>
      <c r="B27" s="31" t="str">
        <f>ChkList!B11</f>
        <v>D-07</v>
      </c>
      <c r="C27" s="265" t="str">
        <f>ChkList!C11</f>
        <v>root 권한으로 서비스 구동 제한</v>
      </c>
      <c r="D27" s="266"/>
      <c r="E27" s="267"/>
      <c r="F27" s="31" t="str">
        <f>ChkList!D11</f>
        <v>M</v>
      </c>
      <c r="G27" s="31">
        <f>ChkList!E11</f>
        <v>2</v>
      </c>
      <c r="H27" s="28" t="s">
        <v>146</v>
      </c>
      <c r="I27" s="145" t="s">
        <v>227</v>
      </c>
      <c r="J27" s="28" t="str">
        <f t="shared" si="3"/>
        <v/>
      </c>
      <c r="K27" s="28" t="str">
        <f t="shared" si="4"/>
        <v/>
      </c>
      <c r="L27" s="265"/>
      <c r="M27" s="266"/>
      <c r="N27" s="266"/>
      <c r="O27" s="266"/>
      <c r="P27" s="267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2</v>
      </c>
      <c r="T27" s="31">
        <f>IFERROR(VLOOKUP($F27,'parm(hidden)'!$B$8:$C$10,2,FALSE)*VLOOKUP($K27,$V$22:$W$27,2,FALSE),0)</f>
        <v>0</v>
      </c>
      <c r="U27" s="11">
        <f>IF($J27="N/A",0,VLOOKUP($F27,'parm(hidden)'!$B$8:$C$10,2,FALSE))*1</f>
        <v>2</v>
      </c>
      <c r="V27" s="59" t="s">
        <v>147</v>
      </c>
      <c r="W27" s="28">
        <v>1</v>
      </c>
      <c r="Y27" s="10"/>
    </row>
    <row r="28" spans="1:25" ht="12" customHeight="1">
      <c r="A28" s="31" t="str">
        <f>ChkList!A12</f>
        <v>계정 관리</v>
      </c>
      <c r="B28" s="31" t="str">
        <f>ChkList!B12</f>
        <v>D-08</v>
      </c>
      <c r="C28" s="265" t="str">
        <f>ChkList!C12</f>
        <v>안전한 암호화 알고리즘 사용</v>
      </c>
      <c r="D28" s="266"/>
      <c r="E28" s="267"/>
      <c r="F28" s="31" t="str">
        <f>ChkList!D12</f>
        <v>H</v>
      </c>
      <c r="G28" s="31">
        <f>ChkList!E12</f>
        <v>3</v>
      </c>
      <c r="H28" s="28" t="s">
        <v>148</v>
      </c>
      <c r="I28" s="145" t="s">
        <v>210</v>
      </c>
      <c r="J28" s="28" t="str">
        <f t="shared" si="3"/>
        <v/>
      </c>
      <c r="K28" s="28" t="str">
        <f t="shared" si="4"/>
        <v/>
      </c>
      <c r="L28" s="265"/>
      <c r="M28" s="266"/>
      <c r="N28" s="266"/>
      <c r="O28" s="266"/>
      <c r="P28" s="267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3</v>
      </c>
      <c r="T28" s="31">
        <f>IFERROR(VLOOKUP($F28,'parm(hidden)'!$B$8:$C$10,2,FALSE)*VLOOKUP($K28,$V$22:$W$27,2,FALSE),0)</f>
        <v>0</v>
      </c>
      <c r="U28" s="11">
        <f>IF($J28="N/A",0,VLOOKUP($F28,'parm(hidden)'!$B$8:$C$10,2,FALSE))*1</f>
        <v>3</v>
      </c>
      <c r="Y28" s="10"/>
    </row>
    <row r="29" spans="1:25" ht="12" customHeight="1">
      <c r="A29" s="31" t="str">
        <f>ChkList!A13</f>
        <v>계정 관리</v>
      </c>
      <c r="B29" s="31" t="str">
        <f>ChkList!B13</f>
        <v>D-09</v>
      </c>
      <c r="C29" s="265" t="str">
        <f>ChkList!C13</f>
        <v>일정 횟수의 로그인 실패 시 이에 대한 잠금정책 설정</v>
      </c>
      <c r="D29" s="266"/>
      <c r="E29" s="267"/>
      <c r="F29" s="31" t="str">
        <f>ChkList!D13</f>
        <v>M</v>
      </c>
      <c r="G29" s="31">
        <f>ChkList!E13</f>
        <v>2</v>
      </c>
      <c r="H29" s="28" t="s">
        <v>149</v>
      </c>
      <c r="I29" s="145" t="s">
        <v>182</v>
      </c>
      <c r="J29" s="28" t="str">
        <f t="shared" si="3"/>
        <v/>
      </c>
      <c r="K29" s="28" t="str">
        <f t="shared" si="4"/>
        <v/>
      </c>
      <c r="L29" s="265"/>
      <c r="M29" s="266"/>
      <c r="N29" s="266"/>
      <c r="O29" s="266"/>
      <c r="P29" s="267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2</v>
      </c>
      <c r="Y29" s="10"/>
    </row>
    <row r="30" spans="1:25" ht="12" customHeight="1">
      <c r="A30" s="31" t="str">
        <f>ChkList!A14</f>
        <v>접근 관리</v>
      </c>
      <c r="B30" s="31" t="str">
        <f>ChkList!B14</f>
        <v>D-10</v>
      </c>
      <c r="C30" s="265" t="str">
        <f>ChkList!C14</f>
        <v>원격에서 DB 서버로의 접속 제한</v>
      </c>
      <c r="D30" s="266"/>
      <c r="E30" s="267"/>
      <c r="F30" s="31" t="str">
        <f>ChkList!D14</f>
        <v>H</v>
      </c>
      <c r="G30" s="31">
        <f>ChkList!E14</f>
        <v>3</v>
      </c>
      <c r="H30" s="28" t="s">
        <v>149</v>
      </c>
      <c r="I30" s="145" t="s">
        <v>199</v>
      </c>
      <c r="J30" s="28" t="str">
        <f t="shared" si="3"/>
        <v/>
      </c>
      <c r="K30" s="28" t="str">
        <f t="shared" si="4"/>
        <v/>
      </c>
      <c r="L30" s="265"/>
      <c r="M30" s="266"/>
      <c r="N30" s="266"/>
      <c r="O30" s="266"/>
      <c r="P30" s="267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0</v>
      </c>
      <c r="S30" s="31">
        <f>IFERROR(VLOOKUP($F30,'parm(hidden)'!$B$8:$C$10,2,FALSE)*VLOOKUP($H30,'parm(hidden)'!$B$15:$C$19,2,FALSE),0)</f>
        <v>0</v>
      </c>
      <c r="T30" s="31">
        <f>IFERROR(VLOOKUP($F30,'parm(hidden)'!$B$8:$C$10,2,FALSE)*VLOOKUP($K30,$V$22:$W$27,2,FALSE),0)</f>
        <v>0</v>
      </c>
      <c r="U30" s="11">
        <f>IF($J30="N/A",0,VLOOKUP($F30,'parm(hidden)'!$B$8:$C$10,2,FALSE))*1</f>
        <v>3</v>
      </c>
      <c r="Y30" s="10"/>
    </row>
    <row r="31" spans="1:25" ht="12" customHeight="1">
      <c r="A31" s="31" t="str">
        <f>ChkList!A15</f>
        <v>접근 관리</v>
      </c>
      <c r="B31" s="31" t="str">
        <f>ChkList!B15</f>
        <v>D-11</v>
      </c>
      <c r="C31" s="265" t="str">
        <f>ChkList!C15</f>
        <v>DBA 이외의 인가되지 않은 사용자가 시스템 테이블에 접근할 수 없도록 설정</v>
      </c>
      <c r="D31" s="266"/>
      <c r="E31" s="267"/>
      <c r="F31" s="31" t="str">
        <f>ChkList!D15</f>
        <v>H</v>
      </c>
      <c r="G31" s="31">
        <f>ChkList!E15</f>
        <v>3</v>
      </c>
      <c r="H31" s="28" t="s">
        <v>149</v>
      </c>
      <c r="I31" s="147" t="s">
        <v>182</v>
      </c>
      <c r="J31" s="28" t="str">
        <f t="shared" si="3"/>
        <v/>
      </c>
      <c r="K31" s="28" t="str">
        <f t="shared" si="4"/>
        <v/>
      </c>
      <c r="L31" s="265"/>
      <c r="M31" s="266"/>
      <c r="N31" s="266"/>
      <c r="O31" s="266"/>
      <c r="P31" s="267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0</v>
      </c>
      <c r="S31" s="31">
        <f>IFERROR(VLOOKUP($F31,'parm(hidden)'!$B$8:$C$10,2,FALSE)*VLOOKUP($H31,'parm(hidden)'!$B$15:$C$19,2,FALSE),0)</f>
        <v>0</v>
      </c>
      <c r="T31" s="31">
        <f>IFERROR(VLOOKUP($F31,'parm(hidden)'!$B$8:$C$10,2,FALSE)*VLOOKUP($K31,$V$22:$W$27,2,FALSE),0)</f>
        <v>0</v>
      </c>
      <c r="U31" s="11">
        <f>IF($J31="N/A",0,VLOOKUP($F31,'parm(hidden)'!$B$8:$C$10,2,FALSE))*1</f>
        <v>3</v>
      </c>
      <c r="Y31" s="10"/>
    </row>
    <row r="32" spans="1:25" ht="12" customHeight="1">
      <c r="A32" s="31" t="str">
        <f>ChkList!A16</f>
        <v>접근 관리</v>
      </c>
      <c r="B32" s="31" t="str">
        <f>ChkList!B16</f>
        <v>D-12</v>
      </c>
      <c r="C32" s="265" t="str">
        <f>ChkList!C16</f>
        <v>안전한 리스너 비밀번호 설정 및 사용</v>
      </c>
      <c r="D32" s="266"/>
      <c r="E32" s="267"/>
      <c r="F32" s="31" t="str">
        <f>ChkList!D16</f>
        <v>H</v>
      </c>
      <c r="G32" s="31">
        <f>ChkList!E16</f>
        <v>3</v>
      </c>
      <c r="H32" s="28" t="s">
        <v>148</v>
      </c>
      <c r="I32" s="147" t="s">
        <v>200</v>
      </c>
      <c r="J32" s="28" t="str">
        <f t="shared" si="3"/>
        <v/>
      </c>
      <c r="K32" s="28" t="str">
        <f t="shared" si="4"/>
        <v/>
      </c>
      <c r="L32" s="265"/>
      <c r="M32" s="266"/>
      <c r="N32" s="266"/>
      <c r="O32" s="266"/>
      <c r="P32" s="267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3</v>
      </c>
      <c r="S32" s="31">
        <f>IFERROR(VLOOKUP($F32,'parm(hidden)'!$B$8:$C$10,2,FALSE)*VLOOKUP($H32,'parm(hidden)'!$B$15:$C$19,2,FALSE),0)</f>
        <v>3</v>
      </c>
      <c r="T32" s="31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 ht="12" customHeight="1">
      <c r="A33" s="31" t="str">
        <f>ChkList!A17</f>
        <v>접근 관리</v>
      </c>
      <c r="B33" s="31" t="str">
        <f>ChkList!B17</f>
        <v>D-13</v>
      </c>
      <c r="C33" s="265" t="str">
        <f>ChkList!C17</f>
        <v>불필요한 ODBC/OLE-DB 데이터 소스와 드라이브를 제거하여 사용</v>
      </c>
      <c r="D33" s="266"/>
      <c r="E33" s="267"/>
      <c r="F33" s="31" t="str">
        <f>ChkList!D17</f>
        <v>M</v>
      </c>
      <c r="G33" s="31">
        <f>ChkList!E17</f>
        <v>2</v>
      </c>
      <c r="H33" s="28" t="s">
        <v>148</v>
      </c>
      <c r="I33" s="145" t="s">
        <v>245</v>
      </c>
      <c r="J33" s="28" t="str">
        <f t="shared" si="3"/>
        <v/>
      </c>
      <c r="K33" s="28" t="str">
        <f t="shared" si="4"/>
        <v/>
      </c>
      <c r="L33" s="265"/>
      <c r="M33" s="266"/>
      <c r="N33" s="266"/>
      <c r="O33" s="266"/>
      <c r="P33" s="267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IFERROR(VLOOKUP($F33,'parm(hidden)'!$B$8:$C$10,2,FALSE)*VLOOKUP($H33,'parm(hidden)'!$B$15:$C$19,2,FALSE),0)</f>
        <v>2</v>
      </c>
      <c r="T33" s="31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12" customHeight="1">
      <c r="A34" s="31" t="str">
        <f>ChkList!A18</f>
        <v>접근 관리</v>
      </c>
      <c r="B34" s="31" t="str">
        <f>ChkList!B18</f>
        <v>D-14</v>
      </c>
      <c r="C34" s="265" t="str">
        <f>ChkList!C18</f>
        <v>데이터베이스의 주요 설정파일, 비밀번호 파일 등과 같은 주요 파일들의 접근 권한이 적절하게 설정</v>
      </c>
      <c r="D34" s="266"/>
      <c r="E34" s="267"/>
      <c r="F34" s="31" t="str">
        <f>ChkList!D18</f>
        <v>M</v>
      </c>
      <c r="G34" s="31">
        <f>ChkList!E18</f>
        <v>2</v>
      </c>
      <c r="H34" s="28" t="s">
        <v>149</v>
      </c>
      <c r="I34" s="145" t="s">
        <v>182</v>
      </c>
      <c r="J34" s="28" t="str">
        <f t="shared" si="3"/>
        <v/>
      </c>
      <c r="K34" s="28" t="str">
        <f t="shared" si="4"/>
        <v/>
      </c>
      <c r="L34" s="265"/>
      <c r="M34" s="266"/>
      <c r="N34" s="266"/>
      <c r="O34" s="266"/>
      <c r="P34" s="267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0</v>
      </c>
      <c r="S34" s="31">
        <f>IFERROR(VLOOKUP($F34,'parm(hidden)'!$B$8:$C$10,2,FALSE)*VLOOKUP($H34,'parm(hidden)'!$B$15:$C$19,2,FALSE),0)</f>
        <v>0</v>
      </c>
      <c r="T34" s="31">
        <f>IFERROR(VLOOKUP($F34,'parm(hidden)'!$B$8:$C$10,2,FALSE)*VLOOKUP($K34,$V$22:$W$27,2,FALSE),0)</f>
        <v>0</v>
      </c>
      <c r="U34" s="11">
        <f>IF($J34="N/A",0,VLOOKUP($F34,'parm(hidden)'!$B$8:$C$10,2,FALSE))*1</f>
        <v>2</v>
      </c>
      <c r="Y34" s="10"/>
    </row>
    <row r="35" spans="1:25" ht="12" customHeight="1">
      <c r="A35" s="31" t="str">
        <f>ChkList!A19</f>
        <v>접근 관리</v>
      </c>
      <c r="B35" s="31" t="str">
        <f>ChkList!B19</f>
        <v>D-15</v>
      </c>
      <c r="C35" s="265" t="str">
        <f>ChkList!C19</f>
        <v>관리자 이외의 사용자가 오라클 리스너의 접속을 통해 리스너 로그 및 trace 파일에 대한 변경 제한</v>
      </c>
      <c r="D35" s="266"/>
      <c r="E35" s="267"/>
      <c r="F35" s="31" t="str">
        <f>ChkList!D19</f>
        <v>L</v>
      </c>
      <c r="G35" s="31">
        <f>ChkList!E19</f>
        <v>1</v>
      </c>
      <c r="H35" s="28" t="s">
        <v>149</v>
      </c>
      <c r="I35" s="145" t="s">
        <v>182</v>
      </c>
      <c r="J35" s="28" t="str">
        <f t="shared" si="3"/>
        <v/>
      </c>
      <c r="K35" s="28" t="str">
        <f t="shared" si="4"/>
        <v/>
      </c>
      <c r="L35" s="265"/>
      <c r="M35" s="266"/>
      <c r="N35" s="266"/>
      <c r="O35" s="266"/>
      <c r="P35" s="267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1</v>
      </c>
      <c r="Y35" s="10"/>
    </row>
    <row r="36" spans="1:25" ht="12" customHeight="1">
      <c r="A36" s="31" t="str">
        <f>ChkList!A20</f>
        <v>접근 관리</v>
      </c>
      <c r="B36" s="31" t="str">
        <f>ChkList!B20</f>
        <v>D-16</v>
      </c>
      <c r="C36" s="265" t="str">
        <f>ChkList!C20</f>
        <v>Windows 인증 모드 사용</v>
      </c>
      <c r="D36" s="266"/>
      <c r="E36" s="267"/>
      <c r="F36" s="31" t="str">
        <f>ChkList!D20</f>
        <v>L</v>
      </c>
      <c r="G36" s="31">
        <f>ChkList!E20</f>
        <v>1</v>
      </c>
      <c r="H36" s="28" t="s">
        <v>149</v>
      </c>
      <c r="I36" s="145" t="s">
        <v>182</v>
      </c>
      <c r="J36" s="28" t="str">
        <f t="shared" si="3"/>
        <v/>
      </c>
      <c r="K36" s="28" t="str">
        <f t="shared" si="4"/>
        <v/>
      </c>
      <c r="L36" s="265"/>
      <c r="M36" s="266"/>
      <c r="N36" s="266"/>
      <c r="O36" s="266"/>
      <c r="P36" s="267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1</v>
      </c>
      <c r="Y36" s="10"/>
    </row>
    <row r="37" spans="1:25" ht="12" customHeight="1">
      <c r="A37" s="31" t="str">
        <f>ChkList!A21</f>
        <v>옵션 관리</v>
      </c>
      <c r="B37" s="31" t="str">
        <f>ChkList!B21</f>
        <v>D-17</v>
      </c>
      <c r="C37" s="265" t="str">
        <f>ChkList!C21</f>
        <v>Audit Table은 데이터베이스 관리자 계정에 접근하도록 제한</v>
      </c>
      <c r="D37" s="266"/>
      <c r="E37" s="267"/>
      <c r="F37" s="31" t="str">
        <f>ChkList!D21</f>
        <v>L</v>
      </c>
      <c r="G37" s="31">
        <f>ChkList!E21</f>
        <v>1</v>
      </c>
      <c r="H37" s="28" t="s">
        <v>149</v>
      </c>
      <c r="I37" s="145" t="s">
        <v>182</v>
      </c>
      <c r="J37" s="28" t="str">
        <f t="shared" si="3"/>
        <v/>
      </c>
      <c r="K37" s="28" t="str">
        <f t="shared" si="4"/>
        <v/>
      </c>
      <c r="L37" s="265"/>
      <c r="M37" s="266"/>
      <c r="N37" s="266"/>
      <c r="O37" s="266"/>
      <c r="P37" s="267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1</v>
      </c>
      <c r="Y37" s="10"/>
    </row>
    <row r="38" spans="1:25" ht="12" customHeight="1">
      <c r="A38" s="31" t="str">
        <f>ChkList!A22</f>
        <v>옵션 관리</v>
      </c>
      <c r="B38" s="31" t="str">
        <f>ChkList!B22</f>
        <v>D-18</v>
      </c>
      <c r="C38" s="265" t="str">
        <f>ChkList!C22</f>
        <v>응용프로그램 또는 DBA 계정의 Role이 Public으로 설정되지 않도록 조정</v>
      </c>
      <c r="D38" s="266"/>
      <c r="E38" s="267"/>
      <c r="F38" s="31" t="str">
        <f>ChkList!D22</f>
        <v>H</v>
      </c>
      <c r="G38" s="31">
        <f>ChkList!E22</f>
        <v>3</v>
      </c>
      <c r="H38" s="28" t="s">
        <v>149</v>
      </c>
      <c r="I38" s="145" t="s">
        <v>182</v>
      </c>
      <c r="J38" s="28" t="str">
        <f t="shared" si="3"/>
        <v/>
      </c>
      <c r="K38" s="28" t="str">
        <f t="shared" si="4"/>
        <v/>
      </c>
      <c r="L38" s="265"/>
      <c r="M38" s="266"/>
      <c r="N38" s="266"/>
      <c r="O38" s="266"/>
      <c r="P38" s="267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3</v>
      </c>
      <c r="Y38" s="10"/>
    </row>
    <row r="39" spans="1:25" ht="12" customHeight="1">
      <c r="A39" s="31" t="str">
        <f>ChkList!A23</f>
        <v>옵션 관리</v>
      </c>
      <c r="B39" s="31" t="str">
        <f>ChkList!B23</f>
        <v>D-19</v>
      </c>
      <c r="C39" s="265" t="str">
        <f>ChkList!C23</f>
        <v>OS_ROLES, REMOTE_OS_AUTHENTICATION, REMOTE_OS_ROLES를 FALSE로 설정</v>
      </c>
      <c r="D39" s="266"/>
      <c r="E39" s="267"/>
      <c r="F39" s="31" t="str">
        <f>ChkList!D23</f>
        <v>H</v>
      </c>
      <c r="G39" s="31">
        <f>ChkList!E23</f>
        <v>3</v>
      </c>
      <c r="H39" s="28" t="s">
        <v>148</v>
      </c>
      <c r="I39" s="147" t="s">
        <v>202</v>
      </c>
      <c r="J39" s="28" t="str">
        <f t="shared" si="3"/>
        <v/>
      </c>
      <c r="K39" s="28" t="str">
        <f t="shared" si="4"/>
        <v/>
      </c>
      <c r="L39" s="265"/>
      <c r="M39" s="266"/>
      <c r="N39" s="266"/>
      <c r="O39" s="266"/>
      <c r="P39" s="267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Y39" s="10"/>
    </row>
    <row r="40" spans="1:25" ht="12" customHeight="1">
      <c r="A40" s="31" t="str">
        <f>ChkList!A24</f>
        <v>옵션 관리</v>
      </c>
      <c r="B40" s="31" t="str">
        <f>ChkList!B24</f>
        <v>D-20</v>
      </c>
      <c r="C40" s="265" t="str">
        <f>ChkList!C24</f>
        <v>인가되지 않은 Object Owner의 제한</v>
      </c>
      <c r="D40" s="266"/>
      <c r="E40" s="267"/>
      <c r="F40" s="31" t="str">
        <f>ChkList!D24</f>
        <v>L</v>
      </c>
      <c r="G40" s="31">
        <f>ChkList!E24</f>
        <v>1</v>
      </c>
      <c r="H40" s="28" t="s">
        <v>149</v>
      </c>
      <c r="I40" s="145" t="s">
        <v>182</v>
      </c>
      <c r="J40" s="28" t="str">
        <f t="shared" si="3"/>
        <v/>
      </c>
      <c r="K40" s="28" t="str">
        <f t="shared" si="4"/>
        <v/>
      </c>
      <c r="L40" s="265"/>
      <c r="M40" s="266"/>
      <c r="N40" s="266"/>
      <c r="O40" s="266"/>
      <c r="P40" s="267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1</v>
      </c>
      <c r="Y40" s="10"/>
    </row>
    <row r="41" spans="1:25" ht="12" customHeight="1">
      <c r="A41" s="31" t="str">
        <f>ChkList!A25</f>
        <v>옵션 관리</v>
      </c>
      <c r="B41" s="31" t="str">
        <f>ChkList!B25</f>
        <v>D-21</v>
      </c>
      <c r="C41" s="265" t="str">
        <f>ChkList!C25</f>
        <v>인가되지 않은 GRANT OPTION 사용 제한</v>
      </c>
      <c r="D41" s="266"/>
      <c r="E41" s="267"/>
      <c r="F41" s="31" t="str">
        <f>ChkList!D25</f>
        <v>M</v>
      </c>
      <c r="G41" s="31">
        <f>ChkList!E25</f>
        <v>2</v>
      </c>
      <c r="H41" s="28" t="s">
        <v>203</v>
      </c>
      <c r="I41" s="145" t="s">
        <v>214</v>
      </c>
      <c r="J41" s="28" t="str">
        <f t="shared" si="3"/>
        <v/>
      </c>
      <c r="K41" s="28" t="str">
        <f t="shared" si="4"/>
        <v/>
      </c>
      <c r="L41" s="265"/>
      <c r="M41" s="266"/>
      <c r="N41" s="266"/>
      <c r="O41" s="266"/>
      <c r="P41" s="267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2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12" customHeight="1">
      <c r="A42" s="31" t="str">
        <f>ChkList!A26</f>
        <v>옵션 관리</v>
      </c>
      <c r="B42" s="31" t="str">
        <f>ChkList!B26</f>
        <v>D-22</v>
      </c>
      <c r="C42" s="265" t="str">
        <f>ChkList!C26</f>
        <v>데이터베이스의 자원 제한 기능을 TRUE로 설정</v>
      </c>
      <c r="D42" s="266"/>
      <c r="E42" s="267"/>
      <c r="F42" s="31" t="str">
        <f>ChkList!D26</f>
        <v>L</v>
      </c>
      <c r="G42" s="31">
        <f>ChkList!E26</f>
        <v>1</v>
      </c>
      <c r="H42" s="28" t="s">
        <v>149</v>
      </c>
      <c r="I42" s="145" t="s">
        <v>212</v>
      </c>
      <c r="J42" s="28" t="str">
        <f t="shared" si="3"/>
        <v/>
      </c>
      <c r="K42" s="28" t="str">
        <f t="shared" si="4"/>
        <v/>
      </c>
      <c r="L42" s="265"/>
      <c r="M42" s="266"/>
      <c r="N42" s="266"/>
      <c r="O42" s="266"/>
      <c r="P42" s="267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1</v>
      </c>
      <c r="Y42" s="10"/>
    </row>
    <row r="43" spans="1:25" ht="12" customHeight="1">
      <c r="A43" s="31" t="str">
        <f>ChkList!A27</f>
        <v>옵션 관리</v>
      </c>
      <c r="B43" s="31" t="str">
        <f>ChkList!B27</f>
        <v>D-23</v>
      </c>
      <c r="C43" s="265" t="str">
        <f>ChkList!C27</f>
        <v>xp_cmdshell 사용 제한</v>
      </c>
      <c r="D43" s="266"/>
      <c r="E43" s="267"/>
      <c r="F43" s="31" t="str">
        <f>ChkList!D27</f>
        <v>H</v>
      </c>
      <c r="G43" s="31">
        <f>ChkList!E27</f>
        <v>3</v>
      </c>
      <c r="H43" s="28" t="s">
        <v>203</v>
      </c>
      <c r="I43" s="147" t="s">
        <v>213</v>
      </c>
      <c r="J43" s="28" t="str">
        <f t="shared" si="3"/>
        <v/>
      </c>
      <c r="K43" s="28" t="str">
        <f t="shared" si="4"/>
        <v/>
      </c>
      <c r="L43" s="265"/>
      <c r="M43" s="266"/>
      <c r="N43" s="266"/>
      <c r="O43" s="266"/>
      <c r="P43" s="267"/>
      <c r="Q43" s="21" t="str">
        <f>IF($J43="",IF(OR($H43="N",$H43="인터뷰"), ChkList!$F27, ""), IF(OR($J43="N",$J43="인터뷰"), ChkList!$F27, ""))</f>
        <v>xp_cmdshell 설정 값을 0 또는 False로 설정</v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0</v>
      </c>
      <c r="T43" s="31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 ht="12" customHeight="1">
      <c r="A44" s="31" t="str">
        <f>ChkList!A28</f>
        <v>옵션 관리</v>
      </c>
      <c r="B44" s="31" t="str">
        <f>ChkList!B28</f>
        <v>D-24</v>
      </c>
      <c r="C44" s="265" t="str">
        <f>ChkList!C28</f>
        <v>Registry Procedure 권한 제한</v>
      </c>
      <c r="D44" s="266"/>
      <c r="E44" s="267"/>
      <c r="F44" s="31" t="str">
        <f>ChkList!D28</f>
        <v>H</v>
      </c>
      <c r="G44" s="31">
        <f>ChkList!E28</f>
        <v>3</v>
      </c>
      <c r="H44" s="28" t="s">
        <v>149</v>
      </c>
      <c r="I44" s="145" t="s">
        <v>215</v>
      </c>
      <c r="J44" s="28" t="str">
        <f t="shared" si="3"/>
        <v/>
      </c>
      <c r="K44" s="28" t="str">
        <f t="shared" si="4"/>
        <v/>
      </c>
      <c r="L44" s="265"/>
      <c r="M44" s="266"/>
      <c r="N44" s="266"/>
      <c r="O44" s="266"/>
      <c r="P44" s="267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Y44" s="10"/>
    </row>
    <row r="45" spans="1:25">
      <c r="A45" s="31" t="str">
        <f>ChkList!A29</f>
        <v>패치 관리</v>
      </c>
      <c r="B45" s="31" t="str">
        <f>ChkList!B29</f>
        <v>D-25</v>
      </c>
      <c r="C45" s="265" t="str">
        <f>ChkList!C29</f>
        <v>주기적 보안 패치 및 벤더 권고 사항 적용</v>
      </c>
      <c r="D45" s="266"/>
      <c r="E45" s="267"/>
      <c r="F45" s="31" t="str">
        <f>ChkList!D29</f>
        <v>H</v>
      </c>
      <c r="G45" s="31">
        <f>ChkList!E29</f>
        <v>3</v>
      </c>
    </row>
    <row r="46" spans="1:25">
      <c r="A46" s="31" t="str">
        <f>ChkList!A30</f>
        <v>패치 관리</v>
      </c>
      <c r="B46" s="31" t="str">
        <f>ChkList!B30</f>
        <v>D-26</v>
      </c>
      <c r="C46" s="265" t="str">
        <f>ChkList!C30</f>
        <v>데이터베이스의 접근, 변경, 삭제 등의 감사 기록이 기관의 감사 기록 정책에 적합하도록 설정</v>
      </c>
      <c r="D46" s="266"/>
      <c r="E46" s="267"/>
      <c r="F46" s="31" t="str">
        <f>ChkList!D30</f>
        <v>H</v>
      </c>
      <c r="G46" s="31">
        <f>ChkList!E30</f>
        <v>3</v>
      </c>
    </row>
  </sheetData>
  <mergeCells count="86">
    <mergeCell ref="C45:E45"/>
    <mergeCell ref="C46:E46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4" type="noConversion"/>
  <conditionalFormatting sqref="H21:H44">
    <cfRule type="cellIs" dxfId="61" priority="1" stopIfTrue="1" operator="equal">
      <formula>"인터뷰"</formula>
    </cfRule>
    <cfRule type="cellIs" dxfId="60" priority="2" stopIfTrue="1" operator="equal">
      <formula>"R/A"</formula>
    </cfRule>
    <cfRule type="cellIs" dxfId="59" priority="3" stopIfTrue="1" operator="equal">
      <formula>"N/A"</formula>
    </cfRule>
    <cfRule type="cellIs" dxfId="58" priority="4" stopIfTrue="1" operator="equal">
      <formula>"N"</formula>
    </cfRule>
    <cfRule type="expression" dxfId="57" priority="5">
      <formula>OR(IF(H21=0,1,0),IF(H21="-",1,0))</formula>
    </cfRule>
  </conditionalFormatting>
  <conditionalFormatting sqref="J21:K44">
    <cfRule type="cellIs" dxfId="56" priority="16" stopIfTrue="1" operator="equal">
      <formula>"인터뷰"</formula>
    </cfRule>
    <cfRule type="cellIs" dxfId="55" priority="17" stopIfTrue="1" operator="equal">
      <formula>"R/A"</formula>
    </cfRule>
    <cfRule type="cellIs" dxfId="54" priority="18" stopIfTrue="1" operator="equal">
      <formula>"N/A"</formula>
    </cfRule>
    <cfRule type="cellIs" dxfId="53" priority="19" stopIfTrue="1" operator="equal">
      <formula>"N"</formula>
    </cfRule>
    <cfRule type="expression" dxfId="52" priority="20">
      <formula>OR(IF(J21=0,1,0),IF(J21="-",1,0))</formula>
    </cfRule>
  </conditionalFormatting>
  <conditionalFormatting sqref="K21:K44">
    <cfRule type="cellIs" dxfId="51" priority="13" operator="equal">
      <formula>"위험수용"</formula>
    </cfRule>
    <cfRule type="cellIs" dxfId="50" priority="14" operator="equal">
      <formula>"미조치"</formula>
    </cfRule>
    <cfRule type="cellIs" dxfId="49" priority="15" operator="equal">
      <formula>"조치"</formula>
    </cfRule>
  </conditionalFormatting>
  <conditionalFormatting sqref="K22:K44">
    <cfRule type="cellIs" dxfId="48" priority="21" stopIfTrue="1" operator="equal">
      <formula>"인터뷰"</formula>
    </cfRule>
    <cfRule type="cellIs" dxfId="47" priority="22" stopIfTrue="1" operator="equal">
      <formula>"R/A"</formula>
    </cfRule>
    <cfRule type="cellIs" dxfId="46" priority="23" stopIfTrue="1" operator="equal">
      <formula>"N/A"</formula>
    </cfRule>
    <cfRule type="cellIs" dxfId="45" priority="24" stopIfTrue="1" operator="equal">
      <formula>"N"</formula>
    </cfRule>
    <cfRule type="expression" dxfId="44" priority="25">
      <formula>OR(IF(K22=0,1,0),IF(K22="-",1,0))</formula>
    </cfRule>
  </conditionalFormatting>
  <conditionalFormatting sqref="L21:L44">
    <cfRule type="cellIs" dxfId="43" priority="8" stopIfTrue="1" operator="equal">
      <formula>"인터뷰"</formula>
    </cfRule>
    <cfRule type="cellIs" dxfId="42" priority="9" stopIfTrue="1" operator="equal">
      <formula>"R/A"</formula>
    </cfRule>
    <cfRule type="cellIs" dxfId="41" priority="10" stopIfTrue="1" operator="equal">
      <formula>"N/A"</formula>
    </cfRule>
    <cfRule type="cellIs" dxfId="40" priority="11" stopIfTrue="1" operator="equal">
      <formula>"N"</formula>
    </cfRule>
    <cfRule type="expression" dxfId="39" priority="12">
      <formula>OR(IF(L21=0,1,0),IF(L21="-",1,0))</formula>
    </cfRule>
  </conditionalFormatting>
  <conditionalFormatting sqref="Y21:Y44">
    <cfRule type="cellIs" dxfId="38" priority="26" operator="equal">
      <formula>"신규 취약점(즉시조치)"</formula>
    </cfRule>
    <cfRule type="cellIs" dxfId="37" priority="27" operator="equal">
      <formula>"기존 취약점(즉시조치)"</formula>
    </cfRule>
    <cfRule type="cellIs" dxfId="36" priority="28" operator="equal">
      <formula>"기존 취약점"</formula>
    </cfRule>
    <cfRule type="cellIs" dxfId="35" priority="29" operator="equal">
      <formula>"신규 취약점"</formula>
    </cfRule>
    <cfRule type="cellIs" dxfId="34" priority="30" operator="equal">
      <formula>"확인필요"</formula>
    </cfRule>
    <cfRule type="cellIs" dxfId="33" priority="31" operator="equal">
      <formula>"확인필요"</formula>
    </cfRule>
    <cfRule type="cellIs" dxfId="32" priority="32" operator="equal">
      <formula>"신규취약점"</formula>
    </cfRule>
    <cfRule type="cellIs" dxfId="31" priority="33" operator="equal">
      <formula>"조치완료"</formula>
    </cfRule>
  </conditionalFormatting>
  <dataValidations count="3">
    <dataValidation allowBlank="1" showInputMessage="1" showErrorMessage="1" errorTitle="오류!" error="Y, N, N/A 중에 선택" sqref="L21:L44 I21:I44"/>
    <dataValidation type="list" errorStyle="warning" showInputMessage="1" showErrorMessage="1" errorTitle="오류!" error="Y, N, N/A 중에 선택" sqref="J21:J44 H21:H44">
      <formula1>"Y,N,N/A,인터뷰,Y(즉시조치)"</formula1>
    </dataValidation>
    <dataValidation errorStyle="warning" allowBlank="1" showInputMessage="1" showErrorMessage="1" sqref="K21:K44"/>
  </dataValidations>
  <printOptions horizontalCentered="1"/>
  <pageMargins left="0.39370078740157483" right="0.39370078740157483" top="0.59055118110236227" bottom="0.59055118110236227" header="0.39370078740157483" footer="0.39370078740157483"/>
  <pageSetup paperSize="9" scale="30" fitToHeight="0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46"/>
  <sheetViews>
    <sheetView showGridLines="0" view="pageBreakPreview" zoomScale="85" zoomScaleNormal="85" zoomScaleSheetLayoutView="85" workbookViewId="0"/>
  </sheetViews>
  <sheetFormatPr defaultColWidth="8.77734375" defaultRowHeight="12"/>
  <cols>
    <col min="1" max="1" width="12.77734375" style="12" customWidth="1"/>
    <col min="2" max="2" width="6.6640625" style="12" bestFit="1" customWidth="1"/>
    <col min="3" max="3" width="9.77734375" style="12" customWidth="1"/>
    <col min="4" max="8" width="7.6640625" style="12" customWidth="1"/>
    <col min="9" max="9" width="102.109375" style="12" customWidth="1"/>
    <col min="10" max="15" width="7.6640625" style="12" customWidth="1"/>
    <col min="16" max="16" width="13.33203125" style="12" customWidth="1"/>
    <col min="17" max="17" width="44.44140625" style="12" customWidth="1"/>
    <col min="18" max="18" width="13.77734375" style="10" customWidth="1"/>
    <col min="19" max="20" width="11.77734375" style="12" customWidth="1"/>
    <col min="21" max="21" width="12.44140625" style="12" customWidth="1"/>
    <col min="22" max="23" width="8.77734375" style="12" customWidth="1"/>
    <col min="24" max="24" width="18" style="12" customWidth="1"/>
    <col min="25" max="25" width="14.6640625" style="12" customWidth="1"/>
    <col min="26" max="16384" width="8.77734375" style="12"/>
  </cols>
  <sheetData>
    <row r="1" spans="1:25" ht="16.5">
      <c r="A1" s="16" t="str">
        <f ca="1">"■ " &amp; $B$4 &amp; " 상세 진단결과"</f>
        <v>■ BDB_BR_Rocky 상세 진단결과</v>
      </c>
      <c r="B1" s="13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4"/>
      <c r="S1" s="17"/>
    </row>
    <row r="2" spans="1:25" s="9" customFormat="1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4"/>
      <c r="S2" s="19"/>
    </row>
    <row r="3" spans="1:25" ht="34.35" customHeight="1" thickBot="1">
      <c r="A3" s="52" t="s">
        <v>109</v>
      </c>
      <c r="B3" s="52"/>
      <c r="C3" s="52"/>
      <c r="D3" s="52"/>
      <c r="E3" s="52"/>
      <c r="F3" s="52"/>
      <c r="G3" s="52"/>
      <c r="H3" s="5"/>
      <c r="I3" s="5"/>
      <c r="R3" s="5" t="s">
        <v>110</v>
      </c>
      <c r="X3" s="5"/>
      <c r="Y3" s="5"/>
    </row>
    <row r="4" spans="1:25" ht="17.100000000000001" customHeight="1" thickBot="1">
      <c r="A4" s="116" t="s">
        <v>111</v>
      </c>
      <c r="B4" s="299" t="str">
        <f ca="1">REPLACE(CELL("filename",A1),1,FIND("]",CELL("filename",A1)),"")</f>
        <v>BDB_BR_Rocky</v>
      </c>
      <c r="C4" s="300"/>
      <c r="D4" s="307" t="s">
        <v>112</v>
      </c>
      <c r="E4" s="308"/>
      <c r="F4" s="303" t="str">
        <f ca="1">IFERROR(VLOOKUP($B$4,자산목록!$B$1:$Q$832,8,FALSE),"N/A")</f>
        <v>본사 DB 데이터 백업</v>
      </c>
      <c r="G4" s="304"/>
      <c r="H4" s="61"/>
      <c r="I4" s="53"/>
      <c r="R4" s="25" t="s">
        <v>113</v>
      </c>
      <c r="S4" s="39">
        <f ca="1">IFERROR(VLOOKUP($B$4,자산목록!$B$1:$Q$832,13,FALSE),"N/A")</f>
        <v>3</v>
      </c>
      <c r="T4" s="302" t="s">
        <v>114</v>
      </c>
      <c r="U4" s="294" t="str">
        <f ca="1">IFERROR(VLOOKUP($B$4,자산목록!$B$1:$Q$832,16,FALSE),"N/A")</f>
        <v>H</v>
      </c>
      <c r="X4" s="5"/>
      <c r="Y4" s="5"/>
    </row>
    <row r="5" spans="1:25" ht="17.100000000000001" customHeight="1" thickBot="1">
      <c r="A5" s="117" t="s">
        <v>115</v>
      </c>
      <c r="B5" s="295" t="str">
        <f ca="1">IFERROR(VLOOKUP($B$4,자산목록!$B$1:$Q$832,6,FALSE)&amp;" "&amp;VLOOKUP($B$4,자산목록!$B$1:$Q$832,7,FALSE),"N/A")</f>
        <v>MariaDB Server 10.3.39</v>
      </c>
      <c r="C5" s="295"/>
      <c r="D5" s="309" t="s">
        <v>116</v>
      </c>
      <c r="E5" s="309"/>
      <c r="F5" s="295" t="str">
        <f ca="1">IFERROR(VLOOKUP($B$4,자산목록!$B$1:$Q$832,2,FALSE),"N/A")</f>
        <v>10.200.40.33</v>
      </c>
      <c r="G5" s="305"/>
      <c r="H5" s="61"/>
      <c r="I5" s="53"/>
      <c r="R5" s="25" t="s">
        <v>117</v>
      </c>
      <c r="S5" s="39">
        <f ca="1">IFERROR(VLOOKUP($B$4,자산목록!$B$1:$Q$832,14,FALSE),"N/A")</f>
        <v>3</v>
      </c>
      <c r="T5" s="302"/>
      <c r="U5" s="294"/>
      <c r="X5" s="5"/>
      <c r="Y5" s="5"/>
    </row>
    <row r="6" spans="1:25" ht="17.100000000000001" customHeight="1" thickBot="1">
      <c r="A6" s="118" t="s">
        <v>118</v>
      </c>
      <c r="B6" s="297" t="str">
        <f ca="1">IFERROR(VLOOKUP($B$4,자산목록!$B$1:$Q$832,11,FALSE),"N/A")</f>
        <v>김승우</v>
      </c>
      <c r="C6" s="297"/>
      <c r="D6" s="310" t="s">
        <v>119</v>
      </c>
      <c r="E6" s="310"/>
      <c r="F6" s="297" t="str">
        <f ca="1">IFERROR(VLOOKUP($B$4,자산목록!$B$1:$Q$832,9,FALSE),"N/A")</f>
        <v>지사 백업 서버망</v>
      </c>
      <c r="G6" s="306"/>
      <c r="H6" s="61"/>
      <c r="I6" s="53"/>
      <c r="R6" s="25" t="s">
        <v>120</v>
      </c>
      <c r="S6" s="39">
        <f ca="1">IFERROR(VLOOKUP($B$4,자산목록!$B$1:$Q$832,15,FALSE),"N/A")</f>
        <v>3</v>
      </c>
      <c r="T6" s="302"/>
      <c r="U6" s="294"/>
      <c r="X6" s="5"/>
      <c r="Y6" s="5"/>
    </row>
    <row r="7" spans="1:25" ht="22.35" customHeight="1">
      <c r="R7" s="20"/>
      <c r="S7" s="17"/>
      <c r="X7" s="5"/>
      <c r="Y7" s="5"/>
    </row>
    <row r="8" spans="1:25" ht="34.35" customHeight="1">
      <c r="A8" s="5" t="s">
        <v>121</v>
      </c>
      <c r="B8" s="5"/>
      <c r="C8" s="5"/>
      <c r="D8" s="5"/>
      <c r="E8" s="5"/>
      <c r="F8" s="5"/>
      <c r="G8" s="5"/>
      <c r="H8" s="5"/>
      <c r="I8" s="5"/>
      <c r="R8" s="5"/>
      <c r="X8" s="5"/>
      <c r="Y8" s="5"/>
    </row>
    <row r="9" spans="1:25" ht="14.25" thickBot="1">
      <c r="A9" s="54" t="s">
        <v>122</v>
      </c>
      <c r="B9" s="52"/>
      <c r="C9" s="52"/>
      <c r="D9" s="52"/>
      <c r="E9" s="52"/>
      <c r="F9" s="52"/>
      <c r="G9" s="52"/>
      <c r="H9" s="5"/>
      <c r="I9" s="5"/>
      <c r="M9" s="5"/>
      <c r="N9" s="5"/>
      <c r="O9" s="5"/>
      <c r="P9" s="5"/>
      <c r="R9" s="14"/>
      <c r="S9" s="55"/>
    </row>
    <row r="10" spans="1:25" ht="20.100000000000001" customHeight="1" thickBot="1">
      <c r="A10" s="288" t="s">
        <v>61</v>
      </c>
      <c r="B10" s="222"/>
      <c r="C10" s="222"/>
      <c r="D10" s="268" t="s">
        <v>123</v>
      </c>
      <c r="E10" s="269"/>
      <c r="F10" s="269"/>
      <c r="G10" s="269"/>
      <c r="H10" s="269"/>
      <c r="I10" s="290" t="s">
        <v>124</v>
      </c>
      <c r="J10" s="292" t="s">
        <v>82</v>
      </c>
      <c r="K10" s="292"/>
      <c r="L10" s="292"/>
      <c r="M10" s="292"/>
      <c r="N10" s="292"/>
      <c r="O10" s="293"/>
      <c r="R10" s="275" t="s">
        <v>125</v>
      </c>
      <c r="S10" s="275"/>
      <c r="T10" s="275"/>
      <c r="U10" s="275"/>
      <c r="V10" s="281" t="s">
        <v>124</v>
      </c>
      <c r="W10" s="281"/>
      <c r="X10" s="281"/>
      <c r="Y10" s="281"/>
    </row>
    <row r="11" spans="1:25" ht="20.100000000000001" customHeight="1">
      <c r="A11" s="289"/>
      <c r="B11" s="257"/>
      <c r="C11" s="257"/>
      <c r="D11" s="119" t="s">
        <v>99</v>
      </c>
      <c r="E11" s="120" t="s">
        <v>71</v>
      </c>
      <c r="F11" s="121" t="s">
        <v>83</v>
      </c>
      <c r="G11" s="122" t="s">
        <v>102</v>
      </c>
      <c r="H11" s="122" t="s">
        <v>126</v>
      </c>
      <c r="I11" s="291"/>
      <c r="J11" s="133" t="s">
        <v>84</v>
      </c>
      <c r="K11" s="123" t="s">
        <v>85</v>
      </c>
      <c r="L11" s="124" t="s">
        <v>86</v>
      </c>
      <c r="M11" s="124" t="s">
        <v>102</v>
      </c>
      <c r="N11" s="124" t="s">
        <v>92</v>
      </c>
      <c r="O11" s="125" t="s">
        <v>126</v>
      </c>
      <c r="R11" s="47" t="s">
        <v>127</v>
      </c>
      <c r="S11" s="48" t="s">
        <v>128</v>
      </c>
      <c r="T11" s="48" t="s">
        <v>129</v>
      </c>
      <c r="U11" s="50" t="s">
        <v>130</v>
      </c>
      <c r="V11" s="287" t="s">
        <v>61</v>
      </c>
      <c r="W11" s="287"/>
      <c r="X11" s="11" t="s">
        <v>131</v>
      </c>
      <c r="Y11" s="11" t="s">
        <v>132</v>
      </c>
    </row>
    <row r="12" spans="1:25" ht="32.1" customHeight="1">
      <c r="A12" s="270" t="s">
        <v>64</v>
      </c>
      <c r="B12" s="271"/>
      <c r="C12" s="272"/>
      <c r="D12" s="39">
        <f ca="1">COUNTIF($A$21:INDIRECT(ADDRESS(MATCH("",$A:$A,-1),1,1,1)),$A12)</f>
        <v>9</v>
      </c>
      <c r="E12" s="39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7</v>
      </c>
      <c r="F12" s="39">
        <f ca="1">COUNTIFS($A$21:INDIRECT(ADDRESS(MATCH("",$A:$A,-1),1,1,1)),$A12&amp;"*",$H$21:INDIRECT(ADDRESS(MATCH("",$A:$A,-1),8,1,1)),"N")</f>
        <v>0</v>
      </c>
      <c r="G12" s="28">
        <f ca="1">COUNTIFS($A$21:INDIRECT(ADDRESS(MATCH("",$A:$A,-1),1,1,1)),$A12&amp;"*",$H$21:INDIRECT(ADDRESS(MATCH("",$A:$A,-1),8,1,1)),"N/A")</f>
        <v>2</v>
      </c>
      <c r="H12" s="64">
        <f t="shared" ref="H12:H17" ca="1" si="0">IF($G12=$D12, "N/A", (S12/R12))</f>
        <v>1</v>
      </c>
      <c r="I12" s="276"/>
      <c r="J12" s="59">
        <f ca="1">COUNTIFS($A$21:INDIRECT(ADDRESS(MATCH("",$A:$A,-1),1,1,1)),$A12,$K$21:INDIRECT(ADDRESS(MATCH("",$B:$B,-1),11,1,1)),"조치")</f>
        <v>0</v>
      </c>
      <c r="K12" s="28">
        <f ca="1">COUNTIFS($A$21:INDIRECT(ADDRESS(MATCH("",$A:$A,-1),1,1,1)),$A12,$K$21:INDIRECT(ADDRESS(MATCH("",$B:$B,-1),11,1,1)),"미조치")</f>
        <v>0</v>
      </c>
      <c r="L12" s="28">
        <f ca="1">COUNTIFS($A$21:INDIRECT(ADDRESS(MATCH("",$A:$A,-1),1,1,1)),$A12,$K$21:INDIRECT(ADDRESS(MATCH("",$B:$B,-1),11,1,1)),"위험수용")</f>
        <v>0</v>
      </c>
      <c r="M12" s="28">
        <f ca="1">COUNTIFS($A$21:INDIRECT(ADDRESS(MATCH("",$A:$A,-1),1,1,1)),$A12,$K$21:INDIRECT(ADDRESS(MATCH("",$B:$B,-1),11,1,1)),"N/A")</f>
        <v>0</v>
      </c>
      <c r="N12" s="56">
        <f ca="1">IFERROR($J12/($F12-(M12-G12)),"N/A")</f>
        <v>0</v>
      </c>
      <c r="O12" s="126">
        <f ca="1">IF(OR($G12=$D12,$D12=$M12),"N/A", ($T12/$U12))</f>
        <v>0</v>
      </c>
      <c r="R12" s="39">
        <f ca="1">SUMIF($A$21:INDIRECT(ADDRESS(MATCH("",$A:$A,-1),1,1,1)),$A12,$R$21:INDIRECT(ADDRESS(MATCH("",$A:$A,-1),18,1,1)))</f>
        <v>19</v>
      </c>
      <c r="S12" s="39">
        <f ca="1">SUMIF($A$21:INDIRECT(ADDRESS(MATCH("",$A:$A,-1),1,1,1)),$A12,$S$21:INDIRECT(ADDRESS(MATCH("",$A:$A,-1),19,1,1)))</f>
        <v>19</v>
      </c>
      <c r="T12" s="39">
        <f ca="1">SUMIF($A$21:INDIRECT(ADDRESS(MATCH("",$A:$A,-1),1,1,1)),$A12,$T$21:INDIRECT(ADDRESS(MATCH("",$A:$A,-1),20,1,1)))</f>
        <v>0</v>
      </c>
      <c r="U12" s="39">
        <f ca="1">SUMIF($A$21:INDIRECT(ADDRESS(MATCH("",$A:$A,-1),2,1,1)),$A12&amp;"*",$U$21:INDIRECT(ADDRESS(MATCH("",$A:$A,-1),21,1,1)))</f>
        <v>23</v>
      </c>
      <c r="V12" s="286">
        <f>B12</f>
        <v>0</v>
      </c>
      <c r="W12" s="272"/>
      <c r="X12" s="62">
        <f t="shared" ref="X12:X17" ca="1" si="1">H12</f>
        <v>1</v>
      </c>
      <c r="Y12" s="62">
        <f ca="1">O12</f>
        <v>0</v>
      </c>
    </row>
    <row r="13" spans="1:25" ht="32.1" customHeight="1">
      <c r="A13" s="270" t="s">
        <v>65</v>
      </c>
      <c r="B13" s="271"/>
      <c r="C13" s="272"/>
      <c r="D13" s="39">
        <f ca="1">COUNTIF($A$21:INDIRECT(ADDRESS(MATCH("",$A:$A,-1),1,1,1)),$A13)</f>
        <v>7</v>
      </c>
      <c r="E13" s="39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2</v>
      </c>
      <c r="F13" s="39">
        <f ca="1">COUNTIFS($A$21:INDIRECT(ADDRESS(MATCH("",$A:$A,-1),1,1,1)),$A13&amp;"*",$H$21:INDIRECT(ADDRESS(MATCH("",$A:$A,-1),8,1,1)),"N")</f>
        <v>0</v>
      </c>
      <c r="G13" s="28">
        <f ca="1">COUNTIFS($A$21:INDIRECT(ADDRESS(MATCH("",$A:$A,-1),1,1,1)),$A13&amp;"*",$H$21:INDIRECT(ADDRESS(MATCH("",$A:$A,-1),8,1,1)),"N/A")</f>
        <v>5</v>
      </c>
      <c r="H13" s="64">
        <f t="shared" ca="1" si="0"/>
        <v>0.4</v>
      </c>
      <c r="I13" s="276"/>
      <c r="J13" s="59">
        <f ca="1">COUNTIFS($A$21:INDIRECT(ADDRESS(MATCH("",$A:$A,-1),1,1,1)),$A13,$K$21:INDIRECT(ADDRESS(MATCH("",$B:$B,-1),11,1,1)),"조치")</f>
        <v>0</v>
      </c>
      <c r="K13" s="28">
        <f ca="1">COUNTIFS($A$21:INDIRECT(ADDRESS(MATCH("",$A:$A,-1),1,1,1)),$A13,$K$21:INDIRECT(ADDRESS(MATCH("",$B:$B,-1),11,1,1)),"미조치")</f>
        <v>0</v>
      </c>
      <c r="L13" s="28">
        <f ca="1">COUNTIFS($A$21:INDIRECT(ADDRESS(MATCH("",$A:$A,-1),1,1,1)),$A13,$K$21:INDIRECT(ADDRESS(MATCH("",$B:$B,-1),11,1,1)),"위험수용")</f>
        <v>0</v>
      </c>
      <c r="M13" s="28">
        <f ca="1">COUNTIFS($A$21:INDIRECT(ADDRESS(MATCH("",$A:$A,-1),1,1,1)),$A13,$K$21:INDIRECT(ADDRESS(MATCH("",$B:$B,-1),11,1,1)),"N/A")</f>
        <v>0</v>
      </c>
      <c r="N13" s="56">
        <f ca="1">IFERROR($J13/($F13-(M13-G13)),"N/A")</f>
        <v>0</v>
      </c>
      <c r="O13" s="126">
        <f ca="1">IF(OR($G13=$D13,$D13=$M13),"N/A", ($T13/$U13))</f>
        <v>0</v>
      </c>
      <c r="R13" s="39">
        <f ca="1">SUMIF($A$21:INDIRECT(ADDRESS(MATCH("",$A:$A,-1),1,1,1)),$A13,$R$21:INDIRECT(ADDRESS(MATCH("",$A:$A,-1),18,1,1)))</f>
        <v>5</v>
      </c>
      <c r="S13" s="39">
        <f ca="1">SUMIF($A$21:INDIRECT(ADDRESS(MATCH("",$A:$A,-1),1,1,1)),$A13,$S$21:INDIRECT(ADDRESS(MATCH("",$A:$A,-1),19,1,1)))</f>
        <v>2</v>
      </c>
      <c r="T13" s="39">
        <f ca="1">SUMIF($A$21:INDIRECT(ADDRESS(MATCH("",$A:$A,-1),1,1,1)),$A13,$T$21:INDIRECT(ADDRESS(MATCH("",$A:$A,-1),20,1,1)))</f>
        <v>0</v>
      </c>
      <c r="U13" s="39">
        <f ca="1">SUMIF($A$21:INDIRECT(ADDRESS(MATCH("",$A:$A,-1),2,1,1)),$A13&amp;"*",$U$21:INDIRECT(ADDRESS(MATCH("",$A:$A,-1),21,1,1)))</f>
        <v>15</v>
      </c>
      <c r="V13" s="286">
        <f>B13</f>
        <v>0</v>
      </c>
      <c r="W13" s="272"/>
      <c r="X13" s="62">
        <f t="shared" ca="1" si="1"/>
        <v>0.4</v>
      </c>
      <c r="Y13" s="62">
        <f t="shared" ref="Y13:Y16" ca="1" si="2">O13</f>
        <v>0</v>
      </c>
    </row>
    <row r="14" spans="1:25" ht="32.1" customHeight="1">
      <c r="A14" s="270" t="s">
        <v>176</v>
      </c>
      <c r="B14" s="271"/>
      <c r="C14" s="272"/>
      <c r="D14" s="39">
        <f ca="1">COUNTIF($A$21:INDIRECT(ADDRESS(MATCH("",$A:$A,-1),1,1,1)),$A14)</f>
        <v>8</v>
      </c>
      <c r="E14" s="39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2</v>
      </c>
      <c r="F14" s="39">
        <f ca="1">COUNTIFS($A$21:INDIRECT(ADDRESS(MATCH("",$A:$A,-1),1,1,1)),$A14&amp;"*",$H$21:INDIRECT(ADDRESS(MATCH("",$A:$A,-1),8,1,1)),"N")</f>
        <v>0</v>
      </c>
      <c r="G14" s="28">
        <f ca="1">COUNTIFS($A$21:INDIRECT(ADDRESS(MATCH("",$A:$A,-1),1,1,1)),$A14&amp;"*",$H$21:INDIRECT(ADDRESS(MATCH("",$A:$A,-1),8,1,1)),"N/A")</f>
        <v>5</v>
      </c>
      <c r="H14" s="64">
        <f t="shared" ca="1" si="0"/>
        <v>0.75</v>
      </c>
      <c r="I14" s="276"/>
      <c r="J14" s="59">
        <f ca="1">COUNTIFS($A$21:INDIRECT(ADDRESS(MATCH("",$A:$A,-1),1,1,1)),$A14,$K$21:INDIRECT(ADDRESS(MATCH("",$B:$B,-1),11,1,1)),"조치")</f>
        <v>0</v>
      </c>
      <c r="K14" s="28">
        <f ca="1">COUNTIFS($A$21:INDIRECT(ADDRESS(MATCH("",$A:$A,-1),1,1,1)),$A14,$K$21:INDIRECT(ADDRESS(MATCH("",$B:$B,-1),11,1,1)),"미조치")</f>
        <v>0</v>
      </c>
      <c r="L14" s="28">
        <f ca="1">COUNTIFS($A$21:INDIRECT(ADDRESS(MATCH("",$A:$A,-1),1,1,1)),$A14,$K$21:INDIRECT(ADDRESS(MATCH("",$B:$B,-1),11,1,1)),"위험수용")</f>
        <v>0</v>
      </c>
      <c r="M14" s="28">
        <f ca="1">COUNTIFS($A$21:INDIRECT(ADDRESS(MATCH("",$A:$A,-1),1,1,1)),$A14,$K$21:INDIRECT(ADDRESS(MATCH("",$B:$B,-1),11,1,1)),"N/A")</f>
        <v>0</v>
      </c>
      <c r="N14" s="56">
        <f ca="1">IFERROR($J14/($F14-(M14-G14)),"N/A")</f>
        <v>0</v>
      </c>
      <c r="O14" s="126">
        <f ca="1">IF(OR($G14=$D14,$D14=$M14),"N/A", ($T14/$U14))</f>
        <v>0</v>
      </c>
      <c r="R14" s="39">
        <f ca="1">SUMIF($A$21:INDIRECT(ADDRESS(MATCH("",$A:$A,-1),1,1,1)),$A14,$R$21:INDIRECT(ADDRESS(MATCH("",$A:$A,-1),18,1,1)))</f>
        <v>8</v>
      </c>
      <c r="S14" s="39">
        <f ca="1">SUMIF($A$21:INDIRECT(ADDRESS(MATCH("",$A:$A,-1),1,1,1)),$A14,$S$21:INDIRECT(ADDRESS(MATCH("",$A:$A,-1),19,1,1)))</f>
        <v>6</v>
      </c>
      <c r="T14" s="39">
        <f ca="1">SUMIF($A$21:INDIRECT(ADDRESS(MATCH("",$A:$A,-1),1,1,1)),$A14,$T$21:INDIRECT(ADDRESS(MATCH("",$A:$A,-1),20,1,1)))</f>
        <v>0</v>
      </c>
      <c r="U14" s="39">
        <f ca="1">SUMIF($A$21:INDIRECT(ADDRESS(MATCH("",$A:$A,-1),2,1,1)),$A14&amp;"*",$U$21:INDIRECT(ADDRESS(MATCH("",$A:$A,-1),21,1,1)))</f>
        <v>17</v>
      </c>
      <c r="V14" s="286">
        <f>B14</f>
        <v>0</v>
      </c>
      <c r="W14" s="272"/>
      <c r="X14" s="62">
        <f t="shared" ca="1" si="1"/>
        <v>0.75</v>
      </c>
      <c r="Y14" s="62">
        <f t="shared" ca="1" si="2"/>
        <v>0</v>
      </c>
    </row>
    <row r="15" spans="1:25" ht="32.1" customHeight="1">
      <c r="A15" s="270" t="s">
        <v>177</v>
      </c>
      <c r="B15" s="271"/>
      <c r="C15" s="272"/>
      <c r="D15" s="39">
        <f ca="1">COUNTIF($A$21:INDIRECT(ADDRESS(MATCH("",$A:$A,-1),1,1,1)),$A15)</f>
        <v>2</v>
      </c>
      <c r="E15" s="39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0</v>
      </c>
      <c r="F15" s="39">
        <f ca="1">COUNTIFS($A$21:INDIRECT(ADDRESS(MATCH("",$A:$A,-1),1,1,1)),$A15&amp;"*",$H$21:INDIRECT(ADDRESS(MATCH("",$A:$A,-1),8,1,1)),"N")</f>
        <v>0</v>
      </c>
      <c r="G15" s="28">
        <f ca="1">COUNTIFS($A$21:INDIRECT(ADDRESS(MATCH("",$A:$A,-1),1,1,1)),$A15&amp;"*",$H$21:INDIRECT(ADDRESS(MATCH("",$A:$A,-1),8,1,1)),"N/A")</f>
        <v>0</v>
      </c>
      <c r="H15" s="64" t="e">
        <f t="shared" ca="1" si="0"/>
        <v>#DIV/0!</v>
      </c>
      <c r="I15" s="276"/>
      <c r="J15" s="59">
        <f ca="1">COUNTIFS($A$21:INDIRECT(ADDRESS(MATCH("",$A:$A,-1),1,1,1)),$A15,$K$21:INDIRECT(ADDRESS(MATCH("",$B:$B,-1),11,1,1)),"조치")</f>
        <v>0</v>
      </c>
      <c r="K15" s="28">
        <f ca="1">COUNTIFS($A$21:INDIRECT(ADDRESS(MATCH("",$A:$A,-1),1,1,1)),$A15,$K$21:INDIRECT(ADDRESS(MATCH("",$B:$B,-1),11,1,1)),"미조치")</f>
        <v>0</v>
      </c>
      <c r="L15" s="28">
        <f ca="1">COUNTIFS($A$21:INDIRECT(ADDRESS(MATCH("",$A:$A,-1),1,1,1)),$A15,$K$21:INDIRECT(ADDRESS(MATCH("",$B:$B,-1),11,1,1)),"위험수용")</f>
        <v>0</v>
      </c>
      <c r="M15" s="28">
        <f ca="1">COUNTIFS($A$21:INDIRECT(ADDRESS(MATCH("",$A:$A,-1),1,1,1)),$A15,$K$21:INDIRECT(ADDRESS(MATCH("",$B:$B,-1),11,1,1)),"N/A")</f>
        <v>0</v>
      </c>
      <c r="N15" s="56" t="str">
        <f ca="1">IFERROR($J15/($F15-(M15-G15)),"N/A")</f>
        <v>N/A</v>
      </c>
      <c r="O15" s="126" t="e">
        <f ca="1">IF(OR($G15=$D15,$D15=$M15),"N/A", ($T15/$U15))</f>
        <v>#DIV/0!</v>
      </c>
      <c r="R15" s="39">
        <f ca="1">SUMIF($A$21:INDIRECT(ADDRESS(MATCH("",$A:$A,-1),1,1,1)),$A15,$R$21:INDIRECT(ADDRESS(MATCH("",$A:$A,-1),18,1,1)))</f>
        <v>0</v>
      </c>
      <c r="S15" s="39">
        <f ca="1">SUMIF($A$21:INDIRECT(ADDRESS(MATCH("",$A:$A,-1),1,1,1)),$A15,$S$21:INDIRECT(ADDRESS(MATCH("",$A:$A,-1),19,1,1)))</f>
        <v>0</v>
      </c>
      <c r="T15" s="39">
        <f ca="1">SUMIF($A$21:INDIRECT(ADDRESS(MATCH("",$A:$A,-1),1,1,1)),$A15,$T$21:INDIRECT(ADDRESS(MATCH("",$A:$A,-1),20,1,1)))</f>
        <v>0</v>
      </c>
      <c r="U15" s="39">
        <f ca="1">SUMIF($A$21:INDIRECT(ADDRESS(MATCH("",$A:$A,-1),2,1,1)),$A15&amp;"*",$U$21:INDIRECT(ADDRESS(MATCH("",$A:$A,-1),21,1,1)))</f>
        <v>0</v>
      </c>
      <c r="V15" s="286">
        <f>B15</f>
        <v>0</v>
      </c>
      <c r="W15" s="272"/>
      <c r="X15" s="62" t="e">
        <f t="shared" ca="1" si="1"/>
        <v>#DIV/0!</v>
      </c>
      <c r="Y15" s="62" t="e">
        <f t="shared" ca="1" si="2"/>
        <v>#DIV/0!</v>
      </c>
    </row>
    <row r="16" spans="1:25" ht="32.1" customHeight="1" thickBot="1">
      <c r="A16" s="270" t="s">
        <v>178</v>
      </c>
      <c r="B16" s="271"/>
      <c r="C16" s="272"/>
      <c r="D16" s="39">
        <f ca="1">COUNTIF($A$21:INDIRECT(ADDRESS(MATCH("",$A:$A,-1),1,1,1)),$A16)</f>
        <v>0</v>
      </c>
      <c r="E16" s="39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0</v>
      </c>
      <c r="F16" s="39">
        <f ca="1">COUNTIFS($A$21:INDIRECT(ADDRESS(MATCH("",$A:$A,-1),1,1,1)),$A16&amp;"*",$H$21:INDIRECT(ADDRESS(MATCH("",$A:$A,-1),8,1,1)),"N")</f>
        <v>0</v>
      </c>
      <c r="G16" s="28">
        <f ca="1">COUNTIFS($A$21:INDIRECT(ADDRESS(MATCH("",$A:$A,-1),1,1,1)),$A16&amp;"*",$H$21:INDIRECT(ADDRESS(MATCH("",$A:$A,-1),8,1,1)),"N/A")</f>
        <v>0</v>
      </c>
      <c r="H16" s="64" t="str">
        <f t="shared" ca="1" si="0"/>
        <v>N/A</v>
      </c>
      <c r="I16" s="276"/>
      <c r="J16" s="59">
        <f ca="1">COUNTIFS($A$21:INDIRECT(ADDRESS(MATCH("",$A:$A,-1),1,1,1)),$A16,$K$21:INDIRECT(ADDRESS(MATCH("",$B:$B,-1),11,1,1)),"조치")</f>
        <v>0</v>
      </c>
      <c r="K16" s="28">
        <f ca="1">COUNTIFS($A$21:INDIRECT(ADDRESS(MATCH("",$A:$A,-1),1,1,1)),$A16,$K$21:INDIRECT(ADDRESS(MATCH("",$B:$B,-1),11,1,1)),"미조치")</f>
        <v>0</v>
      </c>
      <c r="L16" s="28">
        <f ca="1">COUNTIFS($A$21:INDIRECT(ADDRESS(MATCH("",$A:$A,-1),1,1,1)),$A16,$K$21:INDIRECT(ADDRESS(MATCH("",$B:$B,-1),11,1,1)),"위험수용")</f>
        <v>0</v>
      </c>
      <c r="M16" s="28">
        <f ca="1">COUNTIFS($A$21:INDIRECT(ADDRESS(MATCH("",$A:$A,-1),1,1,1)),$A16,$K$21:INDIRECT(ADDRESS(MATCH("",$B:$B,-1),11,1,1)),"N/A")</f>
        <v>0</v>
      </c>
      <c r="N16" s="56" t="str">
        <f ca="1">IFERROR($J16/($F16-(M16-G16)),"N/A")</f>
        <v>N/A</v>
      </c>
      <c r="O16" s="126" t="str">
        <f ca="1">IF(OR($G16=$D16,$D16=$M16),"N/A", ($T16/$U16))</f>
        <v>N/A</v>
      </c>
      <c r="R16" s="39">
        <f ca="1">SUMIF($A$21:INDIRECT(ADDRESS(MATCH("",$A:$A,-1),1,1,1)),$A16,$R$21:INDIRECT(ADDRESS(MATCH("",$A:$A,-1),18,1,1)))</f>
        <v>0</v>
      </c>
      <c r="S16" s="39">
        <f ca="1">SUMIF($A$21:INDIRECT(ADDRESS(MATCH("",$A:$A,-1),1,1,1)),$A16,$S$21:INDIRECT(ADDRESS(MATCH("",$A:$A,-1),19,1,1)))</f>
        <v>0</v>
      </c>
      <c r="T16" s="39">
        <f ca="1">SUMIF($A$21:INDIRECT(ADDRESS(MATCH("",$A:$A,-1),1,1,1)),$A16,$T$21:INDIRECT(ADDRESS(MATCH("",$A:$A,-1),20,1,1)))</f>
        <v>0</v>
      </c>
      <c r="U16" s="39">
        <f ca="1">SUMIF($A$21:INDIRECT(ADDRESS(MATCH("",$A:$A,-1),2,1,1)),$A16&amp;"*",$U$21:INDIRECT(ADDRESS(MATCH("",$A:$A,-1),21,1,1)))</f>
        <v>0</v>
      </c>
      <c r="V16" s="284">
        <f>B16</f>
        <v>0</v>
      </c>
      <c r="W16" s="285"/>
      <c r="X16" s="66" t="str">
        <f t="shared" ca="1" si="1"/>
        <v>N/A</v>
      </c>
      <c r="Y16" s="66" t="str">
        <f t="shared" ca="1" si="2"/>
        <v>N/A</v>
      </c>
    </row>
    <row r="17" spans="1:25" ht="20.100000000000001" customHeight="1" thickTop="1" thickBot="1">
      <c r="A17" s="278" t="s">
        <v>133</v>
      </c>
      <c r="B17" s="279"/>
      <c r="C17" s="280"/>
      <c r="D17" s="128">
        <f ca="1">SUM(D12:D16)</f>
        <v>26</v>
      </c>
      <c r="E17" s="128">
        <f ca="1">SUM(E12:E16)</f>
        <v>11</v>
      </c>
      <c r="F17" s="128">
        <f ca="1">SUM(F12:F16)</f>
        <v>0</v>
      </c>
      <c r="G17" s="129">
        <f ca="1">SUM(G12:G16)</f>
        <v>12</v>
      </c>
      <c r="H17" s="130">
        <f t="shared" ca="1" si="0"/>
        <v>0.84375</v>
      </c>
      <c r="I17" s="277"/>
      <c r="J17" s="127">
        <f ca="1">SUM(J12:J16)</f>
        <v>0</v>
      </c>
      <c r="K17" s="128">
        <f ca="1">SUM(K12:K16)</f>
        <v>0</v>
      </c>
      <c r="L17" s="128">
        <f ca="1">SUM(L12:L16)</f>
        <v>0</v>
      </c>
      <c r="M17" s="128">
        <f ca="1">SUM(M12:M16)</f>
        <v>0</v>
      </c>
      <c r="N17" s="131">
        <f ca="1">IF($O17="N/A","N/A",IFERROR($J17/($F17-(M17-G17)),"N/A"))</f>
        <v>0</v>
      </c>
      <c r="O17" s="132">
        <f ca="1">IF($G17=$D17, "N/A", IFERROR((T17/U17),"N/A"))</f>
        <v>0</v>
      </c>
      <c r="R17" s="41">
        <f ca="1">SUM(R12:R16)</f>
        <v>32</v>
      </c>
      <c r="S17" s="42">
        <f ca="1">SUM(S12:S16)</f>
        <v>27</v>
      </c>
      <c r="T17" s="42">
        <f ca="1">SUM(T12:T16)</f>
        <v>0</v>
      </c>
      <c r="U17" s="41">
        <f ca="1">SUM(U12:U16)</f>
        <v>55</v>
      </c>
      <c r="V17" s="282" t="s">
        <v>134</v>
      </c>
      <c r="W17" s="283"/>
      <c r="X17" s="65">
        <f t="shared" ca="1" si="1"/>
        <v>0.84375</v>
      </c>
      <c r="Y17" s="65">
        <f ca="1">O17</f>
        <v>0</v>
      </c>
    </row>
    <row r="18" spans="1:25">
      <c r="A18" s="9"/>
      <c r="B18" s="9"/>
      <c r="C18" s="9"/>
      <c r="D18" s="9"/>
      <c r="E18" s="9"/>
      <c r="F18" s="9"/>
      <c r="G18" s="9"/>
      <c r="H18" s="9"/>
      <c r="I18" s="9"/>
      <c r="M18" s="9"/>
      <c r="N18" s="9"/>
    </row>
    <row r="19" spans="1:25" ht="12.75" thickBot="1">
      <c r="A19" s="9" t="s">
        <v>135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7" t="s">
        <v>136</v>
      </c>
      <c r="S19" s="17"/>
    </row>
    <row r="20" spans="1:25">
      <c r="A20" s="273" t="s">
        <v>61</v>
      </c>
      <c r="B20" s="274"/>
      <c r="C20" s="261" t="s">
        <v>137</v>
      </c>
      <c r="D20" s="261"/>
      <c r="E20" s="261"/>
      <c r="F20" s="260" t="s">
        <v>24</v>
      </c>
      <c r="G20" s="261"/>
      <c r="H20" s="135" t="s">
        <v>80</v>
      </c>
      <c r="I20" s="136" t="s">
        <v>138</v>
      </c>
      <c r="J20" s="134" t="s">
        <v>82</v>
      </c>
      <c r="K20" s="136" t="s">
        <v>139</v>
      </c>
      <c r="L20" s="262" t="s">
        <v>140</v>
      </c>
      <c r="M20" s="263"/>
      <c r="N20" s="263"/>
      <c r="O20" s="263"/>
      <c r="P20" s="264"/>
      <c r="Q20" s="137" t="s">
        <v>60</v>
      </c>
      <c r="R20" s="51" t="s">
        <v>141</v>
      </c>
      <c r="S20" s="50" t="s">
        <v>128</v>
      </c>
      <c r="T20" s="25" t="s">
        <v>129</v>
      </c>
      <c r="U20" s="50" t="s">
        <v>130</v>
      </c>
      <c r="V20" s="258" t="s">
        <v>82</v>
      </c>
      <c r="W20" s="259"/>
      <c r="Y20" s="67"/>
    </row>
    <row r="21" spans="1:25" ht="12" customHeight="1">
      <c r="A21" s="31" t="str">
        <f>ChkList!A5</f>
        <v>계정 관리</v>
      </c>
      <c r="B21" s="31" t="str">
        <f>ChkList!B5</f>
        <v>D-01</v>
      </c>
      <c r="C21" s="265" t="str">
        <f>ChkList!C5</f>
        <v>기본 계정의 비밀번호, 정책 등을 변경하여 사용</v>
      </c>
      <c r="D21" s="266"/>
      <c r="E21" s="267"/>
      <c r="F21" s="31" t="str">
        <f>ChkList!D5</f>
        <v>H</v>
      </c>
      <c r="G21" s="31">
        <f>ChkList!E5</f>
        <v>3</v>
      </c>
      <c r="H21" s="28" t="s">
        <v>146</v>
      </c>
      <c r="I21" s="145" t="s">
        <v>243</v>
      </c>
      <c r="J21" s="28" t="str">
        <f t="shared" ref="J21:J44" si="3">IF(OR(ISBLANK($L21), $L21=" - 이행진단 시 평가 - "), "", IF(OR($H21="Y",$H21="N/A",$H21="Y(즉시조치)"),$H21,IF(IFERROR(FIND("양호함",$L21),0),"Y",IF(IFERROR(FIND("해당사항",$L21),0),"N/A",IF(IFERROR(FIND("해당 사항",$L21),0),"N/A","N")))))</f>
        <v/>
      </c>
      <c r="K21" s="28" t="str">
        <f t="shared" ref="K21:K44" si="4">IF($J21="", "", IF(OR($H21="Y", $H21="N/A",$H21="Y(즉시조치)"), $H21, IF(AND($H21="N", $J21="Y"), "조치", IF(AND($H21="N",$J21="N/A"), "N/A", IF(IFERROR(FIND("위험수용", $L21), 0), "위험수용", "미조치")))))</f>
        <v/>
      </c>
      <c r="L21" s="265"/>
      <c r="M21" s="266"/>
      <c r="N21" s="266"/>
      <c r="O21" s="266"/>
      <c r="P21" s="267"/>
      <c r="Q21" s="21" t="str">
        <f>IF($J21="",IF(OR($H21="N",$H21="인터뷰"), ChkList!$F5, ""), IF(OR($J21="N",$J21="인터뷰"), ChkList!$F5, ""))</f>
        <v/>
      </c>
      <c r="R21" s="31">
        <f>IF($H21="N/A",0,VLOOKUP($F21,'parm(hidden)'!$B$8:$C$10,2,FALSE))*1</f>
        <v>3</v>
      </c>
      <c r="S21" s="31">
        <f>IFERROR(VLOOKUP($F21,'parm(hidden)'!$B$8:$C$10,2,FALSE)*VLOOKUP($H21,'parm(hidden)'!$B$15:$C$19,2,FALSE),0)</f>
        <v>3</v>
      </c>
      <c r="T21" s="31">
        <f>IFERROR(VLOOKUP($F21,'parm(hidden)'!$B$8:$C$10,2,FALSE)*VLOOKUP($K21,$V$22:$W$27,2,FALSE),0)</f>
        <v>0</v>
      </c>
      <c r="U21" s="11">
        <f>IF($J21="N/A",0,VLOOKUP($F21,'parm(hidden)'!$B$8:$C$10,2,FALSE))*1</f>
        <v>3</v>
      </c>
      <c r="V21" s="57" t="s">
        <v>142</v>
      </c>
      <c r="W21" s="40" t="s">
        <v>25</v>
      </c>
      <c r="Y21" s="10"/>
    </row>
    <row r="22" spans="1:25" ht="48">
      <c r="A22" s="31" t="str">
        <f>ChkList!A6</f>
        <v>계정 관리</v>
      </c>
      <c r="B22" s="31" t="str">
        <f>ChkList!B6</f>
        <v>D-02</v>
      </c>
      <c r="C22" s="265" t="str">
        <f>ChkList!C6</f>
        <v>데이터베이스의 불필요 계정을 제거하거나, 잠금설정 후 사용</v>
      </c>
      <c r="D22" s="266"/>
      <c r="E22" s="267"/>
      <c r="F22" s="31" t="str">
        <f>ChkList!D6</f>
        <v>H</v>
      </c>
      <c r="G22" s="31">
        <f>ChkList!E6</f>
        <v>3</v>
      </c>
      <c r="H22" s="28" t="s">
        <v>148</v>
      </c>
      <c r="I22" s="145" t="s">
        <v>208</v>
      </c>
      <c r="J22" s="28" t="str">
        <f t="shared" si="3"/>
        <v/>
      </c>
      <c r="K22" s="28" t="str">
        <f t="shared" si="4"/>
        <v/>
      </c>
      <c r="L22" s="265"/>
      <c r="M22" s="266"/>
      <c r="N22" s="266"/>
      <c r="O22" s="266"/>
      <c r="P22" s="267"/>
      <c r="Q22" s="21" t="str">
        <f>IF($J22="",IF(OR($H22="N",$H22="인터뷰"), ChkList!$F6, ""), IF(OR($J22="N",$J22="인터뷰"), ChkList!$F6, ""))</f>
        <v/>
      </c>
      <c r="R22" s="31">
        <f>IF($H22="N/A",0,VLOOKUP($F22,'parm(hidden)'!$B$8:$C$10,2,FALSE))*1</f>
        <v>3</v>
      </c>
      <c r="S22" s="31">
        <f>IFERROR(VLOOKUP($F22,'parm(hidden)'!$B$8:$C$10,2,FALSE)*VLOOKUP($H22,'parm(hidden)'!$B$15:$C$19,2,FALSE),0)</f>
        <v>3</v>
      </c>
      <c r="T22" s="31">
        <f>IFERROR(VLOOKUP($F22,'parm(hidden)'!$B$8:$C$10,2,FALSE)*VLOOKUP($K22,$V$22:$W$27,2,FALSE),0)</f>
        <v>0</v>
      </c>
      <c r="U22" s="11">
        <f>IF($J22="N/A",0,VLOOKUP($F22,'parm(hidden)'!$B$8:$C$10,2,FALSE))*1</f>
        <v>3</v>
      </c>
      <c r="V22" s="59" t="s">
        <v>143</v>
      </c>
      <c r="W22" s="28">
        <v>1</v>
      </c>
      <c r="Y22" s="10"/>
    </row>
    <row r="23" spans="1:25" ht="12" customHeight="1">
      <c r="A23" s="31" t="str">
        <f>ChkList!A7</f>
        <v>계정 관리</v>
      </c>
      <c r="B23" s="31" t="str">
        <f>ChkList!B7</f>
        <v>D-03</v>
      </c>
      <c r="C23" s="265" t="str">
        <f>ChkList!C7</f>
        <v>비밀번호 사용 기간 및 복잡도를 기관의 정책에 맞도록 설정</v>
      </c>
      <c r="D23" s="266"/>
      <c r="E23" s="267"/>
      <c r="F23" s="31" t="str">
        <f>ChkList!D7</f>
        <v>H</v>
      </c>
      <c r="G23" s="31">
        <f>ChkList!E7</f>
        <v>3</v>
      </c>
      <c r="H23" s="28" t="s">
        <v>148</v>
      </c>
      <c r="I23" s="145" t="s">
        <v>225</v>
      </c>
      <c r="J23" s="28" t="str">
        <f t="shared" si="3"/>
        <v/>
      </c>
      <c r="K23" s="28" t="str">
        <f t="shared" si="4"/>
        <v/>
      </c>
      <c r="L23" s="265"/>
      <c r="M23" s="266"/>
      <c r="N23" s="266"/>
      <c r="O23" s="266"/>
      <c r="P23" s="267"/>
      <c r="Q23" s="21" t="str">
        <f>IF($J23="",IF(OR($H23="N",$H23="인터뷰"), ChkList!$F7, ""), IF(OR($J23="N",$J23="인터뷰"), ChkList!$F7, ""))</f>
        <v/>
      </c>
      <c r="R23" s="31">
        <f>IF($H23="N/A",0,VLOOKUP($F23,'parm(hidden)'!$B$8:$C$10,2,FALSE))*1</f>
        <v>3</v>
      </c>
      <c r="S23" s="31">
        <f>IFERROR(VLOOKUP($F23,'parm(hidden)'!$B$8:$C$10,2,FALSE)*VLOOKUP($H23,'parm(hidden)'!$B$15:$C$19,2,FALSE),0)</f>
        <v>3</v>
      </c>
      <c r="T23" s="31">
        <f>IFERROR(VLOOKUP($F23,'parm(hidden)'!$B$8:$C$10,2,FALSE)*VLOOKUP($K23,$V$22:$W$27,2,FALSE),0)</f>
        <v>0</v>
      </c>
      <c r="U23" s="11">
        <f>IF($J23="N/A",0,VLOOKUP($F23,'parm(hidden)'!$B$8:$C$10,2,FALSE))*1</f>
        <v>3</v>
      </c>
      <c r="V23" s="59" t="s">
        <v>144</v>
      </c>
      <c r="W23" s="28">
        <v>0</v>
      </c>
      <c r="Y23" s="10"/>
    </row>
    <row r="24" spans="1:25" ht="12" customHeight="1">
      <c r="A24" s="31" t="str">
        <f>ChkList!A8</f>
        <v>계정 관리</v>
      </c>
      <c r="B24" s="31" t="str">
        <f>ChkList!B8</f>
        <v>D-04</v>
      </c>
      <c r="C24" s="265" t="str">
        <f>ChkList!C8</f>
        <v>데이터베이스 관리자 권한을 꼭 필요한 계정 및 그룹에 대해서만 허용</v>
      </c>
      <c r="D24" s="266"/>
      <c r="E24" s="267"/>
      <c r="F24" s="31" t="str">
        <f>ChkList!D8</f>
        <v>H</v>
      </c>
      <c r="G24" s="31">
        <f>ChkList!E8</f>
        <v>3</v>
      </c>
      <c r="H24" s="28" t="s">
        <v>148</v>
      </c>
      <c r="I24" s="145" t="s">
        <v>226</v>
      </c>
      <c r="J24" s="28" t="str">
        <f t="shared" si="3"/>
        <v/>
      </c>
      <c r="K24" s="28" t="str">
        <f t="shared" si="4"/>
        <v/>
      </c>
      <c r="L24" s="265"/>
      <c r="M24" s="266"/>
      <c r="N24" s="266"/>
      <c r="O24" s="266"/>
      <c r="P24" s="267"/>
      <c r="Q24" s="21" t="str">
        <f>IF($J24="",IF(OR($H24="N",$H24="인터뷰"), ChkList!$F8, ""), IF(OR($J24="N",$J24="인터뷰"), ChkList!$F8, ""))</f>
        <v/>
      </c>
      <c r="R24" s="31">
        <f>IF($H24="N/A",0,VLOOKUP($F24,'parm(hidden)'!$B$8:$C$10,2,FALSE))*1</f>
        <v>3</v>
      </c>
      <c r="S24" s="31">
        <f>IFERROR(VLOOKUP($F24,'parm(hidden)'!$B$8:$C$10,2,FALSE)*VLOOKUP($H24,'parm(hidden)'!$B$15:$C$19,2,FALSE),0)</f>
        <v>3</v>
      </c>
      <c r="T24" s="31">
        <f>IFERROR(VLOOKUP($F24,'parm(hidden)'!$B$8:$C$10,2,FALSE)*VLOOKUP($K24,$V$22:$W$27,2,FALSE),0)</f>
        <v>0</v>
      </c>
      <c r="U24" s="11">
        <f>IF($J24="N/A",0,VLOOKUP($F24,'parm(hidden)'!$B$8:$C$10,2,FALSE))*1</f>
        <v>3</v>
      </c>
      <c r="V24" s="59" t="s">
        <v>145</v>
      </c>
      <c r="W24" s="28">
        <v>0</v>
      </c>
      <c r="Y24" s="10"/>
    </row>
    <row r="25" spans="1:25" ht="12" customHeight="1">
      <c r="A25" s="31" t="str">
        <f>ChkList!A9</f>
        <v>계정 관리</v>
      </c>
      <c r="B25" s="31" t="str">
        <f>ChkList!B9</f>
        <v>D-05</v>
      </c>
      <c r="C25" s="265" t="str">
        <f>ChkList!C9</f>
        <v>비밀번호 재사용에 대한 제약 설정</v>
      </c>
      <c r="D25" s="266"/>
      <c r="E25" s="267"/>
      <c r="F25" s="31" t="str">
        <f>ChkList!D9</f>
        <v>M</v>
      </c>
      <c r="G25" s="31">
        <f>ChkList!E9</f>
        <v>2</v>
      </c>
      <c r="H25" s="28" t="s">
        <v>102</v>
      </c>
      <c r="I25" s="145" t="s">
        <v>182</v>
      </c>
      <c r="J25" s="28" t="str">
        <f t="shared" si="3"/>
        <v/>
      </c>
      <c r="K25" s="28" t="str">
        <f t="shared" si="4"/>
        <v/>
      </c>
      <c r="L25" s="265"/>
      <c r="M25" s="266"/>
      <c r="N25" s="266"/>
      <c r="O25" s="266"/>
      <c r="P25" s="267"/>
      <c r="Q25" s="21" t="str">
        <f>IF($J25="",IF(OR($H25="N",$H25="인터뷰"), ChkList!$F9, ""), IF(OR($J25="N",$J25="인터뷰"), ChkList!$F9, ""))</f>
        <v/>
      </c>
      <c r="R25" s="31">
        <f>IF($H25="N/A",0,VLOOKUP($F25,'parm(hidden)'!$B$8:$C$10,2,FALSE))*1</f>
        <v>0</v>
      </c>
      <c r="S25" s="31">
        <f>IFERROR(VLOOKUP($F25,'parm(hidden)'!$B$8:$C$10,2,FALSE)*VLOOKUP($H25,'parm(hidden)'!$B$15:$C$19,2,FALSE),0)</f>
        <v>0</v>
      </c>
      <c r="T25" s="31">
        <f>IFERROR(VLOOKUP($F25,'parm(hidden)'!$B$8:$C$10,2,FALSE)*VLOOKUP($K25,$V$22:$W$27,2,FALSE),0)</f>
        <v>0</v>
      </c>
      <c r="U25" s="11">
        <f>IF($J25="N/A",0,VLOOKUP($F25,'parm(hidden)'!$B$8:$C$10,2,FALSE))*1</f>
        <v>2</v>
      </c>
      <c r="V25" s="59" t="s">
        <v>36</v>
      </c>
      <c r="W25" s="28">
        <v>0</v>
      </c>
      <c r="Y25" s="10"/>
    </row>
    <row r="26" spans="1:25" ht="12" customHeight="1">
      <c r="A26" s="31" t="str">
        <f>ChkList!A10</f>
        <v>계정 관리</v>
      </c>
      <c r="B26" s="31" t="str">
        <f>ChkList!B10</f>
        <v>D-06</v>
      </c>
      <c r="C26" s="265" t="str">
        <f>ChkList!C10</f>
        <v>DB 사용자 계정을 개별적으로 부여하여 사용</v>
      </c>
      <c r="D26" s="266"/>
      <c r="E26" s="267"/>
      <c r="F26" s="31" t="str">
        <f>ChkList!D10</f>
        <v>M</v>
      </c>
      <c r="G26" s="31">
        <f>ChkList!E10</f>
        <v>2</v>
      </c>
      <c r="H26" s="28" t="s">
        <v>148</v>
      </c>
      <c r="I26" s="145" t="s">
        <v>209</v>
      </c>
      <c r="J26" s="28" t="str">
        <f t="shared" si="3"/>
        <v/>
      </c>
      <c r="K26" s="28" t="str">
        <f t="shared" si="4"/>
        <v/>
      </c>
      <c r="L26" s="265"/>
      <c r="M26" s="266"/>
      <c r="N26" s="266"/>
      <c r="O26" s="266"/>
      <c r="P26" s="267"/>
      <c r="Q26" s="21" t="str">
        <f>IF($J26="",IF(OR($H26="N",$H26="인터뷰"), ChkList!$F10, ""), IF(OR($J26="N",$J26="인터뷰"), ChkList!$F10, ""))</f>
        <v/>
      </c>
      <c r="R26" s="31">
        <f>IF($H26="N/A",0,VLOOKUP($F26,'parm(hidden)'!$B$8:$C$10,2,FALSE))*1</f>
        <v>2</v>
      </c>
      <c r="S26" s="31">
        <f>IFERROR(VLOOKUP($F26,'parm(hidden)'!$B$8:$C$10,2,FALSE)*VLOOKUP($H26,'parm(hidden)'!$B$15:$C$19,2,FALSE),0)</f>
        <v>2</v>
      </c>
      <c r="T26" s="31">
        <f>IFERROR(VLOOKUP($F26,'parm(hidden)'!$B$8:$C$10,2,FALSE)*VLOOKUP($K26,$V$22:$W$27,2,FALSE),0)</f>
        <v>0</v>
      </c>
      <c r="U26" s="11">
        <f>IF($J26="N/A",0,VLOOKUP($F26,'parm(hidden)'!$B$8:$C$10,2,FALSE))*1</f>
        <v>2</v>
      </c>
      <c r="V26" s="59" t="s">
        <v>146</v>
      </c>
      <c r="W26" s="28">
        <v>1</v>
      </c>
      <c r="Y26" s="10"/>
    </row>
    <row r="27" spans="1:25" ht="12" customHeight="1">
      <c r="A27" s="31" t="str">
        <f>ChkList!A11</f>
        <v>계정 관리</v>
      </c>
      <c r="B27" s="31" t="str">
        <f>ChkList!B11</f>
        <v>D-07</v>
      </c>
      <c r="C27" s="265" t="str">
        <f>ChkList!C11</f>
        <v>root 권한으로 서비스 구동 제한</v>
      </c>
      <c r="D27" s="266"/>
      <c r="E27" s="267"/>
      <c r="F27" s="31" t="str">
        <f>ChkList!D11</f>
        <v>M</v>
      </c>
      <c r="G27" s="31">
        <f>ChkList!E11</f>
        <v>2</v>
      </c>
      <c r="H27" s="28" t="s">
        <v>146</v>
      </c>
      <c r="I27" s="145" t="s">
        <v>227</v>
      </c>
      <c r="J27" s="28" t="str">
        <f t="shared" si="3"/>
        <v/>
      </c>
      <c r="K27" s="28" t="str">
        <f t="shared" si="4"/>
        <v/>
      </c>
      <c r="L27" s="265"/>
      <c r="M27" s="266"/>
      <c r="N27" s="266"/>
      <c r="O27" s="266"/>
      <c r="P27" s="267"/>
      <c r="Q27" s="21" t="str">
        <f>IF($J27="",IF(OR($H27="N",$H27="인터뷰"), ChkList!$F11, ""), IF(OR($J27="N",$J27="인터뷰"), ChkList!$F11, ""))</f>
        <v/>
      </c>
      <c r="R27" s="31">
        <f>IF($H27="N/A",0,VLOOKUP($F27,'parm(hidden)'!$B$8:$C$10,2,FALSE))*1</f>
        <v>2</v>
      </c>
      <c r="S27" s="31">
        <f>IFERROR(VLOOKUP($F27,'parm(hidden)'!$B$8:$C$10,2,FALSE)*VLOOKUP($H27,'parm(hidden)'!$B$15:$C$19,2,FALSE),0)</f>
        <v>2</v>
      </c>
      <c r="T27" s="31">
        <f>IFERROR(VLOOKUP($F27,'parm(hidden)'!$B$8:$C$10,2,FALSE)*VLOOKUP($K27,$V$22:$W$27,2,FALSE),0)</f>
        <v>0</v>
      </c>
      <c r="U27" s="11">
        <f>IF($J27="N/A",0,VLOOKUP($F27,'parm(hidden)'!$B$8:$C$10,2,FALSE))*1</f>
        <v>2</v>
      </c>
      <c r="V27" s="59" t="s">
        <v>147</v>
      </c>
      <c r="W27" s="28">
        <v>1</v>
      </c>
      <c r="Y27" s="10"/>
    </row>
    <row r="28" spans="1:25" ht="12" customHeight="1">
      <c r="A28" s="31" t="str">
        <f>ChkList!A12</f>
        <v>계정 관리</v>
      </c>
      <c r="B28" s="31" t="str">
        <f>ChkList!B12</f>
        <v>D-08</v>
      </c>
      <c r="C28" s="265" t="str">
        <f>ChkList!C12</f>
        <v>안전한 암호화 알고리즘 사용</v>
      </c>
      <c r="D28" s="266"/>
      <c r="E28" s="267"/>
      <c r="F28" s="31" t="str">
        <f>ChkList!D12</f>
        <v>H</v>
      </c>
      <c r="G28" s="31">
        <f>ChkList!E12</f>
        <v>3</v>
      </c>
      <c r="H28" s="28" t="s">
        <v>148</v>
      </c>
      <c r="I28" s="145" t="s">
        <v>211</v>
      </c>
      <c r="J28" s="28" t="str">
        <f t="shared" si="3"/>
        <v/>
      </c>
      <c r="K28" s="28" t="str">
        <f t="shared" si="4"/>
        <v/>
      </c>
      <c r="L28" s="265"/>
      <c r="M28" s="266"/>
      <c r="N28" s="266"/>
      <c r="O28" s="266"/>
      <c r="P28" s="267"/>
      <c r="Q28" s="21" t="str">
        <f>IF($J28="",IF(OR($H28="N",$H28="인터뷰"), ChkList!$F12, ""), IF(OR($J28="N",$J28="인터뷰"), ChkList!$F12, ""))</f>
        <v/>
      </c>
      <c r="R28" s="31">
        <f>IF($H28="N/A",0,VLOOKUP($F28,'parm(hidden)'!$B$8:$C$10,2,FALSE))*1</f>
        <v>3</v>
      </c>
      <c r="S28" s="31">
        <f>IFERROR(VLOOKUP($F28,'parm(hidden)'!$B$8:$C$10,2,FALSE)*VLOOKUP($H28,'parm(hidden)'!$B$15:$C$19,2,FALSE),0)</f>
        <v>3</v>
      </c>
      <c r="T28" s="31">
        <f>IFERROR(VLOOKUP($F28,'parm(hidden)'!$B$8:$C$10,2,FALSE)*VLOOKUP($K28,$V$22:$W$27,2,FALSE),0)</f>
        <v>0</v>
      </c>
      <c r="U28" s="11">
        <f>IF($J28="N/A",0,VLOOKUP($F28,'parm(hidden)'!$B$8:$C$10,2,FALSE))*1</f>
        <v>3</v>
      </c>
      <c r="Y28" s="10"/>
    </row>
    <row r="29" spans="1:25" ht="12" customHeight="1">
      <c r="A29" s="31" t="str">
        <f>ChkList!A13</f>
        <v>계정 관리</v>
      </c>
      <c r="B29" s="31" t="str">
        <f>ChkList!B13</f>
        <v>D-09</v>
      </c>
      <c r="C29" s="265" t="str">
        <f>ChkList!C13</f>
        <v>일정 횟수의 로그인 실패 시 이에 대한 잠금정책 설정</v>
      </c>
      <c r="D29" s="266"/>
      <c r="E29" s="267"/>
      <c r="F29" s="31" t="str">
        <f>ChkList!D13</f>
        <v>M</v>
      </c>
      <c r="G29" s="31">
        <f>ChkList!E13</f>
        <v>2</v>
      </c>
      <c r="H29" s="28" t="s">
        <v>149</v>
      </c>
      <c r="I29" s="145" t="s">
        <v>182</v>
      </c>
      <c r="J29" s="28" t="str">
        <f t="shared" si="3"/>
        <v/>
      </c>
      <c r="K29" s="28" t="str">
        <f t="shared" si="4"/>
        <v/>
      </c>
      <c r="L29" s="265"/>
      <c r="M29" s="266"/>
      <c r="N29" s="266"/>
      <c r="O29" s="266"/>
      <c r="P29" s="267"/>
      <c r="Q29" s="21" t="str">
        <f>IF($J29="",IF(OR($H29="N",$H29="인터뷰"), ChkList!$F13, ""), IF(OR($J29="N",$J29="인터뷰"), ChkList!$F13, ""))</f>
        <v/>
      </c>
      <c r="R29" s="31">
        <f>IF($H29="N/A",0,VLOOKUP($F29,'parm(hidden)'!$B$8:$C$10,2,FALSE))*1</f>
        <v>0</v>
      </c>
      <c r="S29" s="31">
        <f>IFERROR(VLOOKUP($F29,'parm(hidden)'!$B$8:$C$10,2,FALSE)*VLOOKUP($H29,'parm(hidden)'!$B$15:$C$19,2,FALSE),0)</f>
        <v>0</v>
      </c>
      <c r="T29" s="31">
        <f>IFERROR(VLOOKUP($F29,'parm(hidden)'!$B$8:$C$10,2,FALSE)*VLOOKUP($K29,$V$22:$W$27,2,FALSE),0)</f>
        <v>0</v>
      </c>
      <c r="U29" s="11">
        <f>IF($J29="N/A",0,VLOOKUP($F29,'parm(hidden)'!$B$8:$C$10,2,FALSE))*1</f>
        <v>2</v>
      </c>
      <c r="Y29" s="10"/>
    </row>
    <row r="30" spans="1:25" ht="12" customHeight="1">
      <c r="A30" s="31" t="str">
        <f>ChkList!A14</f>
        <v>접근 관리</v>
      </c>
      <c r="B30" s="31" t="str">
        <f>ChkList!B14</f>
        <v>D-10</v>
      </c>
      <c r="C30" s="265" t="str">
        <f>ChkList!C14</f>
        <v>원격에서 DB 서버로의 접속 제한</v>
      </c>
      <c r="D30" s="266"/>
      <c r="E30" s="267"/>
      <c r="F30" s="31" t="str">
        <f>ChkList!D14</f>
        <v>H</v>
      </c>
      <c r="G30" s="31">
        <f>ChkList!E14</f>
        <v>3</v>
      </c>
      <c r="H30" s="28" t="s">
        <v>149</v>
      </c>
      <c r="I30" s="145" t="s">
        <v>199</v>
      </c>
      <c r="J30" s="28" t="str">
        <f t="shared" si="3"/>
        <v/>
      </c>
      <c r="K30" s="28" t="str">
        <f t="shared" si="4"/>
        <v/>
      </c>
      <c r="L30" s="265"/>
      <c r="M30" s="266"/>
      <c r="N30" s="266"/>
      <c r="O30" s="266"/>
      <c r="P30" s="267"/>
      <c r="Q30" s="21" t="str">
        <f>IF($J30="",IF(OR($H30="N",$H30="인터뷰"), ChkList!$F14, ""), IF(OR($J30="N",$J30="인터뷰"), ChkList!$F14, ""))</f>
        <v/>
      </c>
      <c r="R30" s="31">
        <f>IF($H30="N/A",0,VLOOKUP($F30,'parm(hidden)'!$B$8:$C$10,2,FALSE))*1</f>
        <v>0</v>
      </c>
      <c r="S30" s="31">
        <f>IFERROR(VLOOKUP($F30,'parm(hidden)'!$B$8:$C$10,2,FALSE)*VLOOKUP($H30,'parm(hidden)'!$B$15:$C$19,2,FALSE),0)</f>
        <v>0</v>
      </c>
      <c r="T30" s="31">
        <f>IFERROR(VLOOKUP($F30,'parm(hidden)'!$B$8:$C$10,2,FALSE)*VLOOKUP($K30,$V$22:$W$27,2,FALSE),0)</f>
        <v>0</v>
      </c>
      <c r="U30" s="11">
        <f>IF($J30="N/A",0,VLOOKUP($F30,'parm(hidden)'!$B$8:$C$10,2,FALSE))*1</f>
        <v>3</v>
      </c>
      <c r="Y30" s="10"/>
    </row>
    <row r="31" spans="1:25" ht="12" customHeight="1">
      <c r="A31" s="31" t="str">
        <f>ChkList!A15</f>
        <v>접근 관리</v>
      </c>
      <c r="B31" s="31" t="str">
        <f>ChkList!B15</f>
        <v>D-11</v>
      </c>
      <c r="C31" s="265" t="str">
        <f>ChkList!C15</f>
        <v>DBA 이외의 인가되지 않은 사용자가 시스템 테이블에 접근할 수 없도록 설정</v>
      </c>
      <c r="D31" s="266"/>
      <c r="E31" s="267"/>
      <c r="F31" s="31" t="str">
        <f>ChkList!D15</f>
        <v>H</v>
      </c>
      <c r="G31" s="31">
        <f>ChkList!E15</f>
        <v>3</v>
      </c>
      <c r="H31" s="28" t="s">
        <v>149</v>
      </c>
      <c r="I31" s="147" t="s">
        <v>182</v>
      </c>
      <c r="J31" s="28" t="str">
        <f t="shared" si="3"/>
        <v/>
      </c>
      <c r="K31" s="28" t="str">
        <f t="shared" si="4"/>
        <v/>
      </c>
      <c r="L31" s="265"/>
      <c r="M31" s="266"/>
      <c r="N31" s="266"/>
      <c r="O31" s="266"/>
      <c r="P31" s="267"/>
      <c r="Q31" s="21" t="str">
        <f>IF($J31="",IF(OR($H31="N",$H31="인터뷰"), ChkList!$F15, ""), IF(OR($J31="N",$J31="인터뷰"), ChkList!$F15, ""))</f>
        <v/>
      </c>
      <c r="R31" s="31">
        <f>IF($H31="N/A",0,VLOOKUP($F31,'parm(hidden)'!$B$8:$C$10,2,FALSE))*1</f>
        <v>0</v>
      </c>
      <c r="S31" s="31">
        <f>IFERROR(VLOOKUP($F31,'parm(hidden)'!$B$8:$C$10,2,FALSE)*VLOOKUP($H31,'parm(hidden)'!$B$15:$C$19,2,FALSE),0)</f>
        <v>0</v>
      </c>
      <c r="T31" s="31">
        <f>IFERROR(VLOOKUP($F31,'parm(hidden)'!$B$8:$C$10,2,FALSE)*VLOOKUP($K31,$V$22:$W$27,2,FALSE),0)</f>
        <v>0</v>
      </c>
      <c r="U31" s="11">
        <f>IF($J31="N/A",0,VLOOKUP($F31,'parm(hidden)'!$B$8:$C$10,2,FALSE))*1</f>
        <v>3</v>
      </c>
      <c r="Y31" s="10"/>
    </row>
    <row r="32" spans="1:25" ht="12" customHeight="1">
      <c r="A32" s="31" t="str">
        <f>ChkList!A16</f>
        <v>접근 관리</v>
      </c>
      <c r="B32" s="31" t="str">
        <f>ChkList!B16</f>
        <v>D-12</v>
      </c>
      <c r="C32" s="265" t="str">
        <f>ChkList!C16</f>
        <v>안전한 리스너 비밀번호 설정 및 사용</v>
      </c>
      <c r="D32" s="266"/>
      <c r="E32" s="267"/>
      <c r="F32" s="31" t="str">
        <f>ChkList!D16</f>
        <v>H</v>
      </c>
      <c r="G32" s="31">
        <f>ChkList!E16</f>
        <v>3</v>
      </c>
      <c r="H32" s="28" t="s">
        <v>148</v>
      </c>
      <c r="I32" s="147" t="s">
        <v>200</v>
      </c>
      <c r="J32" s="28" t="str">
        <f t="shared" si="3"/>
        <v/>
      </c>
      <c r="K32" s="28" t="str">
        <f t="shared" si="4"/>
        <v/>
      </c>
      <c r="L32" s="265"/>
      <c r="M32" s="266"/>
      <c r="N32" s="266"/>
      <c r="O32" s="266"/>
      <c r="P32" s="267"/>
      <c r="Q32" s="21" t="str">
        <f>IF($J32="",IF(OR($H32="N",$H32="인터뷰"), ChkList!$F16, ""), IF(OR($J32="N",$J32="인터뷰"), ChkList!$F16, ""))</f>
        <v/>
      </c>
      <c r="R32" s="31">
        <f>IF($H32="N/A",0,VLOOKUP($F32,'parm(hidden)'!$B$8:$C$10,2,FALSE))*1</f>
        <v>3</v>
      </c>
      <c r="S32" s="31">
        <f>IFERROR(VLOOKUP($F32,'parm(hidden)'!$B$8:$C$10,2,FALSE)*VLOOKUP(#REF!,'parm(hidden)'!$B$15:$C$19,2,FALSE),0)</f>
        <v>0</v>
      </c>
      <c r="T32" s="31">
        <f>IFERROR(VLOOKUP($F32,'parm(hidden)'!$B$8:$C$10,2,FALSE)*VLOOKUP($K32,$V$22:$W$27,2,FALSE),0)</f>
        <v>0</v>
      </c>
      <c r="U32" s="11">
        <f>IF($J32="N/A",0,VLOOKUP($F32,'parm(hidden)'!$B$8:$C$10,2,FALSE))*1</f>
        <v>3</v>
      </c>
      <c r="Y32" s="10"/>
    </row>
    <row r="33" spans="1:25" ht="12" customHeight="1">
      <c r="A33" s="31" t="str">
        <f>ChkList!A17</f>
        <v>접근 관리</v>
      </c>
      <c r="B33" s="31" t="str">
        <f>ChkList!B17</f>
        <v>D-13</v>
      </c>
      <c r="C33" s="265" t="str">
        <f>ChkList!C17</f>
        <v>불필요한 ODBC/OLE-DB 데이터 소스와 드라이브를 제거하여 사용</v>
      </c>
      <c r="D33" s="266"/>
      <c r="E33" s="267"/>
      <c r="F33" s="31" t="str">
        <f>ChkList!D17</f>
        <v>M</v>
      </c>
      <c r="G33" s="31">
        <f>ChkList!E17</f>
        <v>2</v>
      </c>
      <c r="H33" s="28" t="s">
        <v>148</v>
      </c>
      <c r="I33" s="145" t="s">
        <v>245</v>
      </c>
      <c r="J33" s="28" t="str">
        <f t="shared" si="3"/>
        <v/>
      </c>
      <c r="K33" s="28" t="str">
        <f t="shared" si="4"/>
        <v/>
      </c>
      <c r="L33" s="265"/>
      <c r="M33" s="266"/>
      <c r="N33" s="266"/>
      <c r="O33" s="266"/>
      <c r="P33" s="267"/>
      <c r="Q33" s="21" t="str">
        <f>IF($J33="",IF(OR($H33="N",$H33="인터뷰"), ChkList!$F17, ""), IF(OR($J33="N",$J33="인터뷰"), ChkList!$F17, ""))</f>
        <v/>
      </c>
      <c r="R33" s="31">
        <f>IF($H33="N/A",0,VLOOKUP($F33,'parm(hidden)'!$B$8:$C$10,2,FALSE))*1</f>
        <v>2</v>
      </c>
      <c r="S33" s="31">
        <f>IFERROR(VLOOKUP($F33,'parm(hidden)'!$B$8:$C$10,2,FALSE)*VLOOKUP($H32,'parm(hidden)'!$B$15:$C$19,2,FALSE),0)</f>
        <v>2</v>
      </c>
      <c r="T33" s="31">
        <f>IFERROR(VLOOKUP($F33,'parm(hidden)'!$B$8:$C$10,2,FALSE)*VLOOKUP($K33,$V$22:$W$27,2,FALSE),0)</f>
        <v>0</v>
      </c>
      <c r="U33" s="11">
        <f>IF($J33="N/A",0,VLOOKUP($F33,'parm(hidden)'!$B$8:$C$10,2,FALSE))*1</f>
        <v>2</v>
      </c>
      <c r="Y33" s="10"/>
    </row>
    <row r="34" spans="1:25" ht="12" customHeight="1">
      <c r="A34" s="31" t="str">
        <f>ChkList!A18</f>
        <v>접근 관리</v>
      </c>
      <c r="B34" s="31" t="str">
        <f>ChkList!B18</f>
        <v>D-14</v>
      </c>
      <c r="C34" s="265" t="str">
        <f>ChkList!C18</f>
        <v>데이터베이스의 주요 설정파일, 비밀번호 파일 등과 같은 주요 파일들의 접근 권한이 적절하게 설정</v>
      </c>
      <c r="D34" s="266"/>
      <c r="E34" s="267"/>
      <c r="F34" s="31" t="str">
        <f>ChkList!D18</f>
        <v>M</v>
      </c>
      <c r="G34" s="31">
        <f>ChkList!E18</f>
        <v>2</v>
      </c>
      <c r="H34" s="28" t="s">
        <v>149</v>
      </c>
      <c r="I34" s="145" t="s">
        <v>182</v>
      </c>
      <c r="J34" s="28" t="str">
        <f t="shared" si="3"/>
        <v/>
      </c>
      <c r="K34" s="28" t="str">
        <f t="shared" si="4"/>
        <v/>
      </c>
      <c r="L34" s="265"/>
      <c r="M34" s="266"/>
      <c r="N34" s="266"/>
      <c r="O34" s="266"/>
      <c r="P34" s="267"/>
      <c r="Q34" s="21" t="str">
        <f>IF($J34="",IF(OR($H34="N",$H34="인터뷰"), ChkList!$F18, ""), IF(OR($J34="N",$J34="인터뷰"), ChkList!$F18, ""))</f>
        <v/>
      </c>
      <c r="R34" s="31">
        <f>IF($H34="N/A",0,VLOOKUP($F34,'parm(hidden)'!$B$8:$C$10,2,FALSE))*1</f>
        <v>0</v>
      </c>
      <c r="S34" s="31">
        <f>IFERROR(VLOOKUP($F34,'parm(hidden)'!$B$8:$C$10,2,FALSE)*VLOOKUP($H34,'parm(hidden)'!$B$15:$C$19,2,FALSE),0)</f>
        <v>0</v>
      </c>
      <c r="T34" s="31">
        <f>IFERROR(VLOOKUP($F34,'parm(hidden)'!$B$8:$C$10,2,FALSE)*VLOOKUP($K34,$V$22:$W$27,2,FALSE),0)</f>
        <v>0</v>
      </c>
      <c r="U34" s="11">
        <f>IF($J34="N/A",0,VLOOKUP($F34,'parm(hidden)'!$B$8:$C$10,2,FALSE))*1</f>
        <v>2</v>
      </c>
      <c r="Y34" s="10"/>
    </row>
    <row r="35" spans="1:25" ht="12" customHeight="1">
      <c r="A35" s="31" t="str">
        <f>ChkList!A19</f>
        <v>접근 관리</v>
      </c>
      <c r="B35" s="31" t="str">
        <f>ChkList!B19</f>
        <v>D-15</v>
      </c>
      <c r="C35" s="265" t="str">
        <f>ChkList!C19</f>
        <v>관리자 이외의 사용자가 오라클 리스너의 접속을 통해 리스너 로그 및 trace 파일에 대한 변경 제한</v>
      </c>
      <c r="D35" s="266"/>
      <c r="E35" s="267"/>
      <c r="F35" s="31" t="str">
        <f>ChkList!D19</f>
        <v>L</v>
      </c>
      <c r="G35" s="31">
        <f>ChkList!E19</f>
        <v>1</v>
      </c>
      <c r="H35" s="28" t="s">
        <v>149</v>
      </c>
      <c r="I35" s="145" t="s">
        <v>182</v>
      </c>
      <c r="J35" s="28" t="str">
        <f t="shared" si="3"/>
        <v/>
      </c>
      <c r="K35" s="28" t="str">
        <f t="shared" si="4"/>
        <v/>
      </c>
      <c r="L35" s="265"/>
      <c r="M35" s="266"/>
      <c r="N35" s="266"/>
      <c r="O35" s="266"/>
      <c r="P35" s="267"/>
      <c r="Q35" s="21" t="str">
        <f>IF($J35="",IF(OR($H35="N",$H35="인터뷰"), ChkList!$F19, ""), IF(OR($J35="N",$J35="인터뷰"), ChkList!$F19, ""))</f>
        <v/>
      </c>
      <c r="R35" s="31">
        <f>IF($H35="N/A",0,VLOOKUP($F35,'parm(hidden)'!$B$8:$C$10,2,FALSE))*1</f>
        <v>0</v>
      </c>
      <c r="S35" s="31">
        <f>IFERROR(VLOOKUP($F35,'parm(hidden)'!$B$8:$C$10,2,FALSE)*VLOOKUP($H35,'parm(hidden)'!$B$15:$C$19,2,FALSE),0)</f>
        <v>0</v>
      </c>
      <c r="T35" s="31">
        <f>IFERROR(VLOOKUP($F35,'parm(hidden)'!$B$8:$C$10,2,FALSE)*VLOOKUP($K35,$V$22:$W$27,2,FALSE),0)</f>
        <v>0</v>
      </c>
      <c r="U35" s="11">
        <f>IF($J35="N/A",0,VLOOKUP($F35,'parm(hidden)'!$B$8:$C$10,2,FALSE))*1</f>
        <v>1</v>
      </c>
      <c r="Y35" s="10"/>
    </row>
    <row r="36" spans="1:25" ht="12" customHeight="1">
      <c r="A36" s="31" t="str">
        <f>ChkList!A20</f>
        <v>접근 관리</v>
      </c>
      <c r="B36" s="31" t="str">
        <f>ChkList!B20</f>
        <v>D-16</v>
      </c>
      <c r="C36" s="265" t="str">
        <f>ChkList!C20</f>
        <v>Windows 인증 모드 사용</v>
      </c>
      <c r="D36" s="266"/>
      <c r="E36" s="267"/>
      <c r="F36" s="31" t="str">
        <f>ChkList!D20</f>
        <v>L</v>
      </c>
      <c r="G36" s="31">
        <f>ChkList!E20</f>
        <v>1</v>
      </c>
      <c r="H36" s="28" t="s">
        <v>149</v>
      </c>
      <c r="I36" s="145" t="s">
        <v>182</v>
      </c>
      <c r="J36" s="28" t="str">
        <f t="shared" si="3"/>
        <v/>
      </c>
      <c r="K36" s="28" t="str">
        <f t="shared" si="4"/>
        <v/>
      </c>
      <c r="L36" s="265"/>
      <c r="M36" s="266"/>
      <c r="N36" s="266"/>
      <c r="O36" s="266"/>
      <c r="P36" s="267"/>
      <c r="Q36" s="21" t="str">
        <f>IF($J36="",IF(OR($H36="N",$H36="인터뷰"), ChkList!$F20, ""), IF(OR($J36="N",$J36="인터뷰"), ChkList!$F20, ""))</f>
        <v/>
      </c>
      <c r="R36" s="31">
        <f>IF($H36="N/A",0,VLOOKUP($F36,'parm(hidden)'!$B$8:$C$10,2,FALSE))*1</f>
        <v>0</v>
      </c>
      <c r="S36" s="31">
        <f>IFERROR(VLOOKUP($F36,'parm(hidden)'!$B$8:$C$10,2,FALSE)*VLOOKUP($H36,'parm(hidden)'!$B$15:$C$19,2,FALSE),0)</f>
        <v>0</v>
      </c>
      <c r="T36" s="31">
        <f>IFERROR(VLOOKUP($F36,'parm(hidden)'!$B$8:$C$10,2,FALSE)*VLOOKUP($K36,$V$22:$W$27,2,FALSE),0)</f>
        <v>0</v>
      </c>
      <c r="U36" s="11">
        <f>IF($J36="N/A",0,VLOOKUP($F36,'parm(hidden)'!$B$8:$C$10,2,FALSE))*1</f>
        <v>1</v>
      </c>
      <c r="Y36" s="10"/>
    </row>
    <row r="37" spans="1:25" ht="12" customHeight="1">
      <c r="A37" s="31" t="str">
        <f>ChkList!A21</f>
        <v>옵션 관리</v>
      </c>
      <c r="B37" s="31" t="str">
        <f>ChkList!B21</f>
        <v>D-17</v>
      </c>
      <c r="C37" s="265" t="str">
        <f>ChkList!C21</f>
        <v>Audit Table은 데이터베이스 관리자 계정에 접근하도록 제한</v>
      </c>
      <c r="D37" s="266"/>
      <c r="E37" s="267"/>
      <c r="F37" s="31" t="str">
        <f>ChkList!D21</f>
        <v>L</v>
      </c>
      <c r="G37" s="31">
        <f>ChkList!E21</f>
        <v>1</v>
      </c>
      <c r="H37" s="28" t="s">
        <v>149</v>
      </c>
      <c r="I37" s="145" t="s">
        <v>182</v>
      </c>
      <c r="J37" s="28" t="str">
        <f t="shared" si="3"/>
        <v/>
      </c>
      <c r="K37" s="28" t="str">
        <f t="shared" si="4"/>
        <v/>
      </c>
      <c r="L37" s="265"/>
      <c r="M37" s="266"/>
      <c r="N37" s="266"/>
      <c r="O37" s="266"/>
      <c r="P37" s="267"/>
      <c r="Q37" s="21" t="str">
        <f>IF($J37="",IF(OR($H37="N",$H37="인터뷰"), ChkList!$F21, ""), IF(OR($J37="N",$J37="인터뷰"), ChkList!$F21, ""))</f>
        <v/>
      </c>
      <c r="R37" s="31">
        <f>IF($H37="N/A",0,VLOOKUP($F37,'parm(hidden)'!$B$8:$C$10,2,FALSE))*1</f>
        <v>0</v>
      </c>
      <c r="S37" s="31">
        <f>IFERROR(VLOOKUP($F37,'parm(hidden)'!$B$8:$C$10,2,FALSE)*VLOOKUP($H37,'parm(hidden)'!$B$15:$C$19,2,FALSE),0)</f>
        <v>0</v>
      </c>
      <c r="T37" s="31">
        <f>IFERROR(VLOOKUP($F37,'parm(hidden)'!$B$8:$C$10,2,FALSE)*VLOOKUP($K37,$V$22:$W$27,2,FALSE),0)</f>
        <v>0</v>
      </c>
      <c r="U37" s="11">
        <f>IF($J37="N/A",0,VLOOKUP($F37,'parm(hidden)'!$B$8:$C$10,2,FALSE))*1</f>
        <v>1</v>
      </c>
      <c r="Y37" s="10"/>
    </row>
    <row r="38" spans="1:25" ht="12" customHeight="1">
      <c r="A38" s="31" t="str">
        <f>ChkList!A22</f>
        <v>옵션 관리</v>
      </c>
      <c r="B38" s="31" t="str">
        <f>ChkList!B22</f>
        <v>D-18</v>
      </c>
      <c r="C38" s="265" t="str">
        <f>ChkList!C22</f>
        <v>응용프로그램 또는 DBA 계정의 Role이 Public으로 설정되지 않도록 조정</v>
      </c>
      <c r="D38" s="266"/>
      <c r="E38" s="267"/>
      <c r="F38" s="31" t="str">
        <f>ChkList!D22</f>
        <v>H</v>
      </c>
      <c r="G38" s="31">
        <f>ChkList!E22</f>
        <v>3</v>
      </c>
      <c r="H38" s="28" t="s">
        <v>149</v>
      </c>
      <c r="I38" s="145" t="s">
        <v>182</v>
      </c>
      <c r="J38" s="28" t="str">
        <f t="shared" si="3"/>
        <v/>
      </c>
      <c r="K38" s="28" t="str">
        <f t="shared" si="4"/>
        <v/>
      </c>
      <c r="L38" s="265"/>
      <c r="M38" s="266"/>
      <c r="N38" s="266"/>
      <c r="O38" s="266"/>
      <c r="P38" s="267"/>
      <c r="Q38" s="21" t="str">
        <f>IF($J38="",IF(OR($H38="N",$H38="인터뷰"), ChkList!$F22, ""), IF(OR($J38="N",$J38="인터뷰"), ChkList!$F22, ""))</f>
        <v/>
      </c>
      <c r="R38" s="31">
        <f>IF($H38="N/A",0,VLOOKUP($F38,'parm(hidden)'!$B$8:$C$10,2,FALSE))*1</f>
        <v>0</v>
      </c>
      <c r="S38" s="31">
        <f>IFERROR(VLOOKUP($F38,'parm(hidden)'!$B$8:$C$10,2,FALSE)*VLOOKUP($H38,'parm(hidden)'!$B$15:$C$19,2,FALSE),0)</f>
        <v>0</v>
      </c>
      <c r="T38" s="31">
        <f>IFERROR(VLOOKUP($F38,'parm(hidden)'!$B$8:$C$10,2,FALSE)*VLOOKUP($K38,$V$22:$W$27,2,FALSE),0)</f>
        <v>0</v>
      </c>
      <c r="U38" s="11">
        <f>IF($J38="N/A",0,VLOOKUP($F38,'parm(hidden)'!$B$8:$C$10,2,FALSE))*1</f>
        <v>3</v>
      </c>
      <c r="Y38" s="10"/>
    </row>
    <row r="39" spans="1:25" ht="12" customHeight="1">
      <c r="A39" s="31" t="str">
        <f>ChkList!A23</f>
        <v>옵션 관리</v>
      </c>
      <c r="B39" s="31" t="str">
        <f>ChkList!B23</f>
        <v>D-19</v>
      </c>
      <c r="C39" s="265" t="str">
        <f>ChkList!C23</f>
        <v>OS_ROLES, REMOTE_OS_AUTHENTICATION, REMOTE_OS_ROLES를 FALSE로 설정</v>
      </c>
      <c r="D39" s="266"/>
      <c r="E39" s="267"/>
      <c r="F39" s="31" t="str">
        <f>ChkList!D23</f>
        <v>H</v>
      </c>
      <c r="G39" s="31">
        <f>ChkList!E23</f>
        <v>3</v>
      </c>
      <c r="H39" s="28" t="s">
        <v>148</v>
      </c>
      <c r="I39" s="147" t="s">
        <v>202</v>
      </c>
      <c r="J39" s="28" t="str">
        <f t="shared" si="3"/>
        <v/>
      </c>
      <c r="K39" s="28" t="str">
        <f t="shared" si="4"/>
        <v/>
      </c>
      <c r="L39" s="265"/>
      <c r="M39" s="266"/>
      <c r="N39" s="266"/>
      <c r="O39" s="266"/>
      <c r="P39" s="267"/>
      <c r="Q39" s="21" t="str">
        <f>IF($J39="",IF(OR($H39="N",$H39="인터뷰"), ChkList!$F23, ""), IF(OR($J39="N",$J39="인터뷰"), ChkList!$F23, ""))</f>
        <v/>
      </c>
      <c r="R39" s="31">
        <f>IF($H39="N/A",0,VLOOKUP($F39,'parm(hidden)'!$B$8:$C$10,2,FALSE))*1</f>
        <v>3</v>
      </c>
      <c r="S39" s="31">
        <f>IFERROR(VLOOKUP($F39,'parm(hidden)'!$B$8:$C$10,2,FALSE)*VLOOKUP($H39,'parm(hidden)'!$B$15:$C$19,2,FALSE),0)</f>
        <v>3</v>
      </c>
      <c r="T39" s="31">
        <f>IFERROR(VLOOKUP($F39,'parm(hidden)'!$B$8:$C$10,2,FALSE)*VLOOKUP($K39,$V$22:$W$27,2,FALSE),0)</f>
        <v>0</v>
      </c>
      <c r="U39" s="11">
        <f>IF($J39="N/A",0,VLOOKUP($F39,'parm(hidden)'!$B$8:$C$10,2,FALSE))*1</f>
        <v>3</v>
      </c>
      <c r="Y39" s="10"/>
    </row>
    <row r="40" spans="1:25" ht="12" customHeight="1">
      <c r="A40" s="31" t="str">
        <f>ChkList!A24</f>
        <v>옵션 관리</v>
      </c>
      <c r="B40" s="31" t="str">
        <f>ChkList!B24</f>
        <v>D-20</v>
      </c>
      <c r="C40" s="265" t="str">
        <f>ChkList!C24</f>
        <v>인가되지 않은 Object Owner의 제한</v>
      </c>
      <c r="D40" s="266"/>
      <c r="E40" s="267"/>
      <c r="F40" s="31" t="str">
        <f>ChkList!D24</f>
        <v>L</v>
      </c>
      <c r="G40" s="31">
        <f>ChkList!E24</f>
        <v>1</v>
      </c>
      <c r="H40" s="28" t="s">
        <v>149</v>
      </c>
      <c r="I40" s="145" t="s">
        <v>182</v>
      </c>
      <c r="J40" s="28" t="str">
        <f t="shared" si="3"/>
        <v/>
      </c>
      <c r="K40" s="28" t="str">
        <f t="shared" si="4"/>
        <v/>
      </c>
      <c r="L40" s="265"/>
      <c r="M40" s="266"/>
      <c r="N40" s="266"/>
      <c r="O40" s="266"/>
      <c r="P40" s="267"/>
      <c r="Q40" s="21" t="str">
        <f>IF($J40="",IF(OR($H40="N",$H40="인터뷰"), ChkList!$F24, ""), IF(OR($J40="N",$J40="인터뷰"), ChkList!$F24, ""))</f>
        <v/>
      </c>
      <c r="R40" s="31">
        <f>IF($H40="N/A",0,VLOOKUP($F40,'parm(hidden)'!$B$8:$C$10,2,FALSE))*1</f>
        <v>0</v>
      </c>
      <c r="S40" s="31">
        <f>IFERROR(VLOOKUP($F40,'parm(hidden)'!$B$8:$C$10,2,FALSE)*VLOOKUP($H40,'parm(hidden)'!$B$15:$C$19,2,FALSE),0)</f>
        <v>0</v>
      </c>
      <c r="T40" s="31">
        <f>IFERROR(VLOOKUP($F40,'parm(hidden)'!$B$8:$C$10,2,FALSE)*VLOOKUP($K40,$V$22:$W$27,2,FALSE),0)</f>
        <v>0</v>
      </c>
      <c r="U40" s="11">
        <f>IF($J40="N/A",0,VLOOKUP($F40,'parm(hidden)'!$B$8:$C$10,2,FALSE))*1</f>
        <v>1</v>
      </c>
      <c r="Y40" s="10"/>
    </row>
    <row r="41" spans="1:25" ht="12" customHeight="1">
      <c r="A41" s="31" t="str">
        <f>ChkList!A25</f>
        <v>옵션 관리</v>
      </c>
      <c r="B41" s="31" t="str">
        <f>ChkList!B25</f>
        <v>D-21</v>
      </c>
      <c r="C41" s="265" t="str">
        <f>ChkList!C25</f>
        <v>인가되지 않은 GRANT OPTION 사용 제한</v>
      </c>
      <c r="D41" s="266"/>
      <c r="E41" s="267"/>
      <c r="F41" s="31" t="str">
        <f>ChkList!D25</f>
        <v>M</v>
      </c>
      <c r="G41" s="31">
        <f>ChkList!E25</f>
        <v>2</v>
      </c>
      <c r="H41" s="28" t="s">
        <v>203</v>
      </c>
      <c r="I41" s="145" t="s">
        <v>204</v>
      </c>
      <c r="J41" s="28" t="str">
        <f t="shared" si="3"/>
        <v/>
      </c>
      <c r="K41" s="28" t="str">
        <f t="shared" si="4"/>
        <v/>
      </c>
      <c r="L41" s="265"/>
      <c r="M41" s="266"/>
      <c r="N41" s="266"/>
      <c r="O41" s="266"/>
      <c r="P41" s="267"/>
      <c r="Q41" s="21" t="str">
        <f>IF($J41="",IF(OR($H41="N",$H41="인터뷰"), ChkList!$F25, ""), IF(OR($J41="N",$J41="인터뷰"), ChkList!$F25, ""))</f>
        <v>WITH_GRANT_OPTION이 ROLE에 의하여 설정되도록 변경</v>
      </c>
      <c r="R41" s="31">
        <f>IF($H41="N/A",0,VLOOKUP($F41,'parm(hidden)'!$B$8:$C$10,2,FALSE))*1</f>
        <v>2</v>
      </c>
      <c r="S41" s="31">
        <f>IFERROR(VLOOKUP($F41,'parm(hidden)'!$B$8:$C$10,2,FALSE)*VLOOKUP($H41,'parm(hidden)'!$B$15:$C$19,2,FALSE),0)</f>
        <v>0</v>
      </c>
      <c r="T41" s="31">
        <f>IFERROR(VLOOKUP($F41,'parm(hidden)'!$B$8:$C$10,2,FALSE)*VLOOKUP($K41,$V$22:$W$27,2,FALSE),0)</f>
        <v>0</v>
      </c>
      <c r="U41" s="11">
        <f>IF($J41="N/A",0,VLOOKUP($F41,'parm(hidden)'!$B$8:$C$10,2,FALSE))*1</f>
        <v>2</v>
      </c>
      <c r="Y41" s="10"/>
    </row>
    <row r="42" spans="1:25" ht="12" customHeight="1">
      <c r="A42" s="31" t="str">
        <f>ChkList!A26</f>
        <v>옵션 관리</v>
      </c>
      <c r="B42" s="31" t="str">
        <f>ChkList!B26</f>
        <v>D-22</v>
      </c>
      <c r="C42" s="265" t="str">
        <f>ChkList!C26</f>
        <v>데이터베이스의 자원 제한 기능을 TRUE로 설정</v>
      </c>
      <c r="D42" s="266"/>
      <c r="E42" s="267"/>
      <c r="F42" s="31" t="str">
        <f>ChkList!D26</f>
        <v>L</v>
      </c>
      <c r="G42" s="31">
        <f>ChkList!E26</f>
        <v>1</v>
      </c>
      <c r="H42" s="28" t="s">
        <v>149</v>
      </c>
      <c r="I42" s="145" t="s">
        <v>205</v>
      </c>
      <c r="J42" s="28" t="str">
        <f t="shared" si="3"/>
        <v/>
      </c>
      <c r="K42" s="28" t="str">
        <f t="shared" si="4"/>
        <v/>
      </c>
      <c r="L42" s="265"/>
      <c r="M42" s="266"/>
      <c r="N42" s="266"/>
      <c r="O42" s="266"/>
      <c r="P42" s="267"/>
      <c r="Q42" s="21" t="str">
        <f>IF($J42="",IF(OR($H42="N",$H42="인터뷰"), ChkList!$F26, ""), IF(OR($J42="N",$J42="인터뷰"), ChkList!$F26, ""))</f>
        <v/>
      </c>
      <c r="R42" s="31">
        <f>IF($H42="N/A",0,VLOOKUP($F42,'parm(hidden)'!$B$8:$C$10,2,FALSE))*1</f>
        <v>0</v>
      </c>
      <c r="S42" s="31">
        <f>IFERROR(VLOOKUP($F42,'parm(hidden)'!$B$8:$C$10,2,FALSE)*VLOOKUP($H42,'parm(hidden)'!$B$15:$C$19,2,FALSE),0)</f>
        <v>0</v>
      </c>
      <c r="T42" s="31">
        <f>IFERROR(VLOOKUP($F42,'parm(hidden)'!$B$8:$C$10,2,FALSE)*VLOOKUP($K42,$V$22:$W$27,2,FALSE),0)</f>
        <v>0</v>
      </c>
      <c r="U42" s="11">
        <f>IF($J42="N/A",0,VLOOKUP($F42,'parm(hidden)'!$B$8:$C$10,2,FALSE))*1</f>
        <v>1</v>
      </c>
      <c r="Y42" s="10"/>
    </row>
    <row r="43" spans="1:25" ht="12" customHeight="1">
      <c r="A43" s="31" t="str">
        <f>ChkList!A27</f>
        <v>옵션 관리</v>
      </c>
      <c r="B43" s="31" t="str">
        <f>ChkList!B27</f>
        <v>D-23</v>
      </c>
      <c r="C43" s="265" t="str">
        <f>ChkList!C27</f>
        <v>xp_cmdshell 사용 제한</v>
      </c>
      <c r="D43" s="266"/>
      <c r="E43" s="267"/>
      <c r="F43" s="31" t="str">
        <f>ChkList!D27</f>
        <v>H</v>
      </c>
      <c r="G43" s="31">
        <f>ChkList!E27</f>
        <v>3</v>
      </c>
      <c r="H43" s="28" t="s">
        <v>148</v>
      </c>
      <c r="I43" s="147" t="s">
        <v>206</v>
      </c>
      <c r="J43" s="28" t="str">
        <f t="shared" si="3"/>
        <v/>
      </c>
      <c r="K43" s="28" t="str">
        <f t="shared" si="4"/>
        <v/>
      </c>
      <c r="L43" s="265"/>
      <c r="M43" s="266"/>
      <c r="N43" s="266"/>
      <c r="O43" s="266"/>
      <c r="P43" s="267"/>
      <c r="Q43" s="21" t="str">
        <f>IF($J43="",IF(OR($H43="N",$H43="인터뷰"), ChkList!$F27, ""), IF(OR($J43="N",$J43="인터뷰"), ChkList!$F27, ""))</f>
        <v/>
      </c>
      <c r="R43" s="31">
        <f>IF($H43="N/A",0,VLOOKUP($F43,'parm(hidden)'!$B$8:$C$10,2,FALSE))*1</f>
        <v>3</v>
      </c>
      <c r="S43" s="31">
        <f>IFERROR(VLOOKUP($F43,'parm(hidden)'!$B$8:$C$10,2,FALSE)*VLOOKUP($H43,'parm(hidden)'!$B$15:$C$19,2,FALSE),0)</f>
        <v>3</v>
      </c>
      <c r="T43" s="31">
        <f>IFERROR(VLOOKUP($F43,'parm(hidden)'!$B$8:$C$10,2,FALSE)*VLOOKUP($K43,$V$22:$W$27,2,FALSE),0)</f>
        <v>0</v>
      </c>
      <c r="U43" s="11">
        <f>IF($J43="N/A",0,VLOOKUP($F43,'parm(hidden)'!$B$8:$C$10,2,FALSE))*1</f>
        <v>3</v>
      </c>
      <c r="Y43" s="10"/>
    </row>
    <row r="44" spans="1:25" ht="12" customHeight="1">
      <c r="A44" s="31" t="str">
        <f>ChkList!A28</f>
        <v>옵션 관리</v>
      </c>
      <c r="B44" s="31" t="str">
        <f>ChkList!B28</f>
        <v>D-24</v>
      </c>
      <c r="C44" s="265" t="str">
        <f>ChkList!C28</f>
        <v>Registry Procedure 권한 제한</v>
      </c>
      <c r="D44" s="266"/>
      <c r="E44" s="267"/>
      <c r="F44" s="31" t="str">
        <f>ChkList!D28</f>
        <v>H</v>
      </c>
      <c r="G44" s="31">
        <f>ChkList!E28</f>
        <v>3</v>
      </c>
      <c r="H44" s="28" t="s">
        <v>149</v>
      </c>
      <c r="I44" s="145" t="s">
        <v>207</v>
      </c>
      <c r="J44" s="28" t="str">
        <f t="shared" si="3"/>
        <v/>
      </c>
      <c r="K44" s="28" t="str">
        <f t="shared" si="4"/>
        <v/>
      </c>
      <c r="L44" s="265"/>
      <c r="M44" s="266"/>
      <c r="N44" s="266"/>
      <c r="O44" s="266"/>
      <c r="P44" s="267"/>
      <c r="Q44" s="21" t="str">
        <f>IF($J44="",IF(OR($H44="N",$H44="인터뷰"), ChkList!$F28, ""), IF(OR($J44="N",$J44="인터뷰"), ChkList!$F28, ""))</f>
        <v/>
      </c>
      <c r="R44" s="31">
        <f>IF($H44="N/A",0,VLOOKUP($F44,'parm(hidden)'!$B$8:$C$10,2,FALSE))*1</f>
        <v>0</v>
      </c>
      <c r="S44" s="31">
        <f>IFERROR(VLOOKUP($F44,'parm(hidden)'!$B$8:$C$10,2,FALSE)*VLOOKUP($H44,'parm(hidden)'!$B$15:$C$19,2,FALSE),0)</f>
        <v>0</v>
      </c>
      <c r="T44" s="31">
        <f>IFERROR(VLOOKUP($F44,'parm(hidden)'!$B$8:$C$10,2,FALSE)*VLOOKUP($K44,$V$22:$W$27,2,FALSE),0)</f>
        <v>0</v>
      </c>
      <c r="U44" s="11">
        <f>IF($J44="N/A",0,VLOOKUP($F44,'parm(hidden)'!$B$8:$C$10,2,FALSE))*1</f>
        <v>3</v>
      </c>
      <c r="Y44" s="10"/>
    </row>
    <row r="45" spans="1:25">
      <c r="A45" s="31" t="str">
        <f>ChkList!A29</f>
        <v>패치 관리</v>
      </c>
      <c r="B45" s="31" t="str">
        <f>ChkList!B29</f>
        <v>D-25</v>
      </c>
      <c r="C45" s="265" t="str">
        <f>ChkList!C29</f>
        <v>주기적 보안 패치 및 벤더 권고 사항 적용</v>
      </c>
      <c r="D45" s="266"/>
      <c r="E45" s="267"/>
      <c r="F45" s="31" t="str">
        <f>ChkList!D29</f>
        <v>H</v>
      </c>
      <c r="G45" s="31">
        <f>ChkList!E29</f>
        <v>3</v>
      </c>
    </row>
    <row r="46" spans="1:25">
      <c r="A46" s="31" t="str">
        <f>ChkList!A30</f>
        <v>패치 관리</v>
      </c>
      <c r="B46" s="31" t="str">
        <f>ChkList!B30</f>
        <v>D-26</v>
      </c>
      <c r="C46" s="265" t="str">
        <f>ChkList!C30</f>
        <v>데이터베이스의 접근, 변경, 삭제 등의 감사 기록이 기관의 감사 기록 정책에 적합하도록 설정</v>
      </c>
      <c r="D46" s="266"/>
      <c r="E46" s="267"/>
      <c r="F46" s="31" t="str">
        <f>ChkList!D30</f>
        <v>H</v>
      </c>
      <c r="G46" s="31">
        <f>ChkList!E30</f>
        <v>3</v>
      </c>
    </row>
  </sheetData>
  <mergeCells count="86">
    <mergeCell ref="C45:E45"/>
    <mergeCell ref="C46:E46"/>
    <mergeCell ref="C42:E42"/>
    <mergeCell ref="L42:P42"/>
    <mergeCell ref="C43:E43"/>
    <mergeCell ref="L43:P43"/>
    <mergeCell ref="C44:E44"/>
    <mergeCell ref="L44:P44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V14:W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4" type="noConversion"/>
  <conditionalFormatting sqref="H21:H44">
    <cfRule type="cellIs" dxfId="30" priority="1" stopIfTrue="1" operator="equal">
      <formula>"인터뷰"</formula>
    </cfRule>
    <cfRule type="cellIs" dxfId="29" priority="2" stopIfTrue="1" operator="equal">
      <formula>"R/A"</formula>
    </cfRule>
    <cfRule type="cellIs" dxfId="28" priority="3" stopIfTrue="1" operator="equal">
      <formula>"N/A"</formula>
    </cfRule>
    <cfRule type="cellIs" dxfId="27" priority="4" stopIfTrue="1" operator="equal">
      <formula>"N"</formula>
    </cfRule>
    <cfRule type="expression" dxfId="26" priority="5">
      <formula>OR(IF(H21=0,1,0),IF(H21="-",1,0))</formula>
    </cfRule>
  </conditionalFormatting>
  <conditionalFormatting sqref="J21:K44">
    <cfRule type="cellIs" dxfId="25" priority="21" stopIfTrue="1" operator="equal">
      <formula>"인터뷰"</formula>
    </cfRule>
    <cfRule type="cellIs" dxfId="24" priority="22" stopIfTrue="1" operator="equal">
      <formula>"R/A"</formula>
    </cfRule>
    <cfRule type="cellIs" dxfId="23" priority="23" stopIfTrue="1" operator="equal">
      <formula>"N/A"</formula>
    </cfRule>
    <cfRule type="cellIs" dxfId="22" priority="24" stopIfTrue="1" operator="equal">
      <formula>"N"</formula>
    </cfRule>
    <cfRule type="expression" dxfId="21" priority="25">
      <formula>OR(IF(J21=0,1,0),IF(J21="-",1,0))</formula>
    </cfRule>
  </conditionalFormatting>
  <conditionalFormatting sqref="K21:K44">
    <cfRule type="cellIs" dxfId="20" priority="13" operator="equal">
      <formula>"위험수용"</formula>
    </cfRule>
    <cfRule type="cellIs" dxfId="19" priority="14" operator="equal">
      <formula>"미조치"</formula>
    </cfRule>
    <cfRule type="cellIs" dxfId="18" priority="15" operator="equal">
      <formula>"조치"</formula>
    </cfRule>
  </conditionalFormatting>
  <conditionalFormatting sqref="K22:K44">
    <cfRule type="cellIs" dxfId="17" priority="16" stopIfTrue="1" operator="equal">
      <formula>"인터뷰"</formula>
    </cfRule>
    <cfRule type="cellIs" dxfId="16" priority="17" stopIfTrue="1" operator="equal">
      <formula>"R/A"</formula>
    </cfRule>
    <cfRule type="cellIs" dxfId="15" priority="18" stopIfTrue="1" operator="equal">
      <formula>"N/A"</formula>
    </cfRule>
    <cfRule type="cellIs" dxfId="14" priority="19" stopIfTrue="1" operator="equal">
      <formula>"N"</formula>
    </cfRule>
    <cfRule type="expression" dxfId="13" priority="20">
      <formula>OR(IF(K22=0,1,0),IF(K22="-",1,0))</formula>
    </cfRule>
  </conditionalFormatting>
  <conditionalFormatting sqref="L21:L44">
    <cfRule type="cellIs" dxfId="12" priority="8" stopIfTrue="1" operator="equal">
      <formula>"인터뷰"</formula>
    </cfRule>
    <cfRule type="cellIs" dxfId="11" priority="9" stopIfTrue="1" operator="equal">
      <formula>"R/A"</formula>
    </cfRule>
    <cfRule type="cellIs" dxfId="10" priority="10" stopIfTrue="1" operator="equal">
      <formula>"N/A"</formula>
    </cfRule>
    <cfRule type="cellIs" dxfId="9" priority="11" stopIfTrue="1" operator="equal">
      <formula>"N"</formula>
    </cfRule>
    <cfRule type="expression" dxfId="8" priority="12">
      <formula>OR(IF(L21=0,1,0),IF(L21="-",1,0))</formula>
    </cfRule>
  </conditionalFormatting>
  <conditionalFormatting sqref="Y21:Y44">
    <cfRule type="cellIs" dxfId="7" priority="26" operator="equal">
      <formula>"신규 취약점(즉시조치)"</formula>
    </cfRule>
    <cfRule type="cellIs" dxfId="6" priority="27" operator="equal">
      <formula>"기존 취약점(즉시조치)"</formula>
    </cfRule>
    <cfRule type="cellIs" dxfId="5" priority="28" operator="equal">
      <formula>"기존 취약점"</formula>
    </cfRule>
    <cfRule type="cellIs" dxfId="4" priority="29" operator="equal">
      <formula>"신규 취약점"</formula>
    </cfRule>
    <cfRule type="cellIs" dxfId="3" priority="30" operator="equal">
      <formula>"확인필요"</formula>
    </cfRule>
    <cfRule type="cellIs" dxfId="2" priority="31" operator="equal">
      <formula>"확인필요"</formula>
    </cfRule>
    <cfRule type="cellIs" dxfId="1" priority="32" operator="equal">
      <formula>"신규취약점"</formula>
    </cfRule>
    <cfRule type="cellIs" dxfId="0" priority="33" operator="equal">
      <formula>"조치완료"</formula>
    </cfRule>
  </conditionalFormatting>
  <dataValidations count="3">
    <dataValidation errorStyle="warning" allowBlank="1" showInputMessage="1" showErrorMessage="1" sqref="K21:K44"/>
    <dataValidation type="list" errorStyle="warning" showInputMessage="1" showErrorMessage="1" errorTitle="오류!" error="Y, N, N/A 중에 선택" sqref="J21:J44 H21:H44">
      <formula1>"Y,N,N/A,인터뷰,Y(즉시조치)"</formula1>
    </dataValidation>
    <dataValidation allowBlank="1" showInputMessage="1" showErrorMessage="1" errorTitle="오류!" error="Y, N, N/A 중에 선택" sqref="L21:L44 I21:I44"/>
  </dataValidations>
  <printOptions horizontalCentered="1"/>
  <pageMargins left="0.39370078740157483" right="0.39370078740157483" top="0.59055118110236227" bottom="0.59055118110236227" header="0.39370078740157483" footer="0.39370078740157483"/>
  <pageSetup paperSize="0" fitToHeight="0" orientation="portrait" horizontalDpi="0" verticalDpi="0" copies="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CE712FD609BA764F82E57949DAE6A3FC" ma:contentTypeVersion="15" ma:contentTypeDescription="새 문서를 만듭니다." ma:contentTypeScope="" ma:versionID="affab591ad0d5ae31cedbfa8308b265f">
  <xsd:schema xmlns:xsd="http://www.w3.org/2001/XMLSchema" xmlns:xs="http://www.w3.org/2001/XMLSchema" xmlns:p="http://schemas.microsoft.com/office/2006/metadata/properties" xmlns:ns2="c48e0f03-c596-4190-b089-622a730ba479" xmlns:ns3="8ca432e5-b836-46a6-914c-0fc76255ac4b" targetNamespace="http://schemas.microsoft.com/office/2006/metadata/properties" ma:root="true" ma:fieldsID="afc71f314f94839b32ba5f314ab3bfba" ns2:_="" ns3:_="">
    <xsd:import namespace="c48e0f03-c596-4190-b089-622a730ba479"/>
    <xsd:import namespace="8ca432e5-b836-46a6-914c-0fc76255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e0f03-c596-4190-b089-622a730ba47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af88afb6-f8e9-4e2e-bd0b-eb081505f0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a432e5-b836-46a6-914c-0fc76255ac4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f94953d1-ad36-438d-a6b8-c891b667da0b}" ma:internalName="TaxCatchAll" ma:showField="CatchAllData" ma:web="8ca432e5-b836-46a6-914c-0fc76255ac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E857FE4-B4A1-4A9D-AFDE-FD3ED059C7B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BC10B40-3279-4685-A324-A1A444C9D1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48e0f03-c596-4190-b089-622a730ba479"/>
    <ds:schemaRef ds:uri="8ca432e5-b836-46a6-914c-0fc76255ac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12</vt:i4>
      </vt:variant>
    </vt:vector>
  </HeadingPairs>
  <TitlesOfParts>
    <vt:vector size="24" baseType="lpstr">
      <vt:lpstr>표지</vt:lpstr>
      <vt:lpstr>자산목록</vt:lpstr>
      <vt:lpstr>parm(hidden)</vt:lpstr>
      <vt:lpstr>ChkList</vt:lpstr>
      <vt:lpstr>취약점 진단 통계</vt:lpstr>
      <vt:lpstr>취약점 진단 항목별 통계</vt:lpstr>
      <vt:lpstr>취약점 진단 통계 (이행)</vt:lpstr>
      <vt:lpstr>취약점 진단 항목별 통계 (이행)</vt:lpstr>
      <vt:lpstr>DB_HQ_Rocky</vt:lpstr>
      <vt:lpstr>DB_BR_Rocky</vt:lpstr>
      <vt:lpstr>BDB_HQ_Rocky</vt:lpstr>
      <vt:lpstr>BDB_BR_Rocky</vt:lpstr>
      <vt:lpstr>BDB_BR_Rocky!Print_Area</vt:lpstr>
      <vt:lpstr>BDB_HQ_Rocky!Print_Area</vt:lpstr>
      <vt:lpstr>ChkList!Print_Area</vt:lpstr>
      <vt:lpstr>DB_BR_Rocky!Print_Area</vt:lpstr>
      <vt:lpstr>DB_HQ_Rocky!Print_Area</vt:lpstr>
      <vt:lpstr>'취약점 진단 통계'!Print_Area</vt:lpstr>
      <vt:lpstr>'취약점 진단 통계 (이행)'!Print_Area</vt:lpstr>
      <vt:lpstr>'취약점 진단 항목별 통계'!Print_Area</vt:lpstr>
      <vt:lpstr>'취약점 진단 항목별 통계 (이행)'!Print_Area</vt:lpstr>
      <vt:lpstr>표지!Print_Area</vt:lpstr>
      <vt:lpstr>'취약점 진단 항목별 통계'!Print_Titles</vt:lpstr>
      <vt:lpstr>'취약점 진단 항목별 통계 (이행)'!Print_Titles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Windows 사용자</cp:lastModifiedBy>
  <cp:revision/>
  <dcterms:created xsi:type="dcterms:W3CDTF">2005-07-28T00:20:00Z</dcterms:created>
  <dcterms:modified xsi:type="dcterms:W3CDTF">2026-07-03T02:44:57Z</dcterms:modified>
  <cp:category/>
  <cp:contentStatus/>
</cp:coreProperties>
</file>